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b967644675135e/Desktop/kseb/"/>
    </mc:Choice>
  </mc:AlternateContent>
  <xr:revisionPtr revIDLastSave="5" documentId="8_{A6274845-316F-4B11-AAA9-414081983F1A}" xr6:coauthVersionLast="47" xr6:coauthVersionMax="47" xr10:uidLastSave="{4A450AE3-39A3-4602-B0E0-7E2CA4A16D31}"/>
  <bookViews>
    <workbookView xWindow="-108" yWindow="-108" windowWidth="23256" windowHeight="12456" activeTab="3" xr2:uid="{7C515761-D857-4AD0-A1F9-9D22439B22AE}"/>
  </bookViews>
  <sheets>
    <sheet name="Hydro_final" sheetId="3" r:id="rId1"/>
    <sheet name="Shedule break rate " sheetId="1" r:id="rId2"/>
    <sheet name="Hydel" sheetId="2" r:id="rId3"/>
    <sheet name="Final_dat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06" i="5" l="1"/>
  <c r="AM414" i="5"/>
  <c r="AM444" i="5"/>
  <c r="AG131" i="5"/>
  <c r="AG414" i="5"/>
  <c r="AG764" i="5"/>
  <c r="AF10" i="5"/>
  <c r="AF26" i="5"/>
  <c r="AF27" i="5"/>
  <c r="AF33" i="5"/>
  <c r="AF34" i="5"/>
  <c r="AF45" i="5"/>
  <c r="AF46" i="5"/>
  <c r="AF55" i="5"/>
  <c r="AF56" i="5"/>
  <c r="AF72" i="5"/>
  <c r="AF74" i="5"/>
  <c r="AF88" i="5"/>
  <c r="AF89" i="5"/>
  <c r="AF90" i="5"/>
  <c r="AF91" i="5"/>
  <c r="AF92" i="5"/>
  <c r="AF93" i="5"/>
  <c r="AF94" i="5"/>
  <c r="AF105" i="5"/>
  <c r="AF137" i="5"/>
  <c r="AF138" i="5"/>
  <c r="AF141" i="5"/>
  <c r="AF142" i="5"/>
  <c r="AF143" i="5"/>
  <c r="AF154" i="5"/>
  <c r="AF155" i="5"/>
  <c r="AF161" i="5"/>
  <c r="AF186" i="5"/>
  <c r="AF187" i="5"/>
  <c r="AF188" i="5"/>
  <c r="AF199" i="5"/>
  <c r="AF200" i="5"/>
  <c r="AF202" i="5"/>
  <c r="AF203" i="5"/>
  <c r="AF234" i="5"/>
  <c r="AF235" i="5"/>
  <c r="AF236" i="5"/>
  <c r="AF237" i="5"/>
  <c r="AF238" i="5"/>
  <c r="AF241" i="5"/>
  <c r="AF242" i="5"/>
  <c r="AF247" i="5"/>
  <c r="AF248" i="5"/>
  <c r="AF266" i="5"/>
  <c r="AF269" i="5"/>
  <c r="AF280" i="5"/>
  <c r="AF282" i="5"/>
  <c r="AF283" i="5"/>
  <c r="AF298" i="5"/>
  <c r="AF306" i="5"/>
  <c r="AG306" i="5" s="1"/>
  <c r="AF307" i="5"/>
  <c r="AF308" i="5"/>
  <c r="AF311" i="5"/>
  <c r="AF344" i="5"/>
  <c r="AF346" i="5"/>
  <c r="AF347" i="5"/>
  <c r="AF355" i="5"/>
  <c r="AF356" i="5"/>
  <c r="AF362" i="5"/>
  <c r="AF363" i="5"/>
  <c r="AF394" i="5"/>
  <c r="AF411" i="5"/>
  <c r="AF412" i="5"/>
  <c r="AF417" i="5"/>
  <c r="AF418" i="5"/>
  <c r="AF419" i="5"/>
  <c r="AF423" i="5"/>
  <c r="AF443" i="5"/>
  <c r="AF455" i="5"/>
  <c r="AF458" i="5"/>
  <c r="AF459" i="5"/>
  <c r="AF460" i="5"/>
  <c r="AF465" i="5"/>
  <c r="AF466" i="5"/>
  <c r="AF472" i="5"/>
  <c r="AF506" i="5"/>
  <c r="AF507" i="5"/>
  <c r="AF508" i="5"/>
  <c r="AF509" i="5"/>
  <c r="AF513" i="5"/>
  <c r="AF514" i="5"/>
  <c r="AF529" i="5"/>
  <c r="AF530" i="5"/>
  <c r="AF531" i="5"/>
  <c r="AF552" i="5"/>
  <c r="AF563" i="5"/>
  <c r="AF564" i="5"/>
  <c r="AF566" i="5"/>
  <c r="AF567" i="5"/>
  <c r="AF577" i="5"/>
  <c r="AF618" i="5"/>
  <c r="AF619" i="5"/>
  <c r="AF620" i="5"/>
  <c r="AF627" i="5"/>
  <c r="AF630" i="5"/>
  <c r="AF631" i="5"/>
  <c r="AF651" i="5"/>
  <c r="AF662" i="5"/>
  <c r="AF663" i="5"/>
  <c r="AF664" i="5"/>
  <c r="AF665" i="5"/>
  <c r="AF666" i="5"/>
  <c r="AF680" i="5"/>
  <c r="AF681" i="5"/>
  <c r="AF696" i="5"/>
  <c r="AF697" i="5"/>
  <c r="AF698" i="5"/>
  <c r="AF699" i="5"/>
  <c r="AF710" i="5"/>
  <c r="AF713" i="5"/>
  <c r="AF714" i="5"/>
  <c r="AF715" i="5"/>
  <c r="AF721" i="5"/>
  <c r="AF722" i="5"/>
  <c r="AF726" i="5"/>
  <c r="AF744" i="5"/>
  <c r="AF746" i="5"/>
  <c r="AF747" i="5"/>
  <c r="AF760" i="5"/>
  <c r="AF761" i="5"/>
  <c r="AD5" i="5"/>
  <c r="AF5" i="5" s="1"/>
  <c r="AD6" i="5"/>
  <c r="AF6" i="5" s="1"/>
  <c r="AD7" i="5"/>
  <c r="AF7" i="5" s="1"/>
  <c r="AD8" i="5"/>
  <c r="AD9" i="5"/>
  <c r="AF9" i="5" s="1"/>
  <c r="AD10" i="5"/>
  <c r="AD11" i="5"/>
  <c r="AF11" i="5" s="1"/>
  <c r="AD12" i="5"/>
  <c r="AF12" i="5" s="1"/>
  <c r="AD13" i="5"/>
  <c r="AD14" i="5"/>
  <c r="AD15" i="5"/>
  <c r="AF15" i="5" s="1"/>
  <c r="AD16" i="5"/>
  <c r="AF16" i="5" s="1"/>
  <c r="AD17" i="5"/>
  <c r="AF17" i="5" s="1"/>
  <c r="AD18" i="5"/>
  <c r="AD19" i="5"/>
  <c r="AD20" i="5"/>
  <c r="AF20" i="5" s="1"/>
  <c r="AD21" i="5"/>
  <c r="AF21" i="5" s="1"/>
  <c r="AD22" i="5"/>
  <c r="AF22" i="5" s="1"/>
  <c r="AD23" i="5"/>
  <c r="AF23" i="5" s="1"/>
  <c r="AD24" i="5"/>
  <c r="AF24" i="5" s="1"/>
  <c r="AD25" i="5"/>
  <c r="AF25" i="5" s="1"/>
  <c r="AD26" i="5"/>
  <c r="AD27" i="5"/>
  <c r="AI27" i="5" s="1"/>
  <c r="AL27" i="5" s="1"/>
  <c r="AD28" i="5"/>
  <c r="AF28" i="5" s="1"/>
  <c r="AD29" i="5"/>
  <c r="AF29" i="5" s="1"/>
  <c r="AD30" i="5"/>
  <c r="AF30" i="5" s="1"/>
  <c r="AD31" i="5"/>
  <c r="AF31" i="5" s="1"/>
  <c r="AD32" i="5"/>
  <c r="AF32" i="5" s="1"/>
  <c r="AD33" i="5"/>
  <c r="AD34" i="5"/>
  <c r="AD35" i="5"/>
  <c r="AF35" i="5" s="1"/>
  <c r="AD36" i="5"/>
  <c r="AF36" i="5" s="1"/>
  <c r="AD37" i="5"/>
  <c r="AF37" i="5" s="1"/>
  <c r="AD38" i="5"/>
  <c r="AD39" i="5"/>
  <c r="AF39" i="5" s="1"/>
  <c r="AD40" i="5"/>
  <c r="AF40" i="5" s="1"/>
  <c r="AD41" i="5"/>
  <c r="AF41" i="5" s="1"/>
  <c r="AD42" i="5"/>
  <c r="AF42" i="5" s="1"/>
  <c r="AD43" i="5"/>
  <c r="AF43" i="5" s="1"/>
  <c r="AD44" i="5"/>
  <c r="AF44" i="5" s="1"/>
  <c r="AD45" i="5"/>
  <c r="AI45" i="5" s="1"/>
  <c r="AL45" i="5" s="1"/>
  <c r="AD46" i="5"/>
  <c r="AD47" i="5"/>
  <c r="AF47" i="5" s="1"/>
  <c r="AD48" i="5"/>
  <c r="AF48" i="5" s="1"/>
  <c r="AD49" i="5"/>
  <c r="AF49" i="5" s="1"/>
  <c r="AD50" i="5"/>
  <c r="AF50" i="5" s="1"/>
  <c r="AD51" i="5"/>
  <c r="AF51" i="5" s="1"/>
  <c r="AD52" i="5"/>
  <c r="AF52" i="5" s="1"/>
  <c r="AD53" i="5"/>
  <c r="AF53" i="5" s="1"/>
  <c r="AD54" i="5"/>
  <c r="AF54" i="5" s="1"/>
  <c r="AD55" i="5"/>
  <c r="AD56" i="5"/>
  <c r="AD57" i="5"/>
  <c r="AF57" i="5" s="1"/>
  <c r="AD58" i="5"/>
  <c r="AF58" i="5" s="1"/>
  <c r="AD59" i="5"/>
  <c r="AF59" i="5" s="1"/>
  <c r="AD60" i="5"/>
  <c r="AF60" i="5" s="1"/>
  <c r="AD61" i="5"/>
  <c r="AF61" i="5" s="1"/>
  <c r="AD62" i="5"/>
  <c r="AF62" i="5" s="1"/>
  <c r="AD63" i="5"/>
  <c r="AF63" i="5" s="1"/>
  <c r="AD64" i="5"/>
  <c r="AF64" i="5" s="1"/>
  <c r="AD65" i="5"/>
  <c r="AF65" i="5" s="1"/>
  <c r="AD66" i="5"/>
  <c r="AF66" i="5" s="1"/>
  <c r="AD67" i="5"/>
  <c r="AF67" i="5" s="1"/>
  <c r="AD68" i="5"/>
  <c r="AF68" i="5" s="1"/>
  <c r="AD69" i="5"/>
  <c r="AF69" i="5" s="1"/>
  <c r="AD70" i="5"/>
  <c r="AF70" i="5" s="1"/>
  <c r="AD71" i="5"/>
  <c r="AF71" i="5" s="1"/>
  <c r="AD72" i="5"/>
  <c r="AD73" i="5"/>
  <c r="AF73" i="5" s="1"/>
  <c r="AD74" i="5"/>
  <c r="AD75" i="5"/>
  <c r="AF75" i="5" s="1"/>
  <c r="AD76" i="5"/>
  <c r="AD77" i="5"/>
  <c r="AD78" i="5"/>
  <c r="AF78" i="5" s="1"/>
  <c r="AD79" i="5"/>
  <c r="AF79" i="5" s="1"/>
  <c r="AD80" i="5"/>
  <c r="AF80" i="5" s="1"/>
  <c r="AD81" i="5"/>
  <c r="AF81" i="5" s="1"/>
  <c r="AD82" i="5"/>
  <c r="AF82" i="5" s="1"/>
  <c r="AD83" i="5"/>
  <c r="AF83" i="5" s="1"/>
  <c r="AD84" i="5"/>
  <c r="AF84" i="5" s="1"/>
  <c r="AD85" i="5"/>
  <c r="AF85" i="5" s="1"/>
  <c r="AD86" i="5"/>
  <c r="AF86" i="5" s="1"/>
  <c r="AD87" i="5"/>
  <c r="AF87" i="5" s="1"/>
  <c r="AD88" i="5"/>
  <c r="AD89" i="5"/>
  <c r="AD90" i="5"/>
  <c r="AD91" i="5"/>
  <c r="AD92" i="5"/>
  <c r="AD93" i="5"/>
  <c r="AI93" i="5" s="1"/>
  <c r="AL93" i="5" s="1"/>
  <c r="AD94" i="5"/>
  <c r="AD95" i="5"/>
  <c r="AF95" i="5" s="1"/>
  <c r="AD96" i="5"/>
  <c r="AF96" i="5" s="1"/>
  <c r="AD97" i="5"/>
  <c r="AF97" i="5" s="1"/>
  <c r="AD98" i="5"/>
  <c r="AF98" i="5" s="1"/>
  <c r="AD99" i="5"/>
  <c r="AF99" i="5" s="1"/>
  <c r="AD100" i="5"/>
  <c r="AF100" i="5" s="1"/>
  <c r="AD101" i="5"/>
  <c r="AF101" i="5" s="1"/>
  <c r="AD102" i="5"/>
  <c r="AF102" i="5" s="1"/>
  <c r="AD103" i="5"/>
  <c r="AF103" i="5" s="1"/>
  <c r="AD104" i="5"/>
  <c r="AD105" i="5"/>
  <c r="AD106" i="5"/>
  <c r="AF106" i="5" s="1"/>
  <c r="AD107" i="5"/>
  <c r="AF107" i="5" s="1"/>
  <c r="AD108" i="5"/>
  <c r="AI108" i="5" s="1"/>
  <c r="AL108" i="5" s="1"/>
  <c r="AD109" i="5"/>
  <c r="AF109" i="5" s="1"/>
  <c r="AD110" i="5"/>
  <c r="AF110" i="5" s="1"/>
  <c r="AD111" i="5"/>
  <c r="AF111" i="5" s="1"/>
  <c r="AD112" i="5"/>
  <c r="AF112" i="5" s="1"/>
  <c r="AD113" i="5"/>
  <c r="AF113" i="5" s="1"/>
  <c r="AD114" i="5"/>
  <c r="AF114" i="5" s="1"/>
  <c r="AD115" i="5"/>
  <c r="AF115" i="5" s="1"/>
  <c r="AD116" i="5"/>
  <c r="AF116" i="5" s="1"/>
  <c r="AD117" i="5"/>
  <c r="AD118" i="5"/>
  <c r="AF118" i="5" s="1"/>
  <c r="AD119" i="5"/>
  <c r="AF119" i="5" s="1"/>
  <c r="AD120" i="5"/>
  <c r="AF120" i="5" s="1"/>
  <c r="AD121" i="5"/>
  <c r="AF121" i="5" s="1"/>
  <c r="AD122" i="5"/>
  <c r="AF122" i="5" s="1"/>
  <c r="AD123" i="5"/>
  <c r="AF123" i="5" s="1"/>
  <c r="AD124" i="5"/>
  <c r="AF124" i="5" s="1"/>
  <c r="AD125" i="5"/>
  <c r="AI125" i="5" s="1"/>
  <c r="AL125" i="5" s="1"/>
  <c r="AD126" i="5"/>
  <c r="AF126" i="5" s="1"/>
  <c r="AD127" i="5"/>
  <c r="AF127" i="5" s="1"/>
  <c r="AD128" i="5"/>
  <c r="AF128" i="5" s="1"/>
  <c r="AD129" i="5"/>
  <c r="AF129" i="5" s="1"/>
  <c r="AD130" i="5"/>
  <c r="AF130" i="5" s="1"/>
  <c r="AD131" i="5"/>
  <c r="AF131" i="5" s="1"/>
  <c r="AD132" i="5"/>
  <c r="AF132" i="5" s="1"/>
  <c r="AD133" i="5"/>
  <c r="AF133" i="5" s="1"/>
  <c r="AD134" i="5"/>
  <c r="AF134" i="5" s="1"/>
  <c r="AD135" i="5"/>
  <c r="AD136" i="5"/>
  <c r="AF136" i="5" s="1"/>
  <c r="AD137" i="5"/>
  <c r="AD138" i="5"/>
  <c r="AD139" i="5"/>
  <c r="AF139" i="5" s="1"/>
  <c r="AD140" i="5"/>
  <c r="AF140" i="5" s="1"/>
  <c r="AD141" i="5"/>
  <c r="AI141" i="5" s="1"/>
  <c r="AL141" i="5" s="1"/>
  <c r="AD142" i="5"/>
  <c r="AD143" i="5"/>
  <c r="AD144" i="5"/>
  <c r="AF144" i="5" s="1"/>
  <c r="AD145" i="5"/>
  <c r="AF145" i="5" s="1"/>
  <c r="AD146" i="5"/>
  <c r="AF146" i="5" s="1"/>
  <c r="AD147" i="5"/>
  <c r="AF147" i="5" s="1"/>
  <c r="AD148" i="5"/>
  <c r="AF148" i="5" s="1"/>
  <c r="AD149" i="5"/>
  <c r="AF149" i="5" s="1"/>
  <c r="AD150" i="5"/>
  <c r="AD151" i="5"/>
  <c r="AF151" i="5" s="1"/>
  <c r="AD152" i="5"/>
  <c r="AF152" i="5" s="1"/>
  <c r="AD153" i="5"/>
  <c r="AF153" i="5" s="1"/>
  <c r="AD154" i="5"/>
  <c r="AD155" i="5"/>
  <c r="AI155" i="5" s="1"/>
  <c r="AL155" i="5" s="1"/>
  <c r="AD156" i="5"/>
  <c r="AF156" i="5" s="1"/>
  <c r="AD157" i="5"/>
  <c r="AD158" i="5"/>
  <c r="AF158" i="5" s="1"/>
  <c r="AD159" i="5"/>
  <c r="AF159" i="5" s="1"/>
  <c r="AD160" i="5"/>
  <c r="AF160" i="5" s="1"/>
  <c r="AD161" i="5"/>
  <c r="AD162" i="5"/>
  <c r="AF162" i="5" s="1"/>
  <c r="AD163" i="5"/>
  <c r="AF163" i="5" s="1"/>
  <c r="AD164" i="5"/>
  <c r="AF164" i="5" s="1"/>
  <c r="AD165" i="5"/>
  <c r="AF165" i="5" s="1"/>
  <c r="AD166" i="5"/>
  <c r="AF166" i="5" s="1"/>
  <c r="AD167" i="5"/>
  <c r="AD168" i="5"/>
  <c r="AF168" i="5" s="1"/>
  <c r="AD169" i="5"/>
  <c r="AF169" i="5" s="1"/>
  <c r="AD170" i="5"/>
  <c r="AF170" i="5" s="1"/>
  <c r="AD171" i="5"/>
  <c r="AF171" i="5" s="1"/>
  <c r="AD172" i="5"/>
  <c r="AF172" i="5" s="1"/>
  <c r="AD173" i="5"/>
  <c r="AI173" i="5" s="1"/>
  <c r="AL173" i="5" s="1"/>
  <c r="AD174" i="5"/>
  <c r="AF174" i="5" s="1"/>
  <c r="AG174" i="5" s="1"/>
  <c r="AD175" i="5"/>
  <c r="AF175" i="5" s="1"/>
  <c r="AD176" i="5"/>
  <c r="AF176" i="5" s="1"/>
  <c r="AD177" i="5"/>
  <c r="AF177" i="5" s="1"/>
  <c r="AD178" i="5"/>
  <c r="AF178" i="5" s="1"/>
  <c r="AD179" i="5"/>
  <c r="AF179" i="5" s="1"/>
  <c r="AD180" i="5"/>
  <c r="AF180" i="5" s="1"/>
  <c r="AD181" i="5"/>
  <c r="AF181" i="5" s="1"/>
  <c r="AD182" i="5"/>
  <c r="AF182" i="5" s="1"/>
  <c r="AD183" i="5"/>
  <c r="AF183" i="5" s="1"/>
  <c r="AD184" i="5"/>
  <c r="AF184" i="5" s="1"/>
  <c r="AD185" i="5"/>
  <c r="AF185" i="5" s="1"/>
  <c r="AD186" i="5"/>
  <c r="AD187" i="5"/>
  <c r="AI187" i="5" s="1"/>
  <c r="AL187" i="5" s="1"/>
  <c r="AD188" i="5"/>
  <c r="AI188" i="5" s="1"/>
  <c r="AL188" i="5" s="1"/>
  <c r="AD189" i="5"/>
  <c r="AF189" i="5" s="1"/>
  <c r="AD190" i="5"/>
  <c r="AF190" i="5" s="1"/>
  <c r="AD191" i="5"/>
  <c r="AF191" i="5" s="1"/>
  <c r="AD192" i="5"/>
  <c r="AF192" i="5" s="1"/>
  <c r="AD193" i="5"/>
  <c r="AF193" i="5" s="1"/>
  <c r="AD194" i="5"/>
  <c r="AF194" i="5" s="1"/>
  <c r="AD195" i="5"/>
  <c r="AF195" i="5" s="1"/>
  <c r="AD196" i="5"/>
  <c r="AF196" i="5" s="1"/>
  <c r="AD197" i="5"/>
  <c r="AF197" i="5" s="1"/>
  <c r="AD198" i="5"/>
  <c r="AF198" i="5" s="1"/>
  <c r="AD199" i="5"/>
  <c r="AD200" i="5"/>
  <c r="AD201" i="5"/>
  <c r="AF201" i="5" s="1"/>
  <c r="AD202" i="5"/>
  <c r="AD203" i="5"/>
  <c r="AH203" i="5" s="1"/>
  <c r="AK203" i="5" s="1"/>
  <c r="AD204" i="5"/>
  <c r="AF204" i="5" s="1"/>
  <c r="AD205" i="5"/>
  <c r="AF205" i="5" s="1"/>
  <c r="AD206" i="5"/>
  <c r="AF206" i="5" s="1"/>
  <c r="AD207" i="5"/>
  <c r="AF207" i="5" s="1"/>
  <c r="AD208" i="5"/>
  <c r="AF208" i="5" s="1"/>
  <c r="AD209" i="5"/>
  <c r="AF209" i="5" s="1"/>
  <c r="AD210" i="5"/>
  <c r="AF210" i="5" s="1"/>
  <c r="AD211" i="5"/>
  <c r="AF211" i="5" s="1"/>
  <c r="AD212" i="5"/>
  <c r="AF212" i="5" s="1"/>
  <c r="AD213" i="5"/>
  <c r="AF213" i="5" s="1"/>
  <c r="AD214" i="5"/>
  <c r="AF214" i="5" s="1"/>
  <c r="AD215" i="5"/>
  <c r="AF215" i="5" s="1"/>
  <c r="AD216" i="5"/>
  <c r="AF216" i="5" s="1"/>
  <c r="AD217" i="5"/>
  <c r="AF217" i="5" s="1"/>
  <c r="AD218" i="5"/>
  <c r="AF218" i="5" s="1"/>
  <c r="AD219" i="5"/>
  <c r="AF219" i="5" s="1"/>
  <c r="AD220" i="5"/>
  <c r="AD221" i="5"/>
  <c r="AF221" i="5" s="1"/>
  <c r="AD222" i="5"/>
  <c r="AF222" i="5" s="1"/>
  <c r="AD223" i="5"/>
  <c r="AF223" i="5" s="1"/>
  <c r="AD224" i="5"/>
  <c r="AF224" i="5" s="1"/>
  <c r="AD225" i="5"/>
  <c r="AF225" i="5" s="1"/>
  <c r="AD226" i="5"/>
  <c r="AF226" i="5" s="1"/>
  <c r="AD227" i="5"/>
  <c r="AF227" i="5" s="1"/>
  <c r="AD228" i="5"/>
  <c r="AF228" i="5" s="1"/>
  <c r="AD229" i="5"/>
  <c r="AF229" i="5" s="1"/>
  <c r="AD230" i="5"/>
  <c r="AD231" i="5"/>
  <c r="AF231" i="5" s="1"/>
  <c r="AD232" i="5"/>
  <c r="AF232" i="5" s="1"/>
  <c r="AD233" i="5"/>
  <c r="AF233" i="5" s="1"/>
  <c r="AD234" i="5"/>
  <c r="AD235" i="5"/>
  <c r="AD236" i="5"/>
  <c r="AD237" i="5"/>
  <c r="AD238" i="5"/>
  <c r="AD239" i="5"/>
  <c r="AF239" i="5" s="1"/>
  <c r="AD240" i="5"/>
  <c r="AF240" i="5" s="1"/>
  <c r="AD241" i="5"/>
  <c r="AD242" i="5"/>
  <c r="AD243" i="5"/>
  <c r="AF243" i="5" s="1"/>
  <c r="AD244" i="5"/>
  <c r="AF244" i="5" s="1"/>
  <c r="AD245" i="5"/>
  <c r="AF245" i="5" s="1"/>
  <c r="AD246" i="5"/>
  <c r="AD247" i="5"/>
  <c r="AD248" i="5"/>
  <c r="AD249" i="5"/>
  <c r="AF249" i="5" s="1"/>
  <c r="AD250" i="5"/>
  <c r="AF250" i="5" s="1"/>
  <c r="AD251" i="5"/>
  <c r="AF251" i="5" s="1"/>
  <c r="AD252" i="5"/>
  <c r="AF252" i="5" s="1"/>
  <c r="AD253" i="5"/>
  <c r="AF253" i="5" s="1"/>
  <c r="AD254" i="5"/>
  <c r="AF254" i="5" s="1"/>
  <c r="AD255" i="5"/>
  <c r="AF255" i="5" s="1"/>
  <c r="AD256" i="5"/>
  <c r="AF256" i="5" s="1"/>
  <c r="AD257" i="5"/>
  <c r="AF257" i="5" s="1"/>
  <c r="AD258" i="5"/>
  <c r="AD259" i="5"/>
  <c r="AF259" i="5" s="1"/>
  <c r="AD260" i="5"/>
  <c r="AF260" i="5" s="1"/>
  <c r="AD261" i="5"/>
  <c r="AF261" i="5" s="1"/>
  <c r="AD262" i="5"/>
  <c r="AF262" i="5" s="1"/>
  <c r="AD263" i="5"/>
  <c r="AF263" i="5" s="1"/>
  <c r="AD264" i="5"/>
  <c r="AF264" i="5" s="1"/>
  <c r="AD265" i="5"/>
  <c r="AF265" i="5" s="1"/>
  <c r="AD266" i="5"/>
  <c r="AD267" i="5"/>
  <c r="AF267" i="5" s="1"/>
  <c r="AD268" i="5"/>
  <c r="AD269" i="5"/>
  <c r="AD270" i="5"/>
  <c r="AH270" i="5" s="1"/>
  <c r="AK270" i="5" s="1"/>
  <c r="AD271" i="5"/>
  <c r="AF271" i="5" s="1"/>
  <c r="AD272" i="5"/>
  <c r="AF272" i="5" s="1"/>
  <c r="AD273" i="5"/>
  <c r="AF273" i="5" s="1"/>
  <c r="AD274" i="5"/>
  <c r="AF274" i="5" s="1"/>
  <c r="AD275" i="5"/>
  <c r="AF275" i="5" s="1"/>
  <c r="AD276" i="5"/>
  <c r="AF276" i="5" s="1"/>
  <c r="AD277" i="5"/>
  <c r="AF277" i="5" s="1"/>
  <c r="AD278" i="5"/>
  <c r="AD279" i="5"/>
  <c r="AF279" i="5" s="1"/>
  <c r="AD280" i="5"/>
  <c r="AD281" i="5"/>
  <c r="AF281" i="5" s="1"/>
  <c r="AD282" i="5"/>
  <c r="AD283" i="5"/>
  <c r="AD284" i="5"/>
  <c r="AF284" i="5" s="1"/>
  <c r="AD285" i="5"/>
  <c r="AF285" i="5" s="1"/>
  <c r="AD286" i="5"/>
  <c r="AF286" i="5" s="1"/>
  <c r="AD287" i="5"/>
  <c r="AF287" i="5" s="1"/>
  <c r="AD288" i="5"/>
  <c r="AF288" i="5" s="1"/>
  <c r="AD289" i="5"/>
  <c r="AF289" i="5" s="1"/>
  <c r="AD290" i="5"/>
  <c r="AF290" i="5" s="1"/>
  <c r="AD291" i="5"/>
  <c r="AF291" i="5" s="1"/>
  <c r="AD292" i="5"/>
  <c r="AF292" i="5" s="1"/>
  <c r="AD293" i="5"/>
  <c r="AF293" i="5" s="1"/>
  <c r="AD294" i="5"/>
  <c r="AF294" i="5" s="1"/>
  <c r="AD295" i="5"/>
  <c r="AF295" i="5" s="1"/>
  <c r="AD296" i="5"/>
  <c r="AF296" i="5" s="1"/>
  <c r="AD297" i="5"/>
  <c r="AF297" i="5" s="1"/>
  <c r="AD298" i="5"/>
  <c r="AD299" i="5"/>
  <c r="AF299" i="5" s="1"/>
  <c r="AD300" i="5"/>
  <c r="AF300" i="5" s="1"/>
  <c r="AD301" i="5"/>
  <c r="AI301" i="5" s="1"/>
  <c r="AL301" i="5" s="1"/>
  <c r="AD302" i="5"/>
  <c r="AF302" i="5" s="1"/>
  <c r="AD303" i="5"/>
  <c r="AF303" i="5" s="1"/>
  <c r="AD304" i="5"/>
  <c r="AF304" i="5" s="1"/>
  <c r="AD305" i="5"/>
  <c r="AF305" i="5" s="1"/>
  <c r="AD306" i="5"/>
  <c r="AD307" i="5"/>
  <c r="AD308" i="5"/>
  <c r="AD309" i="5"/>
  <c r="AF309" i="5" s="1"/>
  <c r="AD310" i="5"/>
  <c r="AD311" i="5"/>
  <c r="AD312" i="5"/>
  <c r="AF312" i="5" s="1"/>
  <c r="AD313" i="5"/>
  <c r="AF313" i="5" s="1"/>
  <c r="AD314" i="5"/>
  <c r="AF314" i="5" s="1"/>
  <c r="AD315" i="5"/>
  <c r="AF315" i="5" s="1"/>
  <c r="AD316" i="5"/>
  <c r="AI316" i="5" s="1"/>
  <c r="AL316" i="5" s="1"/>
  <c r="AD317" i="5"/>
  <c r="AD318" i="5"/>
  <c r="AF318" i="5" s="1"/>
  <c r="AD319" i="5"/>
  <c r="AF319" i="5" s="1"/>
  <c r="AD320" i="5"/>
  <c r="AF320" i="5" s="1"/>
  <c r="AD321" i="5"/>
  <c r="AF321" i="5" s="1"/>
  <c r="AD322" i="5"/>
  <c r="AF322" i="5" s="1"/>
  <c r="AD323" i="5"/>
  <c r="AF323" i="5" s="1"/>
  <c r="AD324" i="5"/>
  <c r="AF324" i="5" s="1"/>
  <c r="AD325" i="5"/>
  <c r="AF325" i="5" s="1"/>
  <c r="AD326" i="5"/>
  <c r="AD327" i="5"/>
  <c r="AF327" i="5" s="1"/>
  <c r="AD328" i="5"/>
  <c r="AF328" i="5" s="1"/>
  <c r="AD329" i="5"/>
  <c r="AF329" i="5" s="1"/>
  <c r="AD330" i="5"/>
  <c r="AF330" i="5" s="1"/>
  <c r="AD331" i="5"/>
  <c r="AF331" i="5" s="1"/>
  <c r="AD332" i="5"/>
  <c r="AF332" i="5" s="1"/>
  <c r="AD333" i="5"/>
  <c r="AF333" i="5" s="1"/>
  <c r="AD334" i="5"/>
  <c r="AF334" i="5" s="1"/>
  <c r="AD335" i="5"/>
  <c r="AF335" i="5" s="1"/>
  <c r="AD336" i="5"/>
  <c r="AF336" i="5" s="1"/>
  <c r="AD337" i="5"/>
  <c r="AF337" i="5" s="1"/>
  <c r="AD338" i="5"/>
  <c r="AF338" i="5" s="1"/>
  <c r="AD339" i="5"/>
  <c r="AF339" i="5" s="1"/>
  <c r="AD340" i="5"/>
  <c r="AF340" i="5" s="1"/>
  <c r="AD341" i="5"/>
  <c r="AF341" i="5" s="1"/>
  <c r="AD342" i="5"/>
  <c r="AF342" i="5" s="1"/>
  <c r="AD343" i="5"/>
  <c r="AF343" i="5" s="1"/>
  <c r="AD344" i="5"/>
  <c r="AD345" i="5"/>
  <c r="AF345" i="5" s="1"/>
  <c r="AD346" i="5"/>
  <c r="AD347" i="5"/>
  <c r="AH347" i="5" s="1"/>
  <c r="AK347" i="5" s="1"/>
  <c r="AD348" i="5"/>
  <c r="AF348" i="5" s="1"/>
  <c r="AD349" i="5"/>
  <c r="AF349" i="5" s="1"/>
  <c r="AD350" i="5"/>
  <c r="AI350" i="5" s="1"/>
  <c r="AL350" i="5" s="1"/>
  <c r="AD351" i="5"/>
  <c r="AF351" i="5" s="1"/>
  <c r="AD352" i="5"/>
  <c r="AF352" i="5" s="1"/>
  <c r="AD353" i="5"/>
  <c r="AF353" i="5" s="1"/>
  <c r="AD354" i="5"/>
  <c r="AD355" i="5"/>
  <c r="AD356" i="5"/>
  <c r="AD357" i="5"/>
  <c r="AF357" i="5" s="1"/>
  <c r="AD358" i="5"/>
  <c r="AF358" i="5" s="1"/>
  <c r="AD359" i="5"/>
  <c r="AF359" i="5" s="1"/>
  <c r="AD360" i="5"/>
  <c r="AF360" i="5" s="1"/>
  <c r="AD361" i="5"/>
  <c r="AF361" i="5" s="1"/>
  <c r="AD362" i="5"/>
  <c r="AD363" i="5"/>
  <c r="AD364" i="5"/>
  <c r="AF364" i="5" s="1"/>
  <c r="AD365" i="5"/>
  <c r="AF365" i="5" s="1"/>
  <c r="AD366" i="5"/>
  <c r="AF366" i="5" s="1"/>
  <c r="AD367" i="5"/>
  <c r="AF367" i="5" s="1"/>
  <c r="AD368" i="5"/>
  <c r="AF368" i="5" s="1"/>
  <c r="AD369" i="5"/>
  <c r="AF369" i="5" s="1"/>
  <c r="AD370" i="5"/>
  <c r="AF370" i="5" s="1"/>
  <c r="AD371" i="5"/>
  <c r="AF371" i="5" s="1"/>
  <c r="AD372" i="5"/>
  <c r="AF372" i="5" s="1"/>
  <c r="AD373" i="5"/>
  <c r="AF373" i="5" s="1"/>
  <c r="AD374" i="5"/>
  <c r="AF374" i="5" s="1"/>
  <c r="AD375" i="5"/>
  <c r="AF375" i="5" s="1"/>
  <c r="AD376" i="5"/>
  <c r="AI376" i="5" s="1"/>
  <c r="AL376" i="5" s="1"/>
  <c r="AD377" i="5"/>
  <c r="AF377" i="5" s="1"/>
  <c r="AD378" i="5"/>
  <c r="AF378" i="5" s="1"/>
  <c r="AD379" i="5"/>
  <c r="AF379" i="5" s="1"/>
  <c r="AD380" i="5"/>
  <c r="AF380" i="5" s="1"/>
  <c r="AD381" i="5"/>
  <c r="AH381" i="5" s="1"/>
  <c r="AK381" i="5" s="1"/>
  <c r="AD382" i="5"/>
  <c r="AI382" i="5" s="1"/>
  <c r="AL382" i="5" s="1"/>
  <c r="AD383" i="5"/>
  <c r="AF383" i="5" s="1"/>
  <c r="AD384" i="5"/>
  <c r="AF384" i="5" s="1"/>
  <c r="AD385" i="5"/>
  <c r="AF385" i="5" s="1"/>
  <c r="AD386" i="5"/>
  <c r="AF386" i="5" s="1"/>
  <c r="AD387" i="5"/>
  <c r="AF387" i="5" s="1"/>
  <c r="AD388" i="5"/>
  <c r="AF388" i="5" s="1"/>
  <c r="AD389" i="5"/>
  <c r="AF389" i="5" s="1"/>
  <c r="AD390" i="5"/>
  <c r="AF390" i="5" s="1"/>
  <c r="AD391" i="5"/>
  <c r="AF391" i="5" s="1"/>
  <c r="AD392" i="5"/>
  <c r="AF392" i="5" s="1"/>
  <c r="AD393" i="5"/>
  <c r="AF393" i="5" s="1"/>
  <c r="AD394" i="5"/>
  <c r="AD395" i="5"/>
  <c r="AF395" i="5" s="1"/>
  <c r="AD396" i="5"/>
  <c r="AF396" i="5" s="1"/>
  <c r="AD397" i="5"/>
  <c r="AF397" i="5" s="1"/>
  <c r="AD398" i="5"/>
  <c r="AF398" i="5" s="1"/>
  <c r="AD399" i="5"/>
  <c r="AF399" i="5" s="1"/>
  <c r="AD400" i="5"/>
  <c r="AF400" i="5" s="1"/>
  <c r="AD401" i="5"/>
  <c r="AF401" i="5" s="1"/>
  <c r="AD402" i="5"/>
  <c r="AF402" i="5" s="1"/>
  <c r="AD403" i="5"/>
  <c r="AF403" i="5" s="1"/>
  <c r="AD404" i="5"/>
  <c r="AF404" i="5" s="1"/>
  <c r="AD405" i="5"/>
  <c r="AF405" i="5" s="1"/>
  <c r="AD406" i="5"/>
  <c r="AF406" i="5" s="1"/>
  <c r="AD407" i="5"/>
  <c r="AF407" i="5" s="1"/>
  <c r="AD408" i="5"/>
  <c r="AF408" i="5" s="1"/>
  <c r="AD409" i="5"/>
  <c r="AF409" i="5" s="1"/>
  <c r="AD410" i="5"/>
  <c r="AF410" i="5" s="1"/>
  <c r="AD411" i="5"/>
  <c r="AD412" i="5"/>
  <c r="AD413" i="5"/>
  <c r="AF413" i="5" s="1"/>
  <c r="AD414" i="5"/>
  <c r="AF414" i="5" s="1"/>
  <c r="AD415" i="5"/>
  <c r="AF415" i="5" s="1"/>
  <c r="AD416" i="5"/>
  <c r="AF416" i="5" s="1"/>
  <c r="AD417" i="5"/>
  <c r="AD418" i="5"/>
  <c r="AD419" i="5"/>
  <c r="AD420" i="5"/>
  <c r="AF420" i="5" s="1"/>
  <c r="AD421" i="5"/>
  <c r="AF421" i="5" s="1"/>
  <c r="AD422" i="5"/>
  <c r="AD423" i="5"/>
  <c r="AD424" i="5"/>
  <c r="AF424" i="5" s="1"/>
  <c r="AD425" i="5"/>
  <c r="AF425" i="5" s="1"/>
  <c r="AD426" i="5"/>
  <c r="AF426" i="5" s="1"/>
  <c r="AD427" i="5"/>
  <c r="AF427" i="5" s="1"/>
  <c r="AD428" i="5"/>
  <c r="AF428" i="5" s="1"/>
  <c r="AD429" i="5"/>
  <c r="AF429" i="5" s="1"/>
  <c r="AD430" i="5"/>
  <c r="AI430" i="5" s="1"/>
  <c r="AL430" i="5" s="1"/>
  <c r="AD431" i="5"/>
  <c r="AF431" i="5" s="1"/>
  <c r="AD432" i="5"/>
  <c r="AF432" i="5" s="1"/>
  <c r="AD433" i="5"/>
  <c r="AF433" i="5" s="1"/>
  <c r="AD434" i="5"/>
  <c r="AF434" i="5" s="1"/>
  <c r="AD435" i="5"/>
  <c r="AF435" i="5" s="1"/>
  <c r="AD436" i="5"/>
  <c r="AF436" i="5" s="1"/>
  <c r="AD437" i="5"/>
  <c r="AF437" i="5" s="1"/>
  <c r="AD438" i="5"/>
  <c r="AF438" i="5" s="1"/>
  <c r="AD439" i="5"/>
  <c r="AF439" i="5" s="1"/>
  <c r="AD440" i="5"/>
  <c r="AH440" i="5" s="1"/>
  <c r="AK440" i="5" s="1"/>
  <c r="AD441" i="5"/>
  <c r="AH441" i="5" s="1"/>
  <c r="AK441" i="5" s="1"/>
  <c r="AD442" i="5"/>
  <c r="AF442" i="5" s="1"/>
  <c r="AD443" i="5"/>
  <c r="AD444" i="5"/>
  <c r="AF444" i="5" s="1"/>
  <c r="AD445" i="5"/>
  <c r="AD446" i="5"/>
  <c r="AF446" i="5" s="1"/>
  <c r="AD447" i="5"/>
  <c r="AF447" i="5" s="1"/>
  <c r="AD448" i="5"/>
  <c r="AF448" i="5" s="1"/>
  <c r="AD449" i="5"/>
  <c r="AF449" i="5" s="1"/>
  <c r="AD450" i="5"/>
  <c r="AF450" i="5" s="1"/>
  <c r="AD451" i="5"/>
  <c r="AF451" i="5" s="1"/>
  <c r="AD452" i="5"/>
  <c r="AF452" i="5" s="1"/>
  <c r="AD453" i="5"/>
  <c r="AF453" i="5" s="1"/>
  <c r="AD454" i="5"/>
  <c r="AF454" i="5" s="1"/>
  <c r="AD455" i="5"/>
  <c r="AD456" i="5"/>
  <c r="AF456" i="5" s="1"/>
  <c r="AD457" i="5"/>
  <c r="AF457" i="5" s="1"/>
  <c r="AD458" i="5"/>
  <c r="AD459" i="5"/>
  <c r="AD460" i="5"/>
  <c r="AD461" i="5"/>
  <c r="AF461" i="5" s="1"/>
  <c r="AD462" i="5"/>
  <c r="AF462" i="5" s="1"/>
  <c r="AD463" i="5"/>
  <c r="AF463" i="5" s="1"/>
  <c r="AD464" i="5"/>
  <c r="AF464" i="5" s="1"/>
  <c r="AD465" i="5"/>
  <c r="AD466" i="5"/>
  <c r="AD467" i="5"/>
  <c r="AF467" i="5" s="1"/>
  <c r="AD468" i="5"/>
  <c r="AF468" i="5" s="1"/>
  <c r="AD469" i="5"/>
  <c r="AF469" i="5" s="1"/>
  <c r="AD470" i="5"/>
  <c r="AD471" i="5"/>
  <c r="AF471" i="5" s="1"/>
  <c r="AD472" i="5"/>
  <c r="AD473" i="5"/>
  <c r="AF473" i="5" s="1"/>
  <c r="AD474" i="5"/>
  <c r="AF474" i="5" s="1"/>
  <c r="AD475" i="5"/>
  <c r="AF475" i="5" s="1"/>
  <c r="AD476" i="5"/>
  <c r="AF476" i="5" s="1"/>
  <c r="AD477" i="5"/>
  <c r="AF477" i="5" s="1"/>
  <c r="AD478" i="5"/>
  <c r="AF478" i="5" s="1"/>
  <c r="AD479" i="5"/>
  <c r="AF479" i="5" s="1"/>
  <c r="AD480" i="5"/>
  <c r="AF480" i="5" s="1"/>
  <c r="AD481" i="5"/>
  <c r="AF481" i="5" s="1"/>
  <c r="AD482" i="5"/>
  <c r="AF482" i="5" s="1"/>
  <c r="AD483" i="5"/>
  <c r="AF483" i="5" s="1"/>
  <c r="AD484" i="5"/>
  <c r="AF484" i="5" s="1"/>
  <c r="AD485" i="5"/>
  <c r="AD486" i="5"/>
  <c r="AF486" i="5" s="1"/>
  <c r="AD487" i="5"/>
  <c r="AF487" i="5" s="1"/>
  <c r="AD488" i="5"/>
  <c r="AF488" i="5" s="1"/>
  <c r="AD489" i="5"/>
  <c r="AF489" i="5" s="1"/>
  <c r="AD490" i="5"/>
  <c r="AF490" i="5" s="1"/>
  <c r="AD491" i="5"/>
  <c r="AF491" i="5" s="1"/>
  <c r="AD492" i="5"/>
  <c r="AF492" i="5" s="1"/>
  <c r="AD493" i="5"/>
  <c r="AF493" i="5" s="1"/>
  <c r="AD494" i="5"/>
  <c r="AF494" i="5" s="1"/>
  <c r="AD495" i="5"/>
  <c r="AF495" i="5" s="1"/>
  <c r="AD496" i="5"/>
  <c r="AF496" i="5" s="1"/>
  <c r="AD497" i="5"/>
  <c r="AF497" i="5" s="1"/>
  <c r="AD498" i="5"/>
  <c r="AF498" i="5" s="1"/>
  <c r="AD499" i="5"/>
  <c r="AF499" i="5" s="1"/>
  <c r="AD500" i="5"/>
  <c r="AF500" i="5" s="1"/>
  <c r="AD501" i="5"/>
  <c r="AF501" i="5" s="1"/>
  <c r="AD502" i="5"/>
  <c r="AF502" i="5" s="1"/>
  <c r="AD503" i="5"/>
  <c r="AF503" i="5" s="1"/>
  <c r="AD504" i="5"/>
  <c r="AF504" i="5" s="1"/>
  <c r="AD505" i="5"/>
  <c r="AF505" i="5" s="1"/>
  <c r="AD506" i="5"/>
  <c r="AD507" i="5"/>
  <c r="AD508" i="5"/>
  <c r="AD509" i="5"/>
  <c r="AD510" i="5"/>
  <c r="AF510" i="5" s="1"/>
  <c r="AD511" i="5"/>
  <c r="AF511" i="5" s="1"/>
  <c r="AD512" i="5"/>
  <c r="AF512" i="5" s="1"/>
  <c r="AD513" i="5"/>
  <c r="AD514" i="5"/>
  <c r="AD515" i="5"/>
  <c r="AF515" i="5" s="1"/>
  <c r="AD516" i="5"/>
  <c r="AF516" i="5" s="1"/>
  <c r="AD517" i="5"/>
  <c r="AF517" i="5" s="1"/>
  <c r="AD518" i="5"/>
  <c r="AF518" i="5" s="1"/>
  <c r="AD519" i="5"/>
  <c r="AF519" i="5" s="1"/>
  <c r="AD520" i="5"/>
  <c r="AF520" i="5" s="1"/>
  <c r="AD521" i="5"/>
  <c r="AF521" i="5" s="1"/>
  <c r="AD522" i="5"/>
  <c r="AF522" i="5" s="1"/>
  <c r="AD523" i="5"/>
  <c r="AD524" i="5"/>
  <c r="AF524" i="5" s="1"/>
  <c r="AD525" i="5"/>
  <c r="AF525" i="5" s="1"/>
  <c r="AD526" i="5"/>
  <c r="AF526" i="5" s="1"/>
  <c r="AD527" i="5"/>
  <c r="AF527" i="5" s="1"/>
  <c r="AD528" i="5"/>
  <c r="AF528" i="5" s="1"/>
  <c r="AD529" i="5"/>
  <c r="AD530" i="5"/>
  <c r="AH530" i="5" s="1"/>
  <c r="AK530" i="5" s="1"/>
  <c r="AD531" i="5"/>
  <c r="AD532" i="5"/>
  <c r="AF532" i="5" s="1"/>
  <c r="AD533" i="5"/>
  <c r="AF533" i="5" s="1"/>
  <c r="AD534" i="5"/>
  <c r="AD535" i="5"/>
  <c r="AF535" i="5" s="1"/>
  <c r="AD536" i="5"/>
  <c r="AF536" i="5" s="1"/>
  <c r="AD537" i="5"/>
  <c r="AF537" i="5" s="1"/>
  <c r="AD538" i="5"/>
  <c r="AF538" i="5" s="1"/>
  <c r="AD539" i="5"/>
  <c r="AF539" i="5" s="1"/>
  <c r="AD540" i="5"/>
  <c r="AF540" i="5" s="1"/>
  <c r="AD541" i="5"/>
  <c r="AF541" i="5" s="1"/>
  <c r="AD542" i="5"/>
  <c r="AI542" i="5" s="1"/>
  <c r="AL542" i="5" s="1"/>
  <c r="AD543" i="5"/>
  <c r="AF543" i="5" s="1"/>
  <c r="AD544" i="5"/>
  <c r="AF544" i="5" s="1"/>
  <c r="AD545" i="5"/>
  <c r="AF545" i="5" s="1"/>
  <c r="AD546" i="5"/>
  <c r="AF546" i="5" s="1"/>
  <c r="AD547" i="5"/>
  <c r="AF547" i="5" s="1"/>
  <c r="AD548" i="5"/>
  <c r="AF548" i="5" s="1"/>
  <c r="AD549" i="5"/>
  <c r="AF549" i="5" s="1"/>
  <c r="AD550" i="5"/>
  <c r="AF550" i="5" s="1"/>
  <c r="AD551" i="5"/>
  <c r="AF551" i="5" s="1"/>
  <c r="AD552" i="5"/>
  <c r="AD553" i="5"/>
  <c r="AF553" i="5" s="1"/>
  <c r="AD554" i="5"/>
  <c r="AF554" i="5" s="1"/>
  <c r="AD555" i="5"/>
  <c r="AF555" i="5" s="1"/>
  <c r="AD556" i="5"/>
  <c r="AF556" i="5" s="1"/>
  <c r="AD557" i="5"/>
  <c r="AF557" i="5" s="1"/>
  <c r="AD558" i="5"/>
  <c r="AF558" i="5" s="1"/>
  <c r="AD559" i="5"/>
  <c r="AF559" i="5" s="1"/>
  <c r="AD560" i="5"/>
  <c r="AF560" i="5" s="1"/>
  <c r="AD561" i="5"/>
  <c r="AF561" i="5" s="1"/>
  <c r="AD562" i="5"/>
  <c r="AF562" i="5" s="1"/>
  <c r="AD563" i="5"/>
  <c r="AD564" i="5"/>
  <c r="AD565" i="5"/>
  <c r="AF565" i="5" s="1"/>
  <c r="AD566" i="5"/>
  <c r="AH566" i="5" s="1"/>
  <c r="AK566" i="5" s="1"/>
  <c r="AD567" i="5"/>
  <c r="AD568" i="5"/>
  <c r="AH568" i="5" s="1"/>
  <c r="AK568" i="5" s="1"/>
  <c r="AD569" i="5"/>
  <c r="AF569" i="5" s="1"/>
  <c r="AD570" i="5"/>
  <c r="AD571" i="5"/>
  <c r="AF571" i="5" s="1"/>
  <c r="AD572" i="5"/>
  <c r="AH572" i="5" s="1"/>
  <c r="AK572" i="5" s="1"/>
  <c r="AD573" i="5"/>
  <c r="AF573" i="5" s="1"/>
  <c r="AD574" i="5"/>
  <c r="AF574" i="5" s="1"/>
  <c r="AD575" i="5"/>
  <c r="AF575" i="5" s="1"/>
  <c r="AD576" i="5"/>
  <c r="AF576" i="5" s="1"/>
  <c r="AD577" i="5"/>
  <c r="AD578" i="5"/>
  <c r="AF578" i="5" s="1"/>
  <c r="AD579" i="5"/>
  <c r="AF579" i="5" s="1"/>
  <c r="AD580" i="5"/>
  <c r="AF580" i="5" s="1"/>
  <c r="AD581" i="5"/>
  <c r="AF581" i="5" s="1"/>
  <c r="AD582" i="5"/>
  <c r="AF582" i="5" s="1"/>
  <c r="AD583" i="5"/>
  <c r="AF583" i="5" s="1"/>
  <c r="AD584" i="5"/>
  <c r="AF584" i="5" s="1"/>
  <c r="AD585" i="5"/>
  <c r="AF585" i="5" s="1"/>
  <c r="AD586" i="5"/>
  <c r="AF586" i="5" s="1"/>
  <c r="AD587" i="5"/>
  <c r="AF587" i="5" s="1"/>
  <c r="AD588" i="5"/>
  <c r="AF588" i="5" s="1"/>
  <c r="AD589" i="5"/>
  <c r="AF589" i="5" s="1"/>
  <c r="AD590" i="5"/>
  <c r="AF590" i="5" s="1"/>
  <c r="AD591" i="5"/>
  <c r="AF591" i="5" s="1"/>
  <c r="AD592" i="5"/>
  <c r="AF592" i="5" s="1"/>
  <c r="AD593" i="5"/>
  <c r="AF593" i="5" s="1"/>
  <c r="AD594" i="5"/>
  <c r="AF594" i="5" s="1"/>
  <c r="AD595" i="5"/>
  <c r="AF595" i="5" s="1"/>
  <c r="AD596" i="5"/>
  <c r="AF596" i="5" s="1"/>
  <c r="AD597" i="5"/>
  <c r="AF597" i="5" s="1"/>
  <c r="AD598" i="5"/>
  <c r="AF598" i="5" s="1"/>
  <c r="AD599" i="5"/>
  <c r="AF599" i="5" s="1"/>
  <c r="AD600" i="5"/>
  <c r="AF600" i="5" s="1"/>
  <c r="AD601" i="5"/>
  <c r="AF601" i="5" s="1"/>
  <c r="AD602" i="5"/>
  <c r="AF602" i="5" s="1"/>
  <c r="AD603" i="5"/>
  <c r="AF603" i="5" s="1"/>
  <c r="AD604" i="5"/>
  <c r="AF604" i="5" s="1"/>
  <c r="AD605" i="5"/>
  <c r="AD606" i="5"/>
  <c r="AF606" i="5" s="1"/>
  <c r="AD607" i="5"/>
  <c r="AF607" i="5" s="1"/>
  <c r="AD608" i="5"/>
  <c r="AF608" i="5" s="1"/>
  <c r="AD609" i="5"/>
  <c r="AF609" i="5" s="1"/>
  <c r="AD610" i="5"/>
  <c r="AF610" i="5" s="1"/>
  <c r="AD611" i="5"/>
  <c r="AF611" i="5" s="1"/>
  <c r="AD612" i="5"/>
  <c r="AF612" i="5" s="1"/>
  <c r="AD613" i="5"/>
  <c r="AF613" i="5" s="1"/>
  <c r="AD614" i="5"/>
  <c r="AF614" i="5" s="1"/>
  <c r="AD615" i="5"/>
  <c r="AF615" i="5" s="1"/>
  <c r="AD616" i="5"/>
  <c r="AF616" i="5" s="1"/>
  <c r="AD617" i="5"/>
  <c r="AF617" i="5" s="1"/>
  <c r="AD618" i="5"/>
  <c r="AD619" i="5"/>
  <c r="AD620" i="5"/>
  <c r="AH620" i="5" s="1"/>
  <c r="AK620" i="5" s="1"/>
  <c r="AD621" i="5"/>
  <c r="AF621" i="5" s="1"/>
  <c r="AD622" i="5"/>
  <c r="AF622" i="5" s="1"/>
  <c r="AD623" i="5"/>
  <c r="AF623" i="5" s="1"/>
  <c r="AD624" i="5"/>
  <c r="AF624" i="5" s="1"/>
  <c r="AD625" i="5"/>
  <c r="AF625" i="5" s="1"/>
  <c r="AD626" i="5"/>
  <c r="AF626" i="5" s="1"/>
  <c r="AD627" i="5"/>
  <c r="AD628" i="5"/>
  <c r="AF628" i="5" s="1"/>
  <c r="AD629" i="5"/>
  <c r="AF629" i="5" s="1"/>
  <c r="AD630" i="5"/>
  <c r="AD631" i="5"/>
  <c r="AD632" i="5"/>
  <c r="AF632" i="5" s="1"/>
  <c r="AD633" i="5"/>
  <c r="AF633" i="5" s="1"/>
  <c r="AD634" i="5"/>
  <c r="AF634" i="5" s="1"/>
  <c r="AD635" i="5"/>
  <c r="AF635" i="5" s="1"/>
  <c r="AD636" i="5"/>
  <c r="AF636" i="5" s="1"/>
  <c r="AD637" i="5"/>
  <c r="AI637" i="5" s="1"/>
  <c r="AL637" i="5" s="1"/>
  <c r="AD638" i="5"/>
  <c r="AD639" i="5"/>
  <c r="AF639" i="5" s="1"/>
  <c r="AD640" i="5"/>
  <c r="AF640" i="5" s="1"/>
  <c r="AD641" i="5"/>
  <c r="AF641" i="5" s="1"/>
  <c r="AD642" i="5"/>
  <c r="AF642" i="5" s="1"/>
  <c r="AD643" i="5"/>
  <c r="AF643" i="5" s="1"/>
  <c r="AD644" i="5"/>
  <c r="AF644" i="5" s="1"/>
  <c r="AD645" i="5"/>
  <c r="AF645" i="5" s="1"/>
  <c r="AD646" i="5"/>
  <c r="AF646" i="5" s="1"/>
  <c r="AD647" i="5"/>
  <c r="AF647" i="5" s="1"/>
  <c r="AD648" i="5"/>
  <c r="AF648" i="5" s="1"/>
  <c r="AD649" i="5"/>
  <c r="AF649" i="5" s="1"/>
  <c r="AD650" i="5"/>
  <c r="AF650" i="5" s="1"/>
  <c r="AD651" i="5"/>
  <c r="AD652" i="5"/>
  <c r="AF652" i="5" s="1"/>
  <c r="AD653" i="5"/>
  <c r="AF653" i="5" s="1"/>
  <c r="AD654" i="5"/>
  <c r="AF654" i="5" s="1"/>
  <c r="AD655" i="5"/>
  <c r="AF655" i="5" s="1"/>
  <c r="AD656" i="5"/>
  <c r="AF656" i="5" s="1"/>
  <c r="AD657" i="5"/>
  <c r="AF657" i="5" s="1"/>
  <c r="AD658" i="5"/>
  <c r="AF658" i="5" s="1"/>
  <c r="AD659" i="5"/>
  <c r="AF659" i="5" s="1"/>
  <c r="AD660" i="5"/>
  <c r="AF660" i="5" s="1"/>
  <c r="AD661" i="5"/>
  <c r="AF661" i="5" s="1"/>
  <c r="AD662" i="5"/>
  <c r="AD663" i="5"/>
  <c r="AD664" i="5"/>
  <c r="AD665" i="5"/>
  <c r="AD666" i="5"/>
  <c r="AD667" i="5"/>
  <c r="AF667" i="5" s="1"/>
  <c r="AD668" i="5"/>
  <c r="AF668" i="5" s="1"/>
  <c r="AD669" i="5"/>
  <c r="AF669" i="5" s="1"/>
  <c r="AD670" i="5"/>
  <c r="AF670" i="5" s="1"/>
  <c r="AD671" i="5"/>
  <c r="AF671" i="5" s="1"/>
  <c r="AD672" i="5"/>
  <c r="AF672" i="5" s="1"/>
  <c r="AD673" i="5"/>
  <c r="AF673" i="5" s="1"/>
  <c r="AD674" i="5"/>
  <c r="AF674" i="5" s="1"/>
  <c r="AD675" i="5"/>
  <c r="AF675" i="5" s="1"/>
  <c r="AD676" i="5"/>
  <c r="AF676" i="5" s="1"/>
  <c r="AD677" i="5"/>
  <c r="AF677" i="5" s="1"/>
  <c r="AD678" i="5"/>
  <c r="AF678" i="5" s="1"/>
  <c r="AD679" i="5"/>
  <c r="AF679" i="5" s="1"/>
  <c r="AD680" i="5"/>
  <c r="AD681" i="5"/>
  <c r="AD682" i="5"/>
  <c r="AF682" i="5" s="1"/>
  <c r="AD683" i="5"/>
  <c r="AF683" i="5" s="1"/>
  <c r="AD684" i="5"/>
  <c r="AF684" i="5" s="1"/>
  <c r="AD685" i="5"/>
  <c r="AF685" i="5" s="1"/>
  <c r="AD686" i="5"/>
  <c r="AF686" i="5" s="1"/>
  <c r="AD687" i="5"/>
  <c r="AF687" i="5" s="1"/>
  <c r="AD688" i="5"/>
  <c r="AF688" i="5" s="1"/>
  <c r="AD689" i="5"/>
  <c r="AF689" i="5" s="1"/>
  <c r="AD690" i="5"/>
  <c r="AF690" i="5" s="1"/>
  <c r="AD691" i="5"/>
  <c r="AF691" i="5" s="1"/>
  <c r="AD692" i="5"/>
  <c r="AI692" i="5" s="1"/>
  <c r="AL692" i="5" s="1"/>
  <c r="AD693" i="5"/>
  <c r="AF693" i="5" s="1"/>
  <c r="AD694" i="5"/>
  <c r="AF694" i="5" s="1"/>
  <c r="AD695" i="5"/>
  <c r="AF695" i="5" s="1"/>
  <c r="AG695" i="5" s="1"/>
  <c r="AD696" i="5"/>
  <c r="AD697" i="5"/>
  <c r="AD698" i="5"/>
  <c r="AD699" i="5"/>
  <c r="AD700" i="5"/>
  <c r="AF700" i="5" s="1"/>
  <c r="AD701" i="5"/>
  <c r="AF701" i="5" s="1"/>
  <c r="AD702" i="5"/>
  <c r="AF702" i="5" s="1"/>
  <c r="AD703" i="5"/>
  <c r="AF703" i="5" s="1"/>
  <c r="AD704" i="5"/>
  <c r="AF704" i="5" s="1"/>
  <c r="AD705" i="5"/>
  <c r="AF705" i="5" s="1"/>
  <c r="AD706" i="5"/>
  <c r="AF706" i="5" s="1"/>
  <c r="AD707" i="5"/>
  <c r="AF707" i="5" s="1"/>
  <c r="AD708" i="5"/>
  <c r="AF708" i="5" s="1"/>
  <c r="AD709" i="5"/>
  <c r="AF709" i="5" s="1"/>
  <c r="AD710" i="5"/>
  <c r="AD711" i="5"/>
  <c r="AF711" i="5" s="1"/>
  <c r="AD712" i="5"/>
  <c r="AF712" i="5" s="1"/>
  <c r="AD713" i="5"/>
  <c r="AD714" i="5"/>
  <c r="AH714" i="5" s="1"/>
  <c r="AK714" i="5" s="1"/>
  <c r="AD715" i="5"/>
  <c r="AD716" i="5"/>
  <c r="AD717" i="5"/>
  <c r="AD718" i="5"/>
  <c r="AF718" i="5" s="1"/>
  <c r="AD719" i="5"/>
  <c r="AF719" i="5" s="1"/>
  <c r="AD720" i="5"/>
  <c r="AF720" i="5" s="1"/>
  <c r="AD721" i="5"/>
  <c r="AD722" i="5"/>
  <c r="AD723" i="5"/>
  <c r="AF723" i="5" s="1"/>
  <c r="AD724" i="5"/>
  <c r="AF724" i="5" s="1"/>
  <c r="AD725" i="5"/>
  <c r="AF725" i="5" s="1"/>
  <c r="AD726" i="5"/>
  <c r="AD727" i="5"/>
  <c r="AF727" i="5" s="1"/>
  <c r="AD728" i="5"/>
  <c r="AF728" i="5" s="1"/>
  <c r="AD729" i="5"/>
  <c r="AF729" i="5" s="1"/>
  <c r="AD730" i="5"/>
  <c r="AF730" i="5" s="1"/>
  <c r="AD731" i="5"/>
  <c r="AF731" i="5" s="1"/>
  <c r="AD732" i="5"/>
  <c r="AF732" i="5" s="1"/>
  <c r="AD733" i="5"/>
  <c r="AF733" i="5" s="1"/>
  <c r="AD734" i="5"/>
  <c r="AF734" i="5" s="1"/>
  <c r="AD735" i="5"/>
  <c r="AF735" i="5" s="1"/>
  <c r="AD736" i="5"/>
  <c r="AF736" i="5" s="1"/>
  <c r="AD737" i="5"/>
  <c r="AF737" i="5" s="1"/>
  <c r="AD738" i="5"/>
  <c r="AF738" i="5" s="1"/>
  <c r="AD739" i="5"/>
  <c r="AF739" i="5" s="1"/>
  <c r="AD740" i="5"/>
  <c r="AF740" i="5" s="1"/>
  <c r="AD741" i="5"/>
  <c r="AF741" i="5" s="1"/>
  <c r="AD742" i="5"/>
  <c r="AF742" i="5" s="1"/>
  <c r="AD743" i="5"/>
  <c r="AF743" i="5" s="1"/>
  <c r="AD744" i="5"/>
  <c r="AD745" i="5"/>
  <c r="AF745" i="5" s="1"/>
  <c r="AD746" i="5"/>
  <c r="AD747" i="5"/>
  <c r="AD748" i="5"/>
  <c r="AF748" i="5" s="1"/>
  <c r="AD749" i="5"/>
  <c r="AF749" i="5" s="1"/>
  <c r="AD750" i="5"/>
  <c r="AF750" i="5" s="1"/>
  <c r="AD751" i="5"/>
  <c r="AF751" i="5" s="1"/>
  <c r="AD752" i="5"/>
  <c r="AF752" i="5" s="1"/>
  <c r="AD753" i="5"/>
  <c r="AF753" i="5" s="1"/>
  <c r="AD754" i="5"/>
  <c r="AF754" i="5" s="1"/>
  <c r="AD755" i="5"/>
  <c r="AF755" i="5" s="1"/>
  <c r="AD756" i="5"/>
  <c r="AI756" i="5" s="1"/>
  <c r="AL756" i="5" s="1"/>
  <c r="AD757" i="5"/>
  <c r="AF757" i="5" s="1"/>
  <c r="AD758" i="5"/>
  <c r="AF758" i="5" s="1"/>
  <c r="AD759" i="5"/>
  <c r="AF759" i="5" s="1"/>
  <c r="AD760" i="5"/>
  <c r="AI760" i="5" s="1"/>
  <c r="AL760" i="5" s="1"/>
  <c r="AD761" i="5"/>
  <c r="AH761" i="5" s="1"/>
  <c r="AK761" i="5" s="1"/>
  <c r="AD762" i="5"/>
  <c r="AF762" i="5" s="1"/>
  <c r="AD763" i="5"/>
  <c r="AF763" i="5" s="1"/>
  <c r="AD764" i="5"/>
  <c r="AF764" i="5" s="1"/>
  <c r="AD765" i="5"/>
  <c r="AF765" i="5" s="1"/>
  <c r="AD766" i="5"/>
  <c r="AF766" i="5" s="1"/>
  <c r="AD767" i="5"/>
  <c r="AF767" i="5" s="1"/>
  <c r="AD768" i="5"/>
  <c r="AF768" i="5" s="1"/>
  <c r="AD769" i="5"/>
  <c r="AF769" i="5" s="1"/>
  <c r="AD770" i="5"/>
  <c r="AF770" i="5" s="1"/>
  <c r="AD771" i="5"/>
  <c r="AF771" i="5" s="1"/>
  <c r="AD4" i="5"/>
  <c r="AF4" i="5" s="1"/>
  <c r="Y103" i="5"/>
  <c r="Y199" i="5"/>
  <c r="Y364" i="5"/>
  <c r="AG364" i="5" s="1"/>
  <c r="Y418" i="5"/>
  <c r="AG418" i="5" s="1"/>
  <c r="Y444" i="5"/>
  <c r="AG444" i="5" s="1"/>
  <c r="Y454" i="5"/>
  <c r="AG454" i="5" s="1"/>
  <c r="Y531" i="5"/>
  <c r="AG531" i="5" s="1"/>
  <c r="AM531" i="5" s="1"/>
  <c r="Y532" i="5"/>
  <c r="AG532" i="5" s="1"/>
  <c r="Y534" i="5"/>
  <c r="Y540" i="5"/>
  <c r="AG540" i="5" s="1"/>
  <c r="Y764" i="5"/>
  <c r="AA198" i="5"/>
  <c r="W771" i="5" a="1"/>
  <c r="AA771" i="5" s="1"/>
  <c r="W770" i="5" a="1"/>
  <c r="AA770" i="5" s="1"/>
  <c r="W769" i="5" a="1"/>
  <c r="AA769" i="5" s="1"/>
  <c r="W768" i="5" a="1"/>
  <c r="AA768" i="5" s="1"/>
  <c r="W767" i="5" a="1"/>
  <c r="AA767" i="5" s="1"/>
  <c r="W766" i="5" a="1"/>
  <c r="AA766" i="5" s="1"/>
  <c r="W765" i="5" a="1"/>
  <c r="W764" i="5" a="1"/>
  <c r="AA764" i="5" s="1"/>
  <c r="W763" i="5" a="1"/>
  <c r="AA763" i="5" s="1"/>
  <c r="W762" i="5" a="1"/>
  <c r="AA762" i="5" s="1"/>
  <c r="W761" i="5" a="1"/>
  <c r="W760" i="5" a="1"/>
  <c r="W759" i="5" a="1"/>
  <c r="W758" i="5" a="1"/>
  <c r="AA758" i="5" s="1"/>
  <c r="W757" i="5" a="1"/>
  <c r="W756" i="5" a="1"/>
  <c r="AA756" i="5" s="1"/>
  <c r="W755" i="5" a="1"/>
  <c r="AA755" i="5" s="1"/>
  <c r="W754" i="5" a="1"/>
  <c r="AA754" i="5" s="1"/>
  <c r="W753" i="5" a="1"/>
  <c r="AA753" i="5" s="1"/>
  <c r="W752" i="5" a="1"/>
  <c r="AA752" i="5" s="1"/>
  <c r="W751" i="5" a="1"/>
  <c r="AA751" i="5" s="1"/>
  <c r="W750" i="5" a="1"/>
  <c r="AA750" i="5" s="1"/>
  <c r="W749" i="5" a="1"/>
  <c r="W748" i="5" a="1"/>
  <c r="AA748" i="5" s="1"/>
  <c r="W747" i="5" a="1"/>
  <c r="AA747" i="5" s="1"/>
  <c r="W746" i="5" a="1"/>
  <c r="AA746" i="5" s="1"/>
  <c r="W745" i="5" a="1"/>
  <c r="AA745" i="5" s="1"/>
  <c r="W744" i="5" a="1"/>
  <c r="W743" i="5" a="1"/>
  <c r="AA743" i="5" s="1"/>
  <c r="W742" i="5" a="1"/>
  <c r="W741" i="5" a="1"/>
  <c r="W740" i="5" a="1"/>
  <c r="W739" i="5" a="1"/>
  <c r="AA739" i="5" s="1"/>
  <c r="W738" i="5" a="1"/>
  <c r="AA738" i="5" s="1"/>
  <c r="W737" i="5" a="1"/>
  <c r="AA737" i="5" s="1"/>
  <c r="W736" i="5" a="1"/>
  <c r="W735" i="5" a="1"/>
  <c r="AA735" i="5" s="1"/>
  <c r="W734" i="5" a="1"/>
  <c r="AA734" i="5" s="1"/>
  <c r="W733" i="5" a="1"/>
  <c r="W732" i="5" a="1"/>
  <c r="AA732" i="5" s="1"/>
  <c r="W731" i="5" a="1"/>
  <c r="AA731" i="5" s="1"/>
  <c r="W730" i="5" a="1"/>
  <c r="AA730" i="5" s="1"/>
  <c r="W729" i="5" a="1"/>
  <c r="AA729" i="5" s="1"/>
  <c r="W728" i="5" a="1"/>
  <c r="W727" i="5" a="1"/>
  <c r="AA727" i="5" s="1"/>
  <c r="W726" i="5" a="1"/>
  <c r="AA726" i="5" s="1"/>
  <c r="W725" i="5" a="1"/>
  <c r="W724" i="5" a="1"/>
  <c r="AA724" i="5" s="1"/>
  <c r="W723" i="5" a="1"/>
  <c r="AA723" i="5" s="1"/>
  <c r="W722" i="5" a="1"/>
  <c r="AA722" i="5" s="1"/>
  <c r="W721" i="5" a="1"/>
  <c r="AA721" i="5" s="1"/>
  <c r="W720" i="5" a="1"/>
  <c r="W719" i="5" a="1"/>
  <c r="AA719" i="5" s="1"/>
  <c r="W718" i="5" a="1"/>
  <c r="Y718" i="5" s="1"/>
  <c r="W717" i="5" a="1"/>
  <c r="W716" i="5" a="1"/>
  <c r="AA716" i="5" s="1"/>
  <c r="W715" i="5" a="1"/>
  <c r="AA715" i="5" s="1"/>
  <c r="W714" i="5" a="1"/>
  <c r="AA714" i="5" s="1"/>
  <c r="W713" i="5" a="1"/>
  <c r="AA713" i="5" s="1"/>
  <c r="W712" i="5" a="1"/>
  <c r="W711" i="5" a="1"/>
  <c r="W710" i="5" a="1"/>
  <c r="W709" i="5" a="1"/>
  <c r="W708" i="5" a="1"/>
  <c r="AA708" i="5" s="1"/>
  <c r="W707" i="5" a="1"/>
  <c r="AA707" i="5" s="1"/>
  <c r="W706" i="5" a="1"/>
  <c r="AA706" i="5" s="1"/>
  <c r="W705" i="5" a="1"/>
  <c r="AA705" i="5" s="1"/>
  <c r="W704" i="5" a="1"/>
  <c r="W703" i="5" a="1"/>
  <c r="AA703" i="5" s="1"/>
  <c r="W702" i="5" a="1"/>
  <c r="W701" i="5" a="1"/>
  <c r="W700" i="5" a="1"/>
  <c r="AA700" i="5" s="1"/>
  <c r="W699" i="5" a="1"/>
  <c r="AA699" i="5" s="1"/>
  <c r="W698" i="5" a="1"/>
  <c r="W697" i="5" a="1"/>
  <c r="AA697" i="5" s="1"/>
  <c r="W696" i="5" a="1"/>
  <c r="W695" i="5" a="1"/>
  <c r="Y695" i="5" s="1"/>
  <c r="W694" i="5" a="1"/>
  <c r="AA694" i="5" s="1"/>
  <c r="W693" i="5" a="1"/>
  <c r="W692" i="5" a="1"/>
  <c r="Y692" i="5" s="1"/>
  <c r="W691" i="5" a="1"/>
  <c r="AA691" i="5" s="1"/>
  <c r="W690" i="5" a="1"/>
  <c r="AA690" i="5" s="1"/>
  <c r="W689" i="5" a="1"/>
  <c r="AA689" i="5" s="1"/>
  <c r="W688" i="5" a="1"/>
  <c r="W687" i="5" a="1"/>
  <c r="W686" i="5" a="1"/>
  <c r="W685" i="5" a="1"/>
  <c r="W684" i="5" a="1"/>
  <c r="W683" i="5" a="1"/>
  <c r="W682" i="5" a="1"/>
  <c r="W681" i="5" a="1"/>
  <c r="AA681" i="5" s="1"/>
  <c r="W680" i="5" a="1"/>
  <c r="W679" i="5" a="1"/>
  <c r="AA679" i="5" s="1"/>
  <c r="W678" i="5" a="1"/>
  <c r="W677" i="5" a="1"/>
  <c r="W676" i="5" a="1"/>
  <c r="AA676" i="5" s="1"/>
  <c r="W675" i="5" a="1"/>
  <c r="AA675" i="5" s="1"/>
  <c r="W674" i="5" a="1"/>
  <c r="AA674" i="5" s="1"/>
  <c r="W673" i="5" a="1"/>
  <c r="AA673" i="5" s="1"/>
  <c r="W672" i="5" a="1"/>
  <c r="AA672" i="5" s="1"/>
  <c r="W671" i="5" a="1"/>
  <c r="AA671" i="5" s="1"/>
  <c r="W670" i="5" a="1"/>
  <c r="AA670" i="5" s="1"/>
  <c r="W669" i="5" a="1"/>
  <c r="W668" i="5" a="1"/>
  <c r="AA668" i="5" s="1"/>
  <c r="W667" i="5" a="1"/>
  <c r="W666" i="5" a="1"/>
  <c r="W665" i="5" a="1"/>
  <c r="W664" i="5" a="1"/>
  <c r="W663" i="5" a="1"/>
  <c r="W662" i="5" a="1"/>
  <c r="AA662" i="5" s="1"/>
  <c r="W661" i="5" a="1"/>
  <c r="W660" i="5" a="1"/>
  <c r="AA660" i="5" s="1"/>
  <c r="W659" i="5" a="1"/>
  <c r="AA659" i="5" s="1"/>
  <c r="W658" i="5" a="1"/>
  <c r="AA658" i="5" s="1"/>
  <c r="W657" i="5" a="1"/>
  <c r="AA657" i="5" s="1"/>
  <c r="W656" i="5" a="1"/>
  <c r="AA656" i="5" s="1"/>
  <c r="W655" i="5" a="1"/>
  <c r="W654" i="5" a="1"/>
  <c r="Y654" i="5" s="1"/>
  <c r="W653" i="5" a="1"/>
  <c r="W652" i="5" a="1"/>
  <c r="W651" i="5" a="1"/>
  <c r="W650" i="5" a="1"/>
  <c r="W649" i="5" a="1"/>
  <c r="W648" i="5" a="1"/>
  <c r="W647" i="5" a="1"/>
  <c r="W646" i="5" a="1"/>
  <c r="W645" i="5" a="1"/>
  <c r="W644" i="5" a="1"/>
  <c r="AA644" i="5" s="1"/>
  <c r="W643" i="5" a="1"/>
  <c r="W642" i="5" a="1"/>
  <c r="AA642" i="5" s="1"/>
  <c r="W641" i="5" a="1"/>
  <c r="AA641" i="5" s="1"/>
  <c r="W640" i="5" a="1"/>
  <c r="AA640" i="5" s="1"/>
  <c r="W639" i="5" a="1"/>
  <c r="AA639" i="5" s="1"/>
  <c r="W638" i="5" a="1"/>
  <c r="AA638" i="5" s="1"/>
  <c r="W637" i="5" a="1"/>
  <c r="W636" i="5" a="1"/>
  <c r="AA636" i="5" s="1"/>
  <c r="W635" i="5" a="1"/>
  <c r="AA635" i="5" s="1"/>
  <c r="W634" i="5" a="1"/>
  <c r="AA634" i="5" s="1"/>
  <c r="W633" i="5" a="1"/>
  <c r="W632" i="5" a="1"/>
  <c r="W631" i="5" a="1"/>
  <c r="W630" i="5" a="1"/>
  <c r="AA630" i="5" s="1"/>
  <c r="W629" i="5" a="1"/>
  <c r="W628" i="5" a="1"/>
  <c r="AA628" i="5" s="1"/>
  <c r="W627" i="5" a="1"/>
  <c r="AA627" i="5" s="1"/>
  <c r="W626" i="5" a="1"/>
  <c r="Y626" i="5" s="1"/>
  <c r="W625" i="5" a="1"/>
  <c r="AA625" i="5" s="1"/>
  <c r="W624" i="5" a="1"/>
  <c r="AA624" i="5" s="1"/>
  <c r="W623" i="5" a="1"/>
  <c r="AA623" i="5" s="1"/>
  <c r="W622" i="5" a="1"/>
  <c r="AA622" i="5" s="1"/>
  <c r="W621" i="5" a="1"/>
  <c r="W620" i="5" a="1"/>
  <c r="AA620" i="5" s="1"/>
  <c r="W619" i="5" a="1"/>
  <c r="AA619" i="5" s="1"/>
  <c r="W618" i="5" a="1"/>
  <c r="AA618" i="5" s="1"/>
  <c r="W617" i="5" a="1"/>
  <c r="AA617" i="5" s="1"/>
  <c r="W616" i="5" a="1"/>
  <c r="W615" i="5" a="1"/>
  <c r="AA615" i="5" s="1"/>
  <c r="W614" i="5" a="1"/>
  <c r="W613" i="5" a="1"/>
  <c r="W612" i="5" a="1"/>
  <c r="W611" i="5" a="1"/>
  <c r="AA611" i="5" s="1"/>
  <c r="W610" i="5" a="1"/>
  <c r="AA610" i="5" s="1"/>
  <c r="W609" i="5" a="1"/>
  <c r="AA609" i="5" s="1"/>
  <c r="W608" i="5" a="1"/>
  <c r="W607" i="5" a="1"/>
  <c r="AA607" i="5" s="1"/>
  <c r="W606" i="5" a="1"/>
  <c r="AA606" i="5" s="1"/>
  <c r="W605" i="5" a="1"/>
  <c r="W604" i="5" a="1"/>
  <c r="AA604" i="5" s="1"/>
  <c r="W603" i="5" a="1"/>
  <c r="AA603" i="5" s="1"/>
  <c r="W602" i="5" a="1"/>
  <c r="AA602" i="5" s="1"/>
  <c r="W601" i="5" a="1"/>
  <c r="AA601" i="5" s="1"/>
  <c r="W600" i="5" a="1"/>
  <c r="W599" i="5" a="1"/>
  <c r="W598" i="5" a="1"/>
  <c r="W597" i="5" a="1"/>
  <c r="W596" i="5" a="1"/>
  <c r="AA596" i="5" s="1"/>
  <c r="W595" i="5" a="1"/>
  <c r="AA595" i="5" s="1"/>
  <c r="W594" i="5" a="1"/>
  <c r="AA594" i="5" s="1"/>
  <c r="W593" i="5" a="1"/>
  <c r="AA593" i="5" s="1"/>
  <c r="W592" i="5" a="1"/>
  <c r="W591" i="5" a="1"/>
  <c r="AA591" i="5" s="1"/>
  <c r="W590" i="5" a="1"/>
  <c r="W589" i="5" a="1"/>
  <c r="W588" i="5" a="1"/>
  <c r="AA588" i="5" s="1"/>
  <c r="W587" i="5" a="1"/>
  <c r="AA587" i="5" s="1"/>
  <c r="W586" i="5" a="1"/>
  <c r="AA586" i="5" s="1"/>
  <c r="W585" i="5" a="1"/>
  <c r="AA585" i="5" s="1"/>
  <c r="W584" i="5" a="1"/>
  <c r="W583" i="5" a="1"/>
  <c r="AA583" i="5" s="1"/>
  <c r="W582" i="5" a="1"/>
  <c r="AA582" i="5" s="1"/>
  <c r="W581" i="5" a="1"/>
  <c r="W580" i="5" a="1"/>
  <c r="W579" i="5" a="1"/>
  <c r="W578" i="5" a="1"/>
  <c r="AA578" i="5" s="1"/>
  <c r="W577" i="5" a="1"/>
  <c r="AA577" i="5" s="1"/>
  <c r="W576" i="5" a="1"/>
  <c r="W575" i="5" a="1"/>
  <c r="AA575" i="5" s="1"/>
  <c r="W574" i="5" a="1"/>
  <c r="W573" i="5" a="1"/>
  <c r="W572" i="5" a="1"/>
  <c r="AA572" i="5" s="1"/>
  <c r="W571" i="5" a="1"/>
  <c r="AA571" i="5" s="1"/>
  <c r="W570" i="5" a="1"/>
  <c r="AA570" i="5" s="1"/>
  <c r="W569" i="5" a="1"/>
  <c r="AA569" i="5" s="1"/>
  <c r="W568" i="5" a="1"/>
  <c r="W567" i="5" a="1"/>
  <c r="AA567" i="5" s="1"/>
  <c r="W566" i="5" a="1"/>
  <c r="AA566" i="5" s="1"/>
  <c r="W565" i="5" a="1"/>
  <c r="W564" i="5" a="1"/>
  <c r="AA564" i="5" s="1"/>
  <c r="W563" i="5" a="1"/>
  <c r="AA563" i="5" s="1"/>
  <c r="W562" i="5" a="1"/>
  <c r="AA562" i="5" s="1"/>
  <c r="W561" i="5" a="1"/>
  <c r="AA561" i="5" s="1"/>
  <c r="W560" i="5" a="1"/>
  <c r="AA560" i="5" s="1"/>
  <c r="W559" i="5" a="1"/>
  <c r="AA559" i="5" s="1"/>
  <c r="W558" i="5" a="1"/>
  <c r="W557" i="5" a="1"/>
  <c r="W556" i="5" a="1"/>
  <c r="AA556" i="5" s="1"/>
  <c r="W555" i="5" a="1"/>
  <c r="W554" i="5" a="1"/>
  <c r="W553" i="5" a="1"/>
  <c r="AA553" i="5" s="1"/>
  <c r="W552" i="5" a="1"/>
  <c r="W551" i="5" a="1"/>
  <c r="W550" i="5" a="1"/>
  <c r="AA550" i="5" s="1"/>
  <c r="W549" i="5" a="1"/>
  <c r="W548" i="5" a="1"/>
  <c r="AA548" i="5" s="1"/>
  <c r="W547" i="5" a="1"/>
  <c r="AA547" i="5" s="1"/>
  <c r="W546" i="5" a="1"/>
  <c r="AA546" i="5" s="1"/>
  <c r="W545" i="5" a="1"/>
  <c r="AA545" i="5" s="1"/>
  <c r="W544" i="5" a="1"/>
  <c r="AA544" i="5" s="1"/>
  <c r="W543" i="5" a="1"/>
  <c r="AA543" i="5" s="1"/>
  <c r="W542" i="5" a="1"/>
  <c r="AA542" i="5" s="1"/>
  <c r="W541" i="5" a="1"/>
  <c r="W540" i="5" a="1"/>
  <c r="AA540" i="5" s="1"/>
  <c r="W539" i="5" a="1"/>
  <c r="W538" i="5" a="1"/>
  <c r="W537" i="5" a="1"/>
  <c r="W536" i="5" a="1"/>
  <c r="W535" i="5" a="1"/>
  <c r="W534" i="5" a="1"/>
  <c r="AA534" i="5" s="1"/>
  <c r="W533" i="5" a="1"/>
  <c r="W532" i="5" a="1"/>
  <c r="AA532" i="5" s="1"/>
  <c r="W531" i="5" a="1"/>
  <c r="AA531" i="5" s="1"/>
  <c r="W530" i="5" a="1"/>
  <c r="AA530" i="5" s="1"/>
  <c r="W529" i="5" a="1"/>
  <c r="AA529" i="5" s="1"/>
  <c r="W528" i="5" a="1"/>
  <c r="AA528" i="5" s="1"/>
  <c r="W527" i="5" a="1"/>
  <c r="AA527" i="5" s="1"/>
  <c r="W526" i="5" a="1"/>
  <c r="AA526" i="5" s="1"/>
  <c r="W525" i="5" a="1"/>
  <c r="W524" i="5" a="1"/>
  <c r="AA524" i="5" s="1"/>
  <c r="W523" i="5" a="1"/>
  <c r="W522" i="5" a="1"/>
  <c r="W521" i="5" a="1"/>
  <c r="W520" i="5" a="1"/>
  <c r="W519" i="5" a="1"/>
  <c r="W518" i="5" a="1"/>
  <c r="W517" i="5" a="1"/>
  <c r="W516" i="5" a="1"/>
  <c r="AA516" i="5" s="1"/>
  <c r="W515" i="5" a="1"/>
  <c r="W514" i="5" a="1"/>
  <c r="AA514" i="5" s="1"/>
  <c r="W513" i="5" a="1"/>
  <c r="AA513" i="5" s="1"/>
  <c r="W512" i="5" a="1"/>
  <c r="AA512" i="5" s="1"/>
  <c r="W511" i="5" a="1"/>
  <c r="AA511" i="5" s="1"/>
  <c r="W510" i="5" a="1"/>
  <c r="AA510" i="5" s="1"/>
  <c r="W509" i="5" a="1"/>
  <c r="AA509" i="5" s="1"/>
  <c r="W508" i="5" a="1"/>
  <c r="AA508" i="5" s="1"/>
  <c r="W507" i="5" a="1"/>
  <c r="AA507" i="5" s="1"/>
  <c r="W506" i="5" a="1"/>
  <c r="AA506" i="5" s="1"/>
  <c r="W505" i="5" a="1"/>
  <c r="W504" i="5" a="1"/>
  <c r="W503" i="5" a="1"/>
  <c r="W502" i="5" a="1"/>
  <c r="AA502" i="5" s="1"/>
  <c r="W501" i="5" a="1"/>
  <c r="W500" i="5" a="1"/>
  <c r="AA500" i="5" s="1"/>
  <c r="W499" i="5" a="1"/>
  <c r="Y499" i="5" s="1"/>
  <c r="AG499" i="5" s="1"/>
  <c r="W498" i="5" a="1"/>
  <c r="AA498" i="5" s="1"/>
  <c r="W497" i="5" a="1"/>
  <c r="W496" i="5" a="1"/>
  <c r="AA496" i="5" s="1"/>
  <c r="W495" i="5" a="1"/>
  <c r="AA495" i="5" s="1"/>
  <c r="W494" i="5" a="1"/>
  <c r="AA494" i="5" s="1"/>
  <c r="W493" i="5" a="1"/>
  <c r="W492" i="5" a="1"/>
  <c r="AA492" i="5" s="1"/>
  <c r="W491" i="5" a="1"/>
  <c r="AA491" i="5" s="1"/>
  <c r="W490" i="5" a="1"/>
  <c r="AA490" i="5" s="1"/>
  <c r="W489" i="5" a="1"/>
  <c r="AA489" i="5" s="1"/>
  <c r="W488" i="5" a="1"/>
  <c r="W487" i="5" a="1"/>
  <c r="AA487" i="5" s="1"/>
  <c r="W486" i="5" a="1"/>
  <c r="AA486" i="5" s="1"/>
  <c r="W485" i="5" a="1"/>
  <c r="W484" i="5" a="1"/>
  <c r="W483" i="5" a="1"/>
  <c r="AA483" i="5" s="1"/>
  <c r="W482" i="5" a="1"/>
  <c r="Y482" i="5" s="1"/>
  <c r="AG482" i="5" s="1"/>
  <c r="W481" i="5" a="1"/>
  <c r="AA481" i="5" s="1"/>
  <c r="W480" i="5" a="1"/>
  <c r="W479" i="5" a="1"/>
  <c r="W478" i="5" a="1"/>
  <c r="AA478" i="5" s="1"/>
  <c r="W477" i="5" a="1"/>
  <c r="W476" i="5" a="1"/>
  <c r="W475" i="5" a="1"/>
  <c r="AA475" i="5" s="1"/>
  <c r="W474" i="5" a="1"/>
  <c r="AA474" i="5" s="1"/>
  <c r="W473" i="5" a="1"/>
  <c r="AA473" i="5" s="1"/>
  <c r="W472" i="5" a="1"/>
  <c r="W471" i="5" a="1"/>
  <c r="AA471" i="5" s="1"/>
  <c r="W470" i="5" a="1"/>
  <c r="AA470" i="5" s="1"/>
  <c r="W469" i="5" a="1"/>
  <c r="W468" i="5" a="1"/>
  <c r="AA468" i="5" s="1"/>
  <c r="W467" i="5" a="1"/>
  <c r="AA467" i="5" s="1"/>
  <c r="W466" i="5" a="1"/>
  <c r="AA466" i="5" s="1"/>
  <c r="W465" i="5" a="1"/>
  <c r="AA465" i="5" s="1"/>
  <c r="W464" i="5" a="1"/>
  <c r="W463" i="5" a="1"/>
  <c r="AA463" i="5" s="1"/>
  <c r="W462" i="5" a="1"/>
  <c r="W461" i="5" a="1"/>
  <c r="W460" i="5" a="1"/>
  <c r="AA460" i="5" s="1"/>
  <c r="W459" i="5" a="1"/>
  <c r="AA459" i="5" s="1"/>
  <c r="W458" i="5" a="1"/>
  <c r="AA458" i="5" s="1"/>
  <c r="W457" i="5" a="1"/>
  <c r="AA457" i="5" s="1"/>
  <c r="W456" i="5" a="1"/>
  <c r="W455" i="5" a="1"/>
  <c r="AA455" i="5" s="1"/>
  <c r="W454" i="5" a="1"/>
  <c r="AA454" i="5" s="1"/>
  <c r="W453" i="5" a="1"/>
  <c r="W452" i="5" a="1"/>
  <c r="W451" i="5" a="1"/>
  <c r="W450" i="5" a="1"/>
  <c r="W449" i="5" a="1"/>
  <c r="AA449" i="5" s="1"/>
  <c r="W448" i="5" a="1"/>
  <c r="W447" i="5" a="1"/>
  <c r="AA447" i="5" s="1"/>
  <c r="W446" i="5" a="1"/>
  <c r="W445" i="5" a="1"/>
  <c r="W444" i="5" a="1"/>
  <c r="AA444" i="5" s="1"/>
  <c r="W443" i="5" a="1"/>
  <c r="AA443" i="5" s="1"/>
  <c r="W442" i="5" a="1"/>
  <c r="AA442" i="5" s="1"/>
  <c r="W441" i="5" a="1"/>
  <c r="AA441" i="5" s="1"/>
  <c r="W440" i="5" a="1"/>
  <c r="W439" i="5" a="1"/>
  <c r="AA439" i="5" s="1"/>
  <c r="W438" i="5" a="1"/>
  <c r="AA438" i="5" s="1"/>
  <c r="W437" i="5" a="1"/>
  <c r="W436" i="5" a="1"/>
  <c r="AA436" i="5" s="1"/>
  <c r="W435" i="5" a="1"/>
  <c r="AA435" i="5" s="1"/>
  <c r="W434" i="5" a="1"/>
  <c r="AA434" i="5" s="1"/>
  <c r="W433" i="5" a="1"/>
  <c r="AA433" i="5" s="1"/>
  <c r="W432" i="5" a="1"/>
  <c r="AA432" i="5" s="1"/>
  <c r="W431" i="5" a="1"/>
  <c r="AA431" i="5" s="1"/>
  <c r="W430" i="5" a="1"/>
  <c r="W429" i="5" a="1"/>
  <c r="W428" i="5" a="1"/>
  <c r="AA428" i="5" s="1"/>
  <c r="W427" i="5" a="1"/>
  <c r="W426" i="5" a="1"/>
  <c r="W425" i="5" a="1"/>
  <c r="AA425" i="5" s="1"/>
  <c r="W424" i="5" a="1"/>
  <c r="W423" i="5" a="1"/>
  <c r="Y423" i="5" s="1"/>
  <c r="W422" i="5" a="1"/>
  <c r="W421" i="5" a="1"/>
  <c r="W420" i="5" a="1"/>
  <c r="W419" i="5" a="1"/>
  <c r="AA419" i="5" s="1"/>
  <c r="W418" i="5" a="1"/>
  <c r="AA418" i="5" s="1"/>
  <c r="W417" i="5" a="1"/>
  <c r="AA417" i="5" s="1"/>
  <c r="W416" i="5" a="1"/>
  <c r="AA416" i="5" s="1"/>
  <c r="W415" i="5" a="1"/>
  <c r="AA415" i="5" s="1"/>
  <c r="W414" i="5" a="1"/>
  <c r="Y414" i="5" s="1"/>
  <c r="W413" i="5" a="1"/>
  <c r="W412" i="5" a="1"/>
  <c r="AA412" i="5" s="1"/>
  <c r="W411" i="5" a="1"/>
  <c r="W410" i="5" a="1"/>
  <c r="W409" i="5" a="1"/>
  <c r="W408" i="5" a="1"/>
  <c r="W407" i="5" a="1"/>
  <c r="W406" i="5" a="1"/>
  <c r="AA406" i="5" s="1"/>
  <c r="W405" i="5" a="1"/>
  <c r="W404" i="5" a="1"/>
  <c r="AA404" i="5" s="1"/>
  <c r="W403" i="5" a="1"/>
  <c r="AA403" i="5" s="1"/>
  <c r="W402" i="5" a="1"/>
  <c r="AA402" i="5" s="1"/>
  <c r="W401" i="5" a="1"/>
  <c r="AA401" i="5" s="1"/>
  <c r="W400" i="5" a="1"/>
  <c r="AA400" i="5" s="1"/>
  <c r="W399" i="5" a="1"/>
  <c r="AA399" i="5" s="1"/>
  <c r="W398" i="5" a="1"/>
  <c r="AA398" i="5" s="1"/>
  <c r="W397" i="5" a="1"/>
  <c r="W396" i="5" a="1"/>
  <c r="AA396" i="5" s="1"/>
  <c r="W395" i="5" a="1"/>
  <c r="W394" i="5" a="1"/>
  <c r="W393" i="5" a="1"/>
  <c r="W392" i="5" a="1"/>
  <c r="W391" i="5" a="1"/>
  <c r="W390" i="5" a="1"/>
  <c r="W389" i="5" a="1"/>
  <c r="W388" i="5" a="1"/>
  <c r="AA388" i="5" s="1"/>
  <c r="W387" i="5" a="1"/>
  <c r="W386" i="5" a="1"/>
  <c r="W385" i="5" a="1"/>
  <c r="AA385" i="5" s="1"/>
  <c r="W384" i="5" a="1"/>
  <c r="AA384" i="5" s="1"/>
  <c r="W383" i="5" a="1"/>
  <c r="AA383" i="5" s="1"/>
  <c r="W382" i="5" a="1"/>
  <c r="AA382" i="5" s="1"/>
  <c r="W381" i="5" a="1"/>
  <c r="W380" i="5" a="1"/>
  <c r="AA380" i="5" s="1"/>
  <c r="W379" i="5" a="1"/>
  <c r="AA379" i="5" s="1"/>
  <c r="W378" i="5" a="1"/>
  <c r="AA378" i="5" s="1"/>
  <c r="W377" i="5" a="1"/>
  <c r="W376" i="5" a="1"/>
  <c r="W375" i="5" a="1"/>
  <c r="W374" i="5" a="1"/>
  <c r="AA374" i="5" s="1"/>
  <c r="W373" i="5" a="1"/>
  <c r="W372" i="5" a="1"/>
  <c r="AA372" i="5" s="1"/>
  <c r="W371" i="5" a="1"/>
  <c r="AA371" i="5" s="1"/>
  <c r="W370" i="5" a="1"/>
  <c r="Y370" i="5" s="1"/>
  <c r="W369" i="5" a="1"/>
  <c r="AA369" i="5" s="1"/>
  <c r="W368" i="5" a="1"/>
  <c r="AA368" i="5" s="1"/>
  <c r="W367" i="5" a="1"/>
  <c r="AA367" i="5" s="1"/>
  <c r="W366" i="5" a="1"/>
  <c r="AA366" i="5" s="1"/>
  <c r="W365" i="5" a="1"/>
  <c r="W364" i="5" a="1"/>
  <c r="AA364" i="5" s="1"/>
  <c r="W363" i="5" a="1"/>
  <c r="W362" i="5" a="1"/>
  <c r="AA362" i="5" s="1"/>
  <c r="W361" i="5" a="1"/>
  <c r="AA361" i="5" s="1"/>
  <c r="W360" i="5" a="1"/>
  <c r="W359" i="5" a="1"/>
  <c r="AA359" i="5" s="1"/>
  <c r="W358" i="5" a="1"/>
  <c r="AA358" i="5" s="1"/>
  <c r="W357" i="5" a="1"/>
  <c r="W356" i="5" a="1"/>
  <c r="AA356" i="5" s="1"/>
  <c r="W355" i="5" a="1"/>
  <c r="AA355" i="5" s="1"/>
  <c r="W354" i="5" a="1"/>
  <c r="AA354" i="5" s="1"/>
  <c r="W353" i="5" a="1"/>
  <c r="AA353" i="5" s="1"/>
  <c r="W352" i="5" a="1"/>
  <c r="W351" i="5" a="1"/>
  <c r="W350" i="5" a="1"/>
  <c r="AA350" i="5" s="1"/>
  <c r="W349" i="5" a="1"/>
  <c r="W348" i="5" a="1"/>
  <c r="W347" i="5" a="1"/>
  <c r="W346" i="5" a="1"/>
  <c r="AA346" i="5" s="1"/>
  <c r="W345" i="5" a="1"/>
  <c r="AA345" i="5" s="1"/>
  <c r="W344" i="5" a="1"/>
  <c r="W343" i="5" a="1"/>
  <c r="AA343" i="5" s="1"/>
  <c r="W342" i="5" a="1"/>
  <c r="AA342" i="5" s="1"/>
  <c r="W341" i="5" a="1"/>
  <c r="W340" i="5" a="1"/>
  <c r="AA340" i="5" s="1"/>
  <c r="W339" i="5" a="1"/>
  <c r="W338" i="5" a="1"/>
  <c r="AA338" i="5" s="1"/>
  <c r="W337" i="5" a="1"/>
  <c r="AA337" i="5" s="1"/>
  <c r="W336" i="5" a="1"/>
  <c r="W335" i="5" a="1"/>
  <c r="AA335" i="5" s="1"/>
  <c r="W334" i="5" a="1"/>
  <c r="W333" i="5" a="1"/>
  <c r="W332" i="5" a="1"/>
  <c r="AA332" i="5" s="1"/>
  <c r="W331" i="5" a="1"/>
  <c r="AA331" i="5" s="1"/>
  <c r="W330" i="5" a="1"/>
  <c r="AA330" i="5" s="1"/>
  <c r="W329" i="5" a="1"/>
  <c r="AA329" i="5" s="1"/>
  <c r="W328" i="5" a="1"/>
  <c r="W327" i="5" a="1"/>
  <c r="W326" i="5" a="1"/>
  <c r="AA326" i="5" s="1"/>
  <c r="W325" i="5" a="1"/>
  <c r="W324" i="5" a="1"/>
  <c r="W323" i="5" a="1"/>
  <c r="W322" i="5" a="1"/>
  <c r="W321" i="5" a="1"/>
  <c r="AA321" i="5" s="1"/>
  <c r="W320" i="5" a="1"/>
  <c r="W319" i="5" a="1"/>
  <c r="AA319" i="5" s="1"/>
  <c r="W318" i="5" a="1"/>
  <c r="W317" i="5" a="1"/>
  <c r="W316" i="5" a="1"/>
  <c r="AA316" i="5" s="1"/>
  <c r="W315" i="5" a="1"/>
  <c r="AA315" i="5" s="1"/>
  <c r="W314" i="5" a="1"/>
  <c r="AA314" i="5" s="1"/>
  <c r="W313" i="5" a="1"/>
  <c r="AA313" i="5" s="1"/>
  <c r="W312" i="5" a="1"/>
  <c r="W311" i="5" a="1"/>
  <c r="AA311" i="5" s="1"/>
  <c r="W310" i="5" a="1"/>
  <c r="AA310" i="5" s="1"/>
  <c r="W309" i="5" a="1"/>
  <c r="W308" i="5" a="1"/>
  <c r="AA308" i="5" s="1"/>
  <c r="W307" i="5" a="1"/>
  <c r="AA307" i="5" s="1"/>
  <c r="W306" i="5" a="1"/>
  <c r="Y306" i="5" s="1"/>
  <c r="W305" i="5" a="1"/>
  <c r="AA305" i="5" s="1"/>
  <c r="W304" i="5" a="1"/>
  <c r="AA304" i="5" s="1"/>
  <c r="W303" i="5" a="1"/>
  <c r="AA303" i="5" s="1"/>
  <c r="W302" i="5" a="1"/>
  <c r="Y302" i="5" s="1"/>
  <c r="AG302" i="5" s="1"/>
  <c r="AM302" i="5" s="1"/>
  <c r="W301" i="5" a="1"/>
  <c r="W300" i="5" a="1"/>
  <c r="AA300" i="5" s="1"/>
  <c r="W299" i="5" a="1"/>
  <c r="W298" i="5" a="1"/>
  <c r="W297" i="5" a="1"/>
  <c r="AA297" i="5" s="1"/>
  <c r="W296" i="5" a="1"/>
  <c r="W295" i="5" a="1"/>
  <c r="W294" i="5" a="1"/>
  <c r="W293" i="5" a="1"/>
  <c r="W292" i="5" a="1"/>
  <c r="W291" i="5" a="1"/>
  <c r="Y291" i="5" s="1"/>
  <c r="AG291" i="5" s="1"/>
  <c r="W290" i="5" a="1"/>
  <c r="AA290" i="5" s="1"/>
  <c r="W289" i="5" a="1"/>
  <c r="AA289" i="5" s="1"/>
  <c r="W288" i="5" a="1"/>
  <c r="AA288" i="5" s="1"/>
  <c r="W287" i="5" a="1"/>
  <c r="AA287" i="5" s="1"/>
  <c r="W286" i="5" a="1"/>
  <c r="AA286" i="5" s="1"/>
  <c r="W285" i="5" a="1"/>
  <c r="W284" i="5" a="1"/>
  <c r="AA284" i="5" s="1"/>
  <c r="W283" i="5" a="1"/>
  <c r="W282" i="5" a="1"/>
  <c r="W281" i="5" a="1"/>
  <c r="W280" i="5" a="1"/>
  <c r="W279" i="5" a="1"/>
  <c r="W278" i="5" a="1"/>
  <c r="AA278" i="5" s="1"/>
  <c r="W277" i="5" a="1"/>
  <c r="W276" i="5" a="1"/>
  <c r="AA276" i="5" s="1"/>
  <c r="W275" i="5" a="1"/>
  <c r="AA275" i="5" s="1"/>
  <c r="W274" i="5" a="1"/>
  <c r="AA274" i="5" s="1"/>
  <c r="W273" i="5" a="1"/>
  <c r="AA273" i="5" s="1"/>
  <c r="W272" i="5" a="1"/>
  <c r="AA272" i="5" s="1"/>
  <c r="W271" i="5" a="1"/>
  <c r="AA271" i="5" s="1"/>
  <c r="W270" i="5" a="1"/>
  <c r="AA270" i="5" s="1"/>
  <c r="W269" i="5" a="1"/>
  <c r="W268" i="5" a="1"/>
  <c r="AA268" i="5" s="1"/>
  <c r="W267" i="5" a="1"/>
  <c r="W266" i="5" a="1"/>
  <c r="W265" i="5" a="1"/>
  <c r="W264" i="5" a="1"/>
  <c r="W263" i="5" a="1"/>
  <c r="W262" i="5" a="1"/>
  <c r="AA262" i="5" s="1"/>
  <c r="W261" i="5" a="1"/>
  <c r="W260" i="5" a="1"/>
  <c r="AA260" i="5" s="1"/>
  <c r="W259" i="5" a="1"/>
  <c r="W258" i="5" a="1"/>
  <c r="AA258" i="5" s="1"/>
  <c r="W257" i="5" a="1"/>
  <c r="AA257" i="5" s="1"/>
  <c r="W256" i="5" a="1"/>
  <c r="AA256" i="5" s="1"/>
  <c r="W255" i="5" a="1"/>
  <c r="W254" i="5" a="1"/>
  <c r="AA254" i="5" s="1"/>
  <c r="W253" i="5" a="1"/>
  <c r="W252" i="5" a="1"/>
  <c r="W251" i="5" a="1"/>
  <c r="W250" i="5" a="1"/>
  <c r="AA250" i="5" s="1"/>
  <c r="W249" i="5" a="1"/>
  <c r="W248" i="5" a="1"/>
  <c r="W247" i="5" a="1"/>
  <c r="W246" i="5" a="1"/>
  <c r="W245" i="5" a="1"/>
  <c r="W244" i="5" a="1"/>
  <c r="AA244" i="5" s="1"/>
  <c r="W243" i="5" a="1"/>
  <c r="AA243" i="5" s="1"/>
  <c r="W242" i="5" a="1"/>
  <c r="AA242" i="5" s="1"/>
  <c r="W241" i="5" a="1"/>
  <c r="AA241" i="5" s="1"/>
  <c r="W240" i="5" a="1"/>
  <c r="AA240" i="5" s="1"/>
  <c r="W239" i="5" a="1"/>
  <c r="AA239" i="5" s="1"/>
  <c r="W238" i="5" a="1"/>
  <c r="AA238" i="5" s="1"/>
  <c r="W237" i="5" a="1"/>
  <c r="W236" i="5" a="1"/>
  <c r="AA236" i="5" s="1"/>
  <c r="W235" i="5" a="1"/>
  <c r="AA235" i="5" s="1"/>
  <c r="W234" i="5" a="1"/>
  <c r="AA234" i="5" s="1"/>
  <c r="W233" i="5" a="1"/>
  <c r="AA233" i="5" s="1"/>
  <c r="W232" i="5" a="1"/>
  <c r="W231" i="5" a="1"/>
  <c r="W230" i="5" a="1"/>
  <c r="W229" i="5" a="1"/>
  <c r="W228" i="5" a="1"/>
  <c r="AA228" i="5" s="1"/>
  <c r="W227" i="5" a="1"/>
  <c r="AA227" i="5" s="1"/>
  <c r="W226" i="5" a="1"/>
  <c r="AA226" i="5" s="1"/>
  <c r="W225" i="5" a="1"/>
  <c r="W224" i="5" a="1"/>
  <c r="W223" i="5" a="1"/>
  <c r="AA223" i="5" s="1"/>
  <c r="W222" i="5" a="1"/>
  <c r="AA222" i="5" s="1"/>
  <c r="W221" i="5" a="1"/>
  <c r="W220" i="5" a="1"/>
  <c r="AA220" i="5" s="1"/>
  <c r="W219" i="5" a="1"/>
  <c r="AA219" i="5" s="1"/>
  <c r="W218" i="5" a="1"/>
  <c r="AA218" i="5" s="1"/>
  <c r="W217" i="5" a="1"/>
  <c r="AA217" i="5" s="1"/>
  <c r="W216" i="5" a="1"/>
  <c r="W215" i="5" a="1"/>
  <c r="AA215" i="5" s="1"/>
  <c r="W214" i="5" a="1"/>
  <c r="W213" i="5" a="1"/>
  <c r="W212" i="5" a="1"/>
  <c r="W211" i="5" a="1"/>
  <c r="W210" i="5" a="1"/>
  <c r="W209" i="5" a="1"/>
  <c r="W208" i="5" a="1"/>
  <c r="W207" i="5" a="1"/>
  <c r="AA207" i="5" s="1"/>
  <c r="W206" i="5" a="1"/>
  <c r="W205" i="5" a="1"/>
  <c r="W204" i="5" a="1"/>
  <c r="AA204" i="5" s="1"/>
  <c r="W203" i="5" a="1"/>
  <c r="AA203" i="5" s="1"/>
  <c r="W202" i="5" a="1"/>
  <c r="AA202" i="5" s="1"/>
  <c r="W201" i="5" a="1"/>
  <c r="AA201" i="5" s="1"/>
  <c r="W200" i="5" a="1"/>
  <c r="W199" i="5" a="1"/>
  <c r="AA199" i="5" s="1"/>
  <c r="W198" i="5" a="1"/>
  <c r="Y198" i="5" s="1"/>
  <c r="W197" i="5" a="1"/>
  <c r="W196" i="5" a="1"/>
  <c r="W195" i="5" a="1"/>
  <c r="AA195" i="5" s="1"/>
  <c r="W194" i="5" a="1"/>
  <c r="AA194" i="5" s="1"/>
  <c r="W193" i="5" a="1"/>
  <c r="AA193" i="5" s="1"/>
  <c r="W192" i="5" a="1"/>
  <c r="AA192" i="5" s="1"/>
  <c r="W191" i="5" a="1"/>
  <c r="AA191" i="5" s="1"/>
  <c r="W190" i="5" a="1"/>
  <c r="W189" i="5" a="1"/>
  <c r="W188" i="5" a="1"/>
  <c r="AA188" i="5" s="1"/>
  <c r="W187" i="5" a="1"/>
  <c r="W186" i="5" a="1"/>
  <c r="W185" i="5" a="1"/>
  <c r="W184" i="5" a="1"/>
  <c r="W183" i="5" a="1"/>
  <c r="AA183" i="5" s="1"/>
  <c r="W182" i="5" a="1"/>
  <c r="W181" i="5" a="1"/>
  <c r="W180" i="5" a="1"/>
  <c r="AA180" i="5" s="1"/>
  <c r="W179" i="5" a="1"/>
  <c r="AA179" i="5" s="1"/>
  <c r="W178" i="5" a="1"/>
  <c r="W177" i="5" a="1"/>
  <c r="Y177" i="5" s="1"/>
  <c r="AG177" i="5" s="1"/>
  <c r="W176" i="5" a="1"/>
  <c r="W175" i="5" a="1"/>
  <c r="W174" i="5" a="1"/>
  <c r="Y174" i="5" s="1"/>
  <c r="W173" i="5" a="1"/>
  <c r="W172" i="5" a="1"/>
  <c r="AA172" i="5" s="1"/>
  <c r="W171" i="5" a="1"/>
  <c r="W170" i="5" a="1"/>
  <c r="W169" i="5" a="1"/>
  <c r="W168" i="5" a="1"/>
  <c r="W167" i="5" a="1"/>
  <c r="W166" i="5" a="1"/>
  <c r="W165" i="5" a="1"/>
  <c r="W164" i="5" a="1"/>
  <c r="AA164" i="5" s="1"/>
  <c r="W163" i="5" a="1"/>
  <c r="AA163" i="5" s="1"/>
  <c r="W162" i="5" a="1"/>
  <c r="AA162" i="5" s="1"/>
  <c r="W161" i="5" a="1"/>
  <c r="AA161" i="5" s="1"/>
  <c r="W160" i="5" a="1"/>
  <c r="AA160" i="5" s="1"/>
  <c r="W159" i="5" a="1"/>
  <c r="AA159" i="5" s="1"/>
  <c r="W158" i="5" a="1"/>
  <c r="AA158" i="5" s="1"/>
  <c r="W157" i="5" a="1"/>
  <c r="W156" i="5" a="1"/>
  <c r="AA156" i="5" s="1"/>
  <c r="W155" i="5" a="1"/>
  <c r="AA155" i="5" s="1"/>
  <c r="W154" i="5" a="1"/>
  <c r="AA154" i="5" s="1"/>
  <c r="W153" i="5" a="1"/>
  <c r="AA153" i="5" s="1"/>
  <c r="W152" i="5" a="1"/>
  <c r="W151" i="5" a="1"/>
  <c r="W150" i="5" a="1"/>
  <c r="W149" i="5" a="1"/>
  <c r="W148" i="5" a="1"/>
  <c r="AA148" i="5" s="1"/>
  <c r="W147" i="5" a="1"/>
  <c r="AA147" i="5" s="1"/>
  <c r="W146" i="5" a="1"/>
  <c r="AA146" i="5" s="1"/>
  <c r="W145" i="5" a="1"/>
  <c r="W144" i="5" a="1"/>
  <c r="W143" i="5" a="1"/>
  <c r="AA143" i="5" s="1"/>
  <c r="W142" i="5" a="1"/>
  <c r="AA142" i="5" s="1"/>
  <c r="W141" i="5" a="1"/>
  <c r="W140" i="5" a="1"/>
  <c r="AA140" i="5" s="1"/>
  <c r="W139" i="5" a="1"/>
  <c r="AA139" i="5" s="1"/>
  <c r="W138" i="5" a="1"/>
  <c r="AA138" i="5" s="1"/>
  <c r="W137" i="5" a="1"/>
  <c r="AA137" i="5" s="1"/>
  <c r="W136" i="5" a="1"/>
  <c r="W135" i="5" a="1"/>
  <c r="AA135" i="5" s="1"/>
  <c r="W134" i="5" a="1"/>
  <c r="W133" i="5" a="1"/>
  <c r="W132" i="5" a="1"/>
  <c r="AA132" i="5" s="1"/>
  <c r="W131" i="5" a="1"/>
  <c r="Y131" i="5" s="1"/>
  <c r="W130" i="5" a="1"/>
  <c r="W129" i="5" a="1"/>
  <c r="W128" i="5" a="1"/>
  <c r="W127" i="5" a="1"/>
  <c r="W126" i="5" a="1"/>
  <c r="W125" i="5" a="1"/>
  <c r="W124" i="5" a="1"/>
  <c r="AA124" i="5" s="1"/>
  <c r="W123" i="5" a="1"/>
  <c r="AA123" i="5" s="1"/>
  <c r="W122" i="5" a="1"/>
  <c r="AA122" i="5" s="1"/>
  <c r="W121" i="5" a="1"/>
  <c r="AA121" i="5" s="1"/>
  <c r="W120" i="5" a="1"/>
  <c r="W119" i="5" a="1"/>
  <c r="AA119" i="5" s="1"/>
  <c r="W118" i="5" a="1"/>
  <c r="W117" i="5" a="1"/>
  <c r="W116" i="5" a="1"/>
  <c r="AA116" i="5" s="1"/>
  <c r="W115" i="5" a="1"/>
  <c r="Y115" i="5" s="1"/>
  <c r="AG115" i="5" s="1"/>
  <c r="W114" i="5" a="1"/>
  <c r="AA114" i="5" s="1"/>
  <c r="W113" i="5" a="1"/>
  <c r="AA113" i="5" s="1"/>
  <c r="W112" i="5" a="1"/>
  <c r="AA112" i="5" s="1"/>
  <c r="W111" i="5" a="1"/>
  <c r="AA111" i="5" s="1"/>
  <c r="W110" i="5" a="1"/>
  <c r="W109" i="5" a="1"/>
  <c r="W108" i="5" a="1"/>
  <c r="AA108" i="5" s="1"/>
  <c r="W107" i="5" a="1"/>
  <c r="W106" i="5" a="1"/>
  <c r="W105" i="5" a="1"/>
  <c r="AA105" i="5" s="1"/>
  <c r="W104" i="5" a="1"/>
  <c r="W103" i="5" a="1"/>
  <c r="AA103" i="5" s="1"/>
  <c r="W102" i="5" a="1"/>
  <c r="W101" i="5" a="1"/>
  <c r="W100" i="5" a="1"/>
  <c r="W99" i="5" a="1"/>
  <c r="AA99" i="5" s="1"/>
  <c r="W98" i="5" a="1"/>
  <c r="AA98" i="5" s="1"/>
  <c r="W97" i="5" a="1"/>
  <c r="AA97" i="5" s="1"/>
  <c r="W96" i="5" a="1"/>
  <c r="AA96" i="5" s="1"/>
  <c r="W95" i="5" a="1"/>
  <c r="W94" i="5" a="1"/>
  <c r="W93" i="5" a="1"/>
  <c r="W92" i="5" a="1"/>
  <c r="W91" i="5" a="1"/>
  <c r="W90" i="5" a="1"/>
  <c r="W89" i="5" a="1"/>
  <c r="W88" i="5" a="1"/>
  <c r="W87" i="5" a="1"/>
  <c r="W86" i="5" a="1"/>
  <c r="W85" i="5" a="1"/>
  <c r="W84" i="5" a="1"/>
  <c r="W83" i="5" a="1"/>
  <c r="AA83" i="5" s="1"/>
  <c r="W82" i="5" a="1"/>
  <c r="AA82" i="5" s="1"/>
  <c r="W81" i="5" a="1"/>
  <c r="AA81" i="5" s="1"/>
  <c r="W80" i="5" a="1"/>
  <c r="AA80" i="5" s="1"/>
  <c r="W79" i="5" a="1"/>
  <c r="AA79" i="5" s="1"/>
  <c r="W78" i="5" a="1"/>
  <c r="AA78" i="5" s="1"/>
  <c r="W77" i="5" a="1"/>
  <c r="W76" i="5" a="1"/>
  <c r="AA76" i="5" s="1"/>
  <c r="W75" i="5" a="1"/>
  <c r="AA75" i="5" s="1"/>
  <c r="W74" i="5" a="1"/>
  <c r="AA74" i="5" s="1"/>
  <c r="W73" i="5" a="1"/>
  <c r="W72" i="5" a="1"/>
  <c r="W71" i="5" a="1"/>
  <c r="W70" i="5" a="1"/>
  <c r="W69" i="5" a="1"/>
  <c r="W68" i="5" a="1"/>
  <c r="W67" i="5" a="1"/>
  <c r="AA67" i="5" s="1"/>
  <c r="W66" i="5" a="1"/>
  <c r="AA66" i="5" s="1"/>
  <c r="W65" i="5" a="1"/>
  <c r="W64" i="5" a="1"/>
  <c r="AA64" i="5" s="1"/>
  <c r="W63" i="5" a="1"/>
  <c r="AA63" i="5" s="1"/>
  <c r="W62" i="5" a="1"/>
  <c r="AA62" i="5" s="1"/>
  <c r="W61" i="5" a="1"/>
  <c r="W60" i="5" a="1"/>
  <c r="AA60" i="5" s="1"/>
  <c r="W59" i="5" a="1"/>
  <c r="AA59" i="5" s="1"/>
  <c r="W58" i="5" a="1"/>
  <c r="AA58" i="5" s="1"/>
  <c r="W57" i="5" a="1"/>
  <c r="AA57" i="5" s="1"/>
  <c r="W56" i="5" a="1"/>
  <c r="W55" i="5" a="1"/>
  <c r="AA55" i="5" s="1"/>
  <c r="W54" i="5" a="1"/>
  <c r="W53" i="5" a="1"/>
  <c r="W52" i="5" a="1"/>
  <c r="W51" i="5" a="1"/>
  <c r="W50" i="5" a="1"/>
  <c r="AA50" i="5" s="1"/>
  <c r="W49" i="5" a="1"/>
  <c r="W48" i="5" a="1"/>
  <c r="W47" i="5" a="1"/>
  <c r="W46" i="5" a="1"/>
  <c r="W45" i="5" a="1"/>
  <c r="W44" i="5" a="1"/>
  <c r="W43" i="5" a="1"/>
  <c r="AA43" i="5" s="1"/>
  <c r="W42" i="5" a="1"/>
  <c r="AA42" i="5" s="1"/>
  <c r="W41" i="5" a="1"/>
  <c r="AA41" i="5" s="1"/>
  <c r="W40" i="5" a="1"/>
  <c r="W39" i="5" a="1"/>
  <c r="Y39" i="5" s="1"/>
  <c r="W38" i="5" a="1"/>
  <c r="W37" i="5" a="1"/>
  <c r="W36" i="5" a="1"/>
  <c r="AA36" i="5" s="1"/>
  <c r="W35" i="5" a="1"/>
  <c r="AA35" i="5" s="1"/>
  <c r="W34" i="5" a="1"/>
  <c r="AA34" i="5" s="1"/>
  <c r="W33" i="5" a="1"/>
  <c r="AA33" i="5" s="1"/>
  <c r="W32" i="5" a="1"/>
  <c r="W31" i="5" a="1"/>
  <c r="AA31" i="5" s="1"/>
  <c r="W30" i="5" a="1"/>
  <c r="W29" i="5" a="1"/>
  <c r="W28" i="5" a="1"/>
  <c r="AA28" i="5" s="1"/>
  <c r="W27" i="5" a="1"/>
  <c r="W26" i="5" a="1"/>
  <c r="AA26" i="5" s="1"/>
  <c r="W25" i="5" a="1"/>
  <c r="AA25" i="5" s="1"/>
  <c r="W24" i="5" a="1"/>
  <c r="W23" i="5" a="1"/>
  <c r="AA23" i="5" s="1"/>
  <c r="W22" i="5" a="1"/>
  <c r="W21" i="5" a="1"/>
  <c r="W20" i="5" a="1"/>
  <c r="AA20" i="5" s="1"/>
  <c r="W19" i="5" a="1"/>
  <c r="AA19" i="5" s="1"/>
  <c r="W18" i="5" a="1"/>
  <c r="W17" i="5" a="1"/>
  <c r="AA17" i="5" s="1"/>
  <c r="W16" i="5" a="1"/>
  <c r="AA16" i="5" s="1"/>
  <c r="W15" i="5" a="1"/>
  <c r="W14" i="5" a="1"/>
  <c r="AA14" i="5" s="1"/>
  <c r="W13" i="5" a="1"/>
  <c r="W12" i="5" a="1"/>
  <c r="W11" i="5" a="1"/>
  <c r="W10" i="5" a="1"/>
  <c r="W9" i="5" a="1"/>
  <c r="W8" i="5" a="1"/>
  <c r="W7" i="5" a="1"/>
  <c r="W6" i="5" a="1"/>
  <c r="W5" i="5" a="1"/>
  <c r="W4" i="5" a="1"/>
  <c r="AA4" i="5" s="1"/>
  <c r="AI53" i="5"/>
  <c r="AL53" i="5" s="1"/>
  <c r="AH584" i="5"/>
  <c r="AK584" i="5" s="1"/>
  <c r="AI680" i="5"/>
  <c r="AL680" i="5" s="1"/>
  <c r="AI741" i="5"/>
  <c r="AL741" i="5" s="1"/>
  <c r="R771" i="5"/>
  <c r="P771" i="5"/>
  <c r="R770" i="5"/>
  <c r="P770" i="5"/>
  <c r="R769" i="5"/>
  <c r="P769" i="5"/>
  <c r="R768" i="5"/>
  <c r="P768" i="5"/>
  <c r="R767" i="5"/>
  <c r="P767" i="5"/>
  <c r="R766" i="5"/>
  <c r="P766" i="5"/>
  <c r="R765" i="5"/>
  <c r="P765" i="5"/>
  <c r="R764" i="5"/>
  <c r="AM764" i="5" s="1"/>
  <c r="P764" i="5"/>
  <c r="R763" i="5"/>
  <c r="P763" i="5"/>
  <c r="R762" i="5"/>
  <c r="P762" i="5"/>
  <c r="R761" i="5"/>
  <c r="P761" i="5"/>
  <c r="R760" i="5"/>
  <c r="P760" i="5"/>
  <c r="R759" i="5"/>
  <c r="P759" i="5"/>
  <c r="R758" i="5"/>
  <c r="P758" i="5"/>
  <c r="R757" i="5"/>
  <c r="P757" i="5"/>
  <c r="R756" i="5"/>
  <c r="P756" i="5"/>
  <c r="R755" i="5"/>
  <c r="P755" i="5"/>
  <c r="R754" i="5"/>
  <c r="P754" i="5"/>
  <c r="R753" i="5"/>
  <c r="P753" i="5"/>
  <c r="R752" i="5"/>
  <c r="P752" i="5"/>
  <c r="R751" i="5"/>
  <c r="P751" i="5"/>
  <c r="R750" i="5"/>
  <c r="P750" i="5"/>
  <c r="R749" i="5"/>
  <c r="P749" i="5"/>
  <c r="R748" i="5"/>
  <c r="P748" i="5"/>
  <c r="R747" i="5"/>
  <c r="P747" i="5"/>
  <c r="R746" i="5"/>
  <c r="P746" i="5"/>
  <c r="R745" i="5"/>
  <c r="P745" i="5"/>
  <c r="R744" i="5"/>
  <c r="P744" i="5"/>
  <c r="R743" i="5"/>
  <c r="P743" i="5"/>
  <c r="R742" i="5"/>
  <c r="P742" i="5"/>
  <c r="R741" i="5"/>
  <c r="P741" i="5"/>
  <c r="R740" i="5"/>
  <c r="P740" i="5"/>
  <c r="R739" i="5"/>
  <c r="P739" i="5"/>
  <c r="R738" i="5"/>
  <c r="P738" i="5"/>
  <c r="R737" i="5"/>
  <c r="P737" i="5"/>
  <c r="R736" i="5"/>
  <c r="P736" i="5"/>
  <c r="R735" i="5"/>
  <c r="P735" i="5"/>
  <c r="R734" i="5"/>
  <c r="P734" i="5"/>
  <c r="R733" i="5"/>
  <c r="P733" i="5"/>
  <c r="R732" i="5"/>
  <c r="P732" i="5"/>
  <c r="R731" i="5"/>
  <c r="P731" i="5"/>
  <c r="R730" i="5"/>
  <c r="P730" i="5"/>
  <c r="R729" i="5"/>
  <c r="P729" i="5"/>
  <c r="R728" i="5"/>
  <c r="P728" i="5"/>
  <c r="R727" i="5"/>
  <c r="P727" i="5"/>
  <c r="R726" i="5"/>
  <c r="P726" i="5"/>
  <c r="R725" i="5"/>
  <c r="P725" i="5"/>
  <c r="R724" i="5"/>
  <c r="P724" i="5"/>
  <c r="R723" i="5"/>
  <c r="P723" i="5"/>
  <c r="R722" i="5"/>
  <c r="P722" i="5"/>
  <c r="R721" i="5"/>
  <c r="P721" i="5"/>
  <c r="R720" i="5"/>
  <c r="P720" i="5"/>
  <c r="R719" i="5"/>
  <c r="P719" i="5"/>
  <c r="R718" i="5"/>
  <c r="P718" i="5"/>
  <c r="R717" i="5"/>
  <c r="P717" i="5"/>
  <c r="R716" i="5"/>
  <c r="P716" i="5"/>
  <c r="R715" i="5"/>
  <c r="P715" i="5"/>
  <c r="R714" i="5"/>
  <c r="P714" i="5"/>
  <c r="R713" i="5"/>
  <c r="P713" i="5"/>
  <c r="R712" i="5"/>
  <c r="P712" i="5"/>
  <c r="R711" i="5"/>
  <c r="P711" i="5"/>
  <c r="R710" i="5"/>
  <c r="P710" i="5"/>
  <c r="R709" i="5"/>
  <c r="P709" i="5"/>
  <c r="R708" i="5"/>
  <c r="P708" i="5"/>
  <c r="R707" i="5"/>
  <c r="P707" i="5"/>
  <c r="R706" i="5"/>
  <c r="P706" i="5"/>
  <c r="R705" i="5"/>
  <c r="P705" i="5"/>
  <c r="R704" i="5"/>
  <c r="P704" i="5"/>
  <c r="R703" i="5"/>
  <c r="P703" i="5"/>
  <c r="R702" i="5"/>
  <c r="P702" i="5"/>
  <c r="R701" i="5"/>
  <c r="P701" i="5"/>
  <c r="R700" i="5"/>
  <c r="P700" i="5"/>
  <c r="R699" i="5"/>
  <c r="P699" i="5"/>
  <c r="R698" i="5"/>
  <c r="P698" i="5"/>
  <c r="R697" i="5"/>
  <c r="P697" i="5"/>
  <c r="R696" i="5"/>
  <c r="P696" i="5"/>
  <c r="R695" i="5"/>
  <c r="P695" i="5"/>
  <c r="R694" i="5"/>
  <c r="P694" i="5"/>
  <c r="R693" i="5"/>
  <c r="P693" i="5"/>
  <c r="R692" i="5"/>
  <c r="P692" i="5"/>
  <c r="R691" i="5"/>
  <c r="P691" i="5"/>
  <c r="R690" i="5"/>
  <c r="P690" i="5"/>
  <c r="R689" i="5"/>
  <c r="P689" i="5"/>
  <c r="R688" i="5"/>
  <c r="P688" i="5"/>
  <c r="R687" i="5"/>
  <c r="P687" i="5"/>
  <c r="R686" i="5"/>
  <c r="P686" i="5"/>
  <c r="R685" i="5"/>
  <c r="P685" i="5"/>
  <c r="R684" i="5"/>
  <c r="P684" i="5"/>
  <c r="R683" i="5"/>
  <c r="P683" i="5"/>
  <c r="R682" i="5"/>
  <c r="P682" i="5"/>
  <c r="R681" i="5"/>
  <c r="P681" i="5"/>
  <c r="R680" i="5"/>
  <c r="P680" i="5"/>
  <c r="R679" i="5"/>
  <c r="P679" i="5"/>
  <c r="R678" i="5"/>
  <c r="P678" i="5"/>
  <c r="R677" i="5"/>
  <c r="P677" i="5"/>
  <c r="R676" i="5"/>
  <c r="P676" i="5"/>
  <c r="R675" i="5"/>
  <c r="P675" i="5"/>
  <c r="R674" i="5"/>
  <c r="P674" i="5"/>
  <c r="R673" i="5"/>
  <c r="P673" i="5"/>
  <c r="R672" i="5"/>
  <c r="P672" i="5"/>
  <c r="R671" i="5"/>
  <c r="P671" i="5"/>
  <c r="R670" i="5"/>
  <c r="P670" i="5"/>
  <c r="R669" i="5"/>
  <c r="P669" i="5"/>
  <c r="R668" i="5"/>
  <c r="P668" i="5"/>
  <c r="R667" i="5"/>
  <c r="P667" i="5"/>
  <c r="R666" i="5"/>
  <c r="P666" i="5"/>
  <c r="R665" i="5"/>
  <c r="P665" i="5"/>
  <c r="R664" i="5"/>
  <c r="P664" i="5"/>
  <c r="R663" i="5"/>
  <c r="P663" i="5"/>
  <c r="R662" i="5"/>
  <c r="P662" i="5"/>
  <c r="R661" i="5"/>
  <c r="P661" i="5"/>
  <c r="R660" i="5"/>
  <c r="P660" i="5"/>
  <c r="R659" i="5"/>
  <c r="P659" i="5"/>
  <c r="R658" i="5"/>
  <c r="P658" i="5"/>
  <c r="R657" i="5"/>
  <c r="P657" i="5"/>
  <c r="R656" i="5"/>
  <c r="P656" i="5"/>
  <c r="R655" i="5"/>
  <c r="P655" i="5"/>
  <c r="R654" i="5"/>
  <c r="P654" i="5"/>
  <c r="R653" i="5"/>
  <c r="P653" i="5"/>
  <c r="R652" i="5"/>
  <c r="P652" i="5"/>
  <c r="R651" i="5"/>
  <c r="P651" i="5"/>
  <c r="R650" i="5"/>
  <c r="P650" i="5"/>
  <c r="R649" i="5"/>
  <c r="P649" i="5"/>
  <c r="R648" i="5"/>
  <c r="P648" i="5"/>
  <c r="R647" i="5"/>
  <c r="P647" i="5"/>
  <c r="R646" i="5"/>
  <c r="P646" i="5"/>
  <c r="R645" i="5"/>
  <c r="P645" i="5"/>
  <c r="R644" i="5"/>
  <c r="P644" i="5"/>
  <c r="R643" i="5"/>
  <c r="P643" i="5"/>
  <c r="R642" i="5"/>
  <c r="P642" i="5"/>
  <c r="R641" i="5"/>
  <c r="P641" i="5"/>
  <c r="R640" i="5"/>
  <c r="P640" i="5"/>
  <c r="R639" i="5"/>
  <c r="P639" i="5"/>
  <c r="R638" i="5"/>
  <c r="P638" i="5"/>
  <c r="R637" i="5"/>
  <c r="P637" i="5"/>
  <c r="R636" i="5"/>
  <c r="P636" i="5"/>
  <c r="R635" i="5"/>
  <c r="P635" i="5"/>
  <c r="R634" i="5"/>
  <c r="P634" i="5"/>
  <c r="R633" i="5"/>
  <c r="P633" i="5"/>
  <c r="R632" i="5"/>
  <c r="P632" i="5"/>
  <c r="R631" i="5"/>
  <c r="P631" i="5"/>
  <c r="R630" i="5"/>
  <c r="P630" i="5"/>
  <c r="R629" i="5"/>
  <c r="P629" i="5"/>
  <c r="R628" i="5"/>
  <c r="P628" i="5"/>
  <c r="R627" i="5"/>
  <c r="P627" i="5"/>
  <c r="R626" i="5"/>
  <c r="P626" i="5"/>
  <c r="R625" i="5"/>
  <c r="P625" i="5"/>
  <c r="R624" i="5"/>
  <c r="P624" i="5"/>
  <c r="R623" i="5"/>
  <c r="P623" i="5"/>
  <c r="R622" i="5"/>
  <c r="P622" i="5"/>
  <c r="R621" i="5"/>
  <c r="P621" i="5"/>
  <c r="R620" i="5"/>
  <c r="P620" i="5"/>
  <c r="R619" i="5"/>
  <c r="P619" i="5"/>
  <c r="R618" i="5"/>
  <c r="P618" i="5"/>
  <c r="R617" i="5"/>
  <c r="P617" i="5"/>
  <c r="R616" i="5"/>
  <c r="P616" i="5"/>
  <c r="R615" i="5"/>
  <c r="P615" i="5"/>
  <c r="R614" i="5"/>
  <c r="P614" i="5"/>
  <c r="R613" i="5"/>
  <c r="P613" i="5"/>
  <c r="R612" i="5"/>
  <c r="P612" i="5"/>
  <c r="R611" i="5"/>
  <c r="P611" i="5"/>
  <c r="R610" i="5"/>
  <c r="P610" i="5"/>
  <c r="R609" i="5"/>
  <c r="P609" i="5"/>
  <c r="R608" i="5"/>
  <c r="P608" i="5"/>
  <c r="R607" i="5"/>
  <c r="P607" i="5"/>
  <c r="R606" i="5"/>
  <c r="P606" i="5"/>
  <c r="R605" i="5"/>
  <c r="P605" i="5"/>
  <c r="R604" i="5"/>
  <c r="P604" i="5"/>
  <c r="R603" i="5"/>
  <c r="P603" i="5"/>
  <c r="R602" i="5"/>
  <c r="P602" i="5"/>
  <c r="R601" i="5"/>
  <c r="P601" i="5"/>
  <c r="R600" i="5"/>
  <c r="P600" i="5"/>
  <c r="R599" i="5"/>
  <c r="P599" i="5"/>
  <c r="R598" i="5"/>
  <c r="P598" i="5"/>
  <c r="R597" i="5"/>
  <c r="P597" i="5"/>
  <c r="R596" i="5"/>
  <c r="P596" i="5"/>
  <c r="R595" i="5"/>
  <c r="P595" i="5"/>
  <c r="R594" i="5"/>
  <c r="P594" i="5"/>
  <c r="R593" i="5"/>
  <c r="P593" i="5"/>
  <c r="R592" i="5"/>
  <c r="P592" i="5"/>
  <c r="R591" i="5"/>
  <c r="P591" i="5"/>
  <c r="R590" i="5"/>
  <c r="P590" i="5"/>
  <c r="R589" i="5"/>
  <c r="P589" i="5"/>
  <c r="R588" i="5"/>
  <c r="P588" i="5"/>
  <c r="R587" i="5"/>
  <c r="P587" i="5"/>
  <c r="R586" i="5"/>
  <c r="P586" i="5"/>
  <c r="R585" i="5"/>
  <c r="P585" i="5"/>
  <c r="R584" i="5"/>
  <c r="P584" i="5"/>
  <c r="R583" i="5"/>
  <c r="P583" i="5"/>
  <c r="R582" i="5"/>
  <c r="P582" i="5"/>
  <c r="R581" i="5"/>
  <c r="P581" i="5"/>
  <c r="R580" i="5"/>
  <c r="P580" i="5"/>
  <c r="R579" i="5"/>
  <c r="P579" i="5"/>
  <c r="R578" i="5"/>
  <c r="P578" i="5"/>
  <c r="R577" i="5"/>
  <c r="P577" i="5"/>
  <c r="R576" i="5"/>
  <c r="P576" i="5"/>
  <c r="R575" i="5"/>
  <c r="P575" i="5"/>
  <c r="R574" i="5"/>
  <c r="P574" i="5"/>
  <c r="R573" i="5"/>
  <c r="P573" i="5"/>
  <c r="R572" i="5"/>
  <c r="P572" i="5"/>
  <c r="R571" i="5"/>
  <c r="P571" i="5"/>
  <c r="R570" i="5"/>
  <c r="P570" i="5"/>
  <c r="R569" i="5"/>
  <c r="P569" i="5"/>
  <c r="R568" i="5"/>
  <c r="P568" i="5"/>
  <c r="R567" i="5"/>
  <c r="P567" i="5"/>
  <c r="R566" i="5"/>
  <c r="P566" i="5"/>
  <c r="R565" i="5"/>
  <c r="P565" i="5"/>
  <c r="R564" i="5"/>
  <c r="P564" i="5"/>
  <c r="R563" i="5"/>
  <c r="P563" i="5"/>
  <c r="R562" i="5"/>
  <c r="P562" i="5"/>
  <c r="R561" i="5"/>
  <c r="P561" i="5"/>
  <c r="R560" i="5"/>
  <c r="P560" i="5"/>
  <c r="R559" i="5"/>
  <c r="P559" i="5"/>
  <c r="R558" i="5"/>
  <c r="P558" i="5"/>
  <c r="R557" i="5"/>
  <c r="P557" i="5"/>
  <c r="R556" i="5"/>
  <c r="P556" i="5"/>
  <c r="R555" i="5"/>
  <c r="P555" i="5"/>
  <c r="R554" i="5"/>
  <c r="P554" i="5"/>
  <c r="R553" i="5"/>
  <c r="P553" i="5"/>
  <c r="R552" i="5"/>
  <c r="P552" i="5"/>
  <c r="R551" i="5"/>
  <c r="P551" i="5"/>
  <c r="R550" i="5"/>
  <c r="P550" i="5"/>
  <c r="R549" i="5"/>
  <c r="P549" i="5"/>
  <c r="R548" i="5"/>
  <c r="P548" i="5"/>
  <c r="R547" i="5"/>
  <c r="P547" i="5"/>
  <c r="R546" i="5"/>
  <c r="P546" i="5"/>
  <c r="R545" i="5"/>
  <c r="P545" i="5"/>
  <c r="R544" i="5"/>
  <c r="P544" i="5"/>
  <c r="R543" i="5"/>
  <c r="P543" i="5"/>
  <c r="R542" i="5"/>
  <c r="P542" i="5"/>
  <c r="R541" i="5"/>
  <c r="P541" i="5"/>
  <c r="R540" i="5"/>
  <c r="P540" i="5"/>
  <c r="R539" i="5"/>
  <c r="P539" i="5"/>
  <c r="R538" i="5"/>
  <c r="P538" i="5"/>
  <c r="R537" i="5"/>
  <c r="P537" i="5"/>
  <c r="R536" i="5"/>
  <c r="P536" i="5"/>
  <c r="R535" i="5"/>
  <c r="P535" i="5"/>
  <c r="R534" i="5"/>
  <c r="P534" i="5"/>
  <c r="R533" i="5"/>
  <c r="P533" i="5"/>
  <c r="R532" i="5"/>
  <c r="P532" i="5"/>
  <c r="R531" i="5"/>
  <c r="P531" i="5"/>
  <c r="R530" i="5"/>
  <c r="P530" i="5"/>
  <c r="R529" i="5"/>
  <c r="P529" i="5"/>
  <c r="R528" i="5"/>
  <c r="P528" i="5"/>
  <c r="R527" i="5"/>
  <c r="P527" i="5"/>
  <c r="R526" i="5"/>
  <c r="P526" i="5"/>
  <c r="R525" i="5"/>
  <c r="P525" i="5"/>
  <c r="R524" i="5"/>
  <c r="P524" i="5"/>
  <c r="R523" i="5"/>
  <c r="P523" i="5"/>
  <c r="R522" i="5"/>
  <c r="P522" i="5"/>
  <c r="R521" i="5"/>
  <c r="P521" i="5"/>
  <c r="R520" i="5"/>
  <c r="P520" i="5"/>
  <c r="R519" i="5"/>
  <c r="P519" i="5"/>
  <c r="R518" i="5"/>
  <c r="P518" i="5"/>
  <c r="R517" i="5"/>
  <c r="P517" i="5"/>
  <c r="R516" i="5"/>
  <c r="P516" i="5"/>
  <c r="R515" i="5"/>
  <c r="P515" i="5"/>
  <c r="R514" i="5"/>
  <c r="P514" i="5"/>
  <c r="R513" i="5"/>
  <c r="P513" i="5"/>
  <c r="R512" i="5"/>
  <c r="P512" i="5"/>
  <c r="R511" i="5"/>
  <c r="P511" i="5"/>
  <c r="R510" i="5"/>
  <c r="P510" i="5"/>
  <c r="R509" i="5"/>
  <c r="P509" i="5"/>
  <c r="R508" i="5"/>
  <c r="P508" i="5"/>
  <c r="R507" i="5"/>
  <c r="P507" i="5"/>
  <c r="R506" i="5"/>
  <c r="P506" i="5"/>
  <c r="R505" i="5"/>
  <c r="P505" i="5"/>
  <c r="R504" i="5"/>
  <c r="P504" i="5"/>
  <c r="R503" i="5"/>
  <c r="P503" i="5"/>
  <c r="R502" i="5"/>
  <c r="P502" i="5"/>
  <c r="R501" i="5"/>
  <c r="P501" i="5"/>
  <c r="R500" i="5"/>
  <c r="P500" i="5"/>
  <c r="R499" i="5"/>
  <c r="AM499" i="5" s="1"/>
  <c r="P499" i="5"/>
  <c r="R498" i="5"/>
  <c r="P498" i="5"/>
  <c r="R497" i="5"/>
  <c r="P497" i="5"/>
  <c r="R496" i="5"/>
  <c r="P496" i="5"/>
  <c r="R495" i="5"/>
  <c r="P495" i="5"/>
  <c r="R494" i="5"/>
  <c r="P494" i="5"/>
  <c r="R493" i="5"/>
  <c r="P493" i="5"/>
  <c r="R492" i="5"/>
  <c r="P492" i="5"/>
  <c r="R491" i="5"/>
  <c r="P491" i="5"/>
  <c r="R490" i="5"/>
  <c r="P490" i="5"/>
  <c r="R489" i="5"/>
  <c r="P489" i="5"/>
  <c r="R488" i="5"/>
  <c r="P488" i="5"/>
  <c r="R487" i="5"/>
  <c r="P487" i="5"/>
  <c r="R486" i="5"/>
  <c r="P486" i="5"/>
  <c r="R485" i="5"/>
  <c r="P485" i="5"/>
  <c r="R484" i="5"/>
  <c r="P484" i="5"/>
  <c r="R483" i="5"/>
  <c r="P483" i="5"/>
  <c r="R482" i="5"/>
  <c r="AM482" i="5" s="1"/>
  <c r="P482" i="5"/>
  <c r="R481" i="5"/>
  <c r="P481" i="5"/>
  <c r="R480" i="5"/>
  <c r="P480" i="5"/>
  <c r="R479" i="5"/>
  <c r="P479" i="5"/>
  <c r="R478" i="5"/>
  <c r="P478" i="5"/>
  <c r="R477" i="5"/>
  <c r="P477" i="5"/>
  <c r="R476" i="5"/>
  <c r="P476" i="5"/>
  <c r="R475" i="5"/>
  <c r="P475" i="5"/>
  <c r="R474" i="5"/>
  <c r="P474" i="5"/>
  <c r="R473" i="5"/>
  <c r="P473" i="5"/>
  <c r="R472" i="5"/>
  <c r="P472" i="5"/>
  <c r="R471" i="5"/>
  <c r="P471" i="5"/>
  <c r="R470" i="5"/>
  <c r="P470" i="5"/>
  <c r="R469" i="5"/>
  <c r="P469" i="5"/>
  <c r="R468" i="5"/>
  <c r="P468" i="5"/>
  <c r="R467" i="5"/>
  <c r="P467" i="5"/>
  <c r="R466" i="5"/>
  <c r="P466" i="5"/>
  <c r="R465" i="5"/>
  <c r="P465" i="5"/>
  <c r="R464" i="5"/>
  <c r="P464" i="5"/>
  <c r="R463" i="5"/>
  <c r="P463" i="5"/>
  <c r="R462" i="5"/>
  <c r="P462" i="5"/>
  <c r="R461" i="5"/>
  <c r="P461" i="5"/>
  <c r="R460" i="5"/>
  <c r="P460" i="5"/>
  <c r="R459" i="5"/>
  <c r="P459" i="5"/>
  <c r="R458" i="5"/>
  <c r="P458" i="5"/>
  <c r="R457" i="5"/>
  <c r="P457" i="5"/>
  <c r="R456" i="5"/>
  <c r="P456" i="5"/>
  <c r="R455" i="5"/>
  <c r="P455" i="5"/>
  <c r="R454" i="5"/>
  <c r="P454" i="5"/>
  <c r="R453" i="5"/>
  <c r="P453" i="5"/>
  <c r="R452" i="5"/>
  <c r="P452" i="5"/>
  <c r="R451" i="5"/>
  <c r="P451" i="5"/>
  <c r="R450" i="5"/>
  <c r="P450" i="5"/>
  <c r="R449" i="5"/>
  <c r="P449" i="5"/>
  <c r="R448" i="5"/>
  <c r="P448" i="5"/>
  <c r="R447" i="5"/>
  <c r="P447" i="5"/>
  <c r="R446" i="5"/>
  <c r="P446" i="5"/>
  <c r="R445" i="5"/>
  <c r="P445" i="5"/>
  <c r="R444" i="5"/>
  <c r="P444" i="5"/>
  <c r="R443" i="5"/>
  <c r="P443" i="5"/>
  <c r="R442" i="5"/>
  <c r="P442" i="5"/>
  <c r="R441" i="5"/>
  <c r="P441" i="5"/>
  <c r="R440" i="5"/>
  <c r="P440" i="5"/>
  <c r="R439" i="5"/>
  <c r="P439" i="5"/>
  <c r="R438" i="5"/>
  <c r="P438" i="5"/>
  <c r="R437" i="5"/>
  <c r="P437" i="5"/>
  <c r="R436" i="5"/>
  <c r="P436" i="5"/>
  <c r="R435" i="5"/>
  <c r="P435" i="5"/>
  <c r="R434" i="5"/>
  <c r="P434" i="5"/>
  <c r="R433" i="5"/>
  <c r="P433" i="5"/>
  <c r="R432" i="5"/>
  <c r="P432" i="5"/>
  <c r="R431" i="5"/>
  <c r="P431" i="5"/>
  <c r="R430" i="5"/>
  <c r="P430" i="5"/>
  <c r="R429" i="5"/>
  <c r="P429" i="5"/>
  <c r="R428" i="5"/>
  <c r="P428" i="5"/>
  <c r="R427" i="5"/>
  <c r="P427" i="5"/>
  <c r="R426" i="5"/>
  <c r="P426" i="5"/>
  <c r="R425" i="5"/>
  <c r="P425" i="5"/>
  <c r="R424" i="5"/>
  <c r="P424" i="5"/>
  <c r="R423" i="5"/>
  <c r="P423" i="5"/>
  <c r="R422" i="5"/>
  <c r="P422" i="5"/>
  <c r="R421" i="5"/>
  <c r="P421" i="5"/>
  <c r="R420" i="5"/>
  <c r="P420" i="5"/>
  <c r="R419" i="5"/>
  <c r="P419" i="5"/>
  <c r="R418" i="5"/>
  <c r="AM418" i="5" s="1"/>
  <c r="P418" i="5"/>
  <c r="R417" i="5"/>
  <c r="P417" i="5"/>
  <c r="R416" i="5"/>
  <c r="P416" i="5"/>
  <c r="R415" i="5"/>
  <c r="P415" i="5"/>
  <c r="R414" i="5"/>
  <c r="P414" i="5"/>
  <c r="R413" i="5"/>
  <c r="P413" i="5"/>
  <c r="R412" i="5"/>
  <c r="P412" i="5"/>
  <c r="R411" i="5"/>
  <c r="P411" i="5"/>
  <c r="R410" i="5"/>
  <c r="P410" i="5"/>
  <c r="R409" i="5"/>
  <c r="P409" i="5"/>
  <c r="R408" i="5"/>
  <c r="P408" i="5"/>
  <c r="R407" i="5"/>
  <c r="P407" i="5"/>
  <c r="R406" i="5"/>
  <c r="P406" i="5"/>
  <c r="R405" i="5"/>
  <c r="P405" i="5"/>
  <c r="R404" i="5"/>
  <c r="P404" i="5"/>
  <c r="R403" i="5"/>
  <c r="P403" i="5"/>
  <c r="R402" i="5"/>
  <c r="P402" i="5"/>
  <c r="R401" i="5"/>
  <c r="P401" i="5"/>
  <c r="R400" i="5"/>
  <c r="P400" i="5"/>
  <c r="R399" i="5"/>
  <c r="P399" i="5"/>
  <c r="R398" i="5"/>
  <c r="P398" i="5"/>
  <c r="R397" i="5"/>
  <c r="P397" i="5"/>
  <c r="R396" i="5"/>
  <c r="P396" i="5"/>
  <c r="R395" i="5"/>
  <c r="P395" i="5"/>
  <c r="R394" i="5"/>
  <c r="P394" i="5"/>
  <c r="R393" i="5"/>
  <c r="P393" i="5"/>
  <c r="R392" i="5"/>
  <c r="P392" i="5"/>
  <c r="R391" i="5"/>
  <c r="P391" i="5"/>
  <c r="R390" i="5"/>
  <c r="P390" i="5"/>
  <c r="R389" i="5"/>
  <c r="P389" i="5"/>
  <c r="R388" i="5"/>
  <c r="P388" i="5"/>
  <c r="R387" i="5"/>
  <c r="P387" i="5"/>
  <c r="R386" i="5"/>
  <c r="P386" i="5"/>
  <c r="R385" i="5"/>
  <c r="P385" i="5"/>
  <c r="R384" i="5"/>
  <c r="P384" i="5"/>
  <c r="R383" i="5"/>
  <c r="P383" i="5"/>
  <c r="R382" i="5"/>
  <c r="P382" i="5"/>
  <c r="R381" i="5"/>
  <c r="P381" i="5"/>
  <c r="R380" i="5"/>
  <c r="P380" i="5"/>
  <c r="R379" i="5"/>
  <c r="P379" i="5"/>
  <c r="R378" i="5"/>
  <c r="P378" i="5"/>
  <c r="R377" i="5"/>
  <c r="P377" i="5"/>
  <c r="R376" i="5"/>
  <c r="P376" i="5"/>
  <c r="R375" i="5"/>
  <c r="P375" i="5"/>
  <c r="R374" i="5"/>
  <c r="P374" i="5"/>
  <c r="R373" i="5"/>
  <c r="P373" i="5"/>
  <c r="R372" i="5"/>
  <c r="P372" i="5"/>
  <c r="R371" i="5"/>
  <c r="P371" i="5"/>
  <c r="R370" i="5"/>
  <c r="P370" i="5"/>
  <c r="R369" i="5"/>
  <c r="P369" i="5"/>
  <c r="R368" i="5"/>
  <c r="P368" i="5"/>
  <c r="R367" i="5"/>
  <c r="P367" i="5"/>
  <c r="R366" i="5"/>
  <c r="P366" i="5"/>
  <c r="R365" i="5"/>
  <c r="P365" i="5"/>
  <c r="R364" i="5"/>
  <c r="AM364" i="5" s="1"/>
  <c r="P364" i="5"/>
  <c r="R363" i="5"/>
  <c r="P363" i="5"/>
  <c r="R362" i="5"/>
  <c r="P362" i="5"/>
  <c r="R361" i="5"/>
  <c r="P361" i="5"/>
  <c r="R360" i="5"/>
  <c r="P360" i="5"/>
  <c r="R359" i="5"/>
  <c r="P359" i="5"/>
  <c r="R358" i="5"/>
  <c r="P358" i="5"/>
  <c r="R357" i="5"/>
  <c r="P357" i="5"/>
  <c r="R356" i="5"/>
  <c r="P356" i="5"/>
  <c r="R355" i="5"/>
  <c r="P355" i="5"/>
  <c r="R354" i="5"/>
  <c r="P354" i="5"/>
  <c r="R353" i="5"/>
  <c r="P353" i="5"/>
  <c r="R352" i="5"/>
  <c r="P352" i="5"/>
  <c r="R351" i="5"/>
  <c r="P351" i="5"/>
  <c r="R350" i="5"/>
  <c r="P350" i="5"/>
  <c r="R349" i="5"/>
  <c r="P349" i="5"/>
  <c r="R348" i="5"/>
  <c r="P348" i="5"/>
  <c r="R347" i="5"/>
  <c r="P347" i="5"/>
  <c r="R346" i="5"/>
  <c r="P346" i="5"/>
  <c r="R345" i="5"/>
  <c r="P345" i="5"/>
  <c r="R344" i="5"/>
  <c r="P344" i="5"/>
  <c r="R343" i="5"/>
  <c r="P343" i="5"/>
  <c r="R342" i="5"/>
  <c r="P342" i="5"/>
  <c r="R341" i="5"/>
  <c r="P341" i="5"/>
  <c r="R340" i="5"/>
  <c r="P340" i="5"/>
  <c r="R339" i="5"/>
  <c r="P339" i="5"/>
  <c r="R338" i="5"/>
  <c r="P338" i="5"/>
  <c r="R337" i="5"/>
  <c r="P337" i="5"/>
  <c r="R336" i="5"/>
  <c r="P336" i="5"/>
  <c r="R335" i="5"/>
  <c r="P335" i="5"/>
  <c r="R334" i="5"/>
  <c r="P334" i="5"/>
  <c r="R333" i="5"/>
  <c r="P333" i="5"/>
  <c r="R332" i="5"/>
  <c r="P332" i="5"/>
  <c r="R331" i="5"/>
  <c r="P331" i="5"/>
  <c r="R330" i="5"/>
  <c r="P330" i="5"/>
  <c r="R329" i="5"/>
  <c r="P329" i="5"/>
  <c r="R328" i="5"/>
  <c r="P328" i="5"/>
  <c r="R327" i="5"/>
  <c r="P327" i="5"/>
  <c r="R326" i="5"/>
  <c r="P326" i="5"/>
  <c r="R325" i="5"/>
  <c r="P325" i="5"/>
  <c r="R324" i="5"/>
  <c r="P324" i="5"/>
  <c r="R323" i="5"/>
  <c r="P323" i="5"/>
  <c r="R322" i="5"/>
  <c r="P322" i="5"/>
  <c r="R321" i="5"/>
  <c r="P321" i="5"/>
  <c r="R320" i="5"/>
  <c r="P320" i="5"/>
  <c r="R319" i="5"/>
  <c r="P319" i="5"/>
  <c r="R318" i="5"/>
  <c r="P318" i="5"/>
  <c r="R317" i="5"/>
  <c r="P317" i="5"/>
  <c r="R316" i="5"/>
  <c r="P316" i="5"/>
  <c r="R315" i="5"/>
  <c r="P315" i="5"/>
  <c r="R314" i="5"/>
  <c r="P314" i="5"/>
  <c r="R313" i="5"/>
  <c r="P313" i="5"/>
  <c r="R312" i="5"/>
  <c r="P312" i="5"/>
  <c r="R311" i="5"/>
  <c r="P311" i="5"/>
  <c r="R310" i="5"/>
  <c r="P310" i="5"/>
  <c r="R309" i="5"/>
  <c r="P309" i="5"/>
  <c r="R308" i="5"/>
  <c r="P308" i="5"/>
  <c r="R307" i="5"/>
  <c r="P307" i="5"/>
  <c r="R306" i="5"/>
  <c r="P306" i="5"/>
  <c r="R305" i="5"/>
  <c r="P305" i="5"/>
  <c r="R304" i="5"/>
  <c r="P304" i="5"/>
  <c r="R303" i="5"/>
  <c r="P303" i="5"/>
  <c r="R302" i="5"/>
  <c r="P302" i="5"/>
  <c r="R301" i="5"/>
  <c r="P301" i="5"/>
  <c r="R300" i="5"/>
  <c r="P300" i="5"/>
  <c r="R299" i="5"/>
  <c r="P299" i="5"/>
  <c r="R298" i="5"/>
  <c r="P298" i="5"/>
  <c r="R297" i="5"/>
  <c r="P297" i="5"/>
  <c r="R296" i="5"/>
  <c r="P296" i="5"/>
  <c r="R295" i="5"/>
  <c r="P295" i="5"/>
  <c r="R294" i="5"/>
  <c r="P294" i="5"/>
  <c r="R293" i="5"/>
  <c r="P293" i="5"/>
  <c r="R292" i="5"/>
  <c r="P292" i="5"/>
  <c r="R291" i="5"/>
  <c r="AM291" i="5" s="1"/>
  <c r="P291" i="5"/>
  <c r="R290" i="5"/>
  <c r="P290" i="5"/>
  <c r="R289" i="5"/>
  <c r="P289" i="5"/>
  <c r="R288" i="5"/>
  <c r="P288" i="5"/>
  <c r="R287" i="5"/>
  <c r="P287" i="5"/>
  <c r="R286" i="5"/>
  <c r="P286" i="5"/>
  <c r="R285" i="5"/>
  <c r="P285" i="5"/>
  <c r="R284" i="5"/>
  <c r="P284" i="5"/>
  <c r="R283" i="5"/>
  <c r="P283" i="5"/>
  <c r="R282" i="5"/>
  <c r="P282" i="5"/>
  <c r="R281" i="5"/>
  <c r="P281" i="5"/>
  <c r="R280" i="5"/>
  <c r="P280" i="5"/>
  <c r="R279" i="5"/>
  <c r="P279" i="5"/>
  <c r="R278" i="5"/>
  <c r="P278" i="5"/>
  <c r="R277" i="5"/>
  <c r="P277" i="5"/>
  <c r="R276" i="5"/>
  <c r="P276" i="5"/>
  <c r="R275" i="5"/>
  <c r="P275" i="5"/>
  <c r="R274" i="5"/>
  <c r="P274" i="5"/>
  <c r="R273" i="5"/>
  <c r="P273" i="5"/>
  <c r="R272" i="5"/>
  <c r="P272" i="5"/>
  <c r="R271" i="5"/>
  <c r="P271" i="5"/>
  <c r="R270" i="5"/>
  <c r="P270" i="5"/>
  <c r="R269" i="5"/>
  <c r="P269" i="5"/>
  <c r="R268" i="5"/>
  <c r="P268" i="5"/>
  <c r="R267" i="5"/>
  <c r="P267" i="5"/>
  <c r="R266" i="5"/>
  <c r="P266" i="5"/>
  <c r="R265" i="5"/>
  <c r="P265" i="5"/>
  <c r="R264" i="5"/>
  <c r="P264" i="5"/>
  <c r="R263" i="5"/>
  <c r="P263" i="5"/>
  <c r="R262" i="5"/>
  <c r="P262" i="5"/>
  <c r="R261" i="5"/>
  <c r="P261" i="5"/>
  <c r="R260" i="5"/>
  <c r="P260" i="5"/>
  <c r="R259" i="5"/>
  <c r="P259" i="5"/>
  <c r="R258" i="5"/>
  <c r="P258" i="5"/>
  <c r="R257" i="5"/>
  <c r="P257" i="5"/>
  <c r="R256" i="5"/>
  <c r="P256" i="5"/>
  <c r="R255" i="5"/>
  <c r="P255" i="5"/>
  <c r="R254" i="5"/>
  <c r="P254" i="5"/>
  <c r="R253" i="5"/>
  <c r="P253" i="5"/>
  <c r="R252" i="5"/>
  <c r="P252" i="5"/>
  <c r="R251" i="5"/>
  <c r="P251" i="5"/>
  <c r="R250" i="5"/>
  <c r="P250" i="5"/>
  <c r="R249" i="5"/>
  <c r="P249" i="5"/>
  <c r="R248" i="5"/>
  <c r="P248" i="5"/>
  <c r="R247" i="5"/>
  <c r="P247" i="5"/>
  <c r="R246" i="5"/>
  <c r="P246" i="5"/>
  <c r="R245" i="5"/>
  <c r="P245" i="5"/>
  <c r="R244" i="5"/>
  <c r="P244" i="5"/>
  <c r="R243" i="5"/>
  <c r="P243" i="5"/>
  <c r="R242" i="5"/>
  <c r="P242" i="5"/>
  <c r="R241" i="5"/>
  <c r="P241" i="5"/>
  <c r="R240" i="5"/>
  <c r="P240" i="5"/>
  <c r="R239" i="5"/>
  <c r="P239" i="5"/>
  <c r="R238" i="5"/>
  <c r="P238" i="5"/>
  <c r="R237" i="5"/>
  <c r="P237" i="5"/>
  <c r="R236" i="5"/>
  <c r="P236" i="5"/>
  <c r="R235" i="5"/>
  <c r="P235" i="5"/>
  <c r="R234" i="5"/>
  <c r="P234" i="5"/>
  <c r="R233" i="5"/>
  <c r="P233" i="5"/>
  <c r="R232" i="5"/>
  <c r="P232" i="5"/>
  <c r="R231" i="5"/>
  <c r="P231" i="5"/>
  <c r="R230" i="5"/>
  <c r="P230" i="5"/>
  <c r="R229" i="5"/>
  <c r="P229" i="5"/>
  <c r="R228" i="5"/>
  <c r="P228" i="5"/>
  <c r="R227" i="5"/>
  <c r="P227" i="5"/>
  <c r="R226" i="5"/>
  <c r="P226" i="5"/>
  <c r="R225" i="5"/>
  <c r="P225" i="5"/>
  <c r="R224" i="5"/>
  <c r="P224" i="5"/>
  <c r="R223" i="5"/>
  <c r="P223" i="5"/>
  <c r="R222" i="5"/>
  <c r="P222" i="5"/>
  <c r="R221" i="5"/>
  <c r="P221" i="5"/>
  <c r="R220" i="5"/>
  <c r="P220" i="5"/>
  <c r="R219" i="5"/>
  <c r="P219" i="5"/>
  <c r="R218" i="5"/>
  <c r="P218" i="5"/>
  <c r="R217" i="5"/>
  <c r="P217" i="5"/>
  <c r="R216" i="5"/>
  <c r="P216" i="5"/>
  <c r="R215" i="5"/>
  <c r="P215" i="5"/>
  <c r="R214" i="5"/>
  <c r="P214" i="5"/>
  <c r="R213" i="5"/>
  <c r="P213" i="5"/>
  <c r="R212" i="5"/>
  <c r="P212" i="5"/>
  <c r="R211" i="5"/>
  <c r="P211" i="5"/>
  <c r="R210" i="5"/>
  <c r="P210" i="5"/>
  <c r="R209" i="5"/>
  <c r="P209" i="5"/>
  <c r="R208" i="5"/>
  <c r="P208" i="5"/>
  <c r="R207" i="5"/>
  <c r="P207" i="5"/>
  <c r="R206" i="5"/>
  <c r="P206" i="5"/>
  <c r="R205" i="5"/>
  <c r="P205" i="5"/>
  <c r="R204" i="5"/>
  <c r="P204" i="5"/>
  <c r="R203" i="5"/>
  <c r="P203" i="5"/>
  <c r="R202" i="5"/>
  <c r="P202" i="5"/>
  <c r="R201" i="5"/>
  <c r="P201" i="5"/>
  <c r="R200" i="5"/>
  <c r="P200" i="5"/>
  <c r="R199" i="5"/>
  <c r="P199" i="5"/>
  <c r="R198" i="5"/>
  <c r="P198" i="5"/>
  <c r="R197" i="5"/>
  <c r="P197" i="5"/>
  <c r="R196" i="5"/>
  <c r="P196" i="5"/>
  <c r="R195" i="5"/>
  <c r="P195" i="5"/>
  <c r="R194" i="5"/>
  <c r="P194" i="5"/>
  <c r="R193" i="5"/>
  <c r="P193" i="5"/>
  <c r="R192" i="5"/>
  <c r="P192" i="5"/>
  <c r="R191" i="5"/>
  <c r="P191" i="5"/>
  <c r="R190" i="5"/>
  <c r="P190" i="5"/>
  <c r="R189" i="5"/>
  <c r="P189" i="5"/>
  <c r="R188" i="5"/>
  <c r="P188" i="5"/>
  <c r="R187" i="5"/>
  <c r="P187" i="5"/>
  <c r="R186" i="5"/>
  <c r="P186" i="5"/>
  <c r="R185" i="5"/>
  <c r="P185" i="5"/>
  <c r="R184" i="5"/>
  <c r="P184" i="5"/>
  <c r="R183" i="5"/>
  <c r="P183" i="5"/>
  <c r="R182" i="5"/>
  <c r="P182" i="5"/>
  <c r="R181" i="5"/>
  <c r="P181" i="5"/>
  <c r="R180" i="5"/>
  <c r="P180" i="5"/>
  <c r="R179" i="5"/>
  <c r="P179" i="5"/>
  <c r="R178" i="5"/>
  <c r="P178" i="5"/>
  <c r="R177" i="5"/>
  <c r="P177" i="5"/>
  <c r="R176" i="5"/>
  <c r="P176" i="5"/>
  <c r="R175" i="5"/>
  <c r="P175" i="5"/>
  <c r="R174" i="5"/>
  <c r="P174" i="5"/>
  <c r="R173" i="5"/>
  <c r="P173" i="5"/>
  <c r="R172" i="5"/>
  <c r="P172" i="5"/>
  <c r="R171" i="5"/>
  <c r="P171" i="5"/>
  <c r="R170" i="5"/>
  <c r="P170" i="5"/>
  <c r="R169" i="5"/>
  <c r="P169" i="5"/>
  <c r="R168" i="5"/>
  <c r="P168" i="5"/>
  <c r="R167" i="5"/>
  <c r="P167" i="5"/>
  <c r="R166" i="5"/>
  <c r="P166" i="5"/>
  <c r="R165" i="5"/>
  <c r="P165" i="5"/>
  <c r="R164" i="5"/>
  <c r="P164" i="5"/>
  <c r="R163" i="5"/>
  <c r="P163" i="5"/>
  <c r="R162" i="5"/>
  <c r="P162" i="5"/>
  <c r="R161" i="5"/>
  <c r="P161" i="5"/>
  <c r="R160" i="5"/>
  <c r="P160" i="5"/>
  <c r="R159" i="5"/>
  <c r="P159" i="5"/>
  <c r="R158" i="5"/>
  <c r="P158" i="5"/>
  <c r="R157" i="5"/>
  <c r="P157" i="5"/>
  <c r="R156" i="5"/>
  <c r="P156" i="5"/>
  <c r="R155" i="5"/>
  <c r="P155" i="5"/>
  <c r="R154" i="5"/>
  <c r="P154" i="5"/>
  <c r="R153" i="5"/>
  <c r="P153" i="5"/>
  <c r="R152" i="5"/>
  <c r="P152" i="5"/>
  <c r="R151" i="5"/>
  <c r="P151" i="5"/>
  <c r="R150" i="5"/>
  <c r="P150" i="5"/>
  <c r="R149" i="5"/>
  <c r="P149" i="5"/>
  <c r="R148" i="5"/>
  <c r="P148" i="5"/>
  <c r="R147" i="5"/>
  <c r="P147" i="5"/>
  <c r="R146" i="5"/>
  <c r="P146" i="5"/>
  <c r="R145" i="5"/>
  <c r="P145" i="5"/>
  <c r="R144" i="5"/>
  <c r="P144" i="5"/>
  <c r="R143" i="5"/>
  <c r="P143" i="5"/>
  <c r="R142" i="5"/>
  <c r="P142" i="5"/>
  <c r="R141" i="5"/>
  <c r="P141" i="5"/>
  <c r="R140" i="5"/>
  <c r="P140" i="5"/>
  <c r="R139" i="5"/>
  <c r="P139" i="5"/>
  <c r="R138" i="5"/>
  <c r="P138" i="5"/>
  <c r="R137" i="5"/>
  <c r="P137" i="5"/>
  <c r="R136" i="5"/>
  <c r="P136" i="5"/>
  <c r="R135" i="5"/>
  <c r="P135" i="5"/>
  <c r="R134" i="5"/>
  <c r="P134" i="5"/>
  <c r="R133" i="5"/>
  <c r="P133" i="5"/>
  <c r="R132" i="5"/>
  <c r="P132" i="5"/>
  <c r="R131" i="5"/>
  <c r="P131" i="5"/>
  <c r="R130" i="5"/>
  <c r="P130" i="5"/>
  <c r="R129" i="5"/>
  <c r="P129" i="5"/>
  <c r="R128" i="5"/>
  <c r="P128" i="5"/>
  <c r="R127" i="5"/>
  <c r="P127" i="5"/>
  <c r="R126" i="5"/>
  <c r="P126" i="5"/>
  <c r="R125" i="5"/>
  <c r="P125" i="5"/>
  <c r="R124" i="5"/>
  <c r="P124" i="5"/>
  <c r="R123" i="5"/>
  <c r="P123" i="5"/>
  <c r="R122" i="5"/>
  <c r="P122" i="5"/>
  <c r="R121" i="5"/>
  <c r="P121" i="5"/>
  <c r="R120" i="5"/>
  <c r="P120" i="5"/>
  <c r="R119" i="5"/>
  <c r="P119" i="5"/>
  <c r="R118" i="5"/>
  <c r="P118" i="5"/>
  <c r="R117" i="5"/>
  <c r="P117" i="5"/>
  <c r="R116" i="5"/>
  <c r="P116" i="5"/>
  <c r="R115" i="5"/>
  <c r="AM115" i="5" s="1"/>
  <c r="P115" i="5"/>
  <c r="R114" i="5"/>
  <c r="P114" i="5"/>
  <c r="R113" i="5"/>
  <c r="P113" i="5"/>
  <c r="R112" i="5"/>
  <c r="P112" i="5"/>
  <c r="R111" i="5"/>
  <c r="P111" i="5"/>
  <c r="R110" i="5"/>
  <c r="P110" i="5"/>
  <c r="R109" i="5"/>
  <c r="P109" i="5"/>
  <c r="R108" i="5"/>
  <c r="P108" i="5"/>
  <c r="R107" i="5"/>
  <c r="P107" i="5"/>
  <c r="R106" i="5"/>
  <c r="P106" i="5"/>
  <c r="R105" i="5"/>
  <c r="P105" i="5"/>
  <c r="R104" i="5"/>
  <c r="P104" i="5"/>
  <c r="R103" i="5"/>
  <c r="P103" i="5"/>
  <c r="R102" i="5"/>
  <c r="P102" i="5"/>
  <c r="R101" i="5"/>
  <c r="P101" i="5"/>
  <c r="R100" i="5"/>
  <c r="P100" i="5"/>
  <c r="R99" i="5"/>
  <c r="P99" i="5"/>
  <c r="R98" i="5"/>
  <c r="P98" i="5"/>
  <c r="R97" i="5"/>
  <c r="P97" i="5"/>
  <c r="R96" i="5"/>
  <c r="P96" i="5"/>
  <c r="R95" i="5"/>
  <c r="P95" i="5"/>
  <c r="R94" i="5"/>
  <c r="P94" i="5"/>
  <c r="R93" i="5"/>
  <c r="P93" i="5"/>
  <c r="R92" i="5"/>
  <c r="P92" i="5"/>
  <c r="R91" i="5"/>
  <c r="P91" i="5"/>
  <c r="R90" i="5"/>
  <c r="P90" i="5"/>
  <c r="R89" i="5"/>
  <c r="P89" i="5"/>
  <c r="R88" i="5"/>
  <c r="P88" i="5"/>
  <c r="R87" i="5"/>
  <c r="P87" i="5"/>
  <c r="R86" i="5"/>
  <c r="P86" i="5"/>
  <c r="R85" i="5"/>
  <c r="P85" i="5"/>
  <c r="R84" i="5"/>
  <c r="P84" i="5"/>
  <c r="R83" i="5"/>
  <c r="P83" i="5"/>
  <c r="R82" i="5"/>
  <c r="P82" i="5"/>
  <c r="R81" i="5"/>
  <c r="P81" i="5"/>
  <c r="R80" i="5"/>
  <c r="P80" i="5"/>
  <c r="R79" i="5"/>
  <c r="P79" i="5"/>
  <c r="R78" i="5"/>
  <c r="P78" i="5"/>
  <c r="R77" i="5"/>
  <c r="P77" i="5"/>
  <c r="R76" i="5"/>
  <c r="P76" i="5"/>
  <c r="R75" i="5"/>
  <c r="P75" i="5"/>
  <c r="R74" i="5"/>
  <c r="P74" i="5"/>
  <c r="R73" i="5"/>
  <c r="P73" i="5"/>
  <c r="R72" i="5"/>
  <c r="P72" i="5"/>
  <c r="R71" i="5"/>
  <c r="P71" i="5"/>
  <c r="R70" i="5"/>
  <c r="P70" i="5"/>
  <c r="R69" i="5"/>
  <c r="P69" i="5"/>
  <c r="R68" i="5"/>
  <c r="P68" i="5"/>
  <c r="R67" i="5"/>
  <c r="P67" i="5"/>
  <c r="R66" i="5"/>
  <c r="P66" i="5"/>
  <c r="R65" i="5"/>
  <c r="P65" i="5"/>
  <c r="R64" i="5"/>
  <c r="P64" i="5"/>
  <c r="R63" i="5"/>
  <c r="P63" i="5"/>
  <c r="R62" i="5"/>
  <c r="P62" i="5"/>
  <c r="R61" i="5"/>
  <c r="P61" i="5"/>
  <c r="R60" i="5"/>
  <c r="P60" i="5"/>
  <c r="R59" i="5"/>
  <c r="P59" i="5"/>
  <c r="R58" i="5"/>
  <c r="P58" i="5"/>
  <c r="R57" i="5"/>
  <c r="P57" i="5"/>
  <c r="R56" i="5"/>
  <c r="P56" i="5"/>
  <c r="R55" i="5"/>
  <c r="P55" i="5"/>
  <c r="R54" i="5"/>
  <c r="P54" i="5"/>
  <c r="R53" i="5"/>
  <c r="P53" i="5"/>
  <c r="R52" i="5"/>
  <c r="P52" i="5"/>
  <c r="R51" i="5"/>
  <c r="P51" i="5"/>
  <c r="R50" i="5"/>
  <c r="P50" i="5"/>
  <c r="R49" i="5"/>
  <c r="P49" i="5"/>
  <c r="R48" i="5"/>
  <c r="P48" i="5"/>
  <c r="R47" i="5"/>
  <c r="P47" i="5"/>
  <c r="R46" i="5"/>
  <c r="P46" i="5"/>
  <c r="R45" i="5"/>
  <c r="P45" i="5"/>
  <c r="R44" i="5"/>
  <c r="P44" i="5"/>
  <c r="R43" i="5"/>
  <c r="P43" i="5"/>
  <c r="R42" i="5"/>
  <c r="P42" i="5"/>
  <c r="R41" i="5"/>
  <c r="P41" i="5"/>
  <c r="R40" i="5"/>
  <c r="P40" i="5"/>
  <c r="R39" i="5"/>
  <c r="P39" i="5"/>
  <c r="R38" i="5"/>
  <c r="P38" i="5"/>
  <c r="R37" i="5"/>
  <c r="P37" i="5"/>
  <c r="R36" i="5"/>
  <c r="P36" i="5"/>
  <c r="R35" i="5"/>
  <c r="P35" i="5"/>
  <c r="R34" i="5"/>
  <c r="P34" i="5"/>
  <c r="R33" i="5"/>
  <c r="P33" i="5"/>
  <c r="R32" i="5"/>
  <c r="P32" i="5"/>
  <c r="R31" i="5"/>
  <c r="P31" i="5"/>
  <c r="R30" i="5"/>
  <c r="P30" i="5"/>
  <c r="R29" i="5"/>
  <c r="P29" i="5"/>
  <c r="R28" i="5"/>
  <c r="P28" i="5"/>
  <c r="R27" i="5"/>
  <c r="P27" i="5"/>
  <c r="R26" i="5"/>
  <c r="P26" i="5"/>
  <c r="R25" i="5"/>
  <c r="P25" i="5"/>
  <c r="R24" i="5"/>
  <c r="P24" i="5"/>
  <c r="R23" i="5"/>
  <c r="P23" i="5"/>
  <c r="R22" i="5"/>
  <c r="P22" i="5"/>
  <c r="R21" i="5"/>
  <c r="P21" i="5"/>
  <c r="R20" i="5"/>
  <c r="P20" i="5"/>
  <c r="R19" i="5"/>
  <c r="P19" i="5"/>
  <c r="R18" i="5"/>
  <c r="P18" i="5"/>
  <c r="R17" i="5"/>
  <c r="P17" i="5"/>
  <c r="R16" i="5"/>
  <c r="P16" i="5"/>
  <c r="R15" i="5"/>
  <c r="P15" i="5"/>
  <c r="R14" i="5"/>
  <c r="P14" i="5"/>
  <c r="R13" i="5"/>
  <c r="P13" i="5"/>
  <c r="R12" i="5"/>
  <c r="P12" i="5"/>
  <c r="R11" i="5"/>
  <c r="P11" i="5"/>
  <c r="R10" i="5"/>
  <c r="P10" i="5"/>
  <c r="R9" i="5"/>
  <c r="P9" i="5"/>
  <c r="R8" i="5"/>
  <c r="P8" i="5"/>
  <c r="R7" i="5"/>
  <c r="P7" i="5"/>
  <c r="R6" i="5"/>
  <c r="P6" i="5"/>
  <c r="R5" i="5"/>
  <c r="P5" i="5"/>
  <c r="R4" i="5"/>
  <c r="P4" i="5"/>
  <c r="W7" i="3" a="1"/>
  <c r="W8" i="3" a="1"/>
  <c r="W9" i="3" a="1"/>
  <c r="W10" i="3" a="1"/>
  <c r="W11" i="3" a="1"/>
  <c r="W12" i="3" a="1"/>
  <c r="W13" i="3" a="1"/>
  <c r="W14" i="3" a="1"/>
  <c r="W15" i="3" a="1"/>
  <c r="W16" i="3" a="1"/>
  <c r="W17" i="3" a="1"/>
  <c r="W18" i="3" a="1"/>
  <c r="W19" i="3" a="1"/>
  <c r="W20" i="3" a="1"/>
  <c r="W21" i="3" a="1"/>
  <c r="W22" i="3" a="1"/>
  <c r="W23" i="3" a="1"/>
  <c r="W24" i="3" a="1"/>
  <c r="W25" i="3" a="1"/>
  <c r="W26" i="3" a="1"/>
  <c r="W27" i="3" a="1"/>
  <c r="W28" i="3" a="1"/>
  <c r="W29" i="3" a="1"/>
  <c r="W30" i="3" a="1"/>
  <c r="W31" i="3" a="1"/>
  <c r="W32" i="3" a="1"/>
  <c r="W33" i="3" a="1"/>
  <c r="W34" i="3" a="1"/>
  <c r="W35" i="3" a="1"/>
  <c r="W36" i="3" a="1"/>
  <c r="W37" i="3" a="1"/>
  <c r="W38" i="3" a="1"/>
  <c r="W39" i="3" a="1"/>
  <c r="W40" i="3" a="1"/>
  <c r="W41" i="3" a="1"/>
  <c r="W42" i="3" a="1"/>
  <c r="W43" i="3" a="1"/>
  <c r="W44" i="3" a="1"/>
  <c r="W45" i="3" a="1"/>
  <c r="W46" i="3" a="1"/>
  <c r="W47" i="3" a="1"/>
  <c r="W48" i="3" a="1"/>
  <c r="W49" i="3" a="1"/>
  <c r="W50" i="3" a="1"/>
  <c r="W51" i="3" a="1"/>
  <c r="W52" i="3" a="1"/>
  <c r="W53" i="3" a="1"/>
  <c r="W54" i="3" a="1"/>
  <c r="W55" i="3" a="1"/>
  <c r="W56" i="3" a="1"/>
  <c r="W57" i="3" a="1"/>
  <c r="W58" i="3" a="1"/>
  <c r="W59" i="3" a="1"/>
  <c r="W60" i="3" a="1"/>
  <c r="W61" i="3" a="1"/>
  <c r="W62" i="3" a="1"/>
  <c r="W63" i="3" a="1"/>
  <c r="W64" i="3" a="1"/>
  <c r="W65" i="3" a="1"/>
  <c r="W66" i="3" a="1"/>
  <c r="W67" i="3" a="1"/>
  <c r="W68" i="3" a="1"/>
  <c r="W69" i="3" a="1"/>
  <c r="W70" i="3" a="1"/>
  <c r="W71" i="3" a="1"/>
  <c r="W72" i="3" a="1"/>
  <c r="W73" i="3" a="1"/>
  <c r="W74" i="3" a="1"/>
  <c r="W75" i="3" a="1"/>
  <c r="W76" i="3" a="1"/>
  <c r="W77" i="3" a="1"/>
  <c r="W78" i="3" a="1"/>
  <c r="W79" i="3" a="1"/>
  <c r="W80" i="3" a="1"/>
  <c r="W81" i="3" a="1"/>
  <c r="W82" i="3" a="1"/>
  <c r="W83" i="3" a="1"/>
  <c r="W84" i="3" a="1"/>
  <c r="W85" i="3" a="1"/>
  <c r="W86" i="3" a="1"/>
  <c r="W87" i="3" a="1"/>
  <c r="W88" i="3" a="1"/>
  <c r="W89" i="3" a="1"/>
  <c r="W90" i="3" a="1"/>
  <c r="W91" i="3" a="1"/>
  <c r="W92" i="3" a="1"/>
  <c r="W93" i="3" a="1"/>
  <c r="W94" i="3" a="1"/>
  <c r="W95" i="3" a="1"/>
  <c r="W96" i="3" a="1"/>
  <c r="W97" i="3" a="1"/>
  <c r="W98" i="3" a="1"/>
  <c r="W99" i="3" a="1"/>
  <c r="W100" i="3" a="1"/>
  <c r="W101" i="3" a="1"/>
  <c r="W102" i="3" a="1"/>
  <c r="W103" i="3" a="1"/>
  <c r="W104" i="3" a="1"/>
  <c r="W105" i="3" a="1"/>
  <c r="W106" i="3" a="1"/>
  <c r="W107" i="3" a="1"/>
  <c r="W108" i="3" a="1"/>
  <c r="W109" i="3" a="1"/>
  <c r="W110" i="3" a="1"/>
  <c r="W111" i="3" a="1"/>
  <c r="W112" i="3" a="1"/>
  <c r="W113" i="3" a="1"/>
  <c r="W114" i="3" a="1"/>
  <c r="W115" i="3" a="1"/>
  <c r="W116" i="3" a="1"/>
  <c r="W117" i="3" a="1"/>
  <c r="W118" i="3" a="1"/>
  <c r="W119" i="3" a="1"/>
  <c r="W120" i="3" a="1"/>
  <c r="W121" i="3" a="1"/>
  <c r="W122" i="3" a="1"/>
  <c r="W123" i="3" a="1"/>
  <c r="W124" i="3" a="1"/>
  <c r="W125" i="3" a="1"/>
  <c r="W126" i="3" a="1"/>
  <c r="W127" i="3" a="1"/>
  <c r="W128" i="3" a="1"/>
  <c r="W129" i="3" a="1"/>
  <c r="W130" i="3" a="1"/>
  <c r="W131" i="3" a="1"/>
  <c r="W132" i="3" a="1"/>
  <c r="W133" i="3" a="1"/>
  <c r="W134" i="3" a="1"/>
  <c r="W135" i="3" a="1"/>
  <c r="W136" i="3" a="1"/>
  <c r="W137" i="3" a="1"/>
  <c r="W138" i="3" a="1"/>
  <c r="W139" i="3" a="1"/>
  <c r="W140" i="3" a="1"/>
  <c r="W141" i="3" a="1"/>
  <c r="W142" i="3" a="1"/>
  <c r="W143" i="3" a="1"/>
  <c r="W144" i="3" a="1"/>
  <c r="W145" i="3" a="1"/>
  <c r="W146" i="3" a="1"/>
  <c r="W147" i="3" a="1"/>
  <c r="W148" i="3" a="1"/>
  <c r="W149" i="3" a="1"/>
  <c r="W150" i="3" a="1"/>
  <c r="W151" i="3" a="1"/>
  <c r="W152" i="3" a="1"/>
  <c r="W153" i="3" a="1"/>
  <c r="W154" i="3" a="1"/>
  <c r="W155" i="3" a="1"/>
  <c r="W156" i="3" a="1"/>
  <c r="W157" i="3" a="1"/>
  <c r="W158" i="3" a="1"/>
  <c r="W159" i="3" a="1"/>
  <c r="W160" i="3" a="1"/>
  <c r="W161" i="3" a="1"/>
  <c r="W162" i="3" a="1"/>
  <c r="W163" i="3" a="1"/>
  <c r="W164" i="3" a="1"/>
  <c r="W165" i="3" a="1"/>
  <c r="W166" i="3" a="1"/>
  <c r="W167" i="3" a="1"/>
  <c r="W168" i="3" a="1"/>
  <c r="W169" i="3" a="1"/>
  <c r="W170" i="3" a="1"/>
  <c r="W171" i="3" a="1"/>
  <c r="W172" i="3" a="1"/>
  <c r="W173" i="3" a="1"/>
  <c r="W174" i="3" a="1"/>
  <c r="W175" i="3" a="1"/>
  <c r="W176" i="3" a="1"/>
  <c r="W177" i="3" a="1"/>
  <c r="W178" i="3" a="1"/>
  <c r="W179" i="3" a="1"/>
  <c r="W180" i="3" a="1"/>
  <c r="W181" i="3" a="1"/>
  <c r="W182" i="3" a="1"/>
  <c r="W183" i="3" a="1"/>
  <c r="W184" i="3" a="1"/>
  <c r="W185" i="3" a="1"/>
  <c r="W186" i="3" a="1"/>
  <c r="W187" i="3" a="1"/>
  <c r="W188" i="3" a="1"/>
  <c r="W189" i="3" a="1"/>
  <c r="W190" i="3" a="1"/>
  <c r="W191" i="3" a="1"/>
  <c r="W192" i="3" a="1"/>
  <c r="W193" i="3" a="1"/>
  <c r="W194" i="3" a="1"/>
  <c r="W195" i="3" a="1"/>
  <c r="W196" i="3" a="1"/>
  <c r="W197" i="3" a="1"/>
  <c r="W198" i="3" a="1"/>
  <c r="W199" i="3" a="1"/>
  <c r="W200" i="3" a="1"/>
  <c r="W201" i="3" a="1"/>
  <c r="W202" i="3" a="1"/>
  <c r="W203" i="3" a="1"/>
  <c r="W204" i="3" a="1"/>
  <c r="W205" i="3" a="1"/>
  <c r="W206" i="3" a="1"/>
  <c r="W207" i="3" a="1"/>
  <c r="W208" i="3" a="1"/>
  <c r="W209" i="3" a="1"/>
  <c r="W210" i="3" a="1"/>
  <c r="W211" i="3" a="1"/>
  <c r="W212" i="3" a="1"/>
  <c r="W213" i="3" a="1"/>
  <c r="W214" i="3" a="1"/>
  <c r="W215" i="3" a="1"/>
  <c r="W216" i="3" a="1"/>
  <c r="W217" i="3" a="1"/>
  <c r="W218" i="3" a="1"/>
  <c r="W219" i="3" a="1"/>
  <c r="W220" i="3" a="1"/>
  <c r="W221" i="3" a="1"/>
  <c r="W222" i="3" a="1"/>
  <c r="W223" i="3" a="1"/>
  <c r="W224" i="3" a="1"/>
  <c r="W225" i="3" a="1"/>
  <c r="W226" i="3" a="1"/>
  <c r="W227" i="3" a="1"/>
  <c r="W228" i="3" a="1"/>
  <c r="W229" i="3" a="1"/>
  <c r="W230" i="3" a="1"/>
  <c r="W231" i="3" a="1"/>
  <c r="W232" i="3" a="1"/>
  <c r="W233" i="3" a="1"/>
  <c r="W234" i="3" a="1"/>
  <c r="W235" i="3" a="1"/>
  <c r="W236" i="3" a="1"/>
  <c r="W237" i="3" a="1"/>
  <c r="W238" i="3" a="1"/>
  <c r="W239" i="3" a="1"/>
  <c r="W240" i="3" a="1"/>
  <c r="W241" i="3" a="1"/>
  <c r="W242" i="3" a="1"/>
  <c r="W243" i="3" a="1"/>
  <c r="W244" i="3" a="1"/>
  <c r="W245" i="3" a="1"/>
  <c r="W246" i="3" a="1"/>
  <c r="W247" i="3" a="1"/>
  <c r="W248" i="3" a="1"/>
  <c r="W249" i="3" a="1"/>
  <c r="W250" i="3" a="1"/>
  <c r="W251" i="3" a="1"/>
  <c r="W252" i="3" a="1"/>
  <c r="W253" i="3" a="1"/>
  <c r="W254" i="3" a="1"/>
  <c r="W255" i="3" a="1"/>
  <c r="W256" i="3" a="1"/>
  <c r="W257" i="3" a="1"/>
  <c r="W258" i="3" a="1"/>
  <c r="W259" i="3" a="1"/>
  <c r="W260" i="3" a="1"/>
  <c r="W261" i="3" a="1"/>
  <c r="W262" i="3" a="1"/>
  <c r="W263" i="3" a="1"/>
  <c r="W264" i="3" a="1"/>
  <c r="W265" i="3" a="1"/>
  <c r="W266" i="3" a="1"/>
  <c r="W267" i="3" a="1"/>
  <c r="W268" i="3" a="1"/>
  <c r="W269" i="3" a="1"/>
  <c r="W270" i="3" a="1"/>
  <c r="W271" i="3" a="1"/>
  <c r="W272" i="3" a="1"/>
  <c r="W273" i="3" a="1"/>
  <c r="W274" i="3" a="1"/>
  <c r="W275" i="3" a="1"/>
  <c r="W276" i="3" a="1"/>
  <c r="W277" i="3" a="1"/>
  <c r="W278" i="3" a="1"/>
  <c r="W279" i="3" a="1"/>
  <c r="W280" i="3" a="1"/>
  <c r="W281" i="3" a="1"/>
  <c r="W282" i="3" a="1"/>
  <c r="W283" i="3" a="1"/>
  <c r="W284" i="3" a="1"/>
  <c r="W285" i="3" a="1"/>
  <c r="W286" i="3" a="1"/>
  <c r="W287" i="3" a="1"/>
  <c r="W288" i="3" a="1"/>
  <c r="W289" i="3" a="1"/>
  <c r="W290" i="3" a="1"/>
  <c r="W291" i="3" a="1"/>
  <c r="W292" i="3" a="1"/>
  <c r="W293" i="3" a="1"/>
  <c r="W294" i="3" a="1"/>
  <c r="W295" i="3" a="1"/>
  <c r="W296" i="3" a="1"/>
  <c r="W297" i="3" a="1"/>
  <c r="W298" i="3" a="1"/>
  <c r="W299" i="3" a="1"/>
  <c r="W300" i="3" a="1"/>
  <c r="W301" i="3" a="1"/>
  <c r="W302" i="3" a="1"/>
  <c r="W303" i="3" a="1"/>
  <c r="W304" i="3" a="1"/>
  <c r="W305" i="3" a="1"/>
  <c r="W306" i="3" a="1"/>
  <c r="W307" i="3" a="1"/>
  <c r="W308" i="3" a="1"/>
  <c r="W309" i="3" a="1"/>
  <c r="W310" i="3" a="1"/>
  <c r="W311" i="3" a="1"/>
  <c r="W312" i="3" a="1"/>
  <c r="W313" i="3" a="1"/>
  <c r="W314" i="3" a="1"/>
  <c r="W315" i="3" a="1"/>
  <c r="W316" i="3" a="1"/>
  <c r="W317" i="3" a="1"/>
  <c r="W318" i="3" a="1"/>
  <c r="W319" i="3" a="1"/>
  <c r="W320" i="3" a="1"/>
  <c r="W321" i="3" a="1"/>
  <c r="W322" i="3" a="1"/>
  <c r="W323" i="3" a="1"/>
  <c r="W324" i="3" a="1"/>
  <c r="W325" i="3" a="1"/>
  <c r="W326" i="3" a="1"/>
  <c r="W327" i="3" a="1"/>
  <c r="W328" i="3" a="1"/>
  <c r="W329" i="3" a="1"/>
  <c r="W330" i="3" a="1"/>
  <c r="W331" i="3" a="1"/>
  <c r="W332" i="3" a="1"/>
  <c r="W333" i="3" a="1"/>
  <c r="W334" i="3" a="1"/>
  <c r="W335" i="3" a="1"/>
  <c r="W336" i="3" a="1"/>
  <c r="W337" i="3" a="1"/>
  <c r="W338" i="3" a="1"/>
  <c r="W339" i="3" a="1"/>
  <c r="W340" i="3" a="1"/>
  <c r="W341" i="3" a="1"/>
  <c r="W342" i="3" a="1"/>
  <c r="W343" i="3" a="1"/>
  <c r="W344" i="3" a="1"/>
  <c r="W345" i="3" a="1"/>
  <c r="W346" i="3" a="1"/>
  <c r="W347" i="3" a="1"/>
  <c r="W348" i="3" a="1"/>
  <c r="W349" i="3" a="1"/>
  <c r="W350" i="3" a="1"/>
  <c r="W351" i="3" a="1"/>
  <c r="W352" i="3" a="1"/>
  <c r="W353" i="3" a="1"/>
  <c r="W354" i="3" a="1"/>
  <c r="W355" i="3" a="1"/>
  <c r="W356" i="3" a="1"/>
  <c r="W357" i="3" a="1"/>
  <c r="W358" i="3" a="1"/>
  <c r="W359" i="3" a="1"/>
  <c r="W360" i="3" a="1"/>
  <c r="W361" i="3" a="1"/>
  <c r="W362" i="3" a="1"/>
  <c r="W363" i="3" a="1"/>
  <c r="W364" i="3" a="1"/>
  <c r="W365" i="3" a="1"/>
  <c r="W366" i="3" a="1"/>
  <c r="W367" i="3" a="1"/>
  <c r="W368" i="3" a="1"/>
  <c r="W369" i="3" a="1"/>
  <c r="W370" i="3" a="1"/>
  <c r="W371" i="3" a="1"/>
  <c r="W372" i="3" a="1"/>
  <c r="W373" i="3" a="1"/>
  <c r="W374" i="3" a="1"/>
  <c r="W375" i="3" a="1"/>
  <c r="W376" i="3" a="1"/>
  <c r="W377" i="3" a="1"/>
  <c r="W378" i="3" a="1"/>
  <c r="W379" i="3" a="1"/>
  <c r="W380" i="3" a="1"/>
  <c r="W381" i="3" a="1"/>
  <c r="W382" i="3" a="1"/>
  <c r="W383" i="3" a="1"/>
  <c r="W384" i="3" a="1"/>
  <c r="W385" i="3" a="1"/>
  <c r="W386" i="3" a="1"/>
  <c r="W387" i="3" a="1"/>
  <c r="W388" i="3" a="1"/>
  <c r="W389" i="3" a="1"/>
  <c r="W390" i="3" a="1"/>
  <c r="W391" i="3" a="1"/>
  <c r="W392" i="3" a="1"/>
  <c r="W393" i="3" a="1"/>
  <c r="W394" i="3" a="1"/>
  <c r="W395" i="3" a="1"/>
  <c r="W396" i="3" a="1"/>
  <c r="W397" i="3" a="1"/>
  <c r="W398" i="3" a="1"/>
  <c r="W399" i="3" a="1"/>
  <c r="W400" i="3" a="1"/>
  <c r="W401" i="3" a="1"/>
  <c r="W402" i="3" a="1"/>
  <c r="W403" i="3" a="1"/>
  <c r="W404" i="3" a="1"/>
  <c r="W405" i="3" a="1"/>
  <c r="W406" i="3" a="1"/>
  <c r="W407" i="3" a="1"/>
  <c r="W408" i="3" a="1"/>
  <c r="W409" i="3" a="1"/>
  <c r="W410" i="3" a="1"/>
  <c r="W411" i="3" a="1"/>
  <c r="W412" i="3" a="1"/>
  <c r="W413" i="3" a="1"/>
  <c r="W414" i="3" a="1"/>
  <c r="W415" i="3" a="1"/>
  <c r="W416" i="3" a="1"/>
  <c r="W417" i="3" a="1"/>
  <c r="W418" i="3" a="1"/>
  <c r="W419" i="3" a="1"/>
  <c r="W420" i="3" a="1"/>
  <c r="W421" i="3" a="1"/>
  <c r="W422" i="3" a="1"/>
  <c r="W423" i="3" a="1"/>
  <c r="W424" i="3" a="1"/>
  <c r="W425" i="3" a="1"/>
  <c r="W426" i="3" a="1"/>
  <c r="W427" i="3" a="1"/>
  <c r="W428" i="3" a="1"/>
  <c r="W429" i="3" a="1"/>
  <c r="W430" i="3" a="1"/>
  <c r="W431" i="3" a="1"/>
  <c r="W432" i="3" a="1"/>
  <c r="W433" i="3" a="1"/>
  <c r="W434" i="3" a="1"/>
  <c r="W435" i="3" a="1"/>
  <c r="W436" i="3" a="1"/>
  <c r="W437" i="3" a="1"/>
  <c r="W438" i="3" a="1"/>
  <c r="W439" i="3" a="1"/>
  <c r="W440" i="3" a="1"/>
  <c r="W441" i="3" a="1"/>
  <c r="W442" i="3" a="1"/>
  <c r="W443" i="3" a="1"/>
  <c r="W444" i="3" a="1"/>
  <c r="W445" i="3" a="1"/>
  <c r="W446" i="3" a="1"/>
  <c r="W447" i="3" a="1"/>
  <c r="W448" i="3" a="1"/>
  <c r="W449" i="3" a="1"/>
  <c r="W450" i="3" a="1"/>
  <c r="W451" i="3" a="1"/>
  <c r="W452" i="3" a="1"/>
  <c r="W453" i="3" a="1"/>
  <c r="W454" i="3" a="1"/>
  <c r="W455" i="3" a="1"/>
  <c r="W456" i="3" a="1"/>
  <c r="W457" i="3" a="1"/>
  <c r="W458" i="3" a="1"/>
  <c r="W459" i="3" a="1"/>
  <c r="W460" i="3" a="1"/>
  <c r="W461" i="3" a="1"/>
  <c r="W462" i="3" a="1"/>
  <c r="W463" i="3" a="1"/>
  <c r="W464" i="3" a="1"/>
  <c r="W465" i="3" a="1"/>
  <c r="W466" i="3" a="1"/>
  <c r="W467" i="3" a="1"/>
  <c r="W468" i="3" a="1"/>
  <c r="W469" i="3" a="1"/>
  <c r="W470" i="3" a="1"/>
  <c r="W471" i="3" a="1"/>
  <c r="W472" i="3" a="1"/>
  <c r="W473" i="3" a="1"/>
  <c r="W474" i="3" a="1"/>
  <c r="W475" i="3" a="1"/>
  <c r="W476" i="3" a="1"/>
  <c r="W477" i="3" a="1"/>
  <c r="W478" i="3" a="1"/>
  <c r="W479" i="3" a="1"/>
  <c r="W480" i="3" a="1"/>
  <c r="W481" i="3" a="1"/>
  <c r="W482" i="3" a="1"/>
  <c r="W483" i="3" a="1"/>
  <c r="W484" i="3" a="1"/>
  <c r="W485" i="3" a="1"/>
  <c r="W486" i="3" a="1"/>
  <c r="W487" i="3" a="1"/>
  <c r="W488" i="3" a="1"/>
  <c r="W489" i="3" a="1"/>
  <c r="W490" i="3" a="1"/>
  <c r="W491" i="3" a="1"/>
  <c r="W492" i="3" a="1"/>
  <c r="W493" i="3" a="1"/>
  <c r="W494" i="3" a="1"/>
  <c r="W495" i="3" a="1"/>
  <c r="W496" i="3" a="1"/>
  <c r="W497" i="3" a="1"/>
  <c r="W498" i="3" a="1"/>
  <c r="W499" i="3" a="1"/>
  <c r="W500" i="3" a="1"/>
  <c r="W501" i="3" a="1"/>
  <c r="W502" i="3" a="1"/>
  <c r="W503" i="3" a="1"/>
  <c r="W504" i="3" a="1"/>
  <c r="W505" i="3" a="1"/>
  <c r="W506" i="3" a="1"/>
  <c r="W507" i="3" a="1"/>
  <c r="W508" i="3" a="1"/>
  <c r="W509" i="3" a="1"/>
  <c r="W510" i="3" a="1"/>
  <c r="W511" i="3" a="1"/>
  <c r="W512" i="3" a="1"/>
  <c r="W513" i="3" a="1"/>
  <c r="W514" i="3" a="1"/>
  <c r="W515" i="3" a="1"/>
  <c r="W516" i="3" a="1"/>
  <c r="W517" i="3" a="1"/>
  <c r="W518" i="3" a="1"/>
  <c r="W519" i="3" a="1"/>
  <c r="W520" i="3" a="1"/>
  <c r="W521" i="3" a="1"/>
  <c r="W522" i="3" a="1"/>
  <c r="W523" i="3" a="1"/>
  <c r="W524" i="3" a="1"/>
  <c r="W525" i="3" a="1"/>
  <c r="W526" i="3" a="1"/>
  <c r="W527" i="3" a="1"/>
  <c r="W528" i="3" a="1"/>
  <c r="W529" i="3" a="1"/>
  <c r="W530" i="3" a="1"/>
  <c r="W531" i="3" a="1"/>
  <c r="W532" i="3" a="1"/>
  <c r="W533" i="3" a="1"/>
  <c r="W534" i="3" a="1"/>
  <c r="W535" i="3" a="1"/>
  <c r="W536" i="3" a="1"/>
  <c r="W537" i="3" a="1"/>
  <c r="W538" i="3" a="1"/>
  <c r="W539" i="3" a="1"/>
  <c r="W540" i="3" a="1"/>
  <c r="W541" i="3" a="1"/>
  <c r="W542" i="3" a="1"/>
  <c r="W543" i="3" a="1"/>
  <c r="W544" i="3" a="1"/>
  <c r="W545" i="3" a="1"/>
  <c r="W546" i="3" a="1"/>
  <c r="W547" i="3" a="1"/>
  <c r="W548" i="3" a="1"/>
  <c r="W549" i="3" a="1"/>
  <c r="W550" i="3" a="1"/>
  <c r="W551" i="3" a="1"/>
  <c r="W552" i="3" a="1"/>
  <c r="W553" i="3" a="1"/>
  <c r="W554" i="3" a="1"/>
  <c r="W555" i="3" a="1"/>
  <c r="W556" i="3" a="1"/>
  <c r="W557" i="3" a="1"/>
  <c r="W558" i="3" a="1"/>
  <c r="W559" i="3" a="1"/>
  <c r="W560" i="3" a="1"/>
  <c r="W561" i="3" a="1"/>
  <c r="W562" i="3" a="1"/>
  <c r="W563" i="3" a="1"/>
  <c r="W564" i="3" a="1"/>
  <c r="W565" i="3" a="1"/>
  <c r="W566" i="3" a="1"/>
  <c r="W567" i="3" a="1"/>
  <c r="W568" i="3" a="1"/>
  <c r="W569" i="3" a="1"/>
  <c r="W570" i="3" a="1"/>
  <c r="W571" i="3" a="1"/>
  <c r="W572" i="3" a="1"/>
  <c r="W573" i="3" a="1"/>
  <c r="W574" i="3" a="1"/>
  <c r="W575" i="3" a="1"/>
  <c r="W576" i="3" a="1"/>
  <c r="W577" i="3" a="1"/>
  <c r="W578" i="3" a="1"/>
  <c r="W579" i="3" a="1"/>
  <c r="W580" i="3" a="1"/>
  <c r="W581" i="3" a="1"/>
  <c r="W582" i="3" a="1"/>
  <c r="W583" i="3" a="1"/>
  <c r="W584" i="3" a="1"/>
  <c r="W585" i="3" a="1"/>
  <c r="W586" i="3" a="1"/>
  <c r="W587" i="3" a="1"/>
  <c r="W588" i="3" a="1"/>
  <c r="W589" i="3" a="1"/>
  <c r="W590" i="3" a="1"/>
  <c r="W591" i="3" a="1"/>
  <c r="W592" i="3" a="1"/>
  <c r="W593" i="3" a="1"/>
  <c r="W594" i="3" a="1"/>
  <c r="W595" i="3" a="1"/>
  <c r="W596" i="3" a="1"/>
  <c r="W597" i="3" a="1"/>
  <c r="W598" i="3" a="1"/>
  <c r="W599" i="3" a="1"/>
  <c r="W600" i="3" a="1"/>
  <c r="W601" i="3" a="1"/>
  <c r="W602" i="3" a="1"/>
  <c r="W603" i="3" a="1"/>
  <c r="W604" i="3" a="1"/>
  <c r="W605" i="3" a="1"/>
  <c r="W606" i="3" a="1"/>
  <c r="W607" i="3" a="1"/>
  <c r="W608" i="3" a="1"/>
  <c r="W609" i="3" a="1"/>
  <c r="W610" i="3" a="1"/>
  <c r="W611" i="3" a="1"/>
  <c r="W612" i="3" a="1"/>
  <c r="W613" i="3" a="1"/>
  <c r="W614" i="3" a="1"/>
  <c r="W615" i="3" a="1"/>
  <c r="W616" i="3" a="1"/>
  <c r="W617" i="3" a="1"/>
  <c r="W618" i="3" a="1"/>
  <c r="W619" i="3" a="1"/>
  <c r="W620" i="3" a="1"/>
  <c r="W621" i="3" a="1"/>
  <c r="W622" i="3" a="1"/>
  <c r="W623" i="3" a="1"/>
  <c r="W624" i="3" a="1"/>
  <c r="W625" i="3" a="1"/>
  <c r="W626" i="3" a="1"/>
  <c r="W627" i="3" a="1"/>
  <c r="W628" i="3" a="1"/>
  <c r="W629" i="3" a="1"/>
  <c r="W630" i="3" a="1"/>
  <c r="W631" i="3" a="1"/>
  <c r="W632" i="3" a="1"/>
  <c r="W633" i="3" a="1"/>
  <c r="W634" i="3" a="1"/>
  <c r="W635" i="3" a="1"/>
  <c r="W636" i="3" a="1"/>
  <c r="W637" i="3" a="1"/>
  <c r="W638" i="3" a="1"/>
  <c r="W639" i="3" a="1"/>
  <c r="W640" i="3" a="1"/>
  <c r="W641" i="3" a="1"/>
  <c r="W642" i="3" a="1"/>
  <c r="W643" i="3" a="1"/>
  <c r="W644" i="3" a="1"/>
  <c r="W645" i="3" a="1"/>
  <c r="W646" i="3" a="1"/>
  <c r="W647" i="3" a="1"/>
  <c r="W648" i="3" a="1"/>
  <c r="W649" i="3" a="1"/>
  <c r="W650" i="3" a="1"/>
  <c r="W651" i="3" a="1"/>
  <c r="W652" i="3" a="1"/>
  <c r="W653" i="3" a="1"/>
  <c r="W654" i="3" a="1"/>
  <c r="W655" i="3" a="1"/>
  <c r="W656" i="3" a="1"/>
  <c r="W657" i="3" a="1"/>
  <c r="W658" i="3" a="1"/>
  <c r="W659" i="3" a="1"/>
  <c r="W660" i="3" a="1"/>
  <c r="W661" i="3" a="1"/>
  <c r="W662" i="3" a="1"/>
  <c r="W663" i="3" a="1"/>
  <c r="W664" i="3" a="1"/>
  <c r="W665" i="3" a="1"/>
  <c r="W666" i="3" a="1"/>
  <c r="W667" i="3" a="1"/>
  <c r="W668" i="3" a="1"/>
  <c r="W669" i="3" a="1"/>
  <c r="W670" i="3" a="1"/>
  <c r="W671" i="3" a="1"/>
  <c r="W672" i="3" a="1"/>
  <c r="W673" i="3" a="1"/>
  <c r="W674" i="3" a="1"/>
  <c r="W675" i="3" a="1"/>
  <c r="W676" i="3" a="1"/>
  <c r="W677" i="3" a="1"/>
  <c r="W678" i="3" a="1"/>
  <c r="W679" i="3" a="1"/>
  <c r="W680" i="3" a="1"/>
  <c r="W681" i="3" a="1"/>
  <c r="W682" i="3" a="1"/>
  <c r="W683" i="3" a="1"/>
  <c r="W684" i="3" a="1"/>
  <c r="W685" i="3" a="1"/>
  <c r="W686" i="3" a="1"/>
  <c r="W687" i="3" a="1"/>
  <c r="W688" i="3" a="1"/>
  <c r="W689" i="3" a="1"/>
  <c r="W690" i="3" a="1"/>
  <c r="W691" i="3" a="1"/>
  <c r="W692" i="3" a="1"/>
  <c r="W693" i="3" a="1"/>
  <c r="W694" i="3" a="1"/>
  <c r="W695" i="3" a="1"/>
  <c r="W696" i="3" a="1"/>
  <c r="W697" i="3" a="1"/>
  <c r="W698" i="3" a="1"/>
  <c r="W699" i="3" a="1"/>
  <c r="W700" i="3" a="1"/>
  <c r="W701" i="3" a="1"/>
  <c r="W702" i="3" a="1"/>
  <c r="W703" i="3" a="1"/>
  <c r="W704" i="3" a="1"/>
  <c r="W705" i="3" a="1"/>
  <c r="W706" i="3" a="1"/>
  <c r="W707" i="3" a="1"/>
  <c r="W708" i="3" a="1"/>
  <c r="W709" i="3" a="1"/>
  <c r="W710" i="3" a="1"/>
  <c r="W711" i="3" a="1"/>
  <c r="W712" i="3" a="1"/>
  <c r="W713" i="3" a="1"/>
  <c r="W714" i="3" a="1"/>
  <c r="W715" i="3" a="1"/>
  <c r="W716" i="3" a="1"/>
  <c r="W717" i="3" a="1"/>
  <c r="W718" i="3" a="1"/>
  <c r="W719" i="3" a="1"/>
  <c r="W720" i="3" a="1"/>
  <c r="W721" i="3" a="1"/>
  <c r="W722" i="3" a="1"/>
  <c r="W723" i="3" a="1"/>
  <c r="W724" i="3" a="1"/>
  <c r="W725" i="3" a="1"/>
  <c r="W726" i="3" a="1"/>
  <c r="W727" i="3" a="1"/>
  <c r="W728" i="3" a="1"/>
  <c r="W729" i="3" a="1"/>
  <c r="W730" i="3" a="1"/>
  <c r="W731" i="3" a="1"/>
  <c r="W732" i="3" a="1"/>
  <c r="W733" i="3" a="1"/>
  <c r="W734" i="3" a="1"/>
  <c r="W735" i="3" a="1"/>
  <c r="W736" i="3" a="1"/>
  <c r="W737" i="3" a="1"/>
  <c r="W738" i="3" a="1"/>
  <c r="W739" i="3" a="1"/>
  <c r="W740" i="3" a="1"/>
  <c r="W741" i="3" a="1"/>
  <c r="W742" i="3" a="1"/>
  <c r="W743" i="3" a="1"/>
  <c r="W744" i="3" a="1"/>
  <c r="W745" i="3" a="1"/>
  <c r="W746" i="3" a="1"/>
  <c r="W747" i="3" a="1"/>
  <c r="W748" i="3" a="1"/>
  <c r="W749" i="3" a="1"/>
  <c r="W750" i="3" a="1"/>
  <c r="W751" i="3" a="1"/>
  <c r="W752" i="3" a="1"/>
  <c r="W753" i="3" a="1"/>
  <c r="W754" i="3" a="1"/>
  <c r="W755" i="3" a="1"/>
  <c r="W756" i="3" a="1"/>
  <c r="W757" i="3" a="1"/>
  <c r="W758" i="3" a="1"/>
  <c r="W759" i="3" a="1"/>
  <c r="W760" i="3" a="1"/>
  <c r="W761" i="3" a="1"/>
  <c r="W762" i="3" a="1"/>
  <c r="W763" i="3" a="1"/>
  <c r="W764" i="3" a="1"/>
  <c r="W765" i="3" a="1"/>
  <c r="W766" i="3" a="1"/>
  <c r="W767" i="3" a="1"/>
  <c r="W768" i="3" a="1"/>
  <c r="W769" i="3" a="1"/>
  <c r="W770" i="3" a="1"/>
  <c r="W771" i="3" a="1"/>
  <c r="W772" i="3" a="1"/>
  <c r="W773" i="3" a="1"/>
  <c r="W6" i="3" a="1"/>
  <c r="V657" i="3" a="1"/>
  <c r="V658" i="3" a="1"/>
  <c r="V659" i="3" a="1"/>
  <c r="V660" i="3" a="1"/>
  <c r="V661" i="3" a="1"/>
  <c r="V662" i="3" a="1"/>
  <c r="V663" i="3" a="1"/>
  <c r="V664" i="3" a="1"/>
  <c r="V665" i="3" a="1"/>
  <c r="V666" i="3" a="1"/>
  <c r="V667" i="3" a="1"/>
  <c r="V668" i="3" a="1"/>
  <c r="V669" i="3" a="1"/>
  <c r="V670" i="3" a="1"/>
  <c r="V671" i="3" a="1"/>
  <c r="V672" i="3" a="1"/>
  <c r="V673" i="3" a="1"/>
  <c r="V674" i="3" a="1"/>
  <c r="V675" i="3" a="1"/>
  <c r="V676" i="3" a="1"/>
  <c r="V677" i="3" a="1"/>
  <c r="V678" i="3" a="1"/>
  <c r="V679" i="3" a="1"/>
  <c r="V680" i="3" a="1"/>
  <c r="V681" i="3" a="1"/>
  <c r="V682" i="3" a="1"/>
  <c r="V683" i="3" a="1"/>
  <c r="V684" i="3" a="1"/>
  <c r="V685" i="3" a="1"/>
  <c r="V686" i="3" a="1"/>
  <c r="V687" i="3" a="1"/>
  <c r="V688" i="3" a="1"/>
  <c r="V689" i="3" a="1"/>
  <c r="V690" i="3" a="1"/>
  <c r="V691" i="3" a="1"/>
  <c r="V692" i="3" a="1"/>
  <c r="V693" i="3" a="1"/>
  <c r="V694" i="3" a="1"/>
  <c r="V695" i="3" a="1"/>
  <c r="V696" i="3" a="1"/>
  <c r="V697" i="3" a="1"/>
  <c r="V698" i="3" a="1"/>
  <c r="V699" i="3" a="1"/>
  <c r="V700" i="3" a="1"/>
  <c r="V701" i="3" a="1"/>
  <c r="V702" i="3" a="1"/>
  <c r="V703" i="3" a="1"/>
  <c r="V704" i="3" a="1"/>
  <c r="V705" i="3" a="1"/>
  <c r="V706" i="3" a="1"/>
  <c r="V707" i="3" a="1"/>
  <c r="V708" i="3" a="1"/>
  <c r="V709" i="3" a="1"/>
  <c r="V710" i="3" a="1"/>
  <c r="V711" i="3" a="1"/>
  <c r="V712" i="3" a="1"/>
  <c r="V713" i="3" a="1"/>
  <c r="V714" i="3" a="1"/>
  <c r="V715" i="3" a="1"/>
  <c r="V716" i="3" a="1"/>
  <c r="V717" i="3" a="1"/>
  <c r="V718" i="3" a="1"/>
  <c r="V719" i="3" a="1"/>
  <c r="V720" i="3" a="1"/>
  <c r="V721" i="3" a="1"/>
  <c r="V722" i="3" a="1"/>
  <c r="V723" i="3" a="1"/>
  <c r="V724" i="3" a="1"/>
  <c r="V725" i="3" a="1"/>
  <c r="V726" i="3" a="1"/>
  <c r="V727" i="3" a="1"/>
  <c r="V728" i="3" a="1"/>
  <c r="V729" i="3" a="1"/>
  <c r="V730" i="3" a="1"/>
  <c r="V731" i="3" a="1"/>
  <c r="V732" i="3" a="1"/>
  <c r="V733" i="3" a="1"/>
  <c r="V734" i="3" a="1"/>
  <c r="V735" i="3" a="1"/>
  <c r="V736" i="3" a="1"/>
  <c r="V737" i="3" a="1"/>
  <c r="V738" i="3" a="1"/>
  <c r="V739" i="3" a="1"/>
  <c r="V740" i="3" a="1"/>
  <c r="V741" i="3" a="1"/>
  <c r="V742" i="3" a="1"/>
  <c r="V743" i="3" a="1"/>
  <c r="V744" i="3" a="1"/>
  <c r="V745" i="3" a="1"/>
  <c r="V746" i="3" a="1"/>
  <c r="V747" i="3" a="1"/>
  <c r="V748" i="3" a="1"/>
  <c r="V749" i="3" a="1"/>
  <c r="V750" i="3" a="1"/>
  <c r="V751" i="3" a="1"/>
  <c r="V752" i="3" a="1"/>
  <c r="V753" i="3" a="1"/>
  <c r="V754" i="3" a="1"/>
  <c r="V755" i="3" a="1"/>
  <c r="V756" i="3" a="1"/>
  <c r="V757" i="3" a="1"/>
  <c r="V758" i="3" a="1"/>
  <c r="V759" i="3" a="1"/>
  <c r="V760" i="3" a="1"/>
  <c r="V761" i="3" a="1"/>
  <c r="V762" i="3" a="1"/>
  <c r="V763" i="3" a="1"/>
  <c r="V764" i="3" a="1"/>
  <c r="V765" i="3" a="1"/>
  <c r="V766" i="3" a="1"/>
  <c r="V767" i="3" a="1"/>
  <c r="V768" i="3" a="1"/>
  <c r="V769" i="3" a="1"/>
  <c r="V770" i="3" a="1"/>
  <c r="V771" i="3" a="1"/>
  <c r="V772" i="3" a="1"/>
  <c r="V773" i="3" a="1"/>
  <c r="V7" i="3" a="1"/>
  <c r="V8" i="3" a="1"/>
  <c r="V9" i="3" a="1"/>
  <c r="V10" i="3" a="1"/>
  <c r="V11" i="3" a="1"/>
  <c r="V12" i="3" a="1"/>
  <c r="V13" i="3" a="1"/>
  <c r="V14" i="3" a="1"/>
  <c r="V15" i="3" a="1"/>
  <c r="V16" i="3" a="1"/>
  <c r="V17" i="3" a="1"/>
  <c r="V18" i="3" a="1"/>
  <c r="V19" i="3" a="1"/>
  <c r="V20" i="3" a="1"/>
  <c r="V21" i="3" a="1"/>
  <c r="V22" i="3" a="1"/>
  <c r="V23" i="3" a="1"/>
  <c r="V24" i="3" a="1"/>
  <c r="V25" i="3" a="1"/>
  <c r="V26" i="3" a="1"/>
  <c r="V27" i="3" a="1"/>
  <c r="V28" i="3" a="1"/>
  <c r="V29" i="3" a="1"/>
  <c r="V30" i="3" a="1"/>
  <c r="V31" i="3" a="1"/>
  <c r="V32" i="3" a="1"/>
  <c r="V33" i="3" a="1"/>
  <c r="V34" i="3" a="1"/>
  <c r="V35" i="3" a="1"/>
  <c r="V36" i="3" a="1"/>
  <c r="V37" i="3" a="1"/>
  <c r="V38" i="3" a="1"/>
  <c r="V39" i="3" a="1"/>
  <c r="V40" i="3" a="1"/>
  <c r="V41" i="3" a="1"/>
  <c r="V42" i="3" a="1"/>
  <c r="V43" i="3" a="1"/>
  <c r="V44" i="3" a="1"/>
  <c r="V45" i="3" a="1"/>
  <c r="V46" i="3" a="1"/>
  <c r="V47" i="3" a="1"/>
  <c r="V48" i="3" a="1"/>
  <c r="V49" i="3" a="1"/>
  <c r="V50" i="3" a="1"/>
  <c r="V51" i="3" a="1"/>
  <c r="V52" i="3" a="1"/>
  <c r="V53" i="3" a="1"/>
  <c r="V54" i="3" a="1"/>
  <c r="V55" i="3" a="1"/>
  <c r="V56" i="3" a="1"/>
  <c r="V57" i="3" a="1"/>
  <c r="V58" i="3" a="1"/>
  <c r="V59" i="3" a="1"/>
  <c r="V60" i="3" a="1"/>
  <c r="V61" i="3" a="1"/>
  <c r="V62" i="3" a="1"/>
  <c r="V63" i="3" a="1"/>
  <c r="V64" i="3" a="1"/>
  <c r="V65" i="3" a="1"/>
  <c r="V66" i="3" a="1"/>
  <c r="V67" i="3" a="1"/>
  <c r="V68" i="3" a="1"/>
  <c r="V69" i="3" a="1"/>
  <c r="V70" i="3" a="1"/>
  <c r="V71" i="3" a="1"/>
  <c r="V72" i="3" a="1"/>
  <c r="V73" i="3" a="1"/>
  <c r="V74" i="3" a="1"/>
  <c r="V75" i="3" a="1"/>
  <c r="V76" i="3" a="1"/>
  <c r="V77" i="3" a="1"/>
  <c r="V78" i="3" a="1"/>
  <c r="V79" i="3" a="1"/>
  <c r="V80" i="3" a="1"/>
  <c r="V81" i="3" a="1"/>
  <c r="V82" i="3" a="1"/>
  <c r="V83" i="3" a="1"/>
  <c r="V84" i="3" a="1"/>
  <c r="V85" i="3" a="1"/>
  <c r="V86" i="3" a="1"/>
  <c r="V87" i="3" a="1"/>
  <c r="V88" i="3" a="1"/>
  <c r="V89" i="3" a="1"/>
  <c r="V90" i="3" a="1"/>
  <c r="V91" i="3" a="1"/>
  <c r="V92" i="3" a="1"/>
  <c r="V93" i="3" a="1"/>
  <c r="V94" i="3" a="1"/>
  <c r="V95" i="3" a="1"/>
  <c r="V96" i="3" a="1"/>
  <c r="V97" i="3" a="1"/>
  <c r="V98" i="3" a="1"/>
  <c r="V99" i="3" a="1"/>
  <c r="V100" i="3" a="1"/>
  <c r="V101" i="3" a="1"/>
  <c r="V102" i="3" a="1"/>
  <c r="V103" i="3" a="1"/>
  <c r="V104" i="3" a="1"/>
  <c r="V105" i="3" a="1"/>
  <c r="V106" i="3" a="1"/>
  <c r="V107" i="3" a="1"/>
  <c r="V108" i="3" a="1"/>
  <c r="V109" i="3" a="1"/>
  <c r="V110" i="3" a="1"/>
  <c r="V111" i="3" a="1"/>
  <c r="V112" i="3" a="1"/>
  <c r="V113" i="3" a="1"/>
  <c r="V114" i="3" a="1"/>
  <c r="V115" i="3" a="1"/>
  <c r="V116" i="3" a="1"/>
  <c r="V117" i="3" a="1"/>
  <c r="V118" i="3" a="1"/>
  <c r="V119" i="3" a="1"/>
  <c r="V120" i="3" a="1"/>
  <c r="V121" i="3" a="1"/>
  <c r="V122" i="3" a="1"/>
  <c r="V123" i="3" a="1"/>
  <c r="V124" i="3" a="1"/>
  <c r="V125" i="3" a="1"/>
  <c r="V126" i="3" a="1"/>
  <c r="V127" i="3" a="1"/>
  <c r="V128" i="3" a="1"/>
  <c r="V129" i="3" a="1"/>
  <c r="V130" i="3" a="1"/>
  <c r="V131" i="3" a="1"/>
  <c r="V132" i="3" a="1"/>
  <c r="V133" i="3" a="1"/>
  <c r="V134" i="3" a="1"/>
  <c r="V135" i="3" a="1"/>
  <c r="V136" i="3" a="1"/>
  <c r="V137" i="3" a="1"/>
  <c r="V138" i="3" a="1"/>
  <c r="V139" i="3" a="1"/>
  <c r="V140" i="3" a="1"/>
  <c r="V141" i="3" a="1"/>
  <c r="V142" i="3" a="1"/>
  <c r="V143" i="3" a="1"/>
  <c r="V144" i="3" a="1"/>
  <c r="V145" i="3" a="1"/>
  <c r="V146" i="3" a="1"/>
  <c r="V147" i="3" a="1"/>
  <c r="V148" i="3" a="1"/>
  <c r="V149" i="3" a="1"/>
  <c r="V150" i="3" a="1"/>
  <c r="V151" i="3" a="1"/>
  <c r="V152" i="3" a="1"/>
  <c r="V153" i="3" a="1"/>
  <c r="V154" i="3" a="1"/>
  <c r="V155" i="3" a="1"/>
  <c r="V156" i="3" a="1"/>
  <c r="V157" i="3" a="1"/>
  <c r="V158" i="3" a="1"/>
  <c r="V159" i="3" a="1"/>
  <c r="V160" i="3" a="1"/>
  <c r="V161" i="3" a="1"/>
  <c r="V162" i="3" a="1"/>
  <c r="V163" i="3" a="1"/>
  <c r="V164" i="3" a="1"/>
  <c r="V165" i="3" a="1"/>
  <c r="V166" i="3" a="1"/>
  <c r="V167" i="3" a="1"/>
  <c r="V168" i="3" a="1"/>
  <c r="V169" i="3" a="1"/>
  <c r="V170" i="3" a="1"/>
  <c r="V171" i="3" a="1"/>
  <c r="V172" i="3" a="1"/>
  <c r="V173" i="3" a="1"/>
  <c r="V174" i="3" a="1"/>
  <c r="V175" i="3" a="1"/>
  <c r="V176" i="3" a="1"/>
  <c r="V177" i="3" a="1"/>
  <c r="V178" i="3" a="1"/>
  <c r="V179" i="3" a="1"/>
  <c r="V180" i="3" a="1"/>
  <c r="V181" i="3" a="1"/>
  <c r="V182" i="3" a="1"/>
  <c r="V183" i="3" a="1"/>
  <c r="V184" i="3" a="1"/>
  <c r="V185" i="3" a="1"/>
  <c r="V186" i="3" a="1"/>
  <c r="V187" i="3" a="1"/>
  <c r="V188" i="3" a="1"/>
  <c r="V189" i="3" a="1"/>
  <c r="V190" i="3" a="1"/>
  <c r="V191" i="3" a="1"/>
  <c r="V192" i="3" a="1"/>
  <c r="V193" i="3" a="1"/>
  <c r="V194" i="3" a="1"/>
  <c r="V195" i="3" a="1"/>
  <c r="V196" i="3" a="1"/>
  <c r="V197" i="3" a="1"/>
  <c r="V198" i="3" a="1"/>
  <c r="V199" i="3" a="1"/>
  <c r="V200" i="3" a="1"/>
  <c r="V201" i="3" a="1"/>
  <c r="V202" i="3" a="1"/>
  <c r="V203" i="3" a="1"/>
  <c r="V204" i="3" a="1"/>
  <c r="V205" i="3" a="1"/>
  <c r="V206" i="3" a="1"/>
  <c r="V207" i="3" a="1"/>
  <c r="V208" i="3" a="1"/>
  <c r="V209" i="3" a="1"/>
  <c r="V210" i="3" a="1"/>
  <c r="V211" i="3" a="1"/>
  <c r="V212" i="3" a="1"/>
  <c r="V213" i="3" a="1"/>
  <c r="V214" i="3" a="1"/>
  <c r="V215" i="3" a="1"/>
  <c r="V216" i="3" a="1"/>
  <c r="V217" i="3" a="1"/>
  <c r="V218" i="3" a="1"/>
  <c r="V219" i="3" a="1"/>
  <c r="V220" i="3" a="1"/>
  <c r="V221" i="3" a="1"/>
  <c r="V222" i="3" a="1"/>
  <c r="V223" i="3" a="1"/>
  <c r="V224" i="3" a="1"/>
  <c r="V225" i="3" a="1"/>
  <c r="V226" i="3" a="1"/>
  <c r="V227" i="3" a="1"/>
  <c r="V228" i="3" a="1"/>
  <c r="V229" i="3" a="1"/>
  <c r="V230" i="3" a="1"/>
  <c r="V231" i="3" a="1"/>
  <c r="V232" i="3" a="1"/>
  <c r="V233" i="3" a="1"/>
  <c r="V234" i="3" a="1"/>
  <c r="V235" i="3" a="1"/>
  <c r="V236" i="3" a="1"/>
  <c r="V237" i="3" a="1"/>
  <c r="V238" i="3" a="1"/>
  <c r="V239" i="3" a="1"/>
  <c r="V240" i="3" a="1"/>
  <c r="V241" i="3" a="1"/>
  <c r="V242" i="3" a="1"/>
  <c r="V243" i="3" a="1"/>
  <c r="V244" i="3" a="1"/>
  <c r="V245" i="3" a="1"/>
  <c r="V246" i="3" a="1"/>
  <c r="V247" i="3" a="1"/>
  <c r="V248" i="3" a="1"/>
  <c r="V249" i="3" a="1"/>
  <c r="V250" i="3" a="1"/>
  <c r="V251" i="3" a="1"/>
  <c r="V252" i="3" a="1"/>
  <c r="V253" i="3" a="1"/>
  <c r="V254" i="3" a="1"/>
  <c r="V255" i="3" a="1"/>
  <c r="V256" i="3" a="1"/>
  <c r="V257" i="3" a="1"/>
  <c r="V258" i="3" a="1"/>
  <c r="V259" i="3" a="1"/>
  <c r="V260" i="3" a="1"/>
  <c r="V261" i="3" a="1"/>
  <c r="V262" i="3" a="1"/>
  <c r="V263" i="3" a="1"/>
  <c r="V264" i="3" a="1"/>
  <c r="V265" i="3" a="1"/>
  <c r="V266" i="3" a="1"/>
  <c r="V267" i="3" a="1"/>
  <c r="V268" i="3" a="1"/>
  <c r="V269" i="3" a="1"/>
  <c r="V270" i="3" a="1"/>
  <c r="V271" i="3" a="1"/>
  <c r="V272" i="3" a="1"/>
  <c r="V273" i="3" a="1"/>
  <c r="V274" i="3" a="1"/>
  <c r="V275" i="3" a="1"/>
  <c r="V276" i="3" a="1"/>
  <c r="V277" i="3" a="1"/>
  <c r="V278" i="3" a="1"/>
  <c r="V279" i="3" a="1"/>
  <c r="V280" i="3" a="1"/>
  <c r="V281" i="3" a="1"/>
  <c r="V282" i="3" a="1"/>
  <c r="V283" i="3" a="1"/>
  <c r="V284" i="3" a="1"/>
  <c r="V285" i="3" a="1"/>
  <c r="V286" i="3" a="1"/>
  <c r="V287" i="3" a="1"/>
  <c r="V288" i="3" a="1"/>
  <c r="V289" i="3" a="1"/>
  <c r="V290" i="3" a="1"/>
  <c r="V291" i="3" a="1"/>
  <c r="V292" i="3" a="1"/>
  <c r="V293" i="3" a="1"/>
  <c r="V294" i="3" a="1"/>
  <c r="V295" i="3" a="1"/>
  <c r="V296" i="3" a="1"/>
  <c r="V297" i="3" a="1"/>
  <c r="V298" i="3" a="1"/>
  <c r="V299" i="3" a="1"/>
  <c r="V300" i="3" a="1"/>
  <c r="V301" i="3" a="1"/>
  <c r="V302" i="3" a="1"/>
  <c r="V303" i="3" a="1"/>
  <c r="V304" i="3" a="1"/>
  <c r="V305" i="3" a="1"/>
  <c r="V306" i="3" a="1"/>
  <c r="V307" i="3" a="1"/>
  <c r="V308" i="3" a="1"/>
  <c r="V309" i="3" a="1"/>
  <c r="V310" i="3" a="1"/>
  <c r="V311" i="3" a="1"/>
  <c r="V312" i="3" a="1"/>
  <c r="V313" i="3" a="1"/>
  <c r="V314" i="3" a="1"/>
  <c r="V315" i="3" a="1"/>
  <c r="V316" i="3" a="1"/>
  <c r="V317" i="3" a="1"/>
  <c r="V318" i="3" a="1"/>
  <c r="V319" i="3" a="1"/>
  <c r="V320" i="3" a="1"/>
  <c r="V321" i="3" a="1"/>
  <c r="V322" i="3" a="1"/>
  <c r="V323" i="3" a="1"/>
  <c r="V324" i="3" a="1"/>
  <c r="V325" i="3" a="1"/>
  <c r="V326" i="3" a="1"/>
  <c r="V327" i="3" a="1"/>
  <c r="V328" i="3" a="1"/>
  <c r="V329" i="3" a="1"/>
  <c r="V330" i="3" a="1"/>
  <c r="V331" i="3" a="1"/>
  <c r="V332" i="3" a="1"/>
  <c r="V333" i="3" a="1"/>
  <c r="V334" i="3" a="1"/>
  <c r="V335" i="3" a="1"/>
  <c r="V336" i="3" a="1"/>
  <c r="V337" i="3" a="1"/>
  <c r="V338" i="3" a="1"/>
  <c r="V339" i="3" a="1"/>
  <c r="V340" i="3" a="1"/>
  <c r="V341" i="3" a="1"/>
  <c r="V342" i="3" a="1"/>
  <c r="V343" i="3" a="1"/>
  <c r="V344" i="3" a="1"/>
  <c r="V345" i="3" a="1"/>
  <c r="V346" i="3" a="1"/>
  <c r="V347" i="3" a="1"/>
  <c r="V348" i="3" a="1"/>
  <c r="V349" i="3" a="1"/>
  <c r="V350" i="3" a="1"/>
  <c r="V351" i="3" a="1"/>
  <c r="V352" i="3" a="1"/>
  <c r="V353" i="3" a="1"/>
  <c r="V354" i="3" a="1"/>
  <c r="V355" i="3" a="1"/>
  <c r="V356" i="3" a="1"/>
  <c r="V357" i="3" a="1"/>
  <c r="V358" i="3" a="1"/>
  <c r="V359" i="3" a="1"/>
  <c r="V360" i="3" a="1"/>
  <c r="V361" i="3" a="1"/>
  <c r="V362" i="3" a="1"/>
  <c r="V363" i="3" a="1"/>
  <c r="V364" i="3" a="1"/>
  <c r="V365" i="3" a="1"/>
  <c r="V366" i="3" a="1"/>
  <c r="V367" i="3" a="1"/>
  <c r="V368" i="3" a="1"/>
  <c r="V369" i="3" a="1"/>
  <c r="V370" i="3" a="1"/>
  <c r="V371" i="3" a="1"/>
  <c r="V372" i="3" a="1"/>
  <c r="V373" i="3" a="1"/>
  <c r="V374" i="3" a="1"/>
  <c r="V375" i="3" a="1"/>
  <c r="V376" i="3" a="1"/>
  <c r="V377" i="3" a="1"/>
  <c r="V378" i="3" a="1"/>
  <c r="V379" i="3" a="1"/>
  <c r="V380" i="3" a="1"/>
  <c r="V381" i="3" a="1"/>
  <c r="V382" i="3" a="1"/>
  <c r="V383" i="3" a="1"/>
  <c r="V384" i="3" a="1"/>
  <c r="V385" i="3" a="1"/>
  <c r="V386" i="3" a="1"/>
  <c r="V387" i="3" a="1"/>
  <c r="V388" i="3" a="1"/>
  <c r="V389" i="3" a="1"/>
  <c r="V390" i="3" a="1"/>
  <c r="V391" i="3" a="1"/>
  <c r="V392" i="3" a="1"/>
  <c r="V393" i="3" a="1"/>
  <c r="V394" i="3" a="1"/>
  <c r="V395" i="3" a="1"/>
  <c r="V396" i="3" a="1"/>
  <c r="V397" i="3" a="1"/>
  <c r="V398" i="3" a="1"/>
  <c r="V399" i="3" a="1"/>
  <c r="V400" i="3" a="1"/>
  <c r="V401" i="3" a="1"/>
  <c r="V402" i="3" a="1"/>
  <c r="V403" i="3" a="1"/>
  <c r="V404" i="3" a="1"/>
  <c r="V405" i="3" a="1"/>
  <c r="V406" i="3" a="1"/>
  <c r="V407" i="3" a="1"/>
  <c r="V408" i="3" a="1"/>
  <c r="V409" i="3" a="1"/>
  <c r="V410" i="3" a="1"/>
  <c r="V411" i="3" a="1"/>
  <c r="V412" i="3" a="1"/>
  <c r="V413" i="3" a="1"/>
  <c r="V414" i="3" a="1"/>
  <c r="V415" i="3" a="1"/>
  <c r="V416" i="3" a="1"/>
  <c r="V417" i="3" a="1"/>
  <c r="V418" i="3" a="1"/>
  <c r="V419" i="3" a="1"/>
  <c r="V420" i="3" a="1"/>
  <c r="V421" i="3" a="1"/>
  <c r="V422" i="3" a="1"/>
  <c r="V423" i="3" a="1"/>
  <c r="V424" i="3" a="1"/>
  <c r="V425" i="3" a="1"/>
  <c r="V426" i="3" a="1"/>
  <c r="V427" i="3" a="1"/>
  <c r="V428" i="3" a="1"/>
  <c r="V429" i="3" a="1"/>
  <c r="V430" i="3" a="1"/>
  <c r="V431" i="3" a="1"/>
  <c r="V432" i="3" a="1"/>
  <c r="V433" i="3" a="1"/>
  <c r="V434" i="3" a="1"/>
  <c r="V435" i="3" a="1"/>
  <c r="V436" i="3" a="1"/>
  <c r="V437" i="3" a="1"/>
  <c r="V438" i="3" a="1"/>
  <c r="V439" i="3" a="1"/>
  <c r="V440" i="3" a="1"/>
  <c r="V441" i="3" a="1"/>
  <c r="V442" i="3" a="1"/>
  <c r="V443" i="3" a="1"/>
  <c r="V444" i="3" a="1"/>
  <c r="V445" i="3" a="1"/>
  <c r="V446" i="3" a="1"/>
  <c r="V447" i="3" a="1"/>
  <c r="V448" i="3" a="1"/>
  <c r="V449" i="3" a="1"/>
  <c r="V450" i="3" a="1"/>
  <c r="V451" i="3" a="1"/>
  <c r="V452" i="3" a="1"/>
  <c r="V453" i="3" a="1"/>
  <c r="V454" i="3" a="1"/>
  <c r="V455" i="3" a="1"/>
  <c r="V456" i="3" a="1"/>
  <c r="V457" i="3" a="1"/>
  <c r="V458" i="3" a="1"/>
  <c r="V459" i="3" a="1"/>
  <c r="V460" i="3" a="1"/>
  <c r="V461" i="3" a="1"/>
  <c r="V462" i="3" a="1"/>
  <c r="V463" i="3" a="1"/>
  <c r="V464" i="3" a="1"/>
  <c r="V465" i="3" a="1"/>
  <c r="V466" i="3" a="1"/>
  <c r="V467" i="3" a="1"/>
  <c r="V468" i="3" a="1"/>
  <c r="V469" i="3" a="1"/>
  <c r="V470" i="3" a="1"/>
  <c r="V471" i="3" a="1"/>
  <c r="V472" i="3" a="1"/>
  <c r="V473" i="3" a="1"/>
  <c r="V474" i="3" a="1"/>
  <c r="V475" i="3" a="1"/>
  <c r="V476" i="3" a="1"/>
  <c r="V477" i="3" a="1"/>
  <c r="V478" i="3" a="1"/>
  <c r="V479" i="3" a="1"/>
  <c r="V480" i="3" a="1"/>
  <c r="V481" i="3" a="1"/>
  <c r="V482" i="3" a="1"/>
  <c r="V483" i="3" a="1"/>
  <c r="V484" i="3" a="1"/>
  <c r="V485" i="3" a="1"/>
  <c r="V486" i="3" a="1"/>
  <c r="V487" i="3" a="1"/>
  <c r="V488" i="3" a="1"/>
  <c r="V489" i="3" a="1"/>
  <c r="V490" i="3" a="1"/>
  <c r="V491" i="3" a="1"/>
  <c r="V492" i="3" a="1"/>
  <c r="V493" i="3" a="1"/>
  <c r="V494" i="3" a="1"/>
  <c r="V495" i="3" a="1"/>
  <c r="V496" i="3" a="1"/>
  <c r="V497" i="3" a="1"/>
  <c r="V498" i="3" a="1"/>
  <c r="V499" i="3" a="1"/>
  <c r="V500" i="3" a="1"/>
  <c r="V501" i="3" a="1"/>
  <c r="V502" i="3" a="1"/>
  <c r="V503" i="3" a="1"/>
  <c r="V504" i="3" a="1"/>
  <c r="V505" i="3" a="1"/>
  <c r="V506" i="3" a="1"/>
  <c r="V507" i="3" a="1"/>
  <c r="V508" i="3" a="1"/>
  <c r="V509" i="3" a="1"/>
  <c r="V510" i="3" a="1"/>
  <c r="V511" i="3" a="1"/>
  <c r="V512" i="3" a="1"/>
  <c r="V513" i="3" a="1"/>
  <c r="V514" i="3" a="1"/>
  <c r="V515" i="3" a="1"/>
  <c r="V516" i="3" a="1"/>
  <c r="V517" i="3" a="1"/>
  <c r="V518" i="3" a="1"/>
  <c r="V519" i="3" a="1"/>
  <c r="V520" i="3" a="1"/>
  <c r="V521" i="3" a="1"/>
  <c r="V522" i="3" a="1"/>
  <c r="V523" i="3" a="1"/>
  <c r="V524" i="3" a="1"/>
  <c r="V525" i="3" a="1"/>
  <c r="V526" i="3" a="1"/>
  <c r="V527" i="3" a="1"/>
  <c r="V528" i="3" a="1"/>
  <c r="V529" i="3" a="1"/>
  <c r="V530" i="3" a="1"/>
  <c r="V531" i="3" a="1"/>
  <c r="V532" i="3" a="1"/>
  <c r="V533" i="3" a="1"/>
  <c r="V534" i="3" a="1"/>
  <c r="V535" i="3" a="1"/>
  <c r="V536" i="3" a="1"/>
  <c r="V537" i="3" a="1"/>
  <c r="V538" i="3" a="1"/>
  <c r="V539" i="3" a="1"/>
  <c r="V540" i="3" a="1"/>
  <c r="V541" i="3" a="1"/>
  <c r="V542" i="3" a="1"/>
  <c r="V543" i="3" a="1"/>
  <c r="V544" i="3" a="1"/>
  <c r="V545" i="3" a="1"/>
  <c r="V546" i="3" a="1"/>
  <c r="V547" i="3" a="1"/>
  <c r="V548" i="3" a="1"/>
  <c r="V549" i="3" a="1"/>
  <c r="V550" i="3" a="1"/>
  <c r="V551" i="3" a="1"/>
  <c r="V552" i="3" a="1"/>
  <c r="V553" i="3" a="1"/>
  <c r="V554" i="3" a="1"/>
  <c r="V555" i="3" a="1"/>
  <c r="V556" i="3" a="1"/>
  <c r="V557" i="3" a="1"/>
  <c r="V558" i="3" a="1"/>
  <c r="V559" i="3" a="1"/>
  <c r="V560" i="3" a="1"/>
  <c r="V561" i="3" a="1"/>
  <c r="V562" i="3" a="1"/>
  <c r="V563" i="3" a="1"/>
  <c r="V564" i="3" a="1"/>
  <c r="V565" i="3" a="1"/>
  <c r="V566" i="3" a="1"/>
  <c r="V567" i="3" a="1"/>
  <c r="V568" i="3" a="1"/>
  <c r="V569" i="3" a="1"/>
  <c r="V570" i="3" a="1"/>
  <c r="V571" i="3" a="1"/>
  <c r="V572" i="3" a="1"/>
  <c r="V573" i="3" a="1"/>
  <c r="V574" i="3" a="1"/>
  <c r="V575" i="3" a="1"/>
  <c r="V576" i="3" a="1"/>
  <c r="V577" i="3" a="1"/>
  <c r="V578" i="3" a="1"/>
  <c r="V579" i="3" a="1"/>
  <c r="V580" i="3" a="1"/>
  <c r="V581" i="3" a="1"/>
  <c r="V582" i="3" a="1"/>
  <c r="V583" i="3" a="1"/>
  <c r="V584" i="3" a="1"/>
  <c r="V585" i="3" a="1"/>
  <c r="V586" i="3" a="1"/>
  <c r="V587" i="3" a="1"/>
  <c r="V588" i="3" a="1"/>
  <c r="V589" i="3" a="1"/>
  <c r="V590" i="3" a="1"/>
  <c r="V591" i="3" a="1"/>
  <c r="V592" i="3" a="1"/>
  <c r="V593" i="3" a="1"/>
  <c r="V594" i="3" a="1"/>
  <c r="V595" i="3" a="1"/>
  <c r="V596" i="3" a="1"/>
  <c r="V597" i="3" a="1"/>
  <c r="V598" i="3" a="1"/>
  <c r="V599" i="3" a="1"/>
  <c r="V600" i="3" a="1"/>
  <c r="V601" i="3" a="1"/>
  <c r="V602" i="3" a="1"/>
  <c r="V603" i="3" a="1"/>
  <c r="V604" i="3" a="1"/>
  <c r="V605" i="3" a="1"/>
  <c r="V606" i="3" a="1"/>
  <c r="V607" i="3" a="1"/>
  <c r="V608" i="3" a="1"/>
  <c r="V609" i="3" a="1"/>
  <c r="V610" i="3" a="1"/>
  <c r="V611" i="3" a="1"/>
  <c r="V612" i="3" a="1"/>
  <c r="V613" i="3" a="1"/>
  <c r="V614" i="3" a="1"/>
  <c r="V615" i="3" a="1"/>
  <c r="V616" i="3" a="1"/>
  <c r="V617" i="3" a="1"/>
  <c r="V618" i="3" a="1"/>
  <c r="V619" i="3" a="1"/>
  <c r="V620" i="3" a="1"/>
  <c r="V621" i="3" a="1"/>
  <c r="V622" i="3" a="1"/>
  <c r="V623" i="3" a="1"/>
  <c r="V624" i="3" a="1"/>
  <c r="V625" i="3" a="1"/>
  <c r="V626" i="3" a="1"/>
  <c r="V627" i="3" a="1"/>
  <c r="V628" i="3" a="1"/>
  <c r="V629" i="3" a="1"/>
  <c r="V630" i="3" a="1"/>
  <c r="V631" i="3" a="1"/>
  <c r="V632" i="3" a="1"/>
  <c r="V633" i="3" a="1"/>
  <c r="V634" i="3" a="1"/>
  <c r="V635" i="3" a="1"/>
  <c r="V636" i="3" a="1"/>
  <c r="V637" i="3" a="1"/>
  <c r="V638" i="3" a="1"/>
  <c r="V639" i="3" a="1"/>
  <c r="V640" i="3" a="1"/>
  <c r="V641" i="3" a="1"/>
  <c r="V642" i="3" a="1"/>
  <c r="V643" i="3" a="1"/>
  <c r="V644" i="3" a="1"/>
  <c r="V645" i="3" a="1"/>
  <c r="V646" i="3" a="1"/>
  <c r="V647" i="3" a="1"/>
  <c r="V648" i="3" a="1"/>
  <c r="V649" i="3" a="1"/>
  <c r="V650" i="3" a="1"/>
  <c r="V651" i="3" a="1"/>
  <c r="V652" i="3" a="1"/>
  <c r="V653" i="3" a="1"/>
  <c r="V654" i="3" a="1"/>
  <c r="V655" i="3" a="1"/>
  <c r="V656" i="3" a="1"/>
  <c r="V6" i="3" a="1"/>
  <c r="F7" i="3" a="1"/>
  <c r="F8" i="3" a="1"/>
  <c r="F9" i="3" a="1"/>
  <c r="F10" i="3" a="1"/>
  <c r="F11" i="3" a="1"/>
  <c r="F12" i="3" a="1"/>
  <c r="F13" i="3" a="1"/>
  <c r="F14" i="3" a="1"/>
  <c r="F15" i="3" a="1"/>
  <c r="F16" i="3" a="1"/>
  <c r="F17" i="3" a="1"/>
  <c r="F18" i="3" a="1"/>
  <c r="F19" i="3" a="1"/>
  <c r="F20" i="3" a="1"/>
  <c r="F21" i="3" a="1"/>
  <c r="F22" i="3" a="1"/>
  <c r="F23" i="3" a="1"/>
  <c r="F24" i="3" a="1"/>
  <c r="F25" i="3" a="1"/>
  <c r="F26" i="3" a="1"/>
  <c r="F27" i="3" a="1"/>
  <c r="F28" i="3" a="1"/>
  <c r="F29" i="3" a="1"/>
  <c r="F30" i="3" a="1"/>
  <c r="F31" i="3" a="1"/>
  <c r="F32" i="3" a="1"/>
  <c r="F33" i="3" a="1"/>
  <c r="F34" i="3" a="1"/>
  <c r="F35" i="3" a="1"/>
  <c r="F36" i="3" a="1"/>
  <c r="F37" i="3" a="1"/>
  <c r="F38" i="3" a="1"/>
  <c r="F39" i="3" a="1"/>
  <c r="F40" i="3" a="1"/>
  <c r="F41" i="3" a="1"/>
  <c r="F42" i="3" a="1"/>
  <c r="F43" i="3" a="1"/>
  <c r="F44" i="3" a="1"/>
  <c r="F45" i="3" a="1"/>
  <c r="F46" i="3" a="1"/>
  <c r="F47" i="3" a="1"/>
  <c r="F48" i="3" a="1"/>
  <c r="F49" i="3" a="1"/>
  <c r="F50" i="3" a="1"/>
  <c r="F51" i="3" a="1"/>
  <c r="F52" i="3" a="1"/>
  <c r="F53" i="3" a="1"/>
  <c r="F54" i="3" a="1"/>
  <c r="F55" i="3" a="1"/>
  <c r="F56" i="3" a="1"/>
  <c r="F57" i="3" a="1"/>
  <c r="F58" i="3" a="1"/>
  <c r="F59" i="3" a="1"/>
  <c r="F60" i="3" a="1"/>
  <c r="F61" i="3" a="1"/>
  <c r="F62" i="3" a="1"/>
  <c r="F63" i="3" a="1"/>
  <c r="F64" i="3" a="1"/>
  <c r="F65" i="3" a="1"/>
  <c r="F66" i="3" a="1"/>
  <c r="F67" i="3" a="1"/>
  <c r="F68" i="3" a="1"/>
  <c r="F69" i="3" a="1"/>
  <c r="F70" i="3" a="1"/>
  <c r="F71" i="3" a="1"/>
  <c r="F72" i="3" a="1"/>
  <c r="F73" i="3" a="1"/>
  <c r="F74" i="3" a="1"/>
  <c r="F75" i="3" a="1"/>
  <c r="F76" i="3" a="1"/>
  <c r="F77" i="3" a="1"/>
  <c r="F78" i="3" a="1"/>
  <c r="F79" i="3" a="1"/>
  <c r="F80" i="3" a="1"/>
  <c r="F81" i="3" a="1"/>
  <c r="F82" i="3" a="1"/>
  <c r="F83" i="3" a="1"/>
  <c r="F84" i="3" a="1"/>
  <c r="F85" i="3" a="1"/>
  <c r="F86" i="3" a="1"/>
  <c r="F87" i="3" a="1"/>
  <c r="F88" i="3" a="1"/>
  <c r="F89" i="3" a="1"/>
  <c r="F90" i="3" a="1"/>
  <c r="F91" i="3" a="1"/>
  <c r="F92" i="3" a="1"/>
  <c r="F93" i="3" a="1"/>
  <c r="F94" i="3" a="1"/>
  <c r="F95" i="3" a="1"/>
  <c r="F96" i="3" a="1"/>
  <c r="F97" i="3" a="1"/>
  <c r="F98" i="3" a="1"/>
  <c r="F99" i="3" a="1"/>
  <c r="F100" i="3" a="1"/>
  <c r="F101" i="3" a="1"/>
  <c r="F102" i="3" a="1"/>
  <c r="F103" i="3" a="1"/>
  <c r="F104" i="3" a="1"/>
  <c r="F105" i="3" a="1"/>
  <c r="F106" i="3" a="1"/>
  <c r="F107" i="3" a="1"/>
  <c r="F108" i="3" a="1"/>
  <c r="F109" i="3" a="1"/>
  <c r="F110" i="3" a="1"/>
  <c r="F111" i="3" a="1"/>
  <c r="F112" i="3" a="1"/>
  <c r="F113" i="3" a="1"/>
  <c r="F114" i="3" a="1"/>
  <c r="F115" i="3" a="1"/>
  <c r="F116" i="3" a="1"/>
  <c r="F117" i="3" a="1"/>
  <c r="F118" i="3" a="1"/>
  <c r="F119" i="3" a="1"/>
  <c r="F120" i="3" a="1"/>
  <c r="F121" i="3" a="1"/>
  <c r="F122" i="3" a="1"/>
  <c r="F123" i="3" a="1"/>
  <c r="F124" i="3" a="1"/>
  <c r="F125" i="3" a="1"/>
  <c r="F126" i="3" a="1"/>
  <c r="F127" i="3" a="1"/>
  <c r="F128" i="3" a="1"/>
  <c r="F129" i="3" a="1"/>
  <c r="F130" i="3" a="1"/>
  <c r="F131" i="3" a="1"/>
  <c r="F132" i="3" a="1"/>
  <c r="F133" i="3" a="1"/>
  <c r="F134" i="3" a="1"/>
  <c r="F135" i="3" a="1"/>
  <c r="F136" i="3" a="1"/>
  <c r="F137" i="3" a="1"/>
  <c r="F138" i="3" a="1"/>
  <c r="F139" i="3" a="1"/>
  <c r="F140" i="3" a="1"/>
  <c r="F141" i="3" a="1"/>
  <c r="F142" i="3" a="1"/>
  <c r="F143" i="3" a="1"/>
  <c r="F144" i="3" a="1"/>
  <c r="F145" i="3" a="1"/>
  <c r="F146" i="3" a="1"/>
  <c r="F147" i="3" a="1"/>
  <c r="F148" i="3" a="1"/>
  <c r="F149" i="3" a="1"/>
  <c r="F150" i="3" a="1"/>
  <c r="F151" i="3" a="1"/>
  <c r="F152" i="3" a="1"/>
  <c r="F153" i="3" a="1"/>
  <c r="F154" i="3" a="1"/>
  <c r="F155" i="3" a="1"/>
  <c r="F156" i="3" a="1"/>
  <c r="F157" i="3" a="1"/>
  <c r="F158" i="3" a="1"/>
  <c r="F159" i="3" a="1"/>
  <c r="F160" i="3" a="1"/>
  <c r="F161" i="3" a="1"/>
  <c r="F162" i="3" a="1"/>
  <c r="F163" i="3" a="1"/>
  <c r="F164" i="3" a="1"/>
  <c r="F165" i="3" a="1"/>
  <c r="F166" i="3" a="1"/>
  <c r="F167" i="3" a="1"/>
  <c r="F168" i="3" a="1"/>
  <c r="F169" i="3" a="1"/>
  <c r="F170" i="3" a="1"/>
  <c r="F171" i="3" a="1"/>
  <c r="F172" i="3" a="1"/>
  <c r="F173" i="3" a="1"/>
  <c r="F174" i="3" a="1"/>
  <c r="F175" i="3" a="1"/>
  <c r="F176" i="3" a="1"/>
  <c r="F177" i="3" a="1"/>
  <c r="F178" i="3" a="1"/>
  <c r="F179" i="3" a="1"/>
  <c r="F180" i="3" a="1"/>
  <c r="F181" i="3" a="1"/>
  <c r="F182" i="3" a="1"/>
  <c r="F183" i="3" a="1"/>
  <c r="F184" i="3" a="1"/>
  <c r="F185" i="3" a="1"/>
  <c r="F186" i="3" a="1"/>
  <c r="F187" i="3" a="1"/>
  <c r="F188" i="3" a="1"/>
  <c r="F189" i="3" a="1"/>
  <c r="F190" i="3" a="1"/>
  <c r="F191" i="3" a="1"/>
  <c r="F192" i="3" a="1"/>
  <c r="F193" i="3" a="1"/>
  <c r="F194" i="3" a="1"/>
  <c r="F195" i="3" a="1"/>
  <c r="F196" i="3" a="1"/>
  <c r="F197" i="3" a="1"/>
  <c r="F198" i="3" a="1"/>
  <c r="F199" i="3" a="1"/>
  <c r="F200" i="3" a="1"/>
  <c r="F201" i="3" a="1"/>
  <c r="F202" i="3" a="1"/>
  <c r="F203" i="3" a="1"/>
  <c r="F204" i="3" a="1"/>
  <c r="F205" i="3" a="1"/>
  <c r="F206" i="3" a="1"/>
  <c r="F207" i="3" a="1"/>
  <c r="F208" i="3" a="1"/>
  <c r="F209" i="3" a="1"/>
  <c r="F210" i="3" a="1"/>
  <c r="F211" i="3" a="1"/>
  <c r="F212" i="3" a="1"/>
  <c r="F213" i="3" a="1"/>
  <c r="F214" i="3" a="1"/>
  <c r="F215" i="3" a="1"/>
  <c r="F216" i="3" a="1"/>
  <c r="F217" i="3" a="1"/>
  <c r="F218" i="3" a="1"/>
  <c r="F219" i="3" a="1"/>
  <c r="F220" i="3" a="1"/>
  <c r="F221" i="3" a="1"/>
  <c r="F222" i="3" a="1"/>
  <c r="F223" i="3" a="1"/>
  <c r="F224" i="3" a="1"/>
  <c r="F225" i="3" a="1"/>
  <c r="F226" i="3" a="1"/>
  <c r="F227" i="3" a="1"/>
  <c r="F228" i="3" a="1"/>
  <c r="F229" i="3" a="1"/>
  <c r="F230" i="3" a="1"/>
  <c r="F231" i="3" a="1"/>
  <c r="F232" i="3" a="1"/>
  <c r="F233" i="3" a="1"/>
  <c r="F234" i="3" a="1"/>
  <c r="F235" i="3" a="1"/>
  <c r="F236" i="3" a="1"/>
  <c r="F237" i="3" a="1"/>
  <c r="F238" i="3" a="1"/>
  <c r="F239" i="3" a="1"/>
  <c r="F240" i="3" a="1"/>
  <c r="F241" i="3" a="1"/>
  <c r="F242" i="3" a="1"/>
  <c r="F243" i="3" a="1"/>
  <c r="F244" i="3" a="1"/>
  <c r="F245" i="3" a="1"/>
  <c r="F246" i="3" a="1"/>
  <c r="F247" i="3" a="1"/>
  <c r="F248" i="3" a="1"/>
  <c r="F249" i="3" a="1"/>
  <c r="F250" i="3" a="1"/>
  <c r="F251" i="3" a="1"/>
  <c r="F252" i="3" a="1"/>
  <c r="F253" i="3" a="1"/>
  <c r="F254" i="3" a="1"/>
  <c r="F255" i="3" a="1"/>
  <c r="F256" i="3" a="1"/>
  <c r="F257" i="3" a="1"/>
  <c r="F258" i="3" a="1"/>
  <c r="F259" i="3" a="1"/>
  <c r="F260" i="3" a="1"/>
  <c r="F261" i="3" a="1"/>
  <c r="F262" i="3" a="1"/>
  <c r="F263" i="3" a="1"/>
  <c r="F264" i="3" a="1"/>
  <c r="F265" i="3" a="1"/>
  <c r="F266" i="3" a="1"/>
  <c r="F267" i="3" a="1"/>
  <c r="F268" i="3" a="1"/>
  <c r="F269" i="3" a="1"/>
  <c r="F270" i="3" a="1"/>
  <c r="F271" i="3" a="1"/>
  <c r="F272" i="3" a="1"/>
  <c r="F273" i="3" a="1"/>
  <c r="F274" i="3" a="1"/>
  <c r="F275" i="3" a="1"/>
  <c r="F276" i="3" a="1"/>
  <c r="F277" i="3" a="1"/>
  <c r="F278" i="3" a="1"/>
  <c r="F279" i="3" a="1"/>
  <c r="F280" i="3" a="1"/>
  <c r="F281" i="3" a="1"/>
  <c r="F282" i="3" a="1"/>
  <c r="F283" i="3" a="1"/>
  <c r="F284" i="3" a="1"/>
  <c r="F285" i="3" a="1"/>
  <c r="F286" i="3" a="1"/>
  <c r="F287" i="3" a="1"/>
  <c r="F288" i="3" a="1"/>
  <c r="F289" i="3" a="1"/>
  <c r="F290" i="3" a="1"/>
  <c r="F291" i="3" a="1"/>
  <c r="F292" i="3" a="1"/>
  <c r="F293" i="3" a="1"/>
  <c r="F294" i="3" a="1"/>
  <c r="F295" i="3" a="1"/>
  <c r="F296" i="3" a="1"/>
  <c r="F297" i="3" a="1"/>
  <c r="F298" i="3" a="1"/>
  <c r="F299" i="3" a="1"/>
  <c r="F300" i="3" a="1"/>
  <c r="F301" i="3" a="1"/>
  <c r="F302" i="3" a="1"/>
  <c r="F303" i="3" a="1"/>
  <c r="F304" i="3" a="1"/>
  <c r="F305" i="3" a="1"/>
  <c r="F306" i="3" a="1"/>
  <c r="F307" i="3" a="1"/>
  <c r="F308" i="3" a="1"/>
  <c r="F309" i="3" a="1"/>
  <c r="F310" i="3" a="1"/>
  <c r="F311" i="3" a="1"/>
  <c r="F312" i="3" a="1"/>
  <c r="F313" i="3" a="1"/>
  <c r="F314" i="3" a="1"/>
  <c r="F315" i="3" a="1"/>
  <c r="F316" i="3" a="1"/>
  <c r="F317" i="3" a="1"/>
  <c r="F318" i="3" a="1"/>
  <c r="F319" i="3" a="1"/>
  <c r="F320" i="3" a="1"/>
  <c r="F321" i="3" a="1"/>
  <c r="F322" i="3" a="1"/>
  <c r="F323" i="3" a="1"/>
  <c r="F324" i="3" a="1"/>
  <c r="F325" i="3" a="1"/>
  <c r="F326" i="3" a="1"/>
  <c r="F327" i="3" a="1"/>
  <c r="F328" i="3" a="1"/>
  <c r="F329" i="3" a="1"/>
  <c r="F330" i="3" a="1"/>
  <c r="F331" i="3" a="1"/>
  <c r="F332" i="3" a="1"/>
  <c r="F333" i="3" a="1"/>
  <c r="F334" i="3" a="1"/>
  <c r="F335" i="3" a="1"/>
  <c r="F336" i="3" a="1"/>
  <c r="F337" i="3" a="1"/>
  <c r="F338" i="3" a="1"/>
  <c r="F339" i="3" a="1"/>
  <c r="F340" i="3" a="1"/>
  <c r="F341" i="3" a="1"/>
  <c r="F342" i="3" a="1"/>
  <c r="F343" i="3" a="1"/>
  <c r="F344" i="3" a="1"/>
  <c r="F345" i="3" a="1"/>
  <c r="F346" i="3" a="1"/>
  <c r="F347" i="3" a="1"/>
  <c r="F348" i="3" a="1"/>
  <c r="F349" i="3" a="1"/>
  <c r="F350" i="3" a="1"/>
  <c r="F351" i="3" a="1"/>
  <c r="F352" i="3" a="1"/>
  <c r="F353" i="3" a="1"/>
  <c r="F354" i="3" a="1"/>
  <c r="F355" i="3" a="1"/>
  <c r="F356" i="3" a="1"/>
  <c r="F357" i="3" a="1"/>
  <c r="F358" i="3" a="1"/>
  <c r="F359" i="3" a="1"/>
  <c r="F360" i="3" a="1"/>
  <c r="F361" i="3" a="1"/>
  <c r="F362" i="3" a="1"/>
  <c r="F363" i="3" a="1"/>
  <c r="F364" i="3" a="1"/>
  <c r="F365" i="3" a="1"/>
  <c r="F366" i="3" a="1"/>
  <c r="F367" i="3" a="1"/>
  <c r="F368" i="3" a="1"/>
  <c r="F369" i="3" a="1"/>
  <c r="F370" i="3" a="1"/>
  <c r="F371" i="3" a="1"/>
  <c r="F372" i="3" a="1"/>
  <c r="F373" i="3" a="1"/>
  <c r="F374" i="3" a="1"/>
  <c r="F375" i="3" a="1"/>
  <c r="F376" i="3" a="1"/>
  <c r="F377" i="3" a="1"/>
  <c r="F378" i="3" a="1"/>
  <c r="F379" i="3" a="1"/>
  <c r="F380" i="3" a="1"/>
  <c r="F381" i="3" a="1"/>
  <c r="F382" i="3" a="1"/>
  <c r="F383" i="3" a="1"/>
  <c r="F384" i="3" a="1"/>
  <c r="F385" i="3" a="1"/>
  <c r="F386" i="3" a="1"/>
  <c r="F387" i="3" a="1"/>
  <c r="F388" i="3" a="1"/>
  <c r="F389" i="3" a="1"/>
  <c r="F390" i="3" a="1"/>
  <c r="F391" i="3" a="1"/>
  <c r="F392" i="3" a="1"/>
  <c r="F393" i="3" a="1"/>
  <c r="F394" i="3" a="1"/>
  <c r="F395" i="3" a="1"/>
  <c r="F396" i="3" a="1"/>
  <c r="F397" i="3" a="1"/>
  <c r="F398" i="3" a="1"/>
  <c r="F399" i="3" a="1"/>
  <c r="F400" i="3" a="1"/>
  <c r="F401" i="3" a="1"/>
  <c r="F402" i="3" a="1"/>
  <c r="F403" i="3" a="1"/>
  <c r="F404" i="3" a="1"/>
  <c r="F405" i="3" a="1"/>
  <c r="F406" i="3" a="1"/>
  <c r="F407" i="3" a="1"/>
  <c r="F408" i="3" a="1"/>
  <c r="F409" i="3" a="1"/>
  <c r="F410" i="3" a="1"/>
  <c r="F411" i="3" a="1"/>
  <c r="F412" i="3" a="1"/>
  <c r="F413" i="3" a="1"/>
  <c r="F414" i="3" a="1"/>
  <c r="F415" i="3" a="1"/>
  <c r="F416" i="3" a="1"/>
  <c r="F417" i="3" a="1"/>
  <c r="F418" i="3" a="1"/>
  <c r="F419" i="3" a="1"/>
  <c r="F420" i="3" a="1"/>
  <c r="F421" i="3" a="1"/>
  <c r="F422" i="3" a="1"/>
  <c r="F423" i="3" a="1"/>
  <c r="F424" i="3" a="1"/>
  <c r="F425" i="3" a="1"/>
  <c r="F426" i="3" a="1"/>
  <c r="F427" i="3" a="1"/>
  <c r="F428" i="3" a="1"/>
  <c r="F429" i="3" a="1"/>
  <c r="F430" i="3" a="1"/>
  <c r="F431" i="3" a="1"/>
  <c r="F432" i="3" a="1"/>
  <c r="F433" i="3" a="1"/>
  <c r="F434" i="3" a="1"/>
  <c r="F435" i="3" a="1"/>
  <c r="F436" i="3" a="1"/>
  <c r="F437" i="3" a="1"/>
  <c r="F438" i="3" a="1"/>
  <c r="F439" i="3" a="1"/>
  <c r="F440" i="3" a="1"/>
  <c r="F441" i="3" a="1"/>
  <c r="F442" i="3" a="1"/>
  <c r="F443" i="3" a="1"/>
  <c r="F444" i="3" a="1"/>
  <c r="F445" i="3" a="1"/>
  <c r="F446" i="3" a="1"/>
  <c r="F447" i="3" a="1"/>
  <c r="F448" i="3" a="1"/>
  <c r="F449" i="3" a="1"/>
  <c r="F450" i="3" a="1"/>
  <c r="F451" i="3" a="1"/>
  <c r="F452" i="3" a="1"/>
  <c r="F453" i="3" a="1"/>
  <c r="F454" i="3" a="1"/>
  <c r="F455" i="3" a="1"/>
  <c r="F456" i="3" a="1"/>
  <c r="F457" i="3" a="1"/>
  <c r="F458" i="3" a="1"/>
  <c r="F459" i="3" a="1"/>
  <c r="F460" i="3" a="1"/>
  <c r="F461" i="3" a="1"/>
  <c r="F462" i="3" a="1"/>
  <c r="F463" i="3" a="1"/>
  <c r="F464" i="3" a="1"/>
  <c r="F465" i="3" a="1"/>
  <c r="F466" i="3" a="1"/>
  <c r="F467" i="3" a="1"/>
  <c r="F468" i="3" a="1"/>
  <c r="F469" i="3" a="1"/>
  <c r="F470" i="3" a="1"/>
  <c r="F471" i="3" a="1"/>
  <c r="F472" i="3" a="1"/>
  <c r="F473" i="3" a="1"/>
  <c r="F474" i="3" a="1"/>
  <c r="F475" i="3" a="1"/>
  <c r="F476" i="3" a="1"/>
  <c r="F477" i="3" a="1"/>
  <c r="F478" i="3" a="1"/>
  <c r="F479" i="3" a="1"/>
  <c r="F480" i="3" a="1"/>
  <c r="F481" i="3" a="1"/>
  <c r="F482" i="3" a="1"/>
  <c r="F483" i="3" a="1"/>
  <c r="F484" i="3" a="1"/>
  <c r="F485" i="3" a="1"/>
  <c r="F486" i="3" a="1"/>
  <c r="F487" i="3" a="1"/>
  <c r="F488" i="3" a="1"/>
  <c r="F489" i="3" a="1"/>
  <c r="F490" i="3" a="1"/>
  <c r="F491" i="3" a="1"/>
  <c r="F492" i="3" a="1"/>
  <c r="F493" i="3" a="1"/>
  <c r="F494" i="3" a="1"/>
  <c r="F495" i="3" a="1"/>
  <c r="F496" i="3" a="1"/>
  <c r="F497" i="3" a="1"/>
  <c r="F498" i="3" a="1"/>
  <c r="F499" i="3" a="1"/>
  <c r="F500" i="3" a="1"/>
  <c r="F501" i="3" a="1"/>
  <c r="F502" i="3" a="1"/>
  <c r="F503" i="3" a="1"/>
  <c r="F504" i="3" a="1"/>
  <c r="F505" i="3" a="1"/>
  <c r="F506" i="3" a="1"/>
  <c r="F507" i="3" a="1"/>
  <c r="F508" i="3" a="1"/>
  <c r="F509" i="3" a="1"/>
  <c r="F510" i="3" a="1"/>
  <c r="F511" i="3" a="1"/>
  <c r="F512" i="3" a="1"/>
  <c r="F513" i="3" a="1"/>
  <c r="F514" i="3" a="1"/>
  <c r="F515" i="3" a="1"/>
  <c r="F516" i="3" a="1"/>
  <c r="F517" i="3" a="1"/>
  <c r="F518" i="3" a="1"/>
  <c r="F519" i="3" a="1"/>
  <c r="F520" i="3" a="1"/>
  <c r="F521" i="3" a="1"/>
  <c r="F522" i="3" a="1"/>
  <c r="F523" i="3" a="1"/>
  <c r="F524" i="3" a="1"/>
  <c r="F525" i="3" a="1"/>
  <c r="F526" i="3" a="1"/>
  <c r="F527" i="3" a="1"/>
  <c r="F528" i="3" a="1"/>
  <c r="F529" i="3" a="1"/>
  <c r="F530" i="3" a="1"/>
  <c r="F531" i="3" a="1"/>
  <c r="F532" i="3" a="1"/>
  <c r="F533" i="3" a="1"/>
  <c r="F534" i="3" a="1"/>
  <c r="F535" i="3" a="1"/>
  <c r="F536" i="3" a="1"/>
  <c r="F537" i="3" a="1"/>
  <c r="F538" i="3" a="1"/>
  <c r="F539" i="3" a="1"/>
  <c r="F540" i="3" a="1"/>
  <c r="F541" i="3" a="1"/>
  <c r="F542" i="3" a="1"/>
  <c r="F543" i="3" a="1"/>
  <c r="F544" i="3" a="1"/>
  <c r="F545" i="3" a="1"/>
  <c r="F546" i="3" a="1"/>
  <c r="F547" i="3" a="1"/>
  <c r="F548" i="3" a="1"/>
  <c r="F549" i="3" a="1"/>
  <c r="F550" i="3" a="1"/>
  <c r="F551" i="3" a="1"/>
  <c r="F552" i="3" a="1"/>
  <c r="F553" i="3" a="1"/>
  <c r="F554" i="3" a="1"/>
  <c r="F555" i="3" a="1"/>
  <c r="F556" i="3" a="1"/>
  <c r="F557" i="3" a="1"/>
  <c r="F558" i="3" a="1"/>
  <c r="F559" i="3" a="1"/>
  <c r="F560" i="3" a="1"/>
  <c r="F561" i="3" a="1"/>
  <c r="F562" i="3" a="1"/>
  <c r="F563" i="3" a="1"/>
  <c r="F564" i="3" a="1"/>
  <c r="F565" i="3" a="1"/>
  <c r="F566" i="3" a="1"/>
  <c r="F567" i="3" a="1"/>
  <c r="F568" i="3" a="1"/>
  <c r="F569" i="3" a="1"/>
  <c r="F570" i="3" a="1"/>
  <c r="F571" i="3" a="1"/>
  <c r="F572" i="3" a="1"/>
  <c r="F573" i="3" a="1"/>
  <c r="F574" i="3" a="1"/>
  <c r="F575" i="3" a="1"/>
  <c r="F576" i="3" a="1"/>
  <c r="F577" i="3" a="1"/>
  <c r="F578" i="3" a="1"/>
  <c r="F579" i="3" a="1"/>
  <c r="F580" i="3" a="1"/>
  <c r="F581" i="3" a="1"/>
  <c r="F582" i="3" a="1"/>
  <c r="F583" i="3" a="1"/>
  <c r="F584" i="3" a="1"/>
  <c r="F585" i="3" a="1"/>
  <c r="F586" i="3" a="1"/>
  <c r="F587" i="3" a="1"/>
  <c r="F588" i="3" a="1"/>
  <c r="F589" i="3" a="1"/>
  <c r="F590" i="3" a="1"/>
  <c r="F591" i="3" a="1"/>
  <c r="F592" i="3" a="1"/>
  <c r="F593" i="3" a="1"/>
  <c r="F594" i="3" a="1"/>
  <c r="F595" i="3" a="1"/>
  <c r="F596" i="3" a="1"/>
  <c r="F597" i="3" a="1"/>
  <c r="F598" i="3" a="1"/>
  <c r="F599" i="3" a="1"/>
  <c r="F600" i="3" a="1"/>
  <c r="F601" i="3" a="1"/>
  <c r="F602" i="3" a="1"/>
  <c r="F603" i="3" a="1"/>
  <c r="F604" i="3" a="1"/>
  <c r="F605" i="3" a="1"/>
  <c r="F606" i="3" a="1"/>
  <c r="F607" i="3" a="1"/>
  <c r="F608" i="3" a="1"/>
  <c r="F609" i="3" a="1"/>
  <c r="F610" i="3" a="1"/>
  <c r="F611" i="3" a="1"/>
  <c r="F612" i="3" a="1"/>
  <c r="F613" i="3" a="1"/>
  <c r="F614" i="3" a="1"/>
  <c r="F615" i="3" a="1"/>
  <c r="F616" i="3" a="1"/>
  <c r="F617" i="3" a="1"/>
  <c r="F618" i="3" a="1"/>
  <c r="F619" i="3" a="1"/>
  <c r="F620" i="3" a="1"/>
  <c r="F621" i="3" a="1"/>
  <c r="F622" i="3" a="1"/>
  <c r="F623" i="3" a="1"/>
  <c r="F624" i="3" a="1"/>
  <c r="F625" i="3" a="1"/>
  <c r="F626" i="3" a="1"/>
  <c r="F627" i="3" a="1"/>
  <c r="F628" i="3" a="1"/>
  <c r="F629" i="3" a="1"/>
  <c r="F630" i="3" a="1"/>
  <c r="F631" i="3" a="1"/>
  <c r="F632" i="3" a="1"/>
  <c r="F633" i="3" a="1"/>
  <c r="F634" i="3" a="1"/>
  <c r="F635" i="3" a="1"/>
  <c r="F636" i="3" a="1"/>
  <c r="F637" i="3" a="1"/>
  <c r="F638" i="3" a="1"/>
  <c r="F639" i="3" a="1"/>
  <c r="F640" i="3" a="1"/>
  <c r="F641" i="3" a="1"/>
  <c r="F642" i="3" a="1"/>
  <c r="F643" i="3" a="1"/>
  <c r="F644" i="3" a="1"/>
  <c r="F645" i="3" a="1"/>
  <c r="F646" i="3" a="1"/>
  <c r="F647" i="3" a="1"/>
  <c r="F648" i="3" a="1"/>
  <c r="F649" i="3" a="1"/>
  <c r="F650" i="3" a="1"/>
  <c r="F651" i="3" a="1"/>
  <c r="F652" i="3" a="1"/>
  <c r="F653" i="3" a="1"/>
  <c r="F654" i="3" a="1"/>
  <c r="F655" i="3" a="1"/>
  <c r="F656" i="3" a="1"/>
  <c r="F657" i="3" a="1"/>
  <c r="F658" i="3" a="1"/>
  <c r="F659" i="3" a="1"/>
  <c r="F660" i="3" a="1"/>
  <c r="F661" i="3" a="1"/>
  <c r="F662" i="3" a="1"/>
  <c r="F663" i="3" a="1"/>
  <c r="F664" i="3" a="1"/>
  <c r="F665" i="3" a="1"/>
  <c r="F666" i="3" a="1"/>
  <c r="F667" i="3" a="1"/>
  <c r="F668" i="3" a="1"/>
  <c r="F669" i="3" a="1"/>
  <c r="F670" i="3" a="1"/>
  <c r="F671" i="3" a="1"/>
  <c r="F672" i="3" a="1"/>
  <c r="F673" i="3" a="1"/>
  <c r="F674" i="3" a="1"/>
  <c r="F675" i="3" a="1"/>
  <c r="F676" i="3" a="1"/>
  <c r="F677" i="3" a="1"/>
  <c r="F678" i="3" a="1"/>
  <c r="F679" i="3" a="1"/>
  <c r="F680" i="3" a="1"/>
  <c r="F681" i="3" a="1"/>
  <c r="F682" i="3" a="1"/>
  <c r="F683" i="3" a="1"/>
  <c r="F684" i="3" a="1"/>
  <c r="F685" i="3" a="1"/>
  <c r="F686" i="3" a="1"/>
  <c r="F687" i="3" a="1"/>
  <c r="F688" i="3" a="1"/>
  <c r="F689" i="3" a="1"/>
  <c r="F690" i="3" a="1"/>
  <c r="F691" i="3" a="1"/>
  <c r="F692" i="3" a="1"/>
  <c r="F693" i="3" a="1"/>
  <c r="F694" i="3" a="1"/>
  <c r="F695" i="3" a="1"/>
  <c r="F696" i="3" a="1"/>
  <c r="F697" i="3" a="1"/>
  <c r="F698" i="3" a="1"/>
  <c r="F699" i="3" a="1"/>
  <c r="F700" i="3" a="1"/>
  <c r="F701" i="3" a="1"/>
  <c r="F702" i="3" a="1"/>
  <c r="F703" i="3" a="1"/>
  <c r="F704" i="3" a="1"/>
  <c r="F705" i="3" a="1"/>
  <c r="F706" i="3" a="1"/>
  <c r="F707" i="3" a="1"/>
  <c r="F708" i="3" a="1"/>
  <c r="F709" i="3" a="1"/>
  <c r="F710" i="3" a="1"/>
  <c r="F711" i="3" a="1"/>
  <c r="F712" i="3" a="1"/>
  <c r="F713" i="3" a="1"/>
  <c r="F714" i="3" a="1"/>
  <c r="F715" i="3" a="1"/>
  <c r="F716" i="3" a="1"/>
  <c r="F717" i="3" a="1"/>
  <c r="F718" i="3" a="1"/>
  <c r="F719" i="3" a="1"/>
  <c r="F720" i="3" a="1"/>
  <c r="F721" i="3" a="1"/>
  <c r="F722" i="3" a="1"/>
  <c r="F723" i="3" a="1"/>
  <c r="F724" i="3" a="1"/>
  <c r="F725" i="3" a="1"/>
  <c r="F726" i="3" a="1"/>
  <c r="F727" i="3" a="1"/>
  <c r="F728" i="3" a="1"/>
  <c r="F729" i="3" a="1"/>
  <c r="F730" i="3" a="1"/>
  <c r="F731" i="3" a="1"/>
  <c r="F732" i="3" a="1"/>
  <c r="F733" i="3" a="1"/>
  <c r="F734" i="3" a="1"/>
  <c r="F735" i="3" a="1"/>
  <c r="F736" i="3" a="1"/>
  <c r="F737" i="3" a="1"/>
  <c r="F738" i="3" a="1"/>
  <c r="F739" i="3" a="1"/>
  <c r="F740" i="3" a="1"/>
  <c r="F741" i="3" a="1"/>
  <c r="F742" i="3" a="1"/>
  <c r="F743" i="3" a="1"/>
  <c r="F744" i="3" a="1"/>
  <c r="F745" i="3" a="1"/>
  <c r="F746" i="3" a="1"/>
  <c r="F747" i="3" a="1"/>
  <c r="F748" i="3" a="1"/>
  <c r="F749" i="3" a="1"/>
  <c r="F750" i="3" a="1"/>
  <c r="F751" i="3" a="1"/>
  <c r="F752" i="3" a="1"/>
  <c r="F753" i="3" a="1"/>
  <c r="F754" i="3" a="1"/>
  <c r="F755" i="3" a="1"/>
  <c r="F756" i="3" a="1"/>
  <c r="F757" i="3" a="1"/>
  <c r="F758" i="3" a="1"/>
  <c r="F759" i="3" a="1"/>
  <c r="F760" i="3" a="1"/>
  <c r="F761" i="3" a="1"/>
  <c r="F762" i="3" a="1"/>
  <c r="F763" i="3" a="1"/>
  <c r="F764" i="3" a="1"/>
  <c r="F765" i="3" a="1"/>
  <c r="F766" i="3" a="1"/>
  <c r="F767" i="3" a="1"/>
  <c r="F768" i="3" a="1"/>
  <c r="F769" i="3" a="1"/>
  <c r="F770" i="3" a="1"/>
  <c r="F771" i="3" a="1"/>
  <c r="F772" i="3" a="1"/>
  <c r="F773" i="3" a="1"/>
  <c r="F6" i="3" a="1"/>
  <c r="U3" i="2" a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4" i="1"/>
  <c r="AM481" i="5" l="1"/>
  <c r="AM337" i="5"/>
  <c r="AM561" i="5"/>
  <c r="AM10" i="5"/>
  <c r="AM26" i="5"/>
  <c r="AM34" i="5"/>
  <c r="AM42" i="5"/>
  <c r="AM50" i="5"/>
  <c r="AM82" i="5"/>
  <c r="AM114" i="5"/>
  <c r="AM122" i="5"/>
  <c r="AM130" i="5"/>
  <c r="AM154" i="5"/>
  <c r="AM162" i="5"/>
  <c r="AM178" i="5"/>
  <c r="AM210" i="5"/>
  <c r="AM266" i="5"/>
  <c r="AM274" i="5"/>
  <c r="AM282" i="5"/>
  <c r="AM290" i="5"/>
  <c r="AM298" i="5"/>
  <c r="AM314" i="5"/>
  <c r="AM594" i="5"/>
  <c r="AM738" i="5"/>
  <c r="AM123" i="5"/>
  <c r="AM179" i="5"/>
  <c r="AM195" i="5"/>
  <c r="AM211" i="5"/>
  <c r="AM267" i="5"/>
  <c r="AM739" i="5"/>
  <c r="AM771" i="5"/>
  <c r="AM259" i="5"/>
  <c r="AM339" i="5"/>
  <c r="AM403" i="5"/>
  <c r="AM68" i="5"/>
  <c r="AM124" i="5"/>
  <c r="AM180" i="5"/>
  <c r="AM188" i="5"/>
  <c r="AM196" i="5"/>
  <c r="AM386" i="5"/>
  <c r="AM547" i="5"/>
  <c r="AM28" i="5"/>
  <c r="AM92" i="5"/>
  <c r="AM140" i="5"/>
  <c r="AM276" i="5"/>
  <c r="AM540" i="5"/>
  <c r="AM580" i="5"/>
  <c r="AM644" i="5"/>
  <c r="AG198" i="5"/>
  <c r="AA246" i="5"/>
  <c r="Y246" i="5"/>
  <c r="AH262" i="5"/>
  <c r="AK262" i="5" s="1"/>
  <c r="AH374" i="5"/>
  <c r="AK374" i="5" s="1"/>
  <c r="AH406" i="5"/>
  <c r="AK406" i="5" s="1"/>
  <c r="AI486" i="5"/>
  <c r="AL486" i="5" s="1"/>
  <c r="AI550" i="5"/>
  <c r="AL550" i="5" s="1"/>
  <c r="AA598" i="5"/>
  <c r="Y598" i="5"/>
  <c r="AG598" i="5" s="1"/>
  <c r="AM598" i="5" s="1"/>
  <c r="AI630" i="5"/>
  <c r="AL630" i="5" s="1"/>
  <c r="AA646" i="5"/>
  <c r="AH646" i="5" s="1"/>
  <c r="AK646" i="5" s="1"/>
  <c r="Y646" i="5"/>
  <c r="AG646" i="5" s="1"/>
  <c r="AM646" i="5" s="1"/>
  <c r="AA678" i="5"/>
  <c r="AI678" i="5" s="1"/>
  <c r="AL678" i="5" s="1"/>
  <c r="Y678" i="5"/>
  <c r="AG678" i="5" s="1"/>
  <c r="AI726" i="5"/>
  <c r="AL726" i="5" s="1"/>
  <c r="AA39" i="5"/>
  <c r="AI39" i="5" s="1"/>
  <c r="AL39" i="5" s="1"/>
  <c r="Y55" i="5"/>
  <c r="AG55" i="5" s="1"/>
  <c r="AM55" i="5" s="1"/>
  <c r="AF485" i="5"/>
  <c r="AI485" i="5"/>
  <c r="AL485" i="5" s="1"/>
  <c r="AF117" i="5"/>
  <c r="AI117" i="5"/>
  <c r="AL117" i="5" s="1"/>
  <c r="AM394" i="5"/>
  <c r="AM466" i="5"/>
  <c r="AM498" i="5"/>
  <c r="AM554" i="5"/>
  <c r="AM586" i="5"/>
  <c r="AM626" i="5"/>
  <c r="AM99" i="5"/>
  <c r="AM283" i="5"/>
  <c r="AM323" i="5"/>
  <c r="AM355" i="5"/>
  <c r="AM395" i="5"/>
  <c r="AM427" i="5"/>
  <c r="AM467" i="5"/>
  <c r="AM507" i="5"/>
  <c r="AM659" i="5"/>
  <c r="AM60" i="5"/>
  <c r="AM100" i="5"/>
  <c r="AM204" i="5"/>
  <c r="AM236" i="5"/>
  <c r="AM324" i="5"/>
  <c r="AM532" i="5"/>
  <c r="AM620" i="5"/>
  <c r="AM285" i="5"/>
  <c r="AA259" i="5"/>
  <c r="Y259" i="5"/>
  <c r="AG259" i="5" s="1"/>
  <c r="AA339" i="5"/>
  <c r="Y339" i="5"/>
  <c r="AG339" i="5" s="1"/>
  <c r="AA291" i="5"/>
  <c r="AM206" i="5"/>
  <c r="AM238" i="5"/>
  <c r="AM462" i="5"/>
  <c r="AM510" i="5"/>
  <c r="AM542" i="5"/>
  <c r="AM686" i="5"/>
  <c r="AG103" i="5"/>
  <c r="AF534" i="5"/>
  <c r="AG534" i="5" s="1"/>
  <c r="AM534" i="5" s="1"/>
  <c r="AH534" i="5"/>
  <c r="AK534" i="5" s="1"/>
  <c r="AF246" i="5"/>
  <c r="AH246" i="5"/>
  <c r="AK246" i="5" s="1"/>
  <c r="AM159" i="5"/>
  <c r="AM207" i="5"/>
  <c r="AM351" i="5"/>
  <c r="AM463" i="5"/>
  <c r="AM495" i="5"/>
  <c r="AM543" i="5"/>
  <c r="AM767" i="5"/>
  <c r="AG39" i="5"/>
  <c r="AA231" i="5"/>
  <c r="Y231" i="5"/>
  <c r="AG231" i="5" s="1"/>
  <c r="AA295" i="5"/>
  <c r="Y295" i="5"/>
  <c r="AG295" i="5" s="1"/>
  <c r="AA327" i="5"/>
  <c r="Y327" i="5"/>
  <c r="AG327" i="5" s="1"/>
  <c r="AM327" i="5" s="1"/>
  <c r="AG423" i="5"/>
  <c r="AM423" i="5" s="1"/>
  <c r="AA599" i="5"/>
  <c r="Y599" i="5"/>
  <c r="AG599" i="5" s="1"/>
  <c r="AM599" i="5" s="1"/>
  <c r="AI582" i="5"/>
  <c r="AL582" i="5" s="1"/>
  <c r="AM370" i="5"/>
  <c r="AM618" i="5"/>
  <c r="AM722" i="5"/>
  <c r="AM27" i="5"/>
  <c r="AM59" i="5"/>
  <c r="AM83" i="5"/>
  <c r="AM139" i="5"/>
  <c r="AM331" i="5"/>
  <c r="AM571" i="5"/>
  <c r="AM619" i="5"/>
  <c r="AM651" i="5"/>
  <c r="AM675" i="5"/>
  <c r="AM699" i="5"/>
  <c r="AM723" i="5"/>
  <c r="AM763" i="5"/>
  <c r="AM20" i="5"/>
  <c r="AM52" i="5"/>
  <c r="AM308" i="5"/>
  <c r="AG199" i="5"/>
  <c r="AM199" i="5" s="1"/>
  <c r="AI167" i="5"/>
  <c r="AL167" i="5" s="1"/>
  <c r="AF167" i="5"/>
  <c r="AF135" i="5"/>
  <c r="AH135" i="5"/>
  <c r="AK135" i="5" s="1"/>
  <c r="AM174" i="5"/>
  <c r="AM430" i="5"/>
  <c r="AM494" i="5"/>
  <c r="AM766" i="5"/>
  <c r="AF326" i="5"/>
  <c r="AH326" i="5"/>
  <c r="AK326" i="5" s="1"/>
  <c r="AI454" i="5"/>
  <c r="AL454" i="5" s="1"/>
  <c r="AI19" i="5"/>
  <c r="AL19" i="5" s="1"/>
  <c r="AF19" i="5"/>
  <c r="AM128" i="5"/>
  <c r="AM136" i="5"/>
  <c r="AM144" i="5"/>
  <c r="AM152" i="5"/>
  <c r="AM160" i="5"/>
  <c r="AM184" i="5"/>
  <c r="AM192" i="5"/>
  <c r="AM200" i="5"/>
  <c r="AM280" i="5"/>
  <c r="AM296" i="5"/>
  <c r="AM312" i="5"/>
  <c r="AM320" i="5"/>
  <c r="AM328" i="5"/>
  <c r="AM344" i="5"/>
  <c r="AM352" i="5"/>
  <c r="AM360" i="5"/>
  <c r="AM368" i="5"/>
  <c r="AM432" i="5"/>
  <c r="AM456" i="5"/>
  <c r="AM472" i="5"/>
  <c r="AM488" i="5"/>
  <c r="AM496" i="5"/>
  <c r="AM504" i="5"/>
  <c r="AM512" i="5"/>
  <c r="AM584" i="5"/>
  <c r="AM600" i="5"/>
  <c r="AM616" i="5"/>
  <c r="AM624" i="5"/>
  <c r="AM632" i="5"/>
  <c r="AM648" i="5"/>
  <c r="AM656" i="5"/>
  <c r="AM664" i="5"/>
  <c r="AM736" i="5"/>
  <c r="AM752" i="5"/>
  <c r="AH342" i="5"/>
  <c r="AK342" i="5" s="1"/>
  <c r="AI258" i="5"/>
  <c r="AL258" i="5" s="1"/>
  <c r="AF258" i="5"/>
  <c r="AH18" i="5"/>
  <c r="AK18" i="5" s="1"/>
  <c r="AF18" i="5"/>
  <c r="AM762" i="5"/>
  <c r="AM612" i="5"/>
  <c r="AM660" i="5"/>
  <c r="AA698" i="5"/>
  <c r="Y698" i="5"/>
  <c r="AG698" i="5" s="1"/>
  <c r="AM698" i="5" s="1"/>
  <c r="AI341" i="5"/>
  <c r="AL341" i="5" s="1"/>
  <c r="AM43" i="5"/>
  <c r="AM131" i="5"/>
  <c r="AM275" i="5"/>
  <c r="AM307" i="5"/>
  <c r="AM315" i="5"/>
  <c r="AM419" i="5"/>
  <c r="AM611" i="5"/>
  <c r="AM683" i="5"/>
  <c r="AM755" i="5"/>
  <c r="AM36" i="5"/>
  <c r="AM84" i="5"/>
  <c r="AM132" i="5"/>
  <c r="AM172" i="5"/>
  <c r="AM588" i="5"/>
  <c r="AM509" i="5"/>
  <c r="AM9" i="5"/>
  <c r="AM25" i="5"/>
  <c r="AM41" i="5"/>
  <c r="AM49" i="5"/>
  <c r="AM57" i="5"/>
  <c r="AM65" i="5"/>
  <c r="AM137" i="5"/>
  <c r="AM169" i="5"/>
  <c r="AM177" i="5"/>
  <c r="AM185" i="5"/>
  <c r="AM193" i="5"/>
  <c r="AM201" i="5"/>
  <c r="AM209" i="5"/>
  <c r="AM321" i="5"/>
  <c r="AM329" i="5"/>
  <c r="AM345" i="5"/>
  <c r="AM353" i="5"/>
  <c r="AM369" i="5"/>
  <c r="AM377" i="5"/>
  <c r="AM449" i="5"/>
  <c r="AM473" i="5"/>
  <c r="AM497" i="5"/>
  <c r="AM505" i="5"/>
  <c r="AM521" i="5"/>
  <c r="AM537" i="5"/>
  <c r="AM577" i="5"/>
  <c r="AM609" i="5"/>
  <c r="AM665" i="5"/>
  <c r="AM681" i="5"/>
  <c r="AM689" i="5"/>
  <c r="AM697" i="5"/>
  <c r="AM761" i="5"/>
  <c r="AM69" i="5"/>
  <c r="AM133" i="5"/>
  <c r="Y748" i="5"/>
  <c r="AG748" i="5" s="1"/>
  <c r="AM748" i="5" s="1"/>
  <c r="AM165" i="5"/>
  <c r="AM261" i="5"/>
  <c r="AM269" i="5"/>
  <c r="AM277" i="5"/>
  <c r="AM293" i="5"/>
  <c r="AM309" i="5"/>
  <c r="AM325" i="5"/>
  <c r="AM405" i="5"/>
  <c r="AM421" i="5"/>
  <c r="AM437" i="5"/>
  <c r="AM517" i="5"/>
  <c r="AM525" i="5"/>
  <c r="AM645" i="5"/>
  <c r="AM653" i="5"/>
  <c r="AM661" i="5"/>
  <c r="AM677" i="5"/>
  <c r="AM693" i="5"/>
  <c r="AM709" i="5"/>
  <c r="AM725" i="5"/>
  <c r="AM733" i="5"/>
  <c r="AI77" i="5"/>
  <c r="AL77" i="5" s="1"/>
  <c r="AF77" i="5"/>
  <c r="AF173" i="5"/>
  <c r="AM684" i="5"/>
  <c r="AM37" i="5"/>
  <c r="AM54" i="5"/>
  <c r="AM62" i="5"/>
  <c r="AM70" i="5"/>
  <c r="AG654" i="5"/>
  <c r="AG718" i="5"/>
  <c r="AM718" i="5" s="1"/>
  <c r="Y284" i="5"/>
  <c r="AG284" i="5" s="1"/>
  <c r="AM284" i="5" s="1"/>
  <c r="AI220" i="5"/>
  <c r="AL220" i="5" s="1"/>
  <c r="AF220" i="5"/>
  <c r="AF381" i="5"/>
  <c r="AM396" i="5"/>
  <c r="AM548" i="5"/>
  <c r="AM596" i="5"/>
  <c r="AM724" i="5"/>
  <c r="AM93" i="5"/>
  <c r="AM182" i="5"/>
  <c r="AM198" i="5"/>
  <c r="AM214" i="5"/>
  <c r="AM222" i="5"/>
  <c r="AM262" i="5"/>
  <c r="AM270" i="5"/>
  <c r="AM294" i="5"/>
  <c r="AM318" i="5"/>
  <c r="AM398" i="5"/>
  <c r="AM438" i="5"/>
  <c r="AM454" i="5"/>
  <c r="AM478" i="5"/>
  <c r="AM486" i="5"/>
  <c r="AM502" i="5"/>
  <c r="AM606" i="5"/>
  <c r="AM630" i="5"/>
  <c r="AM654" i="5"/>
  <c r="AM662" i="5"/>
  <c r="AM678" i="5"/>
  <c r="AM694" i="5"/>
  <c r="AM734" i="5"/>
  <c r="AM428" i="5"/>
  <c r="AM524" i="5"/>
  <c r="AM628" i="5"/>
  <c r="AM676" i="5"/>
  <c r="AM732" i="5"/>
  <c r="AM21" i="5"/>
  <c r="AM7" i="5"/>
  <c r="AM15" i="5"/>
  <c r="AM39" i="5"/>
  <c r="AM103" i="5"/>
  <c r="AM119" i="5"/>
  <c r="Y603" i="5"/>
  <c r="AG603" i="5" s="1"/>
  <c r="AM603" i="5" s="1"/>
  <c r="Y258" i="5"/>
  <c r="AF316" i="5"/>
  <c r="AM340" i="5"/>
  <c r="AM420" i="5"/>
  <c r="AM556" i="5"/>
  <c r="AM5" i="5"/>
  <c r="AM215" i="5"/>
  <c r="AM231" i="5"/>
  <c r="AM247" i="5"/>
  <c r="AM263" i="5"/>
  <c r="AM271" i="5"/>
  <c r="AM279" i="5"/>
  <c r="AM295" i="5"/>
  <c r="AM319" i="5"/>
  <c r="AM375" i="5"/>
  <c r="AM407" i="5"/>
  <c r="AM455" i="5"/>
  <c r="AM471" i="5"/>
  <c r="AM487" i="5"/>
  <c r="AM503" i="5"/>
  <c r="AM519" i="5"/>
  <c r="AM527" i="5"/>
  <c r="AM575" i="5"/>
  <c r="AM679" i="5"/>
  <c r="AM695" i="5"/>
  <c r="AM703" i="5"/>
  <c r="AM711" i="5"/>
  <c r="AM727" i="5"/>
  <c r="AM652" i="5"/>
  <c r="AM40" i="5"/>
  <c r="AM64" i="5"/>
  <c r="AM72" i="5"/>
  <c r="AM88" i="5"/>
  <c r="AG370" i="5"/>
  <c r="AG626" i="5"/>
  <c r="AF376" i="5"/>
  <c r="AF270" i="5"/>
  <c r="AA688" i="5"/>
  <c r="Y688" i="5"/>
  <c r="AG688" i="5" s="1"/>
  <c r="AM688" i="5" s="1"/>
  <c r="AF125" i="5"/>
  <c r="AF76" i="5"/>
  <c r="AA497" i="5"/>
  <c r="Y497" i="5"/>
  <c r="AG497" i="5" s="1"/>
  <c r="AF572" i="5"/>
  <c r="AH354" i="5"/>
  <c r="AK354" i="5" s="1"/>
  <c r="AF354" i="5"/>
  <c r="AF637" i="5"/>
  <c r="AF430" i="5"/>
  <c r="Y708" i="5"/>
  <c r="AG708" i="5" s="1"/>
  <c r="AM708" i="5" s="1"/>
  <c r="AF568" i="5"/>
  <c r="AF382" i="5"/>
  <c r="AI605" i="5"/>
  <c r="AL605" i="5" s="1"/>
  <c r="AF605" i="5"/>
  <c r="AA740" i="5"/>
  <c r="Y740" i="5"/>
  <c r="AG740" i="5" s="1"/>
  <c r="AM740" i="5" s="1"/>
  <c r="AH445" i="5"/>
  <c r="AK445" i="5" s="1"/>
  <c r="AF445" i="5"/>
  <c r="AF317" i="5"/>
  <c r="AF717" i="5"/>
  <c r="Y596" i="5"/>
  <c r="AG596" i="5" s="1"/>
  <c r="AF756" i="5"/>
  <c r="AF716" i="5"/>
  <c r="AF692" i="5"/>
  <c r="AG692" i="5" s="1"/>
  <c r="AM692" i="5" s="1"/>
  <c r="AF441" i="5"/>
  <c r="AA52" i="5"/>
  <c r="Y52" i="5"/>
  <c r="AG52" i="5" s="1"/>
  <c r="AA100" i="5"/>
  <c r="Y100" i="5"/>
  <c r="AG100" i="5" s="1"/>
  <c r="AA196" i="5"/>
  <c r="Y196" i="5"/>
  <c r="AG196" i="5" s="1"/>
  <c r="AA420" i="5"/>
  <c r="Y420" i="5"/>
  <c r="AG420" i="5" s="1"/>
  <c r="Y676" i="5"/>
  <c r="AG676" i="5" s="1"/>
  <c r="AF638" i="5"/>
  <c r="AI157" i="5"/>
  <c r="AL157" i="5" s="1"/>
  <c r="AF157" i="5"/>
  <c r="AI13" i="5"/>
  <c r="AL13" i="5" s="1"/>
  <c r="AF13" i="5"/>
  <c r="AI268" i="5"/>
  <c r="AL268" i="5" s="1"/>
  <c r="AF268" i="5"/>
  <c r="AF542" i="5"/>
  <c r="AF350" i="5"/>
  <c r="AF301" i="5"/>
  <c r="AA363" i="5"/>
  <c r="Y363" i="5"/>
  <c r="AG363" i="5" s="1"/>
  <c r="AM363" i="5" s="1"/>
  <c r="AF14" i="5"/>
  <c r="AF104" i="5"/>
  <c r="AI104" i="5"/>
  <c r="AL104" i="5" s="1"/>
  <c r="AF8" i="5"/>
  <c r="AF440" i="5"/>
  <c r="AF108" i="5"/>
  <c r="Y148" i="5"/>
  <c r="AG148" i="5" s="1"/>
  <c r="AM148" i="5" s="1"/>
  <c r="AA643" i="5"/>
  <c r="Y643" i="5"/>
  <c r="AG643" i="5" s="1"/>
  <c r="AM643" i="5" s="1"/>
  <c r="AF523" i="5"/>
  <c r="Y679" i="5"/>
  <c r="AG679" i="5" s="1"/>
  <c r="Y419" i="5"/>
  <c r="AG419" i="5" s="1"/>
  <c r="Y99" i="5"/>
  <c r="AG99" i="5" s="1"/>
  <c r="AH470" i="5"/>
  <c r="AK470" i="5" s="1"/>
  <c r="AF470" i="5"/>
  <c r="AF422" i="5"/>
  <c r="AI310" i="5"/>
  <c r="AL310" i="5" s="1"/>
  <c r="AF310" i="5"/>
  <c r="AF278" i="5"/>
  <c r="AH230" i="5"/>
  <c r="AK230" i="5" s="1"/>
  <c r="AF230" i="5"/>
  <c r="AF150" i="5"/>
  <c r="AI38" i="5"/>
  <c r="AL38" i="5" s="1"/>
  <c r="AF38" i="5"/>
  <c r="AF570" i="5"/>
  <c r="Y746" i="5"/>
  <c r="AG746" i="5" s="1"/>
  <c r="AM746" i="5" s="1"/>
  <c r="Y681" i="5"/>
  <c r="AG681" i="5" s="1"/>
  <c r="Y442" i="5"/>
  <c r="AG442" i="5" s="1"/>
  <c r="AM442" i="5" s="1"/>
  <c r="Y345" i="5"/>
  <c r="AG345" i="5" s="1"/>
  <c r="Y188" i="5"/>
  <c r="AG188" i="5" s="1"/>
  <c r="Y76" i="5"/>
  <c r="Y745" i="5"/>
  <c r="AG745" i="5" s="1"/>
  <c r="AM745" i="5" s="1"/>
  <c r="Y524" i="5"/>
  <c r="AG524" i="5" s="1"/>
  <c r="Y441" i="5"/>
  <c r="AG441" i="5" s="1"/>
  <c r="AM441" i="5" s="1"/>
  <c r="Y172" i="5"/>
  <c r="AG172" i="5" s="1"/>
  <c r="Y75" i="5"/>
  <c r="AG75" i="5" s="1"/>
  <c r="AM75" i="5" s="1"/>
  <c r="Y508" i="5"/>
  <c r="AG508" i="5" s="1"/>
  <c r="AM508" i="5" s="1"/>
  <c r="Y425" i="5"/>
  <c r="AG425" i="5" s="1"/>
  <c r="AM425" i="5" s="1"/>
  <c r="Y332" i="5"/>
  <c r="AG332" i="5" s="1"/>
  <c r="AM332" i="5" s="1"/>
  <c r="Y250" i="5"/>
  <c r="AG250" i="5" s="1"/>
  <c r="AM250" i="5" s="1"/>
  <c r="Y155" i="5"/>
  <c r="AG155" i="5" s="1"/>
  <c r="AM155" i="5" s="1"/>
  <c r="Y74" i="5"/>
  <c r="AG74" i="5" s="1"/>
  <c r="AM74" i="5" s="1"/>
  <c r="Y732" i="5"/>
  <c r="AG732" i="5" s="1"/>
  <c r="Y588" i="5"/>
  <c r="AG588" i="5" s="1"/>
  <c r="Y331" i="5"/>
  <c r="AG331" i="5" s="1"/>
  <c r="Y60" i="5"/>
  <c r="AG60" i="5" s="1"/>
  <c r="Y730" i="5"/>
  <c r="AG730" i="5" s="1"/>
  <c r="AM730" i="5" s="1"/>
  <c r="Y570" i="5"/>
  <c r="Y329" i="5"/>
  <c r="AG329" i="5" s="1"/>
  <c r="Y235" i="5"/>
  <c r="AG235" i="5" s="1"/>
  <c r="AM235" i="5" s="1"/>
  <c r="Y139" i="5"/>
  <c r="AG139" i="5" s="1"/>
  <c r="Y723" i="5"/>
  <c r="AG723" i="5" s="1"/>
  <c r="Y642" i="5"/>
  <c r="AG642" i="5" s="1"/>
  <c r="AM642" i="5" s="1"/>
  <c r="Y566" i="5"/>
  <c r="AG566" i="5" s="1"/>
  <c r="AM566" i="5" s="1"/>
  <c r="Y486" i="5"/>
  <c r="AG486" i="5" s="1"/>
  <c r="Y406" i="5"/>
  <c r="AG406" i="5" s="1"/>
  <c r="AM406" i="5" s="1"/>
  <c r="Y326" i="5"/>
  <c r="AG326" i="5" s="1"/>
  <c r="AM326" i="5" s="1"/>
  <c r="Y220" i="5"/>
  <c r="AG220" i="5" s="1"/>
  <c r="AM220" i="5" s="1"/>
  <c r="Y137" i="5"/>
  <c r="AG137" i="5" s="1"/>
  <c r="Y43" i="5"/>
  <c r="AG43" i="5" s="1"/>
  <c r="Y716" i="5"/>
  <c r="Y636" i="5"/>
  <c r="AG636" i="5" s="1"/>
  <c r="AM636" i="5" s="1"/>
  <c r="Y564" i="5"/>
  <c r="AG564" i="5" s="1"/>
  <c r="AM564" i="5" s="1"/>
  <c r="Y475" i="5"/>
  <c r="AG475" i="5" s="1"/>
  <c r="AM475" i="5" s="1"/>
  <c r="Y396" i="5"/>
  <c r="AG396" i="5" s="1"/>
  <c r="Y316" i="5"/>
  <c r="Y219" i="5"/>
  <c r="AG219" i="5" s="1"/>
  <c r="AM219" i="5" s="1"/>
  <c r="Y135" i="5"/>
  <c r="Y42" i="5"/>
  <c r="AG42" i="5" s="1"/>
  <c r="AA306" i="5"/>
  <c r="Y715" i="5"/>
  <c r="AG715" i="5" s="1"/>
  <c r="AM715" i="5" s="1"/>
  <c r="Y635" i="5"/>
  <c r="AG635" i="5" s="1"/>
  <c r="AM635" i="5" s="1"/>
  <c r="Y563" i="5"/>
  <c r="AG563" i="5" s="1"/>
  <c r="AM563" i="5" s="1"/>
  <c r="Y474" i="5"/>
  <c r="AG474" i="5" s="1"/>
  <c r="AM474" i="5" s="1"/>
  <c r="Y380" i="5"/>
  <c r="AG380" i="5" s="1"/>
  <c r="AM380" i="5" s="1"/>
  <c r="Y315" i="5"/>
  <c r="AG315" i="5" s="1"/>
  <c r="Y217" i="5"/>
  <c r="AG217" i="5" s="1"/>
  <c r="AM217" i="5" s="1"/>
  <c r="Y124" i="5"/>
  <c r="AG124" i="5" s="1"/>
  <c r="Y36" i="5"/>
  <c r="AG36" i="5" s="1"/>
  <c r="AI55" i="5"/>
  <c r="AL55" i="5" s="1"/>
  <c r="AH103" i="5"/>
  <c r="AK103" i="5" s="1"/>
  <c r="AI119" i="5"/>
  <c r="AL119" i="5" s="1"/>
  <c r="AH183" i="5"/>
  <c r="AK183" i="5" s="1"/>
  <c r="AH199" i="5"/>
  <c r="AK199" i="5" s="1"/>
  <c r="AH215" i="5"/>
  <c r="AK215" i="5" s="1"/>
  <c r="AI231" i="5"/>
  <c r="AL231" i="5" s="1"/>
  <c r="AH295" i="5"/>
  <c r="AK295" i="5" s="1"/>
  <c r="AH343" i="5"/>
  <c r="AK343" i="5" s="1"/>
  <c r="AI359" i="5"/>
  <c r="AL359" i="5" s="1"/>
  <c r="AI439" i="5"/>
  <c r="AL439" i="5" s="1"/>
  <c r="AH455" i="5"/>
  <c r="AK455" i="5" s="1"/>
  <c r="AH471" i="5"/>
  <c r="AK471" i="5" s="1"/>
  <c r="AI487" i="5"/>
  <c r="AL487" i="5" s="1"/>
  <c r="AI583" i="5"/>
  <c r="AL583" i="5" s="1"/>
  <c r="AH615" i="5"/>
  <c r="AK615" i="5" s="1"/>
  <c r="AI679" i="5"/>
  <c r="AL679" i="5" s="1"/>
  <c r="Y297" i="5"/>
  <c r="AG297" i="5" s="1"/>
  <c r="AM297" i="5" s="1"/>
  <c r="Y201" i="5"/>
  <c r="AG201" i="5" s="1"/>
  <c r="Y697" i="5"/>
  <c r="AG697" i="5" s="1"/>
  <c r="Y602" i="5"/>
  <c r="AG602" i="5" s="1"/>
  <c r="AM602" i="5" s="1"/>
  <c r="Y747" i="5"/>
  <c r="AG747" i="5" s="1"/>
  <c r="AM747" i="5" s="1"/>
  <c r="Y601" i="5"/>
  <c r="AG601" i="5" s="1"/>
  <c r="AM601" i="5" s="1"/>
  <c r="Y443" i="5"/>
  <c r="AG443" i="5" s="1"/>
  <c r="AM443" i="5" s="1"/>
  <c r="Y346" i="5"/>
  <c r="AG346" i="5" s="1"/>
  <c r="AM346" i="5" s="1"/>
  <c r="AI240" i="5"/>
  <c r="AL240" i="5" s="1"/>
  <c r="AH400" i="5"/>
  <c r="AK400" i="5" s="1"/>
  <c r="AH656" i="5"/>
  <c r="AK656" i="5" s="1"/>
  <c r="Y731" i="5"/>
  <c r="AG731" i="5" s="1"/>
  <c r="AM731" i="5" s="1"/>
  <c r="Y668" i="5"/>
  <c r="AG668" i="5" s="1"/>
  <c r="AM668" i="5" s="1"/>
  <c r="Y585" i="5"/>
  <c r="AG585" i="5" s="1"/>
  <c r="AM585" i="5" s="1"/>
  <c r="Y492" i="5"/>
  <c r="AG492" i="5" s="1"/>
  <c r="AM492" i="5" s="1"/>
  <c r="Y330" i="5"/>
  <c r="AG330" i="5" s="1"/>
  <c r="AM330" i="5" s="1"/>
  <c r="Y236" i="5"/>
  <c r="AG236" i="5" s="1"/>
  <c r="Y140" i="5"/>
  <c r="AG140" i="5" s="1"/>
  <c r="Y57" i="5"/>
  <c r="AG57" i="5" s="1"/>
  <c r="AH17" i="5"/>
  <c r="AK17" i="5" s="1"/>
  <c r="Y491" i="5"/>
  <c r="AG491" i="5" s="1"/>
  <c r="AM491" i="5" s="1"/>
  <c r="Y729" i="5"/>
  <c r="AG729" i="5" s="1"/>
  <c r="AM729" i="5" s="1"/>
  <c r="Y569" i="5"/>
  <c r="AG569" i="5" s="1"/>
  <c r="AM569" i="5" s="1"/>
  <c r="Y490" i="5"/>
  <c r="AG490" i="5" s="1"/>
  <c r="AM490" i="5" s="1"/>
  <c r="Y412" i="5"/>
  <c r="AG412" i="5" s="1"/>
  <c r="AM412" i="5" s="1"/>
  <c r="Y138" i="5"/>
  <c r="AG138" i="5" s="1"/>
  <c r="AM138" i="5" s="1"/>
  <c r="Y634" i="5"/>
  <c r="AG634" i="5" s="1"/>
  <c r="AM634" i="5" s="1"/>
  <c r="Y556" i="5"/>
  <c r="AG556" i="5" s="1"/>
  <c r="Y473" i="5"/>
  <c r="AG473" i="5" s="1"/>
  <c r="Y379" i="5"/>
  <c r="AG379" i="5" s="1"/>
  <c r="AM379" i="5" s="1"/>
  <c r="Y314" i="5"/>
  <c r="AG314" i="5" s="1"/>
  <c r="Y204" i="5"/>
  <c r="AG204" i="5" s="1"/>
  <c r="Y123" i="5"/>
  <c r="AG123" i="5" s="1"/>
  <c r="Y28" i="5"/>
  <c r="AG28" i="5" s="1"/>
  <c r="AI743" i="5"/>
  <c r="AL743" i="5" s="1"/>
  <c r="Y700" i="5"/>
  <c r="AG700" i="5" s="1"/>
  <c r="AM700" i="5" s="1"/>
  <c r="Y620" i="5"/>
  <c r="AG620" i="5" s="1"/>
  <c r="Y553" i="5"/>
  <c r="AG553" i="5" s="1"/>
  <c r="AM553" i="5" s="1"/>
  <c r="Y457" i="5"/>
  <c r="AG457" i="5" s="1"/>
  <c r="AM457" i="5" s="1"/>
  <c r="Y378" i="5"/>
  <c r="AG378" i="5" s="1"/>
  <c r="AM378" i="5" s="1"/>
  <c r="Y305" i="5"/>
  <c r="AG305" i="5" s="1"/>
  <c r="AM305" i="5" s="1"/>
  <c r="Y203" i="5"/>
  <c r="AG203" i="5" s="1"/>
  <c r="AM203" i="5" s="1"/>
  <c r="Y108" i="5"/>
  <c r="Y26" i="5"/>
  <c r="AG26" i="5" s="1"/>
  <c r="Y699" i="5"/>
  <c r="AG699" i="5" s="1"/>
  <c r="Y619" i="5"/>
  <c r="AG619" i="5" s="1"/>
  <c r="Y543" i="5"/>
  <c r="AG543" i="5" s="1"/>
  <c r="Y455" i="5"/>
  <c r="AG455" i="5" s="1"/>
  <c r="Y374" i="5"/>
  <c r="AG374" i="5" s="1"/>
  <c r="AM374" i="5" s="1"/>
  <c r="Y300" i="5"/>
  <c r="AG300" i="5" s="1"/>
  <c r="AM300" i="5" s="1"/>
  <c r="Y202" i="5"/>
  <c r="AG202" i="5" s="1"/>
  <c r="AM202" i="5" s="1"/>
  <c r="Y105" i="5"/>
  <c r="AG105" i="5" s="1"/>
  <c r="AM105" i="5" s="1"/>
  <c r="Y25" i="5"/>
  <c r="AG25" i="5" s="1"/>
  <c r="AA212" i="5"/>
  <c r="Y212" i="5"/>
  <c r="AG212" i="5" s="1"/>
  <c r="AM212" i="5" s="1"/>
  <c r="AA292" i="5"/>
  <c r="Y292" i="5"/>
  <c r="AG292" i="5" s="1"/>
  <c r="AM292" i="5" s="1"/>
  <c r="AA324" i="5"/>
  <c r="Y324" i="5"/>
  <c r="AG324" i="5" s="1"/>
  <c r="AA452" i="5"/>
  <c r="Y452" i="5"/>
  <c r="AG452" i="5" s="1"/>
  <c r="AM452" i="5" s="1"/>
  <c r="AA484" i="5"/>
  <c r="Y484" i="5"/>
  <c r="AG484" i="5" s="1"/>
  <c r="AM484" i="5" s="1"/>
  <c r="AA580" i="5"/>
  <c r="Y580" i="5"/>
  <c r="AG580" i="5" s="1"/>
  <c r="AA612" i="5"/>
  <c r="Y612" i="5"/>
  <c r="AG612" i="5" s="1"/>
  <c r="AA131" i="5"/>
  <c r="Y706" i="5"/>
  <c r="AG706" i="5" s="1"/>
  <c r="AM706" i="5" s="1"/>
  <c r="Y561" i="5"/>
  <c r="AG561" i="5" s="1"/>
  <c r="Y35" i="5"/>
  <c r="AG35" i="5" s="1"/>
  <c r="AM35" i="5" s="1"/>
  <c r="AA115" i="5"/>
  <c r="Y735" i="5"/>
  <c r="AG735" i="5" s="1"/>
  <c r="AM735" i="5" s="1"/>
  <c r="Y674" i="5"/>
  <c r="AG674" i="5" s="1"/>
  <c r="AM674" i="5" s="1"/>
  <c r="Y591" i="5"/>
  <c r="AG591" i="5" s="1"/>
  <c r="AM591" i="5" s="1"/>
  <c r="Y527" i="5"/>
  <c r="AG527" i="5" s="1"/>
  <c r="Y287" i="5"/>
  <c r="AG287" i="5" s="1"/>
  <c r="AM287" i="5" s="1"/>
  <c r="Y194" i="5"/>
  <c r="AG194" i="5" s="1"/>
  <c r="AM194" i="5" s="1"/>
  <c r="Y82" i="5"/>
  <c r="AG82" i="5" s="1"/>
  <c r="AA294" i="5"/>
  <c r="Y294" i="5"/>
  <c r="AG294" i="5" s="1"/>
  <c r="AA390" i="5"/>
  <c r="Y390" i="5"/>
  <c r="AG390" i="5" s="1"/>
  <c r="AM390" i="5" s="1"/>
  <c r="AA422" i="5"/>
  <c r="Y422" i="5"/>
  <c r="AG422" i="5" s="1"/>
  <c r="AM422" i="5" s="1"/>
  <c r="AA518" i="5"/>
  <c r="Y518" i="5"/>
  <c r="AG518" i="5" s="1"/>
  <c r="AM518" i="5" s="1"/>
  <c r="AA614" i="5"/>
  <c r="Y614" i="5"/>
  <c r="AG614" i="5" s="1"/>
  <c r="AM614" i="5" s="1"/>
  <c r="AA742" i="5"/>
  <c r="AH742" i="5" s="1"/>
  <c r="AK742" i="5" s="1"/>
  <c r="Y742" i="5"/>
  <c r="AG742" i="5" s="1"/>
  <c r="AM742" i="5" s="1"/>
  <c r="AA692" i="5"/>
  <c r="Y771" i="5"/>
  <c r="AG771" i="5" s="1"/>
  <c r="Y630" i="5"/>
  <c r="AG630" i="5" s="1"/>
  <c r="Y559" i="5"/>
  <c r="AG559" i="5" s="1"/>
  <c r="AM559" i="5" s="1"/>
  <c r="Y404" i="5"/>
  <c r="AG404" i="5" s="1"/>
  <c r="AM404" i="5" s="1"/>
  <c r="Y319" i="5"/>
  <c r="AG319" i="5" s="1"/>
  <c r="Y228" i="5"/>
  <c r="AG228" i="5" s="1"/>
  <c r="AM228" i="5" s="1"/>
  <c r="Y132" i="5"/>
  <c r="AG132" i="5" s="1"/>
  <c r="Y33" i="5"/>
  <c r="AG33" i="5" s="1"/>
  <c r="AM33" i="5" s="1"/>
  <c r="AA551" i="5"/>
  <c r="AH551" i="5" s="1"/>
  <c r="AK551" i="5" s="1"/>
  <c r="Y551" i="5"/>
  <c r="AG551" i="5" s="1"/>
  <c r="AM551" i="5" s="1"/>
  <c r="Y671" i="5"/>
  <c r="AG671" i="5" s="1"/>
  <c r="AM671" i="5" s="1"/>
  <c r="Y514" i="5"/>
  <c r="AG514" i="5" s="1"/>
  <c r="AM514" i="5" s="1"/>
  <c r="Y436" i="5"/>
  <c r="AG436" i="5" s="1"/>
  <c r="AM436" i="5" s="1"/>
  <c r="Y358" i="5"/>
  <c r="AG358" i="5" s="1"/>
  <c r="AM358" i="5" s="1"/>
  <c r="Y278" i="5"/>
  <c r="Y31" i="5"/>
  <c r="AG31" i="5" s="1"/>
  <c r="AM31" i="5" s="1"/>
  <c r="Y689" i="5"/>
  <c r="AG689" i="5" s="1"/>
  <c r="AA15" i="5"/>
  <c r="Y15" i="5"/>
  <c r="AG15" i="5" s="1"/>
  <c r="AA47" i="5"/>
  <c r="Y47" i="5"/>
  <c r="AG47" i="5" s="1"/>
  <c r="AM47" i="5" s="1"/>
  <c r="AA175" i="5"/>
  <c r="Y175" i="5"/>
  <c r="AG175" i="5" s="1"/>
  <c r="AM175" i="5" s="1"/>
  <c r="AA655" i="5"/>
  <c r="Y655" i="5"/>
  <c r="AG655" i="5" s="1"/>
  <c r="AM655" i="5" s="1"/>
  <c r="AA687" i="5"/>
  <c r="Y687" i="5"/>
  <c r="AG687" i="5" s="1"/>
  <c r="AM687" i="5" s="1"/>
  <c r="AA176" i="5"/>
  <c r="Y176" i="5"/>
  <c r="AG176" i="5" s="1"/>
  <c r="AM176" i="5" s="1"/>
  <c r="Y583" i="5"/>
  <c r="AG583" i="5" s="1"/>
  <c r="AM583" i="5" s="1"/>
  <c r="Y513" i="5"/>
  <c r="AG513" i="5" s="1"/>
  <c r="AM513" i="5" s="1"/>
  <c r="Y435" i="5"/>
  <c r="AG435" i="5" s="1"/>
  <c r="AM435" i="5" s="1"/>
  <c r="Y356" i="5"/>
  <c r="AG356" i="5" s="1"/>
  <c r="AM356" i="5" s="1"/>
  <c r="Y276" i="5"/>
  <c r="AG276" i="5" s="1"/>
  <c r="Y180" i="5"/>
  <c r="AG180" i="5" s="1"/>
  <c r="Y662" i="5"/>
  <c r="AG662" i="5" s="1"/>
  <c r="Y582" i="5"/>
  <c r="AG582" i="5" s="1"/>
  <c r="AM582" i="5" s="1"/>
  <c r="Y511" i="5"/>
  <c r="AG511" i="5" s="1"/>
  <c r="AM511" i="5" s="1"/>
  <c r="Y434" i="5"/>
  <c r="AG434" i="5" s="1"/>
  <c r="AM434" i="5" s="1"/>
  <c r="Y275" i="5"/>
  <c r="AG275" i="5" s="1"/>
  <c r="Y179" i="5"/>
  <c r="AG179" i="5" s="1"/>
  <c r="AI42" i="5"/>
  <c r="AL42" i="5" s="1"/>
  <c r="AI122" i="5"/>
  <c r="AL122" i="5" s="1"/>
  <c r="AI218" i="5"/>
  <c r="AL218" i="5" s="1"/>
  <c r="AI250" i="5"/>
  <c r="AL250" i="5" s="1"/>
  <c r="AH314" i="5"/>
  <c r="AK314" i="5" s="1"/>
  <c r="AI346" i="5"/>
  <c r="AL346" i="5" s="1"/>
  <c r="AI602" i="5"/>
  <c r="AL602" i="5" s="1"/>
  <c r="AA482" i="5"/>
  <c r="Y694" i="5"/>
  <c r="AG694" i="5" s="1"/>
  <c r="Y548" i="5"/>
  <c r="AG548" i="5" s="1"/>
  <c r="Y467" i="5"/>
  <c r="AG467" i="5" s="1"/>
  <c r="Y433" i="5"/>
  <c r="AG433" i="5" s="1"/>
  <c r="AM433" i="5" s="1"/>
  <c r="Y274" i="5"/>
  <c r="AG274" i="5" s="1"/>
  <c r="Y63" i="5"/>
  <c r="AG63" i="5" s="1"/>
  <c r="AM63" i="5" s="1"/>
  <c r="Y91" i="5"/>
  <c r="AG91" i="5" s="1"/>
  <c r="AM91" i="5" s="1"/>
  <c r="AA91" i="5"/>
  <c r="AA251" i="5"/>
  <c r="Y251" i="5"/>
  <c r="AG251" i="5" s="1"/>
  <c r="AM251" i="5" s="1"/>
  <c r="AA347" i="5"/>
  <c r="Y347" i="5"/>
  <c r="AG347" i="5" s="1"/>
  <c r="AM347" i="5" s="1"/>
  <c r="AA423" i="5"/>
  <c r="AI423" i="5" s="1"/>
  <c r="AL423" i="5" s="1"/>
  <c r="Y763" i="5"/>
  <c r="AG763" i="5" s="1"/>
  <c r="Y618" i="5"/>
  <c r="AG618" i="5" s="1"/>
  <c r="Y547" i="5"/>
  <c r="AG547" i="5" s="1"/>
  <c r="Y463" i="5"/>
  <c r="AG463" i="5" s="1"/>
  <c r="Y308" i="5"/>
  <c r="AG308" i="5" s="1"/>
  <c r="Y218" i="5"/>
  <c r="AG218" i="5" s="1"/>
  <c r="AM218" i="5" s="1"/>
  <c r="AA12" i="5"/>
  <c r="Y12" i="5"/>
  <c r="AG12" i="5" s="1"/>
  <c r="AM12" i="5" s="1"/>
  <c r="AA44" i="5"/>
  <c r="Y44" i="5"/>
  <c r="AG44" i="5" s="1"/>
  <c r="AM44" i="5" s="1"/>
  <c r="AA252" i="5"/>
  <c r="Y252" i="5"/>
  <c r="AG252" i="5" s="1"/>
  <c r="AM252" i="5" s="1"/>
  <c r="AA348" i="5"/>
  <c r="Y348" i="5"/>
  <c r="AG348" i="5" s="1"/>
  <c r="AM348" i="5" s="1"/>
  <c r="AA476" i="5"/>
  <c r="Y476" i="5"/>
  <c r="AG476" i="5" s="1"/>
  <c r="AM476" i="5" s="1"/>
  <c r="AA652" i="5"/>
  <c r="Y652" i="5"/>
  <c r="AG652" i="5" s="1"/>
  <c r="AA684" i="5"/>
  <c r="Y684" i="5"/>
  <c r="AG684" i="5" s="1"/>
  <c r="AA370" i="5"/>
  <c r="Y762" i="5"/>
  <c r="AG762" i="5" s="1"/>
  <c r="Y726" i="5"/>
  <c r="AG726" i="5" s="1"/>
  <c r="AM726" i="5" s="1"/>
  <c r="Y691" i="5"/>
  <c r="AG691" i="5" s="1"/>
  <c r="AM691" i="5" s="1"/>
  <c r="Y658" i="5"/>
  <c r="AG658" i="5" s="1"/>
  <c r="AM658" i="5" s="1"/>
  <c r="Y607" i="5"/>
  <c r="AG607" i="5" s="1"/>
  <c r="AM607" i="5" s="1"/>
  <c r="Y572" i="5"/>
  <c r="Y546" i="5"/>
  <c r="AG546" i="5" s="1"/>
  <c r="AM546" i="5" s="1"/>
  <c r="Y506" i="5"/>
  <c r="AG506" i="5" s="1"/>
  <c r="AM506" i="5" s="1"/>
  <c r="Y460" i="5"/>
  <c r="AG460" i="5" s="1"/>
  <c r="AM460" i="5" s="1"/>
  <c r="Y431" i="5"/>
  <c r="AG431" i="5" s="1"/>
  <c r="AM431" i="5" s="1"/>
  <c r="Y385" i="5"/>
  <c r="AG385" i="5" s="1"/>
  <c r="AM385" i="5" s="1"/>
  <c r="Y342" i="5"/>
  <c r="AG342" i="5" s="1"/>
  <c r="AM342" i="5" s="1"/>
  <c r="Y307" i="5"/>
  <c r="AG307" i="5" s="1"/>
  <c r="Y268" i="5"/>
  <c r="AG268" i="5" s="1"/>
  <c r="AM268" i="5" s="1"/>
  <c r="Y159" i="5"/>
  <c r="AG159" i="5" s="1"/>
  <c r="Y114" i="5"/>
  <c r="AG114" i="5" s="1"/>
  <c r="Y59" i="5"/>
  <c r="AG59" i="5" s="1"/>
  <c r="Y20" i="5"/>
  <c r="AG20" i="5" s="1"/>
  <c r="AA94" i="5"/>
  <c r="Y94" i="5"/>
  <c r="AG94" i="5" s="1"/>
  <c r="AM94" i="5" s="1"/>
  <c r="Y753" i="5"/>
  <c r="AG753" i="5" s="1"/>
  <c r="AM753" i="5" s="1"/>
  <c r="Y382" i="5"/>
  <c r="AG382" i="5" s="1"/>
  <c r="AM382" i="5" s="1"/>
  <c r="AA95" i="5"/>
  <c r="Y95" i="5"/>
  <c r="AG95" i="5" s="1"/>
  <c r="AM95" i="5" s="1"/>
  <c r="AA127" i="5"/>
  <c r="Y127" i="5"/>
  <c r="AG127" i="5" s="1"/>
  <c r="AM127" i="5" s="1"/>
  <c r="AA255" i="5"/>
  <c r="Y255" i="5"/>
  <c r="AG255" i="5" s="1"/>
  <c r="AM255" i="5" s="1"/>
  <c r="AA351" i="5"/>
  <c r="Y351" i="5"/>
  <c r="AG351" i="5" s="1"/>
  <c r="AA479" i="5"/>
  <c r="Y479" i="5"/>
  <c r="AG479" i="5" s="1"/>
  <c r="AM479" i="5" s="1"/>
  <c r="Y751" i="5"/>
  <c r="AG751" i="5" s="1"/>
  <c r="AM751" i="5" s="1"/>
  <c r="Y719" i="5"/>
  <c r="AG719" i="5" s="1"/>
  <c r="AM719" i="5" s="1"/>
  <c r="Y495" i="5"/>
  <c r="AG495" i="5" s="1"/>
  <c r="Y335" i="5"/>
  <c r="AG335" i="5" s="1"/>
  <c r="AM335" i="5" s="1"/>
  <c r="Y303" i="5"/>
  <c r="AG303" i="5" s="1"/>
  <c r="AM303" i="5" s="1"/>
  <c r="Y143" i="5"/>
  <c r="AG143" i="5" s="1"/>
  <c r="AM143" i="5" s="1"/>
  <c r="Y641" i="5"/>
  <c r="AG641" i="5" s="1"/>
  <c r="AM641" i="5" s="1"/>
  <c r="Y447" i="5"/>
  <c r="AG447" i="5" s="1"/>
  <c r="AM447" i="5" s="1"/>
  <c r="AA18" i="5"/>
  <c r="Y18" i="5"/>
  <c r="AA130" i="5"/>
  <c r="Y130" i="5"/>
  <c r="AG130" i="5" s="1"/>
  <c r="AA178" i="5"/>
  <c r="Y178" i="5"/>
  <c r="AG178" i="5" s="1"/>
  <c r="AA210" i="5"/>
  <c r="Y210" i="5"/>
  <c r="AG210" i="5" s="1"/>
  <c r="AA322" i="5"/>
  <c r="Y322" i="5"/>
  <c r="AG322" i="5" s="1"/>
  <c r="AM322" i="5" s="1"/>
  <c r="AA386" i="5"/>
  <c r="Y386" i="5"/>
  <c r="AG386" i="5" s="1"/>
  <c r="AA450" i="5"/>
  <c r="Y450" i="5"/>
  <c r="AG450" i="5" s="1"/>
  <c r="AM450" i="5" s="1"/>
  <c r="Y639" i="5"/>
  <c r="AG639" i="5" s="1"/>
  <c r="AM639" i="5" s="1"/>
  <c r="Y417" i="5"/>
  <c r="AG417" i="5" s="1"/>
  <c r="AM417" i="5" s="1"/>
  <c r="Y239" i="5"/>
  <c r="AG239" i="5" s="1"/>
  <c r="AM239" i="5" s="1"/>
  <c r="AA51" i="5"/>
  <c r="Y51" i="5"/>
  <c r="AG51" i="5" s="1"/>
  <c r="AM51" i="5" s="1"/>
  <c r="AA211" i="5"/>
  <c r="Y211" i="5"/>
  <c r="AG211" i="5" s="1"/>
  <c r="AA323" i="5"/>
  <c r="Y323" i="5"/>
  <c r="AG323" i="5" s="1"/>
  <c r="AA387" i="5"/>
  <c r="Y387" i="5"/>
  <c r="AG387" i="5" s="1"/>
  <c r="AM387" i="5" s="1"/>
  <c r="AA451" i="5"/>
  <c r="Y451" i="5"/>
  <c r="AG451" i="5" s="1"/>
  <c r="AM451" i="5" s="1"/>
  <c r="AA515" i="5"/>
  <c r="Y515" i="5"/>
  <c r="AG515" i="5" s="1"/>
  <c r="AM515" i="5" s="1"/>
  <c r="AA579" i="5"/>
  <c r="Y579" i="5"/>
  <c r="AG579" i="5" s="1"/>
  <c r="AM579" i="5" s="1"/>
  <c r="AA177" i="5"/>
  <c r="Y707" i="5"/>
  <c r="AG707" i="5" s="1"/>
  <c r="AM707" i="5" s="1"/>
  <c r="Y562" i="5"/>
  <c r="AG562" i="5" s="1"/>
  <c r="AM562" i="5" s="1"/>
  <c r="Y530" i="5"/>
  <c r="AG530" i="5" s="1"/>
  <c r="AM530" i="5" s="1"/>
  <c r="Y415" i="5"/>
  <c r="AG415" i="5" s="1"/>
  <c r="AM415" i="5" s="1"/>
  <c r="Y369" i="5"/>
  <c r="AG369" i="5" s="1"/>
  <c r="Y290" i="5"/>
  <c r="AG290" i="5" s="1"/>
  <c r="Y98" i="5"/>
  <c r="AG98" i="5" s="1"/>
  <c r="AM98" i="5" s="1"/>
  <c r="Y675" i="5"/>
  <c r="AG675" i="5" s="1"/>
  <c r="Y595" i="5"/>
  <c r="AG595" i="5" s="1"/>
  <c r="AM595" i="5" s="1"/>
  <c r="Y529" i="5"/>
  <c r="AG529" i="5" s="1"/>
  <c r="AM529" i="5" s="1"/>
  <c r="Y367" i="5"/>
  <c r="AG367" i="5" s="1"/>
  <c r="AM367" i="5" s="1"/>
  <c r="Y289" i="5"/>
  <c r="AG289" i="5" s="1"/>
  <c r="AM289" i="5" s="1"/>
  <c r="Y195" i="5"/>
  <c r="AG195" i="5" s="1"/>
  <c r="Y83" i="5"/>
  <c r="AG83" i="5" s="1"/>
  <c r="Y703" i="5"/>
  <c r="AG703" i="5" s="1"/>
  <c r="Y560" i="5"/>
  <c r="AG560" i="5" s="1"/>
  <c r="AM560" i="5" s="1"/>
  <c r="Y34" i="5"/>
  <c r="AG34" i="5" s="1"/>
  <c r="AA710" i="5"/>
  <c r="AI710" i="5" s="1"/>
  <c r="AL710" i="5" s="1"/>
  <c r="Y710" i="5"/>
  <c r="AG710" i="5" s="1"/>
  <c r="AM710" i="5" s="1"/>
  <c r="Y734" i="5"/>
  <c r="AG734" i="5" s="1"/>
  <c r="Y673" i="5"/>
  <c r="AG673" i="5" s="1"/>
  <c r="AM673" i="5" s="1"/>
  <c r="Y438" i="5"/>
  <c r="AG438" i="5" s="1"/>
  <c r="Y191" i="5"/>
  <c r="AG191" i="5" s="1"/>
  <c r="AM191" i="5" s="1"/>
  <c r="Y79" i="5"/>
  <c r="AG79" i="5" s="1"/>
  <c r="AM79" i="5" s="1"/>
  <c r="AA711" i="5"/>
  <c r="AI711" i="5" s="1"/>
  <c r="AL711" i="5" s="1"/>
  <c r="Y711" i="5"/>
  <c r="AG711" i="5" s="1"/>
  <c r="AA626" i="5"/>
  <c r="Y770" i="5"/>
  <c r="AG770" i="5" s="1"/>
  <c r="AM770" i="5" s="1"/>
  <c r="Y625" i="5"/>
  <c r="AG625" i="5" s="1"/>
  <c r="AM625" i="5" s="1"/>
  <c r="Y471" i="5"/>
  <c r="AG471" i="5" s="1"/>
  <c r="Y403" i="5"/>
  <c r="AG403" i="5" s="1"/>
  <c r="Y227" i="5"/>
  <c r="AG227" i="5" s="1"/>
  <c r="AM227" i="5" s="1"/>
  <c r="Y769" i="5"/>
  <c r="AG769" i="5" s="1"/>
  <c r="AM769" i="5" s="1"/>
  <c r="Y623" i="5"/>
  <c r="AG623" i="5" s="1"/>
  <c r="AM623" i="5" s="1"/>
  <c r="Y470" i="5"/>
  <c r="AG470" i="5" s="1"/>
  <c r="AM470" i="5" s="1"/>
  <c r="Y402" i="5"/>
  <c r="AG402" i="5" s="1"/>
  <c r="AM402" i="5" s="1"/>
  <c r="Y223" i="5"/>
  <c r="AG223" i="5" s="1"/>
  <c r="AM223" i="5" s="1"/>
  <c r="Y767" i="5"/>
  <c r="AG767" i="5" s="1"/>
  <c r="Y550" i="5"/>
  <c r="AG550" i="5" s="1"/>
  <c r="AM550" i="5" s="1"/>
  <c r="Y468" i="5"/>
  <c r="AG468" i="5" s="1"/>
  <c r="AM468" i="5" s="1"/>
  <c r="Y401" i="5"/>
  <c r="AG401" i="5" s="1"/>
  <c r="AM401" i="5" s="1"/>
  <c r="Y119" i="5"/>
  <c r="AG119" i="5" s="1"/>
  <c r="AI26" i="5"/>
  <c r="AL26" i="5" s="1"/>
  <c r="AH330" i="5"/>
  <c r="AK330" i="5" s="1"/>
  <c r="AI362" i="5"/>
  <c r="AL362" i="5" s="1"/>
  <c r="AI490" i="5"/>
  <c r="AL490" i="5" s="1"/>
  <c r="Y660" i="5"/>
  <c r="AG660" i="5" s="1"/>
  <c r="Y578" i="5"/>
  <c r="AG578" i="5" s="1"/>
  <c r="AM578" i="5" s="1"/>
  <c r="Y399" i="5"/>
  <c r="AG399" i="5" s="1"/>
  <c r="AM399" i="5" s="1"/>
  <c r="Y310" i="5"/>
  <c r="AG310" i="5" s="1"/>
  <c r="AM310" i="5" s="1"/>
  <c r="Y116" i="5"/>
  <c r="AG116" i="5" s="1"/>
  <c r="AM116" i="5" s="1"/>
  <c r="Y727" i="5"/>
  <c r="AG727" i="5" s="1"/>
  <c r="Y659" i="5"/>
  <c r="AG659" i="5" s="1"/>
  <c r="Y575" i="5"/>
  <c r="AG575" i="5" s="1"/>
  <c r="Y507" i="5"/>
  <c r="AG507" i="5" s="1"/>
  <c r="Y432" i="5"/>
  <c r="AG432" i="5" s="1"/>
  <c r="Y343" i="5"/>
  <c r="AG343" i="5" s="1"/>
  <c r="AM343" i="5" s="1"/>
  <c r="Y271" i="5"/>
  <c r="AG271" i="5" s="1"/>
  <c r="Y162" i="5"/>
  <c r="AG162" i="5" s="1"/>
  <c r="Y23" i="5"/>
  <c r="AG23" i="5" s="1"/>
  <c r="AM23" i="5" s="1"/>
  <c r="Y92" i="5"/>
  <c r="AG92" i="5" s="1"/>
  <c r="AA92" i="5"/>
  <c r="Y758" i="5"/>
  <c r="AG758" i="5" s="1"/>
  <c r="AM758" i="5" s="1"/>
  <c r="Y724" i="5"/>
  <c r="AG724" i="5" s="1"/>
  <c r="Y690" i="5"/>
  <c r="AG690" i="5" s="1"/>
  <c r="AM690" i="5" s="1"/>
  <c r="Y657" i="5"/>
  <c r="AG657" i="5" s="1"/>
  <c r="AM657" i="5" s="1"/>
  <c r="Y604" i="5"/>
  <c r="AG604" i="5" s="1"/>
  <c r="AM604" i="5" s="1"/>
  <c r="Y571" i="5"/>
  <c r="AG571" i="5" s="1"/>
  <c r="Y545" i="5"/>
  <c r="AG545" i="5" s="1"/>
  <c r="AM545" i="5" s="1"/>
  <c r="Y502" i="5"/>
  <c r="AG502" i="5" s="1"/>
  <c r="Y458" i="5"/>
  <c r="AG458" i="5" s="1"/>
  <c r="AM458" i="5" s="1"/>
  <c r="Y428" i="5"/>
  <c r="AG428" i="5" s="1"/>
  <c r="Y383" i="5"/>
  <c r="AG383" i="5" s="1"/>
  <c r="AM383" i="5" s="1"/>
  <c r="Y340" i="5"/>
  <c r="AG340" i="5" s="1"/>
  <c r="Y262" i="5"/>
  <c r="AG262" i="5" s="1"/>
  <c r="Y207" i="5"/>
  <c r="AG207" i="5" s="1"/>
  <c r="Y156" i="5"/>
  <c r="AG156" i="5" s="1"/>
  <c r="AM156" i="5" s="1"/>
  <c r="Y111" i="5"/>
  <c r="AG111" i="5" s="1"/>
  <c r="AM111" i="5" s="1"/>
  <c r="Y58" i="5"/>
  <c r="AG58" i="5" s="1"/>
  <c r="AM58" i="5" s="1"/>
  <c r="Y19" i="5"/>
  <c r="AG19" i="5" s="1"/>
  <c r="AM19" i="5" s="1"/>
  <c r="AI41" i="5"/>
  <c r="AL41" i="5" s="1"/>
  <c r="AI57" i="5"/>
  <c r="AL57" i="5" s="1"/>
  <c r="AI105" i="5"/>
  <c r="AL105" i="5" s="1"/>
  <c r="AI121" i="5"/>
  <c r="AL121" i="5" s="1"/>
  <c r="AI137" i="5"/>
  <c r="AL137" i="5" s="1"/>
  <c r="AH153" i="5"/>
  <c r="AK153" i="5" s="1"/>
  <c r="AI201" i="5"/>
  <c r="AL201" i="5" s="1"/>
  <c r="AI217" i="5"/>
  <c r="AL217" i="5" s="1"/>
  <c r="AI233" i="5"/>
  <c r="AL233" i="5" s="1"/>
  <c r="AI329" i="5"/>
  <c r="AL329" i="5" s="1"/>
  <c r="AI345" i="5"/>
  <c r="AL345" i="5" s="1"/>
  <c r="AH425" i="5"/>
  <c r="AK425" i="5" s="1"/>
  <c r="AI457" i="5"/>
  <c r="AL457" i="5" s="1"/>
  <c r="AI473" i="5"/>
  <c r="AL473" i="5" s="1"/>
  <c r="AI553" i="5"/>
  <c r="AL553" i="5" s="1"/>
  <c r="AI585" i="5"/>
  <c r="AL585" i="5" s="1"/>
  <c r="AI617" i="5"/>
  <c r="AL617" i="5" s="1"/>
  <c r="AI681" i="5"/>
  <c r="AL681" i="5" s="1"/>
  <c r="AI697" i="5"/>
  <c r="AL697" i="5" s="1"/>
  <c r="AI713" i="5"/>
  <c r="AL713" i="5" s="1"/>
  <c r="AH729" i="5"/>
  <c r="AK729" i="5" s="1"/>
  <c r="AA13" i="5"/>
  <c r="Y13" i="5"/>
  <c r="AA29" i="5"/>
  <c r="Y29" i="5"/>
  <c r="AG29" i="5" s="1"/>
  <c r="AM29" i="5" s="1"/>
  <c r="AA45" i="5"/>
  <c r="Y45" i="5"/>
  <c r="AG45" i="5" s="1"/>
  <c r="AM45" i="5" s="1"/>
  <c r="AA61" i="5"/>
  <c r="Y61" i="5"/>
  <c r="AG61" i="5" s="1"/>
  <c r="AM61" i="5" s="1"/>
  <c r="AA77" i="5"/>
  <c r="Y77" i="5"/>
  <c r="AG77" i="5" s="1"/>
  <c r="AM77" i="5" s="1"/>
  <c r="AA93" i="5"/>
  <c r="Y93" i="5"/>
  <c r="AG93" i="5" s="1"/>
  <c r="AA109" i="5"/>
  <c r="Y109" i="5"/>
  <c r="AG109" i="5" s="1"/>
  <c r="AM109" i="5" s="1"/>
  <c r="AA125" i="5"/>
  <c r="Y125" i="5"/>
  <c r="AA141" i="5"/>
  <c r="Y141" i="5"/>
  <c r="AG141" i="5" s="1"/>
  <c r="AM141" i="5" s="1"/>
  <c r="AA157" i="5"/>
  <c r="Y157" i="5"/>
  <c r="AA173" i="5"/>
  <c r="Y173" i="5"/>
  <c r="AG173" i="5" s="1"/>
  <c r="AM173" i="5" s="1"/>
  <c r="AA189" i="5"/>
  <c r="Y189" i="5"/>
  <c r="AG189" i="5" s="1"/>
  <c r="AM189" i="5" s="1"/>
  <c r="Y205" i="5"/>
  <c r="AG205" i="5" s="1"/>
  <c r="AM205" i="5" s="1"/>
  <c r="AA205" i="5"/>
  <c r="AA221" i="5"/>
  <c r="Y221" i="5"/>
  <c r="AG221" i="5" s="1"/>
  <c r="AM221" i="5" s="1"/>
  <c r="AA237" i="5"/>
  <c r="Y237" i="5"/>
  <c r="AG237" i="5" s="1"/>
  <c r="AM237" i="5" s="1"/>
  <c r="AA253" i="5"/>
  <c r="Y253" i="5"/>
  <c r="AG253" i="5" s="1"/>
  <c r="AM253" i="5" s="1"/>
  <c r="AA269" i="5"/>
  <c r="Y269" i="5"/>
  <c r="AG269" i="5" s="1"/>
  <c r="Y285" i="5"/>
  <c r="AG285" i="5" s="1"/>
  <c r="AA285" i="5"/>
  <c r="AA301" i="5"/>
  <c r="Y301" i="5"/>
  <c r="AG301" i="5" s="1"/>
  <c r="AM301" i="5" s="1"/>
  <c r="AA317" i="5"/>
  <c r="Y317" i="5"/>
  <c r="AA333" i="5"/>
  <c r="Y333" i="5"/>
  <c r="AG333" i="5" s="1"/>
  <c r="AM333" i="5" s="1"/>
  <c r="AA349" i="5"/>
  <c r="Y349" i="5"/>
  <c r="AG349" i="5" s="1"/>
  <c r="AM349" i="5" s="1"/>
  <c r="AA365" i="5"/>
  <c r="Y365" i="5"/>
  <c r="AG365" i="5" s="1"/>
  <c r="AM365" i="5" s="1"/>
  <c r="AA381" i="5"/>
  <c r="Y381" i="5"/>
  <c r="AA397" i="5"/>
  <c r="Y397" i="5"/>
  <c r="AG397" i="5" s="1"/>
  <c r="AM397" i="5" s="1"/>
  <c r="AA413" i="5"/>
  <c r="Y413" i="5"/>
  <c r="AG413" i="5" s="1"/>
  <c r="AM413" i="5" s="1"/>
  <c r="AA429" i="5"/>
  <c r="Y429" i="5"/>
  <c r="AG429" i="5" s="1"/>
  <c r="AM429" i="5" s="1"/>
  <c r="AA445" i="5"/>
  <c r="Y445" i="5"/>
  <c r="AG445" i="5" s="1"/>
  <c r="AM445" i="5" s="1"/>
  <c r="AA461" i="5"/>
  <c r="Y461" i="5"/>
  <c r="AG461" i="5" s="1"/>
  <c r="AM461" i="5" s="1"/>
  <c r="AA477" i="5"/>
  <c r="Y477" i="5"/>
  <c r="AG477" i="5" s="1"/>
  <c r="AM477" i="5" s="1"/>
  <c r="AA493" i="5"/>
  <c r="Y493" i="5"/>
  <c r="AG493" i="5" s="1"/>
  <c r="AM493" i="5" s="1"/>
  <c r="AA525" i="5"/>
  <c r="Y525" i="5"/>
  <c r="AG525" i="5" s="1"/>
  <c r="Y541" i="5"/>
  <c r="AG541" i="5" s="1"/>
  <c r="AM541" i="5" s="1"/>
  <c r="AA541" i="5"/>
  <c r="AA557" i="5"/>
  <c r="Y557" i="5"/>
  <c r="AG557" i="5" s="1"/>
  <c r="AM557" i="5" s="1"/>
  <c r="AA573" i="5"/>
  <c r="Y573" i="5"/>
  <c r="AG573" i="5" s="1"/>
  <c r="AM573" i="5" s="1"/>
  <c r="AA589" i="5"/>
  <c r="AI589" i="5" s="1"/>
  <c r="AL589" i="5" s="1"/>
  <c r="Y589" i="5"/>
  <c r="AG589" i="5" s="1"/>
  <c r="AM589" i="5" s="1"/>
  <c r="AA605" i="5"/>
  <c r="Y605" i="5"/>
  <c r="AG605" i="5" s="1"/>
  <c r="AM605" i="5" s="1"/>
  <c r="AA621" i="5"/>
  <c r="Y621" i="5"/>
  <c r="AG621" i="5" s="1"/>
  <c r="AM621" i="5" s="1"/>
  <c r="AA637" i="5"/>
  <c r="Y637" i="5"/>
  <c r="AG637" i="5" s="1"/>
  <c r="AM637" i="5" s="1"/>
  <c r="AA653" i="5"/>
  <c r="Y653" i="5"/>
  <c r="AG653" i="5" s="1"/>
  <c r="AA669" i="5"/>
  <c r="Y669" i="5"/>
  <c r="AG669" i="5" s="1"/>
  <c r="AM669" i="5" s="1"/>
  <c r="AA685" i="5"/>
  <c r="Y685" i="5"/>
  <c r="AG685" i="5" s="1"/>
  <c r="AM685" i="5" s="1"/>
  <c r="AA701" i="5"/>
  <c r="Y701" i="5"/>
  <c r="AG701" i="5" s="1"/>
  <c r="AM701" i="5" s="1"/>
  <c r="AA717" i="5"/>
  <c r="Y717" i="5"/>
  <c r="AA733" i="5"/>
  <c r="Y733" i="5"/>
  <c r="AG733" i="5" s="1"/>
  <c r="AA749" i="5"/>
  <c r="Y749" i="5"/>
  <c r="AG749" i="5" s="1"/>
  <c r="AM749" i="5" s="1"/>
  <c r="AA765" i="5"/>
  <c r="Y765" i="5"/>
  <c r="AG765" i="5" s="1"/>
  <c r="AM765" i="5" s="1"/>
  <c r="Y509" i="5"/>
  <c r="AG509" i="5" s="1"/>
  <c r="AA46" i="5"/>
  <c r="Y46" i="5"/>
  <c r="AG46" i="5" s="1"/>
  <c r="AM46" i="5" s="1"/>
  <c r="AA110" i="5"/>
  <c r="Y110" i="5"/>
  <c r="AG110" i="5" s="1"/>
  <c r="AM110" i="5" s="1"/>
  <c r="AA190" i="5"/>
  <c r="Y190" i="5"/>
  <c r="AG190" i="5" s="1"/>
  <c r="AM190" i="5" s="1"/>
  <c r="AA318" i="5"/>
  <c r="Y318" i="5"/>
  <c r="AG318" i="5" s="1"/>
  <c r="AA446" i="5"/>
  <c r="Y446" i="5"/>
  <c r="AG446" i="5" s="1"/>
  <c r="AM446" i="5" s="1"/>
  <c r="AA574" i="5"/>
  <c r="Y574" i="5"/>
  <c r="AG574" i="5" s="1"/>
  <c r="AM574" i="5" s="1"/>
  <c r="AA686" i="5"/>
  <c r="Y686" i="5"/>
  <c r="AG686" i="5" s="1"/>
  <c r="AA174" i="5"/>
  <c r="Y606" i="5"/>
  <c r="AG606" i="5" s="1"/>
  <c r="Y254" i="5"/>
  <c r="AG254" i="5" s="1"/>
  <c r="AM254" i="5" s="1"/>
  <c r="Y142" i="5"/>
  <c r="AG142" i="5" s="1"/>
  <c r="AM142" i="5" s="1"/>
  <c r="Y478" i="5"/>
  <c r="AG478" i="5" s="1"/>
  <c r="AA32" i="5"/>
  <c r="Y32" i="5"/>
  <c r="AG32" i="5" s="1"/>
  <c r="AM32" i="5" s="1"/>
  <c r="AA144" i="5"/>
  <c r="Y144" i="5"/>
  <c r="AG144" i="5" s="1"/>
  <c r="AA336" i="5"/>
  <c r="Y336" i="5"/>
  <c r="AG336" i="5" s="1"/>
  <c r="AM336" i="5" s="1"/>
  <c r="AA480" i="5"/>
  <c r="Y480" i="5"/>
  <c r="AG480" i="5" s="1"/>
  <c r="AM480" i="5" s="1"/>
  <c r="AA592" i="5"/>
  <c r="AI592" i="5" s="1"/>
  <c r="AL592" i="5" s="1"/>
  <c r="Y592" i="5"/>
  <c r="AG592" i="5" s="1"/>
  <c r="AM592" i="5" s="1"/>
  <c r="AA704" i="5"/>
  <c r="AH704" i="5" s="1"/>
  <c r="AK704" i="5" s="1"/>
  <c r="Y704" i="5"/>
  <c r="AG704" i="5" s="1"/>
  <c r="AM704" i="5" s="1"/>
  <c r="AA720" i="5"/>
  <c r="Y720" i="5"/>
  <c r="AG720" i="5" s="1"/>
  <c r="AM720" i="5" s="1"/>
  <c r="AA736" i="5"/>
  <c r="Y736" i="5"/>
  <c r="AG736" i="5" s="1"/>
  <c r="Y656" i="5"/>
  <c r="AG656" i="5" s="1"/>
  <c r="Y350" i="5"/>
  <c r="AG350" i="5" s="1"/>
  <c r="AM350" i="5" s="1"/>
  <c r="Y304" i="5"/>
  <c r="AG304" i="5" s="1"/>
  <c r="AM304" i="5" s="1"/>
  <c r="AA49" i="5"/>
  <c r="Y49" i="5"/>
  <c r="AG49" i="5" s="1"/>
  <c r="AA65" i="5"/>
  <c r="AH65" i="5" s="1"/>
  <c r="AK65" i="5" s="1"/>
  <c r="Y65" i="5"/>
  <c r="AG65" i="5" s="1"/>
  <c r="AA129" i="5"/>
  <c r="Y129" i="5"/>
  <c r="AG129" i="5" s="1"/>
  <c r="AM129" i="5" s="1"/>
  <c r="AA145" i="5"/>
  <c r="Y145" i="5"/>
  <c r="AG145" i="5" s="1"/>
  <c r="AM145" i="5" s="1"/>
  <c r="AA209" i="5"/>
  <c r="Y209" i="5"/>
  <c r="AG209" i="5" s="1"/>
  <c r="AA225" i="5"/>
  <c r="Y225" i="5"/>
  <c r="AG225" i="5" s="1"/>
  <c r="AM225" i="5" s="1"/>
  <c r="AI273" i="5"/>
  <c r="AL273" i="5" s="1"/>
  <c r="Y752" i="5"/>
  <c r="AG752" i="5" s="1"/>
  <c r="Y528" i="5"/>
  <c r="AG528" i="5" s="1"/>
  <c r="AM528" i="5" s="1"/>
  <c r="Y222" i="5"/>
  <c r="AG222" i="5" s="1"/>
  <c r="Y113" i="5"/>
  <c r="AG113" i="5" s="1"/>
  <c r="AM113" i="5" s="1"/>
  <c r="Y400" i="5"/>
  <c r="AG400" i="5" s="1"/>
  <c r="AM400" i="5" s="1"/>
  <c r="Y273" i="5"/>
  <c r="AG273" i="5" s="1"/>
  <c r="AM273" i="5" s="1"/>
  <c r="Y112" i="5"/>
  <c r="AG112" i="5" s="1"/>
  <c r="AM112" i="5" s="1"/>
  <c r="Y526" i="5"/>
  <c r="AG526" i="5" s="1"/>
  <c r="AM526" i="5" s="1"/>
  <c r="Y496" i="5"/>
  <c r="AG496" i="5" s="1"/>
  <c r="Y272" i="5"/>
  <c r="AG272" i="5" s="1"/>
  <c r="AM272" i="5" s="1"/>
  <c r="Y161" i="5"/>
  <c r="AG161" i="5" s="1"/>
  <c r="AM161" i="5" s="1"/>
  <c r="Y80" i="5"/>
  <c r="AG80" i="5" s="1"/>
  <c r="AM80" i="5" s="1"/>
  <c r="Y622" i="5"/>
  <c r="AG622" i="5" s="1"/>
  <c r="AM622" i="5" s="1"/>
  <c r="Y398" i="5"/>
  <c r="AG398" i="5" s="1"/>
  <c r="Y368" i="5"/>
  <c r="AG368" i="5" s="1"/>
  <c r="Y241" i="5"/>
  <c r="AG241" i="5" s="1"/>
  <c r="AM241" i="5" s="1"/>
  <c r="Y160" i="5"/>
  <c r="AG160" i="5" s="1"/>
  <c r="AA718" i="5"/>
  <c r="Y494" i="5"/>
  <c r="AG494" i="5" s="1"/>
  <c r="Y270" i="5"/>
  <c r="AG270" i="5" s="1"/>
  <c r="Y240" i="5"/>
  <c r="AG240" i="5" s="1"/>
  <c r="AM240" i="5" s="1"/>
  <c r="Y192" i="5"/>
  <c r="AG192" i="5" s="1"/>
  <c r="Y78" i="5"/>
  <c r="AG78" i="5" s="1"/>
  <c r="AM78" i="5" s="1"/>
  <c r="Y366" i="5"/>
  <c r="AG366" i="5" s="1"/>
  <c r="AM366" i="5" s="1"/>
  <c r="AA7" i="5"/>
  <c r="AH7" i="5" s="1"/>
  <c r="AK7" i="5" s="1"/>
  <c r="Y7" i="5"/>
  <c r="AG7" i="5" s="1"/>
  <c r="AA167" i="5"/>
  <c r="Y167" i="5"/>
  <c r="AG167" i="5" s="1"/>
  <c r="AM167" i="5" s="1"/>
  <c r="AA247" i="5"/>
  <c r="AH247" i="5" s="1"/>
  <c r="AK247" i="5" s="1"/>
  <c r="Y247" i="5"/>
  <c r="AG247" i="5" s="1"/>
  <c r="AA279" i="5"/>
  <c r="AI279" i="5" s="1"/>
  <c r="AL279" i="5" s="1"/>
  <c r="Y279" i="5"/>
  <c r="AG279" i="5" s="1"/>
  <c r="AA407" i="5"/>
  <c r="Y407" i="5"/>
  <c r="AG407" i="5" s="1"/>
  <c r="AA535" i="5"/>
  <c r="Y535" i="5"/>
  <c r="AG535" i="5" s="1"/>
  <c r="AM535" i="5" s="1"/>
  <c r="AA631" i="5"/>
  <c r="Y631" i="5"/>
  <c r="AG631" i="5" s="1"/>
  <c r="AM631" i="5" s="1"/>
  <c r="AA647" i="5"/>
  <c r="Y647" i="5"/>
  <c r="AG647" i="5" s="1"/>
  <c r="AM647" i="5" s="1"/>
  <c r="AA663" i="5"/>
  <c r="Y663" i="5"/>
  <c r="AG663" i="5" s="1"/>
  <c r="AM663" i="5" s="1"/>
  <c r="AA759" i="5"/>
  <c r="Y759" i="5"/>
  <c r="AG759" i="5" s="1"/>
  <c r="AM759" i="5" s="1"/>
  <c r="AA695" i="5"/>
  <c r="AI695" i="5" s="1"/>
  <c r="AL695" i="5" s="1"/>
  <c r="AA302" i="5"/>
  <c r="Y672" i="5"/>
  <c r="AG672" i="5" s="1"/>
  <c r="AM672" i="5" s="1"/>
  <c r="Y238" i="5"/>
  <c r="AG238" i="5" s="1"/>
  <c r="Y215" i="5"/>
  <c r="AG215" i="5" s="1"/>
  <c r="AA8" i="5"/>
  <c r="Y8" i="5"/>
  <c r="AA40" i="5"/>
  <c r="AI40" i="5" s="1"/>
  <c r="AL40" i="5" s="1"/>
  <c r="Y40" i="5"/>
  <c r="AG40" i="5" s="1"/>
  <c r="AA88" i="5"/>
  <c r="Y88" i="5"/>
  <c r="AG88" i="5" s="1"/>
  <c r="AA120" i="5"/>
  <c r="AI120" i="5" s="1"/>
  <c r="AL120" i="5" s="1"/>
  <c r="Y120" i="5"/>
  <c r="AG120" i="5" s="1"/>
  <c r="AM120" i="5" s="1"/>
  <c r="AA168" i="5"/>
  <c r="AI168" i="5" s="1"/>
  <c r="AL168" i="5" s="1"/>
  <c r="Y168" i="5"/>
  <c r="AG168" i="5" s="1"/>
  <c r="AM168" i="5" s="1"/>
  <c r="AA216" i="5"/>
  <c r="Y216" i="5"/>
  <c r="AG216" i="5" s="1"/>
  <c r="AM216" i="5" s="1"/>
  <c r="AA280" i="5"/>
  <c r="AI280" i="5" s="1"/>
  <c r="AL280" i="5" s="1"/>
  <c r="Y280" i="5"/>
  <c r="AG280" i="5" s="1"/>
  <c r="AA360" i="5"/>
  <c r="Y360" i="5"/>
  <c r="AG360" i="5" s="1"/>
  <c r="AA536" i="5"/>
  <c r="AH536" i="5" s="1"/>
  <c r="AK536" i="5" s="1"/>
  <c r="Y536" i="5"/>
  <c r="AG536" i="5" s="1"/>
  <c r="AM536" i="5" s="1"/>
  <c r="AA9" i="5"/>
  <c r="AI9" i="5" s="1"/>
  <c r="AL9" i="5" s="1"/>
  <c r="Y9" i="5"/>
  <c r="AG9" i="5" s="1"/>
  <c r="AA73" i="5"/>
  <c r="Y73" i="5"/>
  <c r="AG73" i="5" s="1"/>
  <c r="AM73" i="5" s="1"/>
  <c r="AA249" i="5"/>
  <c r="Y249" i="5"/>
  <c r="AG249" i="5" s="1"/>
  <c r="AM249" i="5" s="1"/>
  <c r="AA265" i="5"/>
  <c r="AI265" i="5" s="1"/>
  <c r="AL265" i="5" s="1"/>
  <c r="Y265" i="5"/>
  <c r="AG265" i="5" s="1"/>
  <c r="AM265" i="5" s="1"/>
  <c r="AA377" i="5"/>
  <c r="AI377" i="5" s="1"/>
  <c r="AL377" i="5" s="1"/>
  <c r="Y377" i="5"/>
  <c r="AG377" i="5" s="1"/>
  <c r="AA393" i="5"/>
  <c r="Y393" i="5"/>
  <c r="AG393" i="5" s="1"/>
  <c r="AM393" i="5" s="1"/>
  <c r="AA409" i="5"/>
  <c r="Y409" i="5"/>
  <c r="AG409" i="5" s="1"/>
  <c r="AM409" i="5" s="1"/>
  <c r="AA505" i="5"/>
  <c r="AI505" i="5" s="1"/>
  <c r="AL505" i="5" s="1"/>
  <c r="Y505" i="5"/>
  <c r="AG505" i="5" s="1"/>
  <c r="AA521" i="5"/>
  <c r="AH521" i="5" s="1"/>
  <c r="AK521" i="5" s="1"/>
  <c r="Y521" i="5"/>
  <c r="AG521" i="5" s="1"/>
  <c r="AA537" i="5"/>
  <c r="AH537" i="5" s="1"/>
  <c r="AK537" i="5" s="1"/>
  <c r="Y537" i="5"/>
  <c r="AG537" i="5" s="1"/>
  <c r="AA633" i="5"/>
  <c r="AI633" i="5" s="1"/>
  <c r="AL633" i="5" s="1"/>
  <c r="Y633" i="5"/>
  <c r="AG633" i="5" s="1"/>
  <c r="AM633" i="5" s="1"/>
  <c r="AA649" i="5"/>
  <c r="Y649" i="5"/>
  <c r="AG649" i="5" s="1"/>
  <c r="AM649" i="5" s="1"/>
  <c r="AA665" i="5"/>
  <c r="Y665" i="5"/>
  <c r="AG665" i="5" s="1"/>
  <c r="AA761" i="5"/>
  <c r="Y761" i="5"/>
  <c r="AG761" i="5" s="1"/>
  <c r="AA654" i="5"/>
  <c r="Y743" i="5"/>
  <c r="AG743" i="5" s="1"/>
  <c r="AM743" i="5" s="1"/>
  <c r="Y670" i="5"/>
  <c r="AG670" i="5" s="1"/>
  <c r="AM670" i="5" s="1"/>
  <c r="Y640" i="5"/>
  <c r="AG640" i="5" s="1"/>
  <c r="AM640" i="5" s="1"/>
  <c r="Y617" i="5"/>
  <c r="AG617" i="5" s="1"/>
  <c r="AM617" i="5" s="1"/>
  <c r="Y439" i="5"/>
  <c r="AG439" i="5" s="1"/>
  <c r="AM439" i="5" s="1"/>
  <c r="Y416" i="5"/>
  <c r="AG416" i="5" s="1"/>
  <c r="AM416" i="5" s="1"/>
  <c r="Y313" i="5"/>
  <c r="AG313" i="5" s="1"/>
  <c r="AM313" i="5" s="1"/>
  <c r="Y16" i="5"/>
  <c r="AG16" i="5" s="1"/>
  <c r="AM16" i="5" s="1"/>
  <c r="AA30" i="5"/>
  <c r="Y30" i="5"/>
  <c r="AG30" i="5" s="1"/>
  <c r="AM30" i="5" s="1"/>
  <c r="AA126" i="5"/>
  <c r="Y126" i="5"/>
  <c r="AG126" i="5" s="1"/>
  <c r="AM126" i="5" s="1"/>
  <c r="AA206" i="5"/>
  <c r="Y206" i="5"/>
  <c r="AG206" i="5" s="1"/>
  <c r="AA334" i="5"/>
  <c r="Y334" i="5"/>
  <c r="AG334" i="5" s="1"/>
  <c r="AM334" i="5" s="1"/>
  <c r="AA430" i="5"/>
  <c r="Y430" i="5"/>
  <c r="AG430" i="5" s="1"/>
  <c r="AA462" i="5"/>
  <c r="Y462" i="5"/>
  <c r="AG462" i="5" s="1"/>
  <c r="AA558" i="5"/>
  <c r="Y558" i="5"/>
  <c r="AG558" i="5" s="1"/>
  <c r="AM558" i="5" s="1"/>
  <c r="AA590" i="5"/>
  <c r="Y590" i="5"/>
  <c r="AG590" i="5" s="1"/>
  <c r="AM590" i="5" s="1"/>
  <c r="AA702" i="5"/>
  <c r="Y702" i="5"/>
  <c r="AG702" i="5" s="1"/>
  <c r="AM702" i="5" s="1"/>
  <c r="AA48" i="5"/>
  <c r="Y48" i="5"/>
  <c r="AG48" i="5" s="1"/>
  <c r="AM48" i="5" s="1"/>
  <c r="AA128" i="5"/>
  <c r="Y128" i="5"/>
  <c r="AG128" i="5" s="1"/>
  <c r="AA208" i="5"/>
  <c r="AI208" i="5" s="1"/>
  <c r="AL208" i="5" s="1"/>
  <c r="Y208" i="5"/>
  <c r="AG208" i="5" s="1"/>
  <c r="AM208" i="5" s="1"/>
  <c r="AA224" i="5"/>
  <c r="Y224" i="5"/>
  <c r="AG224" i="5" s="1"/>
  <c r="AM224" i="5" s="1"/>
  <c r="AA320" i="5"/>
  <c r="Y320" i="5"/>
  <c r="AG320" i="5" s="1"/>
  <c r="AA352" i="5"/>
  <c r="Y352" i="5"/>
  <c r="AG352" i="5" s="1"/>
  <c r="AA448" i="5"/>
  <c r="Y448" i="5"/>
  <c r="AG448" i="5" s="1"/>
  <c r="AM448" i="5" s="1"/>
  <c r="AA464" i="5"/>
  <c r="Y464" i="5"/>
  <c r="AG464" i="5" s="1"/>
  <c r="AM464" i="5" s="1"/>
  <c r="AA576" i="5"/>
  <c r="Y576" i="5"/>
  <c r="AG576" i="5" s="1"/>
  <c r="AM576" i="5" s="1"/>
  <c r="AA608" i="5"/>
  <c r="AH608" i="5" s="1"/>
  <c r="AK608" i="5" s="1"/>
  <c r="Y608" i="5"/>
  <c r="AG608" i="5" s="1"/>
  <c r="AM608" i="5" s="1"/>
  <c r="AA414" i="5"/>
  <c r="Y624" i="5"/>
  <c r="AG624" i="5" s="1"/>
  <c r="Y81" i="5"/>
  <c r="AG81" i="5" s="1"/>
  <c r="AM81" i="5" s="1"/>
  <c r="Y750" i="5"/>
  <c r="AG750" i="5" s="1"/>
  <c r="AM750" i="5" s="1"/>
  <c r="AA68" i="5"/>
  <c r="Y68" i="5"/>
  <c r="AG68" i="5" s="1"/>
  <c r="AA84" i="5"/>
  <c r="Y84" i="5"/>
  <c r="AG84" i="5" s="1"/>
  <c r="Y193" i="5"/>
  <c r="AG193" i="5" s="1"/>
  <c r="Y158" i="5"/>
  <c r="AG158" i="5" s="1"/>
  <c r="AM158" i="5" s="1"/>
  <c r="AA71" i="5"/>
  <c r="AI71" i="5" s="1"/>
  <c r="AL71" i="5" s="1"/>
  <c r="Y71" i="5"/>
  <c r="AG71" i="5" s="1"/>
  <c r="AM71" i="5" s="1"/>
  <c r="AA87" i="5"/>
  <c r="Y87" i="5"/>
  <c r="AG87" i="5" s="1"/>
  <c r="AM87" i="5" s="1"/>
  <c r="AA151" i="5"/>
  <c r="Y151" i="5"/>
  <c r="AG151" i="5" s="1"/>
  <c r="AM151" i="5" s="1"/>
  <c r="AA263" i="5"/>
  <c r="AH263" i="5" s="1"/>
  <c r="AK263" i="5" s="1"/>
  <c r="Y263" i="5"/>
  <c r="AG263" i="5" s="1"/>
  <c r="AA375" i="5"/>
  <c r="Y375" i="5"/>
  <c r="AG375" i="5" s="1"/>
  <c r="AA391" i="5"/>
  <c r="AI391" i="5" s="1"/>
  <c r="AL391" i="5" s="1"/>
  <c r="Y391" i="5"/>
  <c r="AG391" i="5" s="1"/>
  <c r="AM391" i="5" s="1"/>
  <c r="AA503" i="5"/>
  <c r="Y503" i="5"/>
  <c r="AG503" i="5" s="1"/>
  <c r="AA519" i="5"/>
  <c r="AI519" i="5" s="1"/>
  <c r="AL519" i="5" s="1"/>
  <c r="Y519" i="5"/>
  <c r="AG519" i="5" s="1"/>
  <c r="AA24" i="5"/>
  <c r="AI24" i="5" s="1"/>
  <c r="AL24" i="5" s="1"/>
  <c r="Y24" i="5"/>
  <c r="AG24" i="5" s="1"/>
  <c r="AM24" i="5" s="1"/>
  <c r="AA56" i="5"/>
  <c r="Y56" i="5"/>
  <c r="AG56" i="5" s="1"/>
  <c r="AM56" i="5" s="1"/>
  <c r="AA72" i="5"/>
  <c r="Y72" i="5"/>
  <c r="AG72" i="5" s="1"/>
  <c r="AA104" i="5"/>
  <c r="Y104" i="5"/>
  <c r="AA136" i="5"/>
  <c r="Y136" i="5"/>
  <c r="AG136" i="5" s="1"/>
  <c r="AA152" i="5"/>
  <c r="AI152" i="5" s="1"/>
  <c r="AL152" i="5" s="1"/>
  <c r="Y152" i="5"/>
  <c r="AG152" i="5" s="1"/>
  <c r="AA184" i="5"/>
  <c r="AI184" i="5" s="1"/>
  <c r="AL184" i="5" s="1"/>
  <c r="Y184" i="5"/>
  <c r="AG184" i="5" s="1"/>
  <c r="AA200" i="5"/>
  <c r="AI200" i="5" s="1"/>
  <c r="AL200" i="5" s="1"/>
  <c r="Y200" i="5"/>
  <c r="AG200" i="5" s="1"/>
  <c r="AA232" i="5"/>
  <c r="Y232" i="5"/>
  <c r="AG232" i="5" s="1"/>
  <c r="AM232" i="5" s="1"/>
  <c r="AA248" i="5"/>
  <c r="Y248" i="5"/>
  <c r="AG248" i="5" s="1"/>
  <c r="AM248" i="5" s="1"/>
  <c r="AA264" i="5"/>
  <c r="Y264" i="5"/>
  <c r="AG264" i="5" s="1"/>
  <c r="AM264" i="5" s="1"/>
  <c r="AA296" i="5"/>
  <c r="Y296" i="5"/>
  <c r="AG296" i="5" s="1"/>
  <c r="AA312" i="5"/>
  <c r="AH312" i="5" s="1"/>
  <c r="AK312" i="5" s="1"/>
  <c r="Y312" i="5"/>
  <c r="AG312" i="5" s="1"/>
  <c r="AA328" i="5"/>
  <c r="AH328" i="5" s="1"/>
  <c r="AK328" i="5" s="1"/>
  <c r="Y328" i="5"/>
  <c r="AG328" i="5" s="1"/>
  <c r="AA344" i="5"/>
  <c r="Y344" i="5"/>
  <c r="AG344" i="5" s="1"/>
  <c r="AA376" i="5"/>
  <c r="Y376" i="5"/>
  <c r="AG376" i="5" s="1"/>
  <c r="AM376" i="5" s="1"/>
  <c r="AA392" i="5"/>
  <c r="Y392" i="5"/>
  <c r="AG392" i="5" s="1"/>
  <c r="AM392" i="5" s="1"/>
  <c r="AA408" i="5"/>
  <c r="Y408" i="5"/>
  <c r="AG408" i="5" s="1"/>
  <c r="AM408" i="5" s="1"/>
  <c r="AA424" i="5"/>
  <c r="Y424" i="5"/>
  <c r="AG424" i="5" s="1"/>
  <c r="AM424" i="5" s="1"/>
  <c r="AA440" i="5"/>
  <c r="Y440" i="5"/>
  <c r="AA456" i="5"/>
  <c r="AH456" i="5" s="1"/>
  <c r="AK456" i="5" s="1"/>
  <c r="Y456" i="5"/>
  <c r="AG456" i="5" s="1"/>
  <c r="AA472" i="5"/>
  <c r="Y472" i="5"/>
  <c r="AG472" i="5" s="1"/>
  <c r="AA488" i="5"/>
  <c r="Y488" i="5"/>
  <c r="AG488" i="5" s="1"/>
  <c r="AA504" i="5"/>
  <c r="Y504" i="5"/>
  <c r="AG504" i="5" s="1"/>
  <c r="AA520" i="5"/>
  <c r="Y520" i="5"/>
  <c r="AG520" i="5" s="1"/>
  <c r="AM520" i="5" s="1"/>
  <c r="AA552" i="5"/>
  <c r="Y552" i="5"/>
  <c r="AG552" i="5" s="1"/>
  <c r="AM552" i="5" s="1"/>
  <c r="AA568" i="5"/>
  <c r="Y568" i="5"/>
  <c r="AG568" i="5" s="1"/>
  <c r="AM568" i="5" s="1"/>
  <c r="AA584" i="5"/>
  <c r="Y584" i="5"/>
  <c r="AG584" i="5" s="1"/>
  <c r="AA600" i="5"/>
  <c r="AI600" i="5" s="1"/>
  <c r="AL600" i="5" s="1"/>
  <c r="Y600" i="5"/>
  <c r="AG600" i="5" s="1"/>
  <c r="AA616" i="5"/>
  <c r="AI616" i="5" s="1"/>
  <c r="AL616" i="5" s="1"/>
  <c r="Y616" i="5"/>
  <c r="AG616" i="5" s="1"/>
  <c r="AA632" i="5"/>
  <c r="Y632" i="5"/>
  <c r="AG632" i="5" s="1"/>
  <c r="AA648" i="5"/>
  <c r="Y648" i="5"/>
  <c r="AG648" i="5" s="1"/>
  <c r="AA664" i="5"/>
  <c r="AI664" i="5" s="1"/>
  <c r="AL664" i="5" s="1"/>
  <c r="Y664" i="5"/>
  <c r="AG664" i="5" s="1"/>
  <c r="AA680" i="5"/>
  <c r="Y680" i="5"/>
  <c r="AG680" i="5" s="1"/>
  <c r="AM680" i="5" s="1"/>
  <c r="AA696" i="5"/>
  <c r="AI696" i="5" s="1"/>
  <c r="AL696" i="5" s="1"/>
  <c r="Y696" i="5"/>
  <c r="AG696" i="5" s="1"/>
  <c r="AM696" i="5" s="1"/>
  <c r="AA712" i="5"/>
  <c r="Y712" i="5"/>
  <c r="AG712" i="5" s="1"/>
  <c r="AM712" i="5" s="1"/>
  <c r="AA728" i="5"/>
  <c r="Y728" i="5"/>
  <c r="AG728" i="5" s="1"/>
  <c r="AM728" i="5" s="1"/>
  <c r="AA744" i="5"/>
  <c r="Y744" i="5"/>
  <c r="AG744" i="5" s="1"/>
  <c r="AM744" i="5" s="1"/>
  <c r="AA760" i="5"/>
  <c r="AH760" i="5" s="1"/>
  <c r="AK760" i="5" s="1"/>
  <c r="Y760" i="5"/>
  <c r="AG760" i="5" s="1"/>
  <c r="AM760" i="5" s="1"/>
  <c r="Y768" i="5"/>
  <c r="AG768" i="5" s="1"/>
  <c r="AM768" i="5" s="1"/>
  <c r="Y567" i="5"/>
  <c r="AG567" i="5" s="1"/>
  <c r="AM567" i="5" s="1"/>
  <c r="Y544" i="5"/>
  <c r="AG544" i="5" s="1"/>
  <c r="AM544" i="5" s="1"/>
  <c r="Y183" i="5"/>
  <c r="AG183" i="5" s="1"/>
  <c r="AM183" i="5" s="1"/>
  <c r="Y17" i="5"/>
  <c r="AG17" i="5" s="1"/>
  <c r="AM17" i="5" s="1"/>
  <c r="AA89" i="5"/>
  <c r="Y89" i="5"/>
  <c r="AG89" i="5" s="1"/>
  <c r="AM89" i="5" s="1"/>
  <c r="AA169" i="5"/>
  <c r="Y169" i="5"/>
  <c r="AG169" i="5" s="1"/>
  <c r="AA185" i="5"/>
  <c r="AI185" i="5" s="1"/>
  <c r="AL185" i="5" s="1"/>
  <c r="Y185" i="5"/>
  <c r="AG185" i="5" s="1"/>
  <c r="AA281" i="5"/>
  <c r="AH281" i="5" s="1"/>
  <c r="AK281" i="5" s="1"/>
  <c r="Y281" i="5"/>
  <c r="AG281" i="5" s="1"/>
  <c r="AM281" i="5" s="1"/>
  <c r="AA10" i="5"/>
  <c r="AH10" i="5" s="1"/>
  <c r="AK10" i="5" s="1"/>
  <c r="Y10" i="5"/>
  <c r="AG10" i="5" s="1"/>
  <c r="AA90" i="5"/>
  <c r="Y90" i="5"/>
  <c r="AG90" i="5" s="1"/>
  <c r="AM90" i="5" s="1"/>
  <c r="AA106" i="5"/>
  <c r="Y106" i="5"/>
  <c r="AG106" i="5" s="1"/>
  <c r="AM106" i="5" s="1"/>
  <c r="AA170" i="5"/>
  <c r="Y170" i="5"/>
  <c r="AG170" i="5" s="1"/>
  <c r="AM170" i="5" s="1"/>
  <c r="AA186" i="5"/>
  <c r="AI186" i="5" s="1"/>
  <c r="AL186" i="5" s="1"/>
  <c r="Y186" i="5"/>
  <c r="AG186" i="5" s="1"/>
  <c r="AM186" i="5" s="1"/>
  <c r="AA266" i="5"/>
  <c r="Y266" i="5"/>
  <c r="AG266" i="5" s="1"/>
  <c r="AA282" i="5"/>
  <c r="AI282" i="5" s="1"/>
  <c r="AL282" i="5" s="1"/>
  <c r="Y282" i="5"/>
  <c r="AG282" i="5" s="1"/>
  <c r="AA298" i="5"/>
  <c r="AI298" i="5" s="1"/>
  <c r="AL298" i="5" s="1"/>
  <c r="Y298" i="5"/>
  <c r="AG298" i="5" s="1"/>
  <c r="AA394" i="5"/>
  <c r="Y394" i="5"/>
  <c r="AG394" i="5" s="1"/>
  <c r="AA410" i="5"/>
  <c r="AH410" i="5" s="1"/>
  <c r="AK410" i="5" s="1"/>
  <c r="Y410" i="5"/>
  <c r="AG410" i="5" s="1"/>
  <c r="AM410" i="5" s="1"/>
  <c r="AA426" i="5"/>
  <c r="Y426" i="5"/>
  <c r="AG426" i="5" s="1"/>
  <c r="AM426" i="5" s="1"/>
  <c r="AA522" i="5"/>
  <c r="AH522" i="5" s="1"/>
  <c r="AK522" i="5" s="1"/>
  <c r="Y522" i="5"/>
  <c r="AG522" i="5" s="1"/>
  <c r="AM522" i="5" s="1"/>
  <c r="AA538" i="5"/>
  <c r="AI538" i="5" s="1"/>
  <c r="AL538" i="5" s="1"/>
  <c r="Y538" i="5"/>
  <c r="AG538" i="5" s="1"/>
  <c r="AM538" i="5" s="1"/>
  <c r="AA554" i="5"/>
  <c r="Y554" i="5"/>
  <c r="AG554" i="5" s="1"/>
  <c r="AA650" i="5"/>
  <c r="Y650" i="5"/>
  <c r="AG650" i="5" s="1"/>
  <c r="AM650" i="5" s="1"/>
  <c r="AA666" i="5"/>
  <c r="Y666" i="5"/>
  <c r="AG666" i="5" s="1"/>
  <c r="AM666" i="5" s="1"/>
  <c r="AA682" i="5"/>
  <c r="Y682" i="5"/>
  <c r="AG682" i="5" s="1"/>
  <c r="AM682" i="5" s="1"/>
  <c r="Y766" i="5"/>
  <c r="AG766" i="5" s="1"/>
  <c r="Y615" i="5"/>
  <c r="AG615" i="5" s="1"/>
  <c r="AM615" i="5" s="1"/>
  <c r="Y542" i="5"/>
  <c r="AG542" i="5" s="1"/>
  <c r="Y512" i="5"/>
  <c r="AG512" i="5" s="1"/>
  <c r="Y489" i="5"/>
  <c r="AG489" i="5" s="1"/>
  <c r="AM489" i="5" s="1"/>
  <c r="Y362" i="5"/>
  <c r="AG362" i="5" s="1"/>
  <c r="AM362" i="5" s="1"/>
  <c r="Y311" i="5"/>
  <c r="AG311" i="5" s="1"/>
  <c r="AM311" i="5" s="1"/>
  <c r="Y288" i="5"/>
  <c r="AG288" i="5" s="1"/>
  <c r="AM288" i="5" s="1"/>
  <c r="Y154" i="5"/>
  <c r="AG154" i="5" s="1"/>
  <c r="Y97" i="5"/>
  <c r="AG97" i="5" s="1"/>
  <c r="AM97" i="5" s="1"/>
  <c r="Y64" i="5"/>
  <c r="AG64" i="5" s="1"/>
  <c r="Y41" i="5"/>
  <c r="AG41" i="5" s="1"/>
  <c r="AA11" i="5"/>
  <c r="Y11" i="5"/>
  <c r="AG11" i="5" s="1"/>
  <c r="AM11" i="5" s="1"/>
  <c r="AA27" i="5"/>
  <c r="Y27" i="5"/>
  <c r="AG27" i="5" s="1"/>
  <c r="AA107" i="5"/>
  <c r="Y107" i="5"/>
  <c r="AG107" i="5" s="1"/>
  <c r="AM107" i="5" s="1"/>
  <c r="AA171" i="5"/>
  <c r="Y171" i="5"/>
  <c r="AG171" i="5" s="1"/>
  <c r="AM171" i="5" s="1"/>
  <c r="AA187" i="5"/>
  <c r="Y187" i="5"/>
  <c r="AG187" i="5" s="1"/>
  <c r="AM187" i="5" s="1"/>
  <c r="AA267" i="5"/>
  <c r="Y267" i="5"/>
  <c r="AG267" i="5" s="1"/>
  <c r="AA283" i="5"/>
  <c r="Y283" i="5"/>
  <c r="AG283" i="5" s="1"/>
  <c r="AA299" i="5"/>
  <c r="Y299" i="5"/>
  <c r="AG299" i="5" s="1"/>
  <c r="AM299" i="5" s="1"/>
  <c r="AA395" i="5"/>
  <c r="Y395" i="5"/>
  <c r="AG395" i="5" s="1"/>
  <c r="AA411" i="5"/>
  <c r="Y411" i="5"/>
  <c r="AG411" i="5" s="1"/>
  <c r="AM411" i="5" s="1"/>
  <c r="AA427" i="5"/>
  <c r="Y427" i="5"/>
  <c r="AG427" i="5" s="1"/>
  <c r="AA523" i="5"/>
  <c r="Y523" i="5"/>
  <c r="AA539" i="5"/>
  <c r="Y539" i="5"/>
  <c r="AG539" i="5" s="1"/>
  <c r="AM539" i="5" s="1"/>
  <c r="AA555" i="5"/>
  <c r="Y555" i="5"/>
  <c r="AG555" i="5" s="1"/>
  <c r="AM555" i="5" s="1"/>
  <c r="AA651" i="5"/>
  <c r="Y651" i="5"/>
  <c r="AG651" i="5" s="1"/>
  <c r="AA667" i="5"/>
  <c r="Y667" i="5"/>
  <c r="AG667" i="5" s="1"/>
  <c r="AM667" i="5" s="1"/>
  <c r="AA683" i="5"/>
  <c r="Y683" i="5"/>
  <c r="AG683" i="5" s="1"/>
  <c r="Y714" i="5"/>
  <c r="AG714" i="5" s="1"/>
  <c r="AM714" i="5" s="1"/>
  <c r="Y638" i="5"/>
  <c r="Y587" i="5"/>
  <c r="AG587" i="5" s="1"/>
  <c r="AM587" i="5" s="1"/>
  <c r="Y487" i="5"/>
  <c r="AG487" i="5" s="1"/>
  <c r="Y384" i="5"/>
  <c r="AG384" i="5" s="1"/>
  <c r="AM384" i="5" s="1"/>
  <c r="Y361" i="5"/>
  <c r="AG361" i="5" s="1"/>
  <c r="AM361" i="5" s="1"/>
  <c r="Y257" i="5"/>
  <c r="AG257" i="5" s="1"/>
  <c r="AM257" i="5" s="1"/>
  <c r="Y234" i="5"/>
  <c r="AG234" i="5" s="1"/>
  <c r="AM234" i="5" s="1"/>
  <c r="Y153" i="5"/>
  <c r="AG153" i="5" s="1"/>
  <c r="AM153" i="5" s="1"/>
  <c r="Y122" i="5"/>
  <c r="AG122" i="5" s="1"/>
  <c r="Y96" i="5"/>
  <c r="AG96" i="5" s="1"/>
  <c r="AM96" i="5" s="1"/>
  <c r="Y14" i="5"/>
  <c r="Y713" i="5"/>
  <c r="AG713" i="5" s="1"/>
  <c r="AM713" i="5" s="1"/>
  <c r="Y586" i="5"/>
  <c r="AG586" i="5" s="1"/>
  <c r="Y510" i="5"/>
  <c r="AG510" i="5" s="1"/>
  <c r="Y459" i="5"/>
  <c r="AG459" i="5" s="1"/>
  <c r="AM459" i="5" s="1"/>
  <c r="Y359" i="5"/>
  <c r="AG359" i="5" s="1"/>
  <c r="AM359" i="5" s="1"/>
  <c r="Y286" i="5"/>
  <c r="AG286" i="5" s="1"/>
  <c r="AM286" i="5" s="1"/>
  <c r="Y256" i="5"/>
  <c r="AG256" i="5" s="1"/>
  <c r="AM256" i="5" s="1"/>
  <c r="Y233" i="5"/>
  <c r="AG233" i="5" s="1"/>
  <c r="AM233" i="5" s="1"/>
  <c r="Y121" i="5"/>
  <c r="AG121" i="5" s="1"/>
  <c r="AM121" i="5" s="1"/>
  <c r="Y62" i="5"/>
  <c r="AG62" i="5" s="1"/>
  <c r="AI353" i="5"/>
  <c r="AL353" i="5" s="1"/>
  <c r="AI465" i="5"/>
  <c r="AL465" i="5" s="1"/>
  <c r="AI593" i="5"/>
  <c r="AL593" i="5" s="1"/>
  <c r="Y705" i="5"/>
  <c r="AG705" i="5" s="1"/>
  <c r="AM705" i="5" s="1"/>
  <c r="Y577" i="5"/>
  <c r="AG577" i="5" s="1"/>
  <c r="Y449" i="5"/>
  <c r="AG449" i="5" s="1"/>
  <c r="Y321" i="5"/>
  <c r="AG321" i="5" s="1"/>
  <c r="Y739" i="5"/>
  <c r="AG739" i="5" s="1"/>
  <c r="Y721" i="5"/>
  <c r="AG721" i="5" s="1"/>
  <c r="AM721" i="5" s="1"/>
  <c r="Y611" i="5"/>
  <c r="AG611" i="5" s="1"/>
  <c r="Y593" i="5"/>
  <c r="AG593" i="5" s="1"/>
  <c r="AM593" i="5" s="1"/>
  <c r="Y483" i="5"/>
  <c r="AG483" i="5" s="1"/>
  <c r="AM483" i="5" s="1"/>
  <c r="Y465" i="5"/>
  <c r="AG465" i="5" s="1"/>
  <c r="AM465" i="5" s="1"/>
  <c r="Y355" i="5"/>
  <c r="AG355" i="5" s="1"/>
  <c r="Y337" i="5"/>
  <c r="AG337" i="5" s="1"/>
  <c r="Y226" i="5"/>
  <c r="AG226" i="5" s="1"/>
  <c r="AM226" i="5" s="1"/>
  <c r="Y147" i="5"/>
  <c r="AG147" i="5" s="1"/>
  <c r="AM147" i="5" s="1"/>
  <c r="AI369" i="5"/>
  <c r="AL369" i="5" s="1"/>
  <c r="AI449" i="5"/>
  <c r="AL449" i="5" s="1"/>
  <c r="AI577" i="5"/>
  <c r="AL577" i="5" s="1"/>
  <c r="Y722" i="5"/>
  <c r="AG722" i="5" s="1"/>
  <c r="Y594" i="5"/>
  <c r="AG594" i="5" s="1"/>
  <c r="Y466" i="5"/>
  <c r="AG466" i="5" s="1"/>
  <c r="Y338" i="5"/>
  <c r="AG338" i="5" s="1"/>
  <c r="AM338" i="5" s="1"/>
  <c r="Y50" i="5"/>
  <c r="AG50" i="5" s="1"/>
  <c r="Y756" i="5"/>
  <c r="Y738" i="5"/>
  <c r="AG738" i="5" s="1"/>
  <c r="Y628" i="5"/>
  <c r="AG628" i="5" s="1"/>
  <c r="Y610" i="5"/>
  <c r="AG610" i="5" s="1"/>
  <c r="AM610" i="5" s="1"/>
  <c r="Y500" i="5"/>
  <c r="AG500" i="5" s="1"/>
  <c r="AM500" i="5" s="1"/>
  <c r="Y372" i="5"/>
  <c r="AG372" i="5" s="1"/>
  <c r="AM372" i="5" s="1"/>
  <c r="Y354" i="5"/>
  <c r="Y244" i="5"/>
  <c r="AG244" i="5" s="1"/>
  <c r="AM244" i="5" s="1"/>
  <c r="Y146" i="5"/>
  <c r="AG146" i="5" s="1"/>
  <c r="AM146" i="5" s="1"/>
  <c r="Y67" i="5"/>
  <c r="AG67" i="5" s="1"/>
  <c r="AM67" i="5" s="1"/>
  <c r="AA5" i="5"/>
  <c r="AI5" i="5" s="1"/>
  <c r="AL5" i="5" s="1"/>
  <c r="Y5" i="5"/>
  <c r="AG5" i="5" s="1"/>
  <c r="AA21" i="5"/>
  <c r="AI21" i="5" s="1"/>
  <c r="AL21" i="5" s="1"/>
  <c r="Y21" i="5"/>
  <c r="AG21" i="5" s="1"/>
  <c r="AA37" i="5"/>
  <c r="Y37" i="5"/>
  <c r="AG37" i="5" s="1"/>
  <c r="AA53" i="5"/>
  <c r="Y53" i="5"/>
  <c r="AG53" i="5" s="1"/>
  <c r="AM53" i="5" s="1"/>
  <c r="AA69" i="5"/>
  <c r="AI69" i="5" s="1"/>
  <c r="AL69" i="5" s="1"/>
  <c r="Y69" i="5"/>
  <c r="AG69" i="5" s="1"/>
  <c r="AA85" i="5"/>
  <c r="AH85" i="5" s="1"/>
  <c r="AK85" i="5" s="1"/>
  <c r="Y85" i="5"/>
  <c r="AG85" i="5" s="1"/>
  <c r="AM85" i="5" s="1"/>
  <c r="AA101" i="5"/>
  <c r="AI101" i="5" s="1"/>
  <c r="AL101" i="5" s="1"/>
  <c r="Y101" i="5"/>
  <c r="AG101" i="5" s="1"/>
  <c r="AM101" i="5" s="1"/>
  <c r="AA117" i="5"/>
  <c r="Y117" i="5"/>
  <c r="AG117" i="5" s="1"/>
  <c r="AM117" i="5" s="1"/>
  <c r="AA133" i="5"/>
  <c r="AI133" i="5" s="1"/>
  <c r="AL133" i="5" s="1"/>
  <c r="Y133" i="5"/>
  <c r="AG133" i="5" s="1"/>
  <c r="AA149" i="5"/>
  <c r="AI149" i="5" s="1"/>
  <c r="AL149" i="5" s="1"/>
  <c r="Y149" i="5"/>
  <c r="AG149" i="5" s="1"/>
  <c r="AM149" i="5" s="1"/>
  <c r="AA165" i="5"/>
  <c r="AI165" i="5" s="1"/>
  <c r="AL165" i="5" s="1"/>
  <c r="Y165" i="5"/>
  <c r="AG165" i="5" s="1"/>
  <c r="AA181" i="5"/>
  <c r="Y181" i="5"/>
  <c r="AG181" i="5" s="1"/>
  <c r="AM181" i="5" s="1"/>
  <c r="AA197" i="5"/>
  <c r="AI197" i="5" s="1"/>
  <c r="AL197" i="5" s="1"/>
  <c r="Y197" i="5"/>
  <c r="AG197" i="5" s="1"/>
  <c r="AM197" i="5" s="1"/>
  <c r="AA213" i="5"/>
  <c r="AI213" i="5" s="1"/>
  <c r="AL213" i="5" s="1"/>
  <c r="Y213" i="5"/>
  <c r="AG213" i="5" s="1"/>
  <c r="AM213" i="5" s="1"/>
  <c r="AA229" i="5"/>
  <c r="AH229" i="5" s="1"/>
  <c r="AK229" i="5" s="1"/>
  <c r="Y229" i="5"/>
  <c r="AG229" i="5" s="1"/>
  <c r="AM229" i="5" s="1"/>
  <c r="AA245" i="5"/>
  <c r="AI245" i="5" s="1"/>
  <c r="AL245" i="5" s="1"/>
  <c r="Y245" i="5"/>
  <c r="AG245" i="5" s="1"/>
  <c r="AM245" i="5" s="1"/>
  <c r="AA261" i="5"/>
  <c r="Y261" i="5"/>
  <c r="AG261" i="5" s="1"/>
  <c r="AA277" i="5"/>
  <c r="Y277" i="5"/>
  <c r="AG277" i="5" s="1"/>
  <c r="AA293" i="5"/>
  <c r="AH293" i="5" s="1"/>
  <c r="AK293" i="5" s="1"/>
  <c r="Y293" i="5"/>
  <c r="AG293" i="5" s="1"/>
  <c r="AA309" i="5"/>
  <c r="AI309" i="5" s="1"/>
  <c r="AL309" i="5" s="1"/>
  <c r="Y309" i="5"/>
  <c r="AG309" i="5" s="1"/>
  <c r="AA325" i="5"/>
  <c r="AI325" i="5" s="1"/>
  <c r="AL325" i="5" s="1"/>
  <c r="Y325" i="5"/>
  <c r="AG325" i="5" s="1"/>
  <c r="AA341" i="5"/>
  <c r="Y341" i="5"/>
  <c r="AG341" i="5" s="1"/>
  <c r="AM341" i="5" s="1"/>
  <c r="AA357" i="5"/>
  <c r="AI357" i="5" s="1"/>
  <c r="AL357" i="5" s="1"/>
  <c r="Y357" i="5"/>
  <c r="AG357" i="5" s="1"/>
  <c r="AM357" i="5" s="1"/>
  <c r="AA373" i="5"/>
  <c r="AI373" i="5" s="1"/>
  <c r="AL373" i="5" s="1"/>
  <c r="Y373" i="5"/>
  <c r="AG373" i="5" s="1"/>
  <c r="AM373" i="5" s="1"/>
  <c r="AA389" i="5"/>
  <c r="AI389" i="5" s="1"/>
  <c r="AL389" i="5" s="1"/>
  <c r="Y389" i="5"/>
  <c r="AG389" i="5" s="1"/>
  <c r="AM389" i="5" s="1"/>
  <c r="AA405" i="5"/>
  <c r="AH405" i="5" s="1"/>
  <c r="AK405" i="5" s="1"/>
  <c r="Y405" i="5"/>
  <c r="AG405" i="5" s="1"/>
  <c r="AA421" i="5"/>
  <c r="AH421" i="5" s="1"/>
  <c r="AK421" i="5" s="1"/>
  <c r="Y421" i="5"/>
  <c r="AG421" i="5" s="1"/>
  <c r="AA437" i="5"/>
  <c r="AH437" i="5" s="1"/>
  <c r="AK437" i="5" s="1"/>
  <c r="Y437" i="5"/>
  <c r="AG437" i="5" s="1"/>
  <c r="AA453" i="5"/>
  <c r="Y453" i="5"/>
  <c r="AG453" i="5" s="1"/>
  <c r="AM453" i="5" s="1"/>
  <c r="AA469" i="5"/>
  <c r="AI469" i="5" s="1"/>
  <c r="AL469" i="5" s="1"/>
  <c r="Y469" i="5"/>
  <c r="AG469" i="5" s="1"/>
  <c r="AM469" i="5" s="1"/>
  <c r="AA485" i="5"/>
  <c r="Y485" i="5"/>
  <c r="AG485" i="5" s="1"/>
  <c r="AM485" i="5" s="1"/>
  <c r="AA501" i="5"/>
  <c r="Y501" i="5"/>
  <c r="AG501" i="5" s="1"/>
  <c r="AM501" i="5" s="1"/>
  <c r="AA517" i="5"/>
  <c r="AI517" i="5" s="1"/>
  <c r="AL517" i="5" s="1"/>
  <c r="Y517" i="5"/>
  <c r="AG517" i="5" s="1"/>
  <c r="AA533" i="5"/>
  <c r="Y533" i="5"/>
  <c r="AG533" i="5" s="1"/>
  <c r="AM533" i="5" s="1"/>
  <c r="AA549" i="5"/>
  <c r="Y549" i="5"/>
  <c r="AG549" i="5" s="1"/>
  <c r="AM549" i="5" s="1"/>
  <c r="AA565" i="5"/>
  <c r="AI565" i="5" s="1"/>
  <c r="AL565" i="5" s="1"/>
  <c r="Y565" i="5"/>
  <c r="AG565" i="5" s="1"/>
  <c r="AM565" i="5" s="1"/>
  <c r="AA581" i="5"/>
  <c r="AH581" i="5" s="1"/>
  <c r="AK581" i="5" s="1"/>
  <c r="Y581" i="5"/>
  <c r="AG581" i="5" s="1"/>
  <c r="AM581" i="5" s="1"/>
  <c r="AA597" i="5"/>
  <c r="AI597" i="5" s="1"/>
  <c r="AL597" i="5" s="1"/>
  <c r="Y597" i="5"/>
  <c r="AG597" i="5" s="1"/>
  <c r="AM597" i="5" s="1"/>
  <c r="AA613" i="5"/>
  <c r="AI613" i="5" s="1"/>
  <c r="AL613" i="5" s="1"/>
  <c r="Y613" i="5"/>
  <c r="AG613" i="5" s="1"/>
  <c r="AM613" i="5" s="1"/>
  <c r="AA629" i="5"/>
  <c r="AI629" i="5" s="1"/>
  <c r="AL629" i="5" s="1"/>
  <c r="Y629" i="5"/>
  <c r="AG629" i="5" s="1"/>
  <c r="AM629" i="5" s="1"/>
  <c r="AA645" i="5"/>
  <c r="AI645" i="5" s="1"/>
  <c r="AL645" i="5" s="1"/>
  <c r="Y645" i="5"/>
  <c r="AG645" i="5" s="1"/>
  <c r="AA661" i="5"/>
  <c r="AH661" i="5" s="1"/>
  <c r="AK661" i="5" s="1"/>
  <c r="Y661" i="5"/>
  <c r="AG661" i="5" s="1"/>
  <c r="AA677" i="5"/>
  <c r="Y677" i="5"/>
  <c r="AG677" i="5" s="1"/>
  <c r="AA693" i="5"/>
  <c r="AI693" i="5" s="1"/>
  <c r="AL693" i="5" s="1"/>
  <c r="Y693" i="5"/>
  <c r="AG693" i="5" s="1"/>
  <c r="AA709" i="5"/>
  <c r="Y709" i="5"/>
  <c r="AG709" i="5" s="1"/>
  <c r="AA725" i="5"/>
  <c r="Y725" i="5"/>
  <c r="AG725" i="5" s="1"/>
  <c r="AA741" i="5"/>
  <c r="Y741" i="5"/>
  <c r="AG741" i="5" s="1"/>
  <c r="AM741" i="5" s="1"/>
  <c r="AA757" i="5"/>
  <c r="Y757" i="5"/>
  <c r="AG757" i="5" s="1"/>
  <c r="AM757" i="5" s="1"/>
  <c r="AA499" i="5"/>
  <c r="Y755" i="5"/>
  <c r="AG755" i="5" s="1"/>
  <c r="Y737" i="5"/>
  <c r="AG737" i="5" s="1"/>
  <c r="AM737" i="5" s="1"/>
  <c r="Y627" i="5"/>
  <c r="AG627" i="5" s="1"/>
  <c r="AM627" i="5" s="1"/>
  <c r="Y609" i="5"/>
  <c r="AG609" i="5" s="1"/>
  <c r="Y481" i="5"/>
  <c r="AG481" i="5" s="1"/>
  <c r="Y371" i="5"/>
  <c r="AG371" i="5" s="1"/>
  <c r="AM371" i="5" s="1"/>
  <c r="Y353" i="5"/>
  <c r="AG353" i="5" s="1"/>
  <c r="Y243" i="5"/>
  <c r="AG243" i="5" s="1"/>
  <c r="AM243" i="5" s="1"/>
  <c r="Y164" i="5"/>
  <c r="AG164" i="5" s="1"/>
  <c r="AM164" i="5" s="1"/>
  <c r="Y66" i="5"/>
  <c r="AG66" i="5" s="1"/>
  <c r="AM66" i="5" s="1"/>
  <c r="AA6" i="5"/>
  <c r="Y6" i="5"/>
  <c r="AG6" i="5" s="1"/>
  <c r="AM6" i="5" s="1"/>
  <c r="AA22" i="5"/>
  <c r="Y22" i="5"/>
  <c r="AG22" i="5" s="1"/>
  <c r="AM22" i="5" s="1"/>
  <c r="AA38" i="5"/>
  <c r="Y38" i="5"/>
  <c r="AA54" i="5"/>
  <c r="AI54" i="5" s="1"/>
  <c r="AL54" i="5" s="1"/>
  <c r="Y54" i="5"/>
  <c r="AG54" i="5" s="1"/>
  <c r="AA70" i="5"/>
  <c r="AI70" i="5" s="1"/>
  <c r="AL70" i="5" s="1"/>
  <c r="Y70" i="5"/>
  <c r="AG70" i="5" s="1"/>
  <c r="AA86" i="5"/>
  <c r="AH86" i="5" s="1"/>
  <c r="AK86" i="5" s="1"/>
  <c r="Y86" i="5"/>
  <c r="AG86" i="5" s="1"/>
  <c r="AM86" i="5" s="1"/>
  <c r="AA102" i="5"/>
  <c r="AI102" i="5" s="1"/>
  <c r="AL102" i="5" s="1"/>
  <c r="Y102" i="5"/>
  <c r="AG102" i="5" s="1"/>
  <c r="AM102" i="5" s="1"/>
  <c r="AA118" i="5"/>
  <c r="Y118" i="5"/>
  <c r="AG118" i="5" s="1"/>
  <c r="AM118" i="5" s="1"/>
  <c r="AA134" i="5"/>
  <c r="Y134" i="5"/>
  <c r="AG134" i="5" s="1"/>
  <c r="AM134" i="5" s="1"/>
  <c r="AA150" i="5"/>
  <c r="Y150" i="5"/>
  <c r="AG150" i="5" s="1"/>
  <c r="AM150" i="5" s="1"/>
  <c r="AA166" i="5"/>
  <c r="AH166" i="5" s="1"/>
  <c r="AK166" i="5" s="1"/>
  <c r="Y166" i="5"/>
  <c r="AG166" i="5" s="1"/>
  <c r="AM166" i="5" s="1"/>
  <c r="AA182" i="5"/>
  <c r="AI182" i="5" s="1"/>
  <c r="AL182" i="5" s="1"/>
  <c r="Y182" i="5"/>
  <c r="AG182" i="5" s="1"/>
  <c r="AA214" i="5"/>
  <c r="Y214" i="5"/>
  <c r="AG214" i="5" s="1"/>
  <c r="AA230" i="5"/>
  <c r="Y230" i="5"/>
  <c r="Y4" i="5"/>
  <c r="AG4" i="5" s="1"/>
  <c r="AM4" i="5" s="1"/>
  <c r="Y754" i="5"/>
  <c r="AG754" i="5" s="1"/>
  <c r="AM754" i="5" s="1"/>
  <c r="Y644" i="5"/>
  <c r="AG644" i="5" s="1"/>
  <c r="Y516" i="5"/>
  <c r="AG516" i="5" s="1"/>
  <c r="AM516" i="5" s="1"/>
  <c r="Y498" i="5"/>
  <c r="AG498" i="5" s="1"/>
  <c r="Y388" i="5"/>
  <c r="AG388" i="5" s="1"/>
  <c r="AM388" i="5" s="1"/>
  <c r="Y260" i="5"/>
  <c r="AG260" i="5" s="1"/>
  <c r="AM260" i="5" s="1"/>
  <c r="Y242" i="5"/>
  <c r="AG242" i="5" s="1"/>
  <c r="AM242" i="5" s="1"/>
  <c r="Y163" i="5"/>
  <c r="AG163" i="5" s="1"/>
  <c r="AM163" i="5" s="1"/>
  <c r="AI15" i="5"/>
  <c r="AL15" i="5" s="1"/>
  <c r="AI95" i="5"/>
  <c r="AL95" i="5" s="1"/>
  <c r="AH111" i="5"/>
  <c r="AK111" i="5" s="1"/>
  <c r="AI255" i="5"/>
  <c r="AL255" i="5" s="1"/>
  <c r="AI319" i="5"/>
  <c r="AL319" i="5" s="1"/>
  <c r="AI431" i="5"/>
  <c r="AL431" i="5" s="1"/>
  <c r="AI527" i="5"/>
  <c r="AL527" i="5" s="1"/>
  <c r="AI671" i="5"/>
  <c r="AL671" i="5" s="1"/>
  <c r="AH751" i="5"/>
  <c r="AK751" i="5" s="1"/>
  <c r="AH284" i="5"/>
  <c r="AK284" i="5" s="1"/>
  <c r="AI746" i="5"/>
  <c r="AL746" i="5" s="1"/>
  <c r="AI253" i="5"/>
  <c r="AL253" i="5" s="1"/>
  <c r="AI35" i="5"/>
  <c r="AL35" i="5" s="1"/>
  <c r="AI740" i="5"/>
  <c r="AL740" i="5" s="1"/>
  <c r="AI82" i="5"/>
  <c r="AL82" i="5" s="1"/>
  <c r="AI722" i="5"/>
  <c r="AL722" i="5" s="1"/>
  <c r="AI92" i="5"/>
  <c r="AL92" i="5" s="1"/>
  <c r="AH323" i="5"/>
  <c r="AK323" i="5" s="1"/>
  <c r="AH451" i="5"/>
  <c r="AK451" i="5" s="1"/>
  <c r="AI91" i="5"/>
  <c r="AL91" i="5" s="1"/>
  <c r="AI20" i="5"/>
  <c r="AL20" i="5" s="1"/>
  <c r="AI132" i="5"/>
  <c r="AL132" i="5" s="1"/>
  <c r="AI164" i="5"/>
  <c r="AL164" i="5" s="1"/>
  <c r="AI244" i="5"/>
  <c r="AL244" i="5" s="1"/>
  <c r="AI308" i="5"/>
  <c r="AL308" i="5" s="1"/>
  <c r="AI404" i="5"/>
  <c r="AL404" i="5" s="1"/>
  <c r="AI484" i="5"/>
  <c r="AL484" i="5" s="1"/>
  <c r="AI516" i="5"/>
  <c r="AL516" i="5" s="1"/>
  <c r="AI596" i="5"/>
  <c r="AL596" i="5" s="1"/>
  <c r="AI644" i="5"/>
  <c r="AL644" i="5" s="1"/>
  <c r="AI660" i="5"/>
  <c r="AL660" i="5" s="1"/>
  <c r="AI724" i="5"/>
  <c r="AL724" i="5" s="1"/>
  <c r="AI61" i="5"/>
  <c r="AL61" i="5" s="1"/>
  <c r="AH682" i="5"/>
  <c r="AK682" i="5" s="1"/>
  <c r="AI762" i="5"/>
  <c r="AL762" i="5" s="1"/>
  <c r="AI107" i="5"/>
  <c r="AL107" i="5" s="1"/>
  <c r="AI123" i="5"/>
  <c r="AL123" i="5" s="1"/>
  <c r="AI139" i="5"/>
  <c r="AL139" i="5" s="1"/>
  <c r="AI171" i="5"/>
  <c r="AL171" i="5" s="1"/>
  <c r="AI219" i="5"/>
  <c r="AL219" i="5" s="1"/>
  <c r="AI267" i="5"/>
  <c r="AL267" i="5" s="1"/>
  <c r="AI283" i="5"/>
  <c r="AL283" i="5" s="1"/>
  <c r="AI299" i="5"/>
  <c r="AL299" i="5" s="1"/>
  <c r="AI363" i="5"/>
  <c r="AL363" i="5" s="1"/>
  <c r="AI379" i="5"/>
  <c r="AL379" i="5" s="1"/>
  <c r="AI395" i="5"/>
  <c r="AL395" i="5" s="1"/>
  <c r="AI427" i="5"/>
  <c r="AL427" i="5" s="1"/>
  <c r="AI475" i="5"/>
  <c r="AL475" i="5" s="1"/>
  <c r="AH491" i="5"/>
  <c r="AK491" i="5" s="1"/>
  <c r="AI539" i="5"/>
  <c r="AL539" i="5" s="1"/>
  <c r="AI555" i="5"/>
  <c r="AL555" i="5" s="1"/>
  <c r="AI587" i="5"/>
  <c r="AL587" i="5" s="1"/>
  <c r="AI603" i="5"/>
  <c r="AL603" i="5" s="1"/>
  <c r="AI635" i="5"/>
  <c r="AL635" i="5" s="1"/>
  <c r="AI651" i="5"/>
  <c r="AL651" i="5" s="1"/>
  <c r="AI667" i="5"/>
  <c r="AL667" i="5" s="1"/>
  <c r="AI12" i="5"/>
  <c r="AL12" i="5" s="1"/>
  <c r="AH60" i="5"/>
  <c r="AK60" i="5" s="1"/>
  <c r="AI140" i="5"/>
  <c r="AL140" i="5" s="1"/>
  <c r="AI332" i="5"/>
  <c r="AL332" i="5" s="1"/>
  <c r="AI444" i="5"/>
  <c r="AL444" i="5" s="1"/>
  <c r="AI460" i="5"/>
  <c r="AL460" i="5" s="1"/>
  <c r="AI492" i="5"/>
  <c r="AL492" i="5" s="1"/>
  <c r="AI524" i="5"/>
  <c r="AL524" i="5" s="1"/>
  <c r="AI540" i="5"/>
  <c r="AL540" i="5" s="1"/>
  <c r="AI556" i="5"/>
  <c r="AL556" i="5" s="1"/>
  <c r="AI604" i="5"/>
  <c r="AL604" i="5" s="1"/>
  <c r="AI652" i="5"/>
  <c r="AL652" i="5" s="1"/>
  <c r="AI748" i="5"/>
  <c r="AL748" i="5" s="1"/>
  <c r="AI333" i="5"/>
  <c r="AL333" i="5" s="1"/>
  <c r="AH397" i="5"/>
  <c r="AK397" i="5" s="1"/>
  <c r="AH461" i="5"/>
  <c r="AK461" i="5" s="1"/>
  <c r="AI477" i="5"/>
  <c r="AL477" i="5" s="1"/>
  <c r="AH557" i="5"/>
  <c r="AK557" i="5" s="1"/>
  <c r="AI621" i="5"/>
  <c r="AL621" i="5" s="1"/>
  <c r="AI685" i="5"/>
  <c r="AL685" i="5" s="1"/>
  <c r="AI733" i="5"/>
  <c r="AL733" i="5" s="1"/>
  <c r="AI765" i="5"/>
  <c r="AL765" i="5" s="1"/>
  <c r="AH30" i="5"/>
  <c r="AK30" i="5" s="1"/>
  <c r="AI462" i="5"/>
  <c r="AL462" i="5" s="1"/>
  <c r="AI558" i="5"/>
  <c r="AL558" i="5" s="1"/>
  <c r="AI702" i="5"/>
  <c r="AL702" i="5" s="1"/>
  <c r="AI181" i="5"/>
  <c r="AL181" i="5" s="1"/>
  <c r="AH181" i="5"/>
  <c r="AK181" i="5" s="1"/>
  <c r="AI375" i="5"/>
  <c r="AL375" i="5" s="1"/>
  <c r="AH136" i="5"/>
  <c r="AK136" i="5" s="1"/>
  <c r="AI136" i="5"/>
  <c r="AL136" i="5" s="1"/>
  <c r="AI725" i="5"/>
  <c r="AL725" i="5" s="1"/>
  <c r="AI405" i="5"/>
  <c r="AL405" i="5" s="1"/>
  <c r="AH725" i="5"/>
  <c r="AK725" i="5" s="1"/>
  <c r="AH37" i="5"/>
  <c r="AK37" i="5" s="1"/>
  <c r="AH261" i="5"/>
  <c r="AK261" i="5" s="1"/>
  <c r="AI37" i="5"/>
  <c r="AL37" i="5" s="1"/>
  <c r="AI501" i="5"/>
  <c r="AL501" i="5" s="1"/>
  <c r="AI85" i="5"/>
  <c r="AL85" i="5" s="1"/>
  <c r="AH549" i="5"/>
  <c r="AK549" i="5" s="1"/>
  <c r="AI661" i="5"/>
  <c r="AL661" i="5" s="1"/>
  <c r="AH709" i="5"/>
  <c r="AK709" i="5" s="1"/>
  <c r="AH757" i="5"/>
  <c r="AK757" i="5" s="1"/>
  <c r="AH501" i="5"/>
  <c r="AK501" i="5" s="1"/>
  <c r="AI261" i="5"/>
  <c r="AL261" i="5" s="1"/>
  <c r="AI293" i="5"/>
  <c r="AL293" i="5" s="1"/>
  <c r="AH53" i="5"/>
  <c r="AK53" i="5" s="1"/>
  <c r="AI502" i="5"/>
  <c r="AL502" i="5" s="1"/>
  <c r="AH294" i="5"/>
  <c r="AK294" i="5" s="1"/>
  <c r="AI294" i="5"/>
  <c r="AL294" i="5" s="1"/>
  <c r="AH309" i="5"/>
  <c r="AK309" i="5" s="1"/>
  <c r="AI549" i="5"/>
  <c r="AL549" i="5" s="1"/>
  <c r="AH629" i="5"/>
  <c r="AK629" i="5" s="1"/>
  <c r="AH149" i="5"/>
  <c r="AK149" i="5" s="1"/>
  <c r="AI374" i="5"/>
  <c r="AL374" i="5" s="1"/>
  <c r="AH389" i="5"/>
  <c r="AK389" i="5" s="1"/>
  <c r="AI709" i="5"/>
  <c r="AL709" i="5" s="1"/>
  <c r="AI409" i="5"/>
  <c r="AL409" i="5" s="1"/>
  <c r="AI73" i="5"/>
  <c r="AL73" i="5" s="1"/>
  <c r="AH73" i="5"/>
  <c r="AK73" i="5" s="1"/>
  <c r="AH424" i="5"/>
  <c r="AK424" i="5" s="1"/>
  <c r="AH264" i="5"/>
  <c r="AK264" i="5" s="1"/>
  <c r="AI264" i="5"/>
  <c r="AL264" i="5" s="1"/>
  <c r="AI72" i="5"/>
  <c r="AL72" i="5" s="1"/>
  <c r="AH72" i="5"/>
  <c r="AK72" i="5" s="1"/>
  <c r="AI8" i="5"/>
  <c r="AL8" i="5" s="1"/>
  <c r="AH216" i="5"/>
  <c r="AK216" i="5" s="1"/>
  <c r="AH201" i="5"/>
  <c r="AK201" i="5" s="1"/>
  <c r="AI216" i="5"/>
  <c r="AL216" i="5" s="1"/>
  <c r="AH487" i="5"/>
  <c r="AK487" i="5" s="1"/>
  <c r="AH472" i="5"/>
  <c r="AK472" i="5" s="1"/>
  <c r="AH422" i="5"/>
  <c r="AK422" i="5" s="1"/>
  <c r="AI534" i="5"/>
  <c r="AL534" i="5" s="1"/>
  <c r="AI422" i="5"/>
  <c r="AL422" i="5" s="1"/>
  <c r="AH453" i="5"/>
  <c r="AK453" i="5" s="1"/>
  <c r="AI581" i="5"/>
  <c r="AL581" i="5" s="1"/>
  <c r="AI757" i="5"/>
  <c r="AL757" i="5" s="1"/>
  <c r="AI453" i="5"/>
  <c r="AL453" i="5" s="1"/>
  <c r="AH102" i="5"/>
  <c r="AK102" i="5" s="1"/>
  <c r="AH117" i="5"/>
  <c r="AK117" i="5" s="1"/>
  <c r="AH341" i="5"/>
  <c r="AK341" i="5" s="1"/>
  <c r="AI229" i="5"/>
  <c r="AL229" i="5" s="1"/>
  <c r="AH582" i="5"/>
  <c r="AK582" i="5" s="1"/>
  <c r="AH469" i="5"/>
  <c r="AK469" i="5" s="1"/>
  <c r="AH613" i="5"/>
  <c r="AK613" i="5" s="1"/>
  <c r="AI699" i="5"/>
  <c r="AL699" i="5" s="1"/>
  <c r="AH411" i="5"/>
  <c r="AK411" i="5" s="1"/>
  <c r="AI411" i="5"/>
  <c r="AL411" i="5" s="1"/>
  <c r="AH489" i="5"/>
  <c r="AK489" i="5" s="1"/>
  <c r="AI489" i="5"/>
  <c r="AL489" i="5" s="1"/>
  <c r="AH393" i="5"/>
  <c r="AK393" i="5" s="1"/>
  <c r="AI393" i="5"/>
  <c r="AL393" i="5" s="1"/>
  <c r="AI11" i="5"/>
  <c r="AL11" i="5" s="1"/>
  <c r="AI25" i="5"/>
  <c r="AL25" i="5" s="1"/>
  <c r="AH25" i="5"/>
  <c r="AK25" i="5" s="1"/>
  <c r="AI586" i="5"/>
  <c r="AL586" i="5" s="1"/>
  <c r="AH586" i="5"/>
  <c r="AK586" i="5" s="1"/>
  <c r="AI426" i="5"/>
  <c r="AL426" i="5" s="1"/>
  <c r="AI154" i="5"/>
  <c r="AL154" i="5" s="1"/>
  <c r="AI249" i="5"/>
  <c r="AL249" i="5" s="1"/>
  <c r="AH409" i="5"/>
  <c r="AK409" i="5" s="1"/>
  <c r="AH648" i="5"/>
  <c r="AK648" i="5" s="1"/>
  <c r="AI648" i="5"/>
  <c r="AL648" i="5" s="1"/>
  <c r="AH504" i="5"/>
  <c r="AK504" i="5" s="1"/>
  <c r="AI88" i="5"/>
  <c r="AL88" i="5" s="1"/>
  <c r="AI424" i="5"/>
  <c r="AL424" i="5" s="1"/>
  <c r="AH599" i="5"/>
  <c r="AK599" i="5" s="1"/>
  <c r="AI599" i="5"/>
  <c r="AL599" i="5" s="1"/>
  <c r="AI742" i="5"/>
  <c r="AL742" i="5" s="1"/>
  <c r="AH533" i="5"/>
  <c r="AK533" i="5" s="1"/>
  <c r="AI533" i="5"/>
  <c r="AL533" i="5" s="1"/>
  <c r="AI421" i="5"/>
  <c r="AL421" i="5" s="1"/>
  <c r="AH277" i="5"/>
  <c r="AK277" i="5" s="1"/>
  <c r="AI103" i="5"/>
  <c r="AL103" i="5" s="1"/>
  <c r="AH182" i="5"/>
  <c r="AK182" i="5" s="1"/>
  <c r="AH197" i="5"/>
  <c r="AK197" i="5" s="1"/>
  <c r="AI248" i="5"/>
  <c r="AL248" i="5" s="1"/>
  <c r="AI312" i="5"/>
  <c r="AL312" i="5" s="1"/>
  <c r="AH40" i="5"/>
  <c r="AK40" i="5" s="1"/>
  <c r="AH70" i="5"/>
  <c r="AK70" i="5" s="1"/>
  <c r="AI262" i="5"/>
  <c r="AL262" i="5" s="1"/>
  <c r="AI392" i="5"/>
  <c r="AL392" i="5" s="1"/>
  <c r="AH758" i="5"/>
  <c r="AK758" i="5" s="1"/>
  <c r="AI758" i="5"/>
  <c r="AL758" i="5" s="1"/>
  <c r="AI18" i="5"/>
  <c r="AL18" i="5" s="1"/>
  <c r="AI567" i="5"/>
  <c r="AL567" i="5" s="1"/>
  <c r="AI215" i="5"/>
  <c r="AL215" i="5" s="1"/>
  <c r="AH391" i="5"/>
  <c r="AK391" i="5" s="1"/>
  <c r="AI440" i="5"/>
  <c r="AL440" i="5" s="1"/>
  <c r="AI615" i="5"/>
  <c r="AL615" i="5" s="1"/>
  <c r="AI662" i="5"/>
  <c r="AL662" i="5" s="1"/>
  <c r="AH454" i="5"/>
  <c r="AK454" i="5" s="1"/>
  <c r="AH214" i="5"/>
  <c r="AK214" i="5" s="1"/>
  <c r="AI214" i="5"/>
  <c r="AL214" i="5" s="1"/>
  <c r="AI150" i="5"/>
  <c r="AL150" i="5" s="1"/>
  <c r="AH150" i="5"/>
  <c r="AK150" i="5" s="1"/>
  <c r="AH248" i="5"/>
  <c r="AK248" i="5" s="1"/>
  <c r="AH567" i="5"/>
  <c r="AK567" i="5" s="1"/>
  <c r="AI134" i="5"/>
  <c r="AL134" i="5" s="1"/>
  <c r="AI328" i="5"/>
  <c r="AL328" i="5" s="1"/>
  <c r="AH6" i="5"/>
  <c r="AK6" i="5" s="1"/>
  <c r="AI342" i="5"/>
  <c r="AL342" i="5" s="1"/>
  <c r="AH357" i="5"/>
  <c r="AK357" i="5" s="1"/>
  <c r="AH486" i="5"/>
  <c r="AK486" i="5" s="1"/>
  <c r="AH677" i="5"/>
  <c r="AK677" i="5" s="1"/>
  <c r="AI6" i="5"/>
  <c r="AL6" i="5" s="1"/>
  <c r="AH662" i="5"/>
  <c r="AK662" i="5" s="1"/>
  <c r="AI677" i="5"/>
  <c r="AL677" i="5" s="1"/>
  <c r="AH245" i="5"/>
  <c r="AK245" i="5" s="1"/>
  <c r="AH325" i="5"/>
  <c r="AK325" i="5" s="1"/>
  <c r="AH423" i="5"/>
  <c r="AK423" i="5" s="1"/>
  <c r="AH517" i="5"/>
  <c r="AK517" i="5" s="1"/>
  <c r="AH597" i="5"/>
  <c r="AK597" i="5" s="1"/>
  <c r="AH726" i="5"/>
  <c r="AK726" i="5" s="1"/>
  <c r="AH118" i="5"/>
  <c r="AK118" i="5" s="1"/>
  <c r="AH198" i="5"/>
  <c r="AK198" i="5" s="1"/>
  <c r="AI263" i="5"/>
  <c r="AL263" i="5" s="1"/>
  <c r="AI277" i="5"/>
  <c r="AL277" i="5" s="1"/>
  <c r="AH373" i="5"/>
  <c r="AK373" i="5" s="1"/>
  <c r="AH741" i="5"/>
  <c r="AK741" i="5" s="1"/>
  <c r="AI86" i="5"/>
  <c r="AL86" i="5" s="1"/>
  <c r="AH133" i="5"/>
  <c r="AK133" i="5" s="1"/>
  <c r="AH165" i="5"/>
  <c r="AK165" i="5" s="1"/>
  <c r="AI198" i="5"/>
  <c r="AL198" i="5" s="1"/>
  <c r="AI437" i="5"/>
  <c r="AL437" i="5" s="1"/>
  <c r="AH485" i="5"/>
  <c r="AK485" i="5" s="1"/>
  <c r="AH22" i="5"/>
  <c r="AK22" i="5" s="1"/>
  <c r="AH101" i="5"/>
  <c r="AK101" i="5" s="1"/>
  <c r="AI406" i="5"/>
  <c r="AL406" i="5" s="1"/>
  <c r="AH598" i="5"/>
  <c r="AK598" i="5" s="1"/>
  <c r="AH645" i="5"/>
  <c r="AK645" i="5" s="1"/>
  <c r="AH21" i="5"/>
  <c r="AK21" i="5" s="1"/>
  <c r="AI230" i="5"/>
  <c r="AL230" i="5" s="1"/>
  <c r="AH358" i="5"/>
  <c r="AK358" i="5" s="1"/>
  <c r="AH550" i="5"/>
  <c r="AK550" i="5" s="1"/>
  <c r="AH151" i="5"/>
  <c r="AK151" i="5" s="1"/>
  <c r="AI470" i="5"/>
  <c r="AL470" i="5" s="1"/>
  <c r="AH565" i="5"/>
  <c r="AK565" i="5" s="1"/>
  <c r="AH693" i="5"/>
  <c r="AK693" i="5" s="1"/>
  <c r="AH69" i="5"/>
  <c r="AK69" i="5" s="1"/>
  <c r="AI151" i="5"/>
  <c r="AL151" i="5" s="1"/>
  <c r="AH213" i="5"/>
  <c r="AK213" i="5" s="1"/>
  <c r="AH278" i="5"/>
  <c r="AK278" i="5" s="1"/>
  <c r="AH518" i="5"/>
  <c r="AK518" i="5" s="1"/>
  <c r="AH630" i="5"/>
  <c r="AK630" i="5" s="1"/>
  <c r="AH5" i="5"/>
  <c r="AK5" i="5" s="1"/>
  <c r="AI22" i="5"/>
  <c r="AL22" i="5" s="1"/>
  <c r="AH55" i="5"/>
  <c r="AK55" i="5" s="1"/>
  <c r="AI246" i="5"/>
  <c r="AL246" i="5" s="1"/>
  <c r="AI278" i="5"/>
  <c r="AL278" i="5" s="1"/>
  <c r="AI326" i="5"/>
  <c r="AL326" i="5" s="1"/>
  <c r="AH438" i="5"/>
  <c r="AK438" i="5" s="1"/>
  <c r="AI518" i="5"/>
  <c r="AL518" i="5" s="1"/>
  <c r="AI598" i="5"/>
  <c r="AL598" i="5" s="1"/>
  <c r="AH11" i="5"/>
  <c r="AK11" i="5" s="1"/>
  <c r="AH134" i="5"/>
  <c r="AK134" i="5" s="1"/>
  <c r="AI566" i="5"/>
  <c r="AL566" i="5" s="1"/>
  <c r="AI572" i="5"/>
  <c r="AL572" i="5" s="1"/>
  <c r="AH694" i="5"/>
  <c r="AK694" i="5" s="1"/>
  <c r="AH23" i="5"/>
  <c r="AK23" i="5" s="1"/>
  <c r="AH327" i="5"/>
  <c r="AK327" i="5" s="1"/>
  <c r="AH282" i="5"/>
  <c r="AK282" i="5" s="1"/>
  <c r="AH140" i="5"/>
  <c r="AK140" i="5" s="1"/>
  <c r="AH71" i="5"/>
  <c r="AK71" i="5" s="1"/>
  <c r="AH121" i="5"/>
  <c r="AK121" i="5" s="1"/>
  <c r="AI343" i="5"/>
  <c r="AL343" i="5" s="1"/>
  <c r="AH695" i="5"/>
  <c r="AK695" i="5" s="1"/>
  <c r="AI153" i="5"/>
  <c r="AL153" i="5" s="1"/>
  <c r="AI166" i="5"/>
  <c r="AL166" i="5" s="1"/>
  <c r="AH186" i="5"/>
  <c r="AK186" i="5" s="1"/>
  <c r="AH311" i="5"/>
  <c r="AK311" i="5" s="1"/>
  <c r="AH502" i="5"/>
  <c r="AK502" i="5" s="1"/>
  <c r="AI614" i="5"/>
  <c r="AL614" i="5" s="1"/>
  <c r="AH234" i="5"/>
  <c r="AK234" i="5" s="1"/>
  <c r="AI234" i="5"/>
  <c r="AL234" i="5" s="1"/>
  <c r="AH74" i="5"/>
  <c r="AK74" i="5" s="1"/>
  <c r="AH125" i="5"/>
  <c r="AK125" i="5" s="1"/>
  <c r="AI472" i="5"/>
  <c r="AL472" i="5" s="1"/>
  <c r="AI74" i="5"/>
  <c r="AL74" i="5" s="1"/>
  <c r="AH427" i="5"/>
  <c r="AK427" i="5" s="1"/>
  <c r="AI7" i="5"/>
  <c r="AL7" i="5" s="1"/>
  <c r="AH38" i="5"/>
  <c r="AK38" i="5" s="1"/>
  <c r="AH57" i="5"/>
  <c r="AK57" i="5" s="1"/>
  <c r="AI203" i="5"/>
  <c r="AL203" i="5" s="1"/>
  <c r="AI358" i="5"/>
  <c r="AL358" i="5" s="1"/>
  <c r="AH392" i="5"/>
  <c r="AK392" i="5" s="1"/>
  <c r="AI584" i="5"/>
  <c r="AL584" i="5" s="1"/>
  <c r="AH87" i="5"/>
  <c r="AK87" i="5" s="1"/>
  <c r="AI135" i="5"/>
  <c r="AL135" i="5" s="1"/>
  <c r="AH362" i="5"/>
  <c r="AK362" i="5" s="1"/>
  <c r="AI455" i="5"/>
  <c r="AL455" i="5" s="1"/>
  <c r="AI646" i="5"/>
  <c r="AL646" i="5" s="1"/>
  <c r="AH698" i="5"/>
  <c r="AK698" i="5" s="1"/>
  <c r="AH710" i="5"/>
  <c r="AK710" i="5" s="1"/>
  <c r="AI87" i="5"/>
  <c r="AL87" i="5" s="1"/>
  <c r="AI118" i="5"/>
  <c r="AL118" i="5" s="1"/>
  <c r="AH279" i="5"/>
  <c r="AK279" i="5" s="1"/>
  <c r="AH375" i="5"/>
  <c r="AK375" i="5" s="1"/>
  <c r="AH614" i="5"/>
  <c r="AK614" i="5" s="1"/>
  <c r="AI698" i="5"/>
  <c r="AL698" i="5" s="1"/>
  <c r="AH167" i="5"/>
  <c r="AK167" i="5" s="1"/>
  <c r="AI199" i="5"/>
  <c r="AL199" i="5" s="1"/>
  <c r="AH267" i="5"/>
  <c r="AK267" i="5" s="1"/>
  <c r="AH519" i="5"/>
  <c r="AK519" i="5" s="1"/>
  <c r="AH647" i="5"/>
  <c r="AK647" i="5" s="1"/>
  <c r="AH743" i="5"/>
  <c r="AK743" i="5" s="1"/>
  <c r="AH54" i="5"/>
  <c r="AK54" i="5" s="1"/>
  <c r="AI106" i="5"/>
  <c r="AL106" i="5" s="1"/>
  <c r="AH390" i="5"/>
  <c r="AK390" i="5" s="1"/>
  <c r="AI438" i="5"/>
  <c r="AL438" i="5" s="1"/>
  <c r="AH476" i="5"/>
  <c r="AK476" i="5" s="1"/>
  <c r="AI647" i="5"/>
  <c r="AL647" i="5" s="1"/>
  <c r="AH681" i="5"/>
  <c r="AK681" i="5" s="1"/>
  <c r="AI694" i="5"/>
  <c r="AL694" i="5" s="1"/>
  <c r="AH699" i="5"/>
  <c r="AK699" i="5" s="1"/>
  <c r="AI504" i="5"/>
  <c r="AL504" i="5" s="1"/>
  <c r="AH603" i="5"/>
  <c r="AK603" i="5" s="1"/>
  <c r="AH728" i="5"/>
  <c r="AK728" i="5" s="1"/>
  <c r="AH298" i="5"/>
  <c r="AK298" i="5" s="1"/>
  <c r="AH360" i="5"/>
  <c r="AK360" i="5" s="1"/>
  <c r="AI378" i="5"/>
  <c r="AL378" i="5" s="1"/>
  <c r="AI536" i="5"/>
  <c r="AL536" i="5" s="1"/>
  <c r="AI728" i="5"/>
  <c r="AL728" i="5" s="1"/>
  <c r="AH8" i="5"/>
  <c r="AK8" i="5" s="1"/>
  <c r="AH106" i="5"/>
  <c r="AK106" i="5" s="1"/>
  <c r="AI360" i="5"/>
  <c r="AL360" i="5" s="1"/>
  <c r="AH555" i="5"/>
  <c r="AK555" i="5" s="1"/>
  <c r="AI731" i="5"/>
  <c r="AL731" i="5" s="1"/>
  <c r="AH570" i="5"/>
  <c r="AK570" i="5" s="1"/>
  <c r="AI314" i="5"/>
  <c r="AL314" i="5" s="1"/>
  <c r="AI441" i="5"/>
  <c r="AL441" i="5" s="1"/>
  <c r="AH671" i="5"/>
  <c r="AK671" i="5" s="1"/>
  <c r="AH41" i="5"/>
  <c r="AK41" i="5" s="1"/>
  <c r="AH168" i="5"/>
  <c r="AK168" i="5" s="1"/>
  <c r="AH297" i="5"/>
  <c r="AK297" i="5" s="1"/>
  <c r="AH490" i="5"/>
  <c r="AK490" i="5" s="1"/>
  <c r="AH744" i="5"/>
  <c r="AK744" i="5" s="1"/>
  <c r="AI23" i="5"/>
  <c r="AL23" i="5" s="1"/>
  <c r="AI60" i="5"/>
  <c r="AL60" i="5" s="1"/>
  <c r="AH231" i="5"/>
  <c r="AK231" i="5" s="1"/>
  <c r="AI297" i="5"/>
  <c r="AL297" i="5" s="1"/>
  <c r="AI744" i="5"/>
  <c r="AL744" i="5" s="1"/>
  <c r="AH88" i="5"/>
  <c r="AK88" i="5" s="1"/>
  <c r="AH249" i="5"/>
  <c r="AK249" i="5" s="1"/>
  <c r="AH310" i="5"/>
  <c r="AK310" i="5" s="1"/>
  <c r="AH346" i="5"/>
  <c r="AK346" i="5" s="1"/>
  <c r="AI390" i="5"/>
  <c r="AL390" i="5" s="1"/>
  <c r="AI522" i="5"/>
  <c r="AL522" i="5" s="1"/>
  <c r="AI620" i="5"/>
  <c r="AL620" i="5" s="1"/>
  <c r="AH678" i="5"/>
  <c r="AK678" i="5" s="1"/>
  <c r="AH696" i="5"/>
  <c r="AK696" i="5" s="1"/>
  <c r="AH511" i="5"/>
  <c r="AK511" i="5" s="1"/>
  <c r="AI511" i="5"/>
  <c r="AL511" i="5" s="1"/>
  <c r="AH635" i="5"/>
  <c r="AK635" i="5" s="1"/>
  <c r="AH15" i="5"/>
  <c r="AK15" i="5" s="1"/>
  <c r="AI247" i="5"/>
  <c r="AL247" i="5" s="1"/>
  <c r="AI311" i="5"/>
  <c r="AL311" i="5" s="1"/>
  <c r="AH407" i="5"/>
  <c r="AK407" i="5" s="1"/>
  <c r="AI471" i="5"/>
  <c r="AL471" i="5" s="1"/>
  <c r="AH535" i="5"/>
  <c r="AK535" i="5" s="1"/>
  <c r="AI570" i="5"/>
  <c r="AL570" i="5" s="1"/>
  <c r="AH667" i="5"/>
  <c r="AK667" i="5" s="1"/>
  <c r="AI10" i="5"/>
  <c r="AL10" i="5" s="1"/>
  <c r="AH61" i="5"/>
  <c r="AK61" i="5" s="1"/>
  <c r="AI281" i="5"/>
  <c r="AL281" i="5" s="1"/>
  <c r="AI407" i="5"/>
  <c r="AL407" i="5" s="1"/>
  <c r="AH505" i="5"/>
  <c r="AK505" i="5" s="1"/>
  <c r="AI535" i="5"/>
  <c r="AL535" i="5" s="1"/>
  <c r="AH679" i="5"/>
  <c r="AK679" i="5" s="1"/>
  <c r="AI714" i="5"/>
  <c r="AL714" i="5" s="1"/>
  <c r="AH92" i="5"/>
  <c r="AK92" i="5" s="1"/>
  <c r="AI476" i="5"/>
  <c r="AL476" i="5" s="1"/>
  <c r="AH154" i="5"/>
  <c r="AK154" i="5" s="1"/>
  <c r="AH171" i="5"/>
  <c r="AK171" i="5" s="1"/>
  <c r="AH218" i="5"/>
  <c r="AK218" i="5" s="1"/>
  <c r="AI183" i="5"/>
  <c r="AL183" i="5" s="1"/>
  <c r="AH378" i="5"/>
  <c r="AK378" i="5" s="1"/>
  <c r="AH496" i="5"/>
  <c r="AK496" i="5" s="1"/>
  <c r="AH500" i="5"/>
  <c r="AK500" i="5" s="1"/>
  <c r="AI500" i="5"/>
  <c r="AL500" i="5" s="1"/>
  <c r="AH420" i="5"/>
  <c r="AK420" i="5" s="1"/>
  <c r="AI196" i="5"/>
  <c r="AL196" i="5" s="1"/>
  <c r="AH196" i="5"/>
  <c r="AK196" i="5" s="1"/>
  <c r="AI68" i="5"/>
  <c r="AL68" i="5" s="1"/>
  <c r="AH68" i="5"/>
  <c r="AK68" i="5" s="1"/>
  <c r="AH132" i="5"/>
  <c r="AK132" i="5" s="1"/>
  <c r="AH707" i="5"/>
  <c r="AK707" i="5" s="1"/>
  <c r="AH627" i="5"/>
  <c r="AK627" i="5" s="1"/>
  <c r="AI627" i="5"/>
  <c r="AL627" i="5" s="1"/>
  <c r="AH435" i="5"/>
  <c r="AK435" i="5" s="1"/>
  <c r="AI435" i="5"/>
  <c r="AL435" i="5" s="1"/>
  <c r="AH339" i="5"/>
  <c r="AK339" i="5" s="1"/>
  <c r="AI339" i="5"/>
  <c r="AL339" i="5" s="1"/>
  <c r="AI163" i="5"/>
  <c r="AL163" i="5" s="1"/>
  <c r="AH163" i="5"/>
  <c r="AK163" i="5" s="1"/>
  <c r="AI147" i="5"/>
  <c r="AL147" i="5" s="1"/>
  <c r="AH147" i="5"/>
  <c r="AK147" i="5" s="1"/>
  <c r="AI562" i="5"/>
  <c r="AL562" i="5" s="1"/>
  <c r="AH562" i="5"/>
  <c r="AK562" i="5" s="1"/>
  <c r="AH434" i="5"/>
  <c r="AK434" i="5" s="1"/>
  <c r="AI434" i="5"/>
  <c r="AL434" i="5" s="1"/>
  <c r="AI322" i="5"/>
  <c r="AL322" i="5" s="1"/>
  <c r="AH322" i="5"/>
  <c r="AK322" i="5" s="1"/>
  <c r="AH274" i="5"/>
  <c r="AK274" i="5" s="1"/>
  <c r="AI274" i="5"/>
  <c r="AL274" i="5" s="1"/>
  <c r="AH226" i="5"/>
  <c r="AK226" i="5" s="1"/>
  <c r="AI226" i="5"/>
  <c r="AL226" i="5" s="1"/>
  <c r="AI178" i="5"/>
  <c r="AL178" i="5" s="1"/>
  <c r="AH178" i="5"/>
  <c r="AK178" i="5" s="1"/>
  <c r="AI114" i="5"/>
  <c r="AL114" i="5" s="1"/>
  <c r="AH114" i="5"/>
  <c r="AK114" i="5" s="1"/>
  <c r="AH50" i="5"/>
  <c r="AK50" i="5" s="1"/>
  <c r="AI768" i="5"/>
  <c r="AL768" i="5" s="1"/>
  <c r="AH768" i="5"/>
  <c r="AK768" i="5" s="1"/>
  <c r="AI752" i="5"/>
  <c r="AL752" i="5" s="1"/>
  <c r="AI736" i="5"/>
  <c r="AL736" i="5" s="1"/>
  <c r="AH736" i="5"/>
  <c r="AK736" i="5" s="1"/>
  <c r="AI688" i="5"/>
  <c r="AL688" i="5" s="1"/>
  <c r="AH688" i="5"/>
  <c r="AK688" i="5" s="1"/>
  <c r="AI624" i="5"/>
  <c r="AL624" i="5" s="1"/>
  <c r="AH624" i="5"/>
  <c r="AK624" i="5" s="1"/>
  <c r="AH512" i="5"/>
  <c r="AK512" i="5" s="1"/>
  <c r="AI512" i="5"/>
  <c r="AL512" i="5" s="1"/>
  <c r="AH416" i="5"/>
  <c r="AK416" i="5" s="1"/>
  <c r="AH304" i="5"/>
  <c r="AK304" i="5" s="1"/>
  <c r="AI304" i="5"/>
  <c r="AL304" i="5" s="1"/>
  <c r="AI288" i="5"/>
  <c r="AL288" i="5" s="1"/>
  <c r="AH288" i="5"/>
  <c r="AK288" i="5" s="1"/>
  <c r="AI256" i="5"/>
  <c r="AL256" i="5" s="1"/>
  <c r="AH256" i="5"/>
  <c r="AK256" i="5" s="1"/>
  <c r="AH128" i="5"/>
  <c r="AK128" i="5" s="1"/>
  <c r="AI128" i="5"/>
  <c r="AL128" i="5" s="1"/>
  <c r="AI64" i="5"/>
  <c r="AL64" i="5" s="1"/>
  <c r="AH64" i="5"/>
  <c r="AK64" i="5" s="1"/>
  <c r="AH480" i="5"/>
  <c r="AK480" i="5" s="1"/>
  <c r="AI496" i="5"/>
  <c r="AL496" i="5" s="1"/>
  <c r="AH577" i="5"/>
  <c r="AK577" i="5" s="1"/>
  <c r="AH735" i="5"/>
  <c r="AK735" i="5" s="1"/>
  <c r="AI735" i="5"/>
  <c r="AL735" i="5" s="1"/>
  <c r="AI655" i="5"/>
  <c r="AL655" i="5" s="1"/>
  <c r="AH655" i="5"/>
  <c r="AK655" i="5" s="1"/>
  <c r="AI623" i="5"/>
  <c r="AL623" i="5" s="1"/>
  <c r="AH623" i="5"/>
  <c r="AK623" i="5" s="1"/>
  <c r="AI335" i="5"/>
  <c r="AL335" i="5" s="1"/>
  <c r="AH335" i="5"/>
  <c r="AK335" i="5" s="1"/>
  <c r="AI271" i="5"/>
  <c r="AL271" i="5" s="1"/>
  <c r="AH271" i="5"/>
  <c r="AK271" i="5" s="1"/>
  <c r="AI223" i="5"/>
  <c r="AL223" i="5" s="1"/>
  <c r="AH223" i="5"/>
  <c r="AK223" i="5" s="1"/>
  <c r="AH207" i="5"/>
  <c r="AK207" i="5" s="1"/>
  <c r="AI207" i="5"/>
  <c r="AL207" i="5" s="1"/>
  <c r="AI47" i="5"/>
  <c r="AL47" i="5" s="1"/>
  <c r="AH47" i="5"/>
  <c r="AK47" i="5" s="1"/>
  <c r="AI480" i="5"/>
  <c r="AL480" i="5" s="1"/>
  <c r="AH756" i="5"/>
  <c r="AK756" i="5" s="1"/>
  <c r="AH255" i="5"/>
  <c r="AK255" i="5" s="1"/>
  <c r="AH160" i="5"/>
  <c r="AK160" i="5" s="1"/>
  <c r="AH96" i="5"/>
  <c r="AK96" i="5" s="1"/>
  <c r="AI160" i="5"/>
  <c r="AL160" i="5" s="1"/>
  <c r="AH319" i="5"/>
  <c r="AK319" i="5" s="1"/>
  <c r="AI96" i="5"/>
  <c r="AL96" i="5" s="1"/>
  <c r="AH240" i="5"/>
  <c r="AK240" i="5" s="1"/>
  <c r="AH465" i="5"/>
  <c r="AK465" i="5" s="1"/>
  <c r="AI65" i="5"/>
  <c r="AL65" i="5" s="1"/>
  <c r="AH146" i="5"/>
  <c r="AK146" i="5" s="1"/>
  <c r="AI4" i="5"/>
  <c r="AL4" i="5" s="1"/>
  <c r="AH4" i="5"/>
  <c r="AK4" i="5" s="1"/>
  <c r="AI370" i="5"/>
  <c r="AL370" i="5" s="1"/>
  <c r="AH370" i="5"/>
  <c r="AK370" i="5" s="1"/>
  <c r="AI323" i="5"/>
  <c r="AL323" i="5" s="1"/>
  <c r="AH593" i="5"/>
  <c r="AK593" i="5" s="1"/>
  <c r="AI385" i="5"/>
  <c r="AL385" i="5" s="1"/>
  <c r="AH385" i="5"/>
  <c r="AK385" i="5" s="1"/>
  <c r="AH241" i="5"/>
  <c r="AK241" i="5" s="1"/>
  <c r="AI241" i="5"/>
  <c r="AL241" i="5" s="1"/>
  <c r="AH193" i="5"/>
  <c r="AK193" i="5" s="1"/>
  <c r="AI193" i="5"/>
  <c r="AL193" i="5" s="1"/>
  <c r="AH33" i="5"/>
  <c r="AK33" i="5" s="1"/>
  <c r="AI33" i="5"/>
  <c r="AL33" i="5" s="1"/>
  <c r="AI32" i="5"/>
  <c r="AL32" i="5" s="1"/>
  <c r="AH32" i="5"/>
  <c r="AK32" i="5" s="1"/>
  <c r="AI146" i="5"/>
  <c r="AL146" i="5" s="1"/>
  <c r="AI50" i="5"/>
  <c r="AL50" i="5" s="1"/>
  <c r="AH208" i="5"/>
  <c r="AK208" i="5" s="1"/>
  <c r="AH431" i="5"/>
  <c r="AK431" i="5" s="1"/>
  <c r="AI507" i="5"/>
  <c r="AL507" i="5" s="1"/>
  <c r="AH507" i="5"/>
  <c r="AK507" i="5" s="1"/>
  <c r="AI175" i="5"/>
  <c r="AL175" i="5" s="1"/>
  <c r="AH175" i="5"/>
  <c r="AK175" i="5" s="1"/>
  <c r="AI111" i="5"/>
  <c r="AL111" i="5" s="1"/>
  <c r="AH493" i="5"/>
  <c r="AK493" i="5" s="1"/>
  <c r="AI493" i="5"/>
  <c r="AL493" i="5" s="1"/>
  <c r="AI413" i="5"/>
  <c r="AL413" i="5" s="1"/>
  <c r="AH365" i="5"/>
  <c r="AK365" i="5" s="1"/>
  <c r="AI349" i="5"/>
  <c r="AL349" i="5" s="1"/>
  <c r="AI285" i="5"/>
  <c r="AL285" i="5" s="1"/>
  <c r="AH285" i="5"/>
  <c r="AK285" i="5" s="1"/>
  <c r="AI237" i="5"/>
  <c r="AL237" i="5" s="1"/>
  <c r="AH237" i="5"/>
  <c r="AK237" i="5" s="1"/>
  <c r="AI189" i="5"/>
  <c r="AL189" i="5" s="1"/>
  <c r="AH189" i="5"/>
  <c r="AK189" i="5" s="1"/>
  <c r="AI44" i="5"/>
  <c r="AL44" i="5" s="1"/>
  <c r="AH44" i="5"/>
  <c r="AK44" i="5" s="1"/>
  <c r="AI315" i="5"/>
  <c r="AL315" i="5" s="1"/>
  <c r="AH315" i="5"/>
  <c r="AK315" i="5" s="1"/>
  <c r="AI251" i="5"/>
  <c r="AL251" i="5" s="1"/>
  <c r="AH251" i="5"/>
  <c r="AK251" i="5" s="1"/>
  <c r="AH219" i="5"/>
  <c r="AK219" i="5" s="1"/>
  <c r="AI75" i="5"/>
  <c r="AL75" i="5" s="1"/>
  <c r="AH75" i="5"/>
  <c r="AK75" i="5" s="1"/>
  <c r="AI43" i="5"/>
  <c r="AL43" i="5" s="1"/>
  <c r="AH43" i="5"/>
  <c r="AK43" i="5" s="1"/>
  <c r="AH221" i="5"/>
  <c r="AK221" i="5" s="1"/>
  <c r="AI236" i="5"/>
  <c r="AL236" i="5" s="1"/>
  <c r="AH396" i="5"/>
  <c r="AK396" i="5" s="1"/>
  <c r="AI412" i="5"/>
  <c r="AL412" i="5" s="1"/>
  <c r="AI461" i="5"/>
  <c r="AL461" i="5" s="1"/>
  <c r="AH508" i="5"/>
  <c r="AK508" i="5" s="1"/>
  <c r="AH539" i="5"/>
  <c r="AK539" i="5" s="1"/>
  <c r="AI682" i="5"/>
  <c r="AL682" i="5" s="1"/>
  <c r="AI554" i="5"/>
  <c r="AL554" i="5" s="1"/>
  <c r="AH554" i="5"/>
  <c r="AK554" i="5" s="1"/>
  <c r="AI458" i="5"/>
  <c r="AL458" i="5" s="1"/>
  <c r="AH458" i="5"/>
  <c r="AK458" i="5" s="1"/>
  <c r="AH442" i="5"/>
  <c r="AK442" i="5" s="1"/>
  <c r="AI442" i="5"/>
  <c r="AL442" i="5" s="1"/>
  <c r="AI330" i="5"/>
  <c r="AL330" i="5" s="1"/>
  <c r="AI266" i="5"/>
  <c r="AL266" i="5" s="1"/>
  <c r="AH266" i="5"/>
  <c r="AK266" i="5" s="1"/>
  <c r="AI170" i="5"/>
  <c r="AL170" i="5" s="1"/>
  <c r="AH170" i="5"/>
  <c r="AK170" i="5" s="1"/>
  <c r="AI90" i="5"/>
  <c r="AL90" i="5" s="1"/>
  <c r="AH90" i="5"/>
  <c r="AK90" i="5" s="1"/>
  <c r="AH58" i="5"/>
  <c r="AK58" i="5" s="1"/>
  <c r="AI58" i="5"/>
  <c r="AL58" i="5" s="1"/>
  <c r="AH107" i="5"/>
  <c r="AK107" i="5" s="1"/>
  <c r="AH122" i="5"/>
  <c r="AK122" i="5" s="1"/>
  <c r="AH157" i="5"/>
  <c r="AK157" i="5" s="1"/>
  <c r="AH188" i="5"/>
  <c r="AK188" i="5" s="1"/>
  <c r="AI221" i="5"/>
  <c r="AL221" i="5" s="1"/>
  <c r="AI396" i="5"/>
  <c r="AL396" i="5" s="1"/>
  <c r="AH477" i="5"/>
  <c r="AK477" i="5" s="1"/>
  <c r="AI508" i="5"/>
  <c r="AL508" i="5" s="1"/>
  <c r="AH93" i="5"/>
  <c r="AK93" i="5" s="1"/>
  <c r="AH143" i="5"/>
  <c r="AK143" i="5" s="1"/>
  <c r="AI381" i="5"/>
  <c r="AL381" i="5" s="1"/>
  <c r="AI445" i="5"/>
  <c r="AL445" i="5" s="1"/>
  <c r="AH558" i="5"/>
  <c r="AK558" i="5" s="1"/>
  <c r="AH634" i="5"/>
  <c r="AK634" i="5" s="1"/>
  <c r="AI491" i="5"/>
  <c r="AL491" i="5" s="1"/>
  <c r="AI573" i="5"/>
  <c r="AL573" i="5" s="1"/>
  <c r="AH573" i="5"/>
  <c r="AK573" i="5" s="1"/>
  <c r="AH589" i="5"/>
  <c r="AK589" i="5" s="1"/>
  <c r="AH748" i="5"/>
  <c r="AK748" i="5" s="1"/>
  <c r="AI732" i="5"/>
  <c r="AL732" i="5" s="1"/>
  <c r="AH732" i="5"/>
  <c r="AK732" i="5" s="1"/>
  <c r="AH700" i="5"/>
  <c r="AK700" i="5" s="1"/>
  <c r="AI684" i="5"/>
  <c r="AL684" i="5" s="1"/>
  <c r="AH684" i="5"/>
  <c r="AK684" i="5" s="1"/>
  <c r="AI668" i="5"/>
  <c r="AL668" i="5" s="1"/>
  <c r="AH668" i="5"/>
  <c r="AK668" i="5" s="1"/>
  <c r="AH588" i="5"/>
  <c r="AK588" i="5" s="1"/>
  <c r="AI588" i="5"/>
  <c r="AL588" i="5" s="1"/>
  <c r="AI428" i="5"/>
  <c r="AL428" i="5" s="1"/>
  <c r="AH300" i="5"/>
  <c r="AK300" i="5" s="1"/>
  <c r="AI300" i="5"/>
  <c r="AL300" i="5" s="1"/>
  <c r="AI204" i="5"/>
  <c r="AL204" i="5" s="1"/>
  <c r="AH204" i="5"/>
  <c r="AK204" i="5" s="1"/>
  <c r="AI156" i="5"/>
  <c r="AL156" i="5" s="1"/>
  <c r="AH156" i="5"/>
  <c r="AK156" i="5" s="1"/>
  <c r="AI124" i="5"/>
  <c r="AL124" i="5" s="1"/>
  <c r="AH124" i="5"/>
  <c r="AK124" i="5" s="1"/>
  <c r="AH236" i="5"/>
  <c r="AK236" i="5" s="1"/>
  <c r="AH412" i="5"/>
  <c r="AK412" i="5" s="1"/>
  <c r="AI557" i="5"/>
  <c r="AL557" i="5" s="1"/>
  <c r="AI715" i="5"/>
  <c r="AL715" i="5" s="1"/>
  <c r="AH715" i="5"/>
  <c r="AK715" i="5" s="1"/>
  <c r="AH138" i="5"/>
  <c r="AK138" i="5" s="1"/>
  <c r="AI143" i="5"/>
  <c r="AL143" i="5" s="1"/>
  <c r="AH316" i="5"/>
  <c r="AK316" i="5" s="1"/>
  <c r="AI365" i="5"/>
  <c r="AL365" i="5" s="1"/>
  <c r="AH524" i="5"/>
  <c r="AK524" i="5" s="1"/>
  <c r="AI634" i="5"/>
  <c r="AL634" i="5" s="1"/>
  <c r="AH651" i="5"/>
  <c r="AK651" i="5" s="1"/>
  <c r="AH28" i="5"/>
  <c r="AK28" i="5" s="1"/>
  <c r="AI138" i="5"/>
  <c r="AL138" i="5" s="1"/>
  <c r="AI284" i="5"/>
  <c r="AL284" i="5" s="1"/>
  <c r="AH619" i="5"/>
  <c r="AK619" i="5" s="1"/>
  <c r="AI28" i="5"/>
  <c r="AL28" i="5" s="1"/>
  <c r="AH301" i="5"/>
  <c r="AK301" i="5" s="1"/>
  <c r="AH349" i="5"/>
  <c r="AK349" i="5" s="1"/>
  <c r="AI619" i="5"/>
  <c r="AL619" i="5" s="1"/>
  <c r="AH731" i="5"/>
  <c r="AK731" i="5" s="1"/>
  <c r="AI729" i="5"/>
  <c r="AL729" i="5" s="1"/>
  <c r="AH617" i="5"/>
  <c r="AK617" i="5" s="1"/>
  <c r="AI601" i="5"/>
  <c r="AL601" i="5" s="1"/>
  <c r="AH601" i="5"/>
  <c r="AK601" i="5" s="1"/>
  <c r="AI425" i="5"/>
  <c r="AL425" i="5" s="1"/>
  <c r="AH14" i="5"/>
  <c r="AK14" i="5" s="1"/>
  <c r="AI568" i="5"/>
  <c r="AL568" i="5" s="1"/>
  <c r="AH344" i="5"/>
  <c r="AK344" i="5" s="1"/>
  <c r="AH9" i="5"/>
  <c r="AK9" i="5" s="1"/>
  <c r="AI14" i="5"/>
  <c r="AL14" i="5" s="1"/>
  <c r="AH104" i="5"/>
  <c r="AK104" i="5" s="1"/>
  <c r="AH137" i="5"/>
  <c r="AK137" i="5" s="1"/>
  <c r="AH280" i="5"/>
  <c r="AK280" i="5" s="1"/>
  <c r="AI361" i="5"/>
  <c r="AL361" i="5" s="1"/>
  <c r="AI521" i="5"/>
  <c r="AL521" i="5" s="1"/>
  <c r="AH585" i="5"/>
  <c r="AK585" i="5" s="1"/>
  <c r="AH616" i="5"/>
  <c r="AK616" i="5" s="1"/>
  <c r="AI759" i="5"/>
  <c r="AL759" i="5" s="1"/>
  <c r="AH759" i="5"/>
  <c r="AK759" i="5" s="1"/>
  <c r="AI663" i="5"/>
  <c r="AL663" i="5" s="1"/>
  <c r="AH663" i="5"/>
  <c r="AK663" i="5" s="1"/>
  <c r="AI631" i="5"/>
  <c r="AL631" i="5" s="1"/>
  <c r="AH631" i="5"/>
  <c r="AK631" i="5" s="1"/>
  <c r="AI503" i="5"/>
  <c r="AL503" i="5" s="1"/>
  <c r="AH503" i="5"/>
  <c r="AK503" i="5" s="1"/>
  <c r="AH439" i="5"/>
  <c r="AK439" i="5" s="1"/>
  <c r="AH185" i="5"/>
  <c r="AK185" i="5" s="1"/>
  <c r="AH200" i="5"/>
  <c r="AK200" i="5" s="1"/>
  <c r="AH233" i="5"/>
  <c r="AK233" i="5" s="1"/>
  <c r="AH377" i="5"/>
  <c r="AK377" i="5" s="1"/>
  <c r="AH473" i="5"/>
  <c r="AK473" i="5" s="1"/>
  <c r="AH600" i="5"/>
  <c r="AK600" i="5" s="1"/>
  <c r="AH664" i="5"/>
  <c r="AK664" i="5" s="1"/>
  <c r="AH711" i="5"/>
  <c r="AK711" i="5" s="1"/>
  <c r="AH39" i="5"/>
  <c r="AK39" i="5" s="1"/>
  <c r="AI295" i="5"/>
  <c r="AL295" i="5" s="1"/>
  <c r="AI270" i="5"/>
  <c r="AL270" i="5" s="1"/>
  <c r="AH724" i="5"/>
  <c r="AK724" i="5" s="1"/>
  <c r="AI708" i="5"/>
  <c r="AL708" i="5" s="1"/>
  <c r="AH708" i="5"/>
  <c r="AK708" i="5" s="1"/>
  <c r="AH676" i="5"/>
  <c r="AK676" i="5" s="1"/>
  <c r="AI676" i="5"/>
  <c r="AL676" i="5" s="1"/>
  <c r="AI628" i="5"/>
  <c r="AL628" i="5" s="1"/>
  <c r="AH628" i="5"/>
  <c r="AK628" i="5" s="1"/>
  <c r="AH596" i="5"/>
  <c r="AK596" i="5" s="1"/>
  <c r="AH580" i="5"/>
  <c r="AK580" i="5" s="1"/>
  <c r="AI580" i="5"/>
  <c r="AL580" i="5" s="1"/>
  <c r="AI564" i="5"/>
  <c r="AL564" i="5" s="1"/>
  <c r="AH564" i="5"/>
  <c r="AK564" i="5" s="1"/>
  <c r="AH548" i="5"/>
  <c r="AK548" i="5" s="1"/>
  <c r="AI548" i="5"/>
  <c r="AL548" i="5" s="1"/>
  <c r="AI532" i="5"/>
  <c r="AL532" i="5" s="1"/>
  <c r="AH532" i="5"/>
  <c r="AK532" i="5" s="1"/>
  <c r="AH484" i="5"/>
  <c r="AK484" i="5" s="1"/>
  <c r="AI468" i="5"/>
  <c r="AL468" i="5" s="1"/>
  <c r="AH468" i="5"/>
  <c r="AK468" i="5" s="1"/>
  <c r="AI452" i="5"/>
  <c r="AL452" i="5" s="1"/>
  <c r="AH452" i="5"/>
  <c r="AK452" i="5" s="1"/>
  <c r="AI436" i="5"/>
  <c r="AL436" i="5" s="1"/>
  <c r="AH436" i="5"/>
  <c r="AK436" i="5" s="1"/>
  <c r="AH388" i="5"/>
  <c r="AK388" i="5" s="1"/>
  <c r="AI388" i="5"/>
  <c r="AL388" i="5" s="1"/>
  <c r="AI372" i="5"/>
  <c r="AL372" i="5" s="1"/>
  <c r="AH372" i="5"/>
  <c r="AK372" i="5" s="1"/>
  <c r="AH356" i="5"/>
  <c r="AK356" i="5" s="1"/>
  <c r="AI356" i="5"/>
  <c r="AL356" i="5" s="1"/>
  <c r="AI340" i="5"/>
  <c r="AL340" i="5" s="1"/>
  <c r="AH340" i="5"/>
  <c r="AK340" i="5" s="1"/>
  <c r="AH324" i="5"/>
  <c r="AK324" i="5" s="1"/>
  <c r="AI324" i="5"/>
  <c r="AL324" i="5" s="1"/>
  <c r="AH292" i="5"/>
  <c r="AK292" i="5" s="1"/>
  <c r="AI276" i="5"/>
  <c r="AL276" i="5" s="1"/>
  <c r="AH276" i="5"/>
  <c r="AK276" i="5" s="1"/>
  <c r="AI260" i="5"/>
  <c r="AL260" i="5" s="1"/>
  <c r="AH260" i="5"/>
  <c r="AK260" i="5" s="1"/>
  <c r="AI228" i="5"/>
  <c r="AL228" i="5" s="1"/>
  <c r="AH228" i="5"/>
  <c r="AK228" i="5" s="1"/>
  <c r="AI212" i="5"/>
  <c r="AL212" i="5" s="1"/>
  <c r="AH212" i="5"/>
  <c r="AK212" i="5" s="1"/>
  <c r="AI180" i="5"/>
  <c r="AL180" i="5" s="1"/>
  <c r="AH180" i="5"/>
  <c r="AK180" i="5" s="1"/>
  <c r="AI148" i="5"/>
  <c r="AL148" i="5" s="1"/>
  <c r="AH148" i="5"/>
  <c r="AK148" i="5" s="1"/>
  <c r="AI116" i="5"/>
  <c r="AL116" i="5" s="1"/>
  <c r="AH116" i="5"/>
  <c r="AK116" i="5" s="1"/>
  <c r="AI100" i="5"/>
  <c r="AL100" i="5" s="1"/>
  <c r="AH100" i="5"/>
  <c r="AK100" i="5" s="1"/>
  <c r="AI84" i="5"/>
  <c r="AL84" i="5" s="1"/>
  <c r="AH84" i="5"/>
  <c r="AK84" i="5" s="1"/>
  <c r="AI52" i="5"/>
  <c r="AL52" i="5" s="1"/>
  <c r="AH52" i="5"/>
  <c r="AK52" i="5" s="1"/>
  <c r="AI36" i="5"/>
  <c r="AL36" i="5" s="1"/>
  <c r="AH36" i="5"/>
  <c r="AK36" i="5" s="1"/>
  <c r="AH308" i="5"/>
  <c r="AK308" i="5" s="1"/>
  <c r="AH350" i="5"/>
  <c r="AK350" i="5" s="1"/>
  <c r="AI420" i="5"/>
  <c r="AL420" i="5" s="1"/>
  <c r="AH771" i="5"/>
  <c r="AK771" i="5" s="1"/>
  <c r="AI771" i="5"/>
  <c r="AL771" i="5" s="1"/>
  <c r="AH755" i="5"/>
  <c r="AK755" i="5" s="1"/>
  <c r="AI755" i="5"/>
  <c r="AL755" i="5" s="1"/>
  <c r="AH739" i="5"/>
  <c r="AK739" i="5" s="1"/>
  <c r="AI739" i="5"/>
  <c r="AL739" i="5" s="1"/>
  <c r="AH723" i="5"/>
  <c r="AK723" i="5" s="1"/>
  <c r="AI723" i="5"/>
  <c r="AL723" i="5" s="1"/>
  <c r="AH691" i="5"/>
  <c r="AK691" i="5" s="1"/>
  <c r="AI691" i="5"/>
  <c r="AL691" i="5" s="1"/>
  <c r="AH675" i="5"/>
  <c r="AK675" i="5" s="1"/>
  <c r="AI675" i="5"/>
  <c r="AL675" i="5" s="1"/>
  <c r="AH659" i="5"/>
  <c r="AK659" i="5" s="1"/>
  <c r="AI659" i="5"/>
  <c r="AL659" i="5" s="1"/>
  <c r="AH643" i="5"/>
  <c r="AK643" i="5" s="1"/>
  <c r="AI643" i="5"/>
  <c r="AL643" i="5" s="1"/>
  <c r="AH611" i="5"/>
  <c r="AK611" i="5" s="1"/>
  <c r="AI611" i="5"/>
  <c r="AL611" i="5" s="1"/>
  <c r="AH595" i="5"/>
  <c r="AK595" i="5" s="1"/>
  <c r="AI595" i="5"/>
  <c r="AL595" i="5" s="1"/>
  <c r="AH579" i="5"/>
  <c r="AK579" i="5" s="1"/>
  <c r="AI579" i="5"/>
  <c r="AL579" i="5" s="1"/>
  <c r="AH563" i="5"/>
  <c r="AK563" i="5" s="1"/>
  <c r="AI563" i="5"/>
  <c r="AL563" i="5" s="1"/>
  <c r="AH547" i="5"/>
  <c r="AK547" i="5" s="1"/>
  <c r="AI547" i="5"/>
  <c r="AL547" i="5" s="1"/>
  <c r="AH531" i="5"/>
  <c r="AK531" i="5" s="1"/>
  <c r="AH515" i="5"/>
  <c r="AK515" i="5" s="1"/>
  <c r="AI515" i="5"/>
  <c r="AL515" i="5" s="1"/>
  <c r="AH499" i="5"/>
  <c r="AK499" i="5" s="1"/>
  <c r="AI499" i="5"/>
  <c r="AL499" i="5" s="1"/>
  <c r="AH483" i="5"/>
  <c r="AK483" i="5" s="1"/>
  <c r="AI483" i="5"/>
  <c r="AL483" i="5" s="1"/>
  <c r="AH467" i="5"/>
  <c r="AK467" i="5" s="1"/>
  <c r="AI467" i="5"/>
  <c r="AL467" i="5" s="1"/>
  <c r="AH419" i="5"/>
  <c r="AK419" i="5" s="1"/>
  <c r="AH403" i="5"/>
  <c r="AK403" i="5" s="1"/>
  <c r="AI403" i="5"/>
  <c r="AL403" i="5" s="1"/>
  <c r="AH387" i="5"/>
  <c r="AK387" i="5" s="1"/>
  <c r="AI387" i="5"/>
  <c r="AL387" i="5" s="1"/>
  <c r="AH371" i="5"/>
  <c r="AK371" i="5" s="1"/>
  <c r="AI371" i="5"/>
  <c r="AL371" i="5" s="1"/>
  <c r="AH355" i="5"/>
  <c r="AK355" i="5" s="1"/>
  <c r="AI355" i="5"/>
  <c r="AL355" i="5" s="1"/>
  <c r="AH307" i="5"/>
  <c r="AK307" i="5" s="1"/>
  <c r="AH291" i="5"/>
  <c r="AK291" i="5" s="1"/>
  <c r="AI291" i="5"/>
  <c r="AL291" i="5" s="1"/>
  <c r="AH275" i="5"/>
  <c r="AK275" i="5" s="1"/>
  <c r="AI275" i="5"/>
  <c r="AL275" i="5" s="1"/>
  <c r="AH259" i="5"/>
  <c r="AK259" i="5" s="1"/>
  <c r="AI259" i="5"/>
  <c r="AL259" i="5" s="1"/>
  <c r="AH243" i="5"/>
  <c r="AK243" i="5" s="1"/>
  <c r="AI243" i="5"/>
  <c r="AL243" i="5" s="1"/>
  <c r="AI227" i="5"/>
  <c r="AL227" i="5" s="1"/>
  <c r="AH227" i="5"/>
  <c r="AK227" i="5" s="1"/>
  <c r="AI211" i="5"/>
  <c r="AL211" i="5" s="1"/>
  <c r="AH211" i="5"/>
  <c r="AK211" i="5" s="1"/>
  <c r="AI195" i="5"/>
  <c r="AL195" i="5" s="1"/>
  <c r="AH195" i="5"/>
  <c r="AK195" i="5" s="1"/>
  <c r="AH179" i="5"/>
  <c r="AK179" i="5" s="1"/>
  <c r="AI179" i="5"/>
  <c r="AL179" i="5" s="1"/>
  <c r="AH131" i="5"/>
  <c r="AK131" i="5" s="1"/>
  <c r="AI131" i="5"/>
  <c r="AL131" i="5" s="1"/>
  <c r="AI115" i="5"/>
  <c r="AL115" i="5" s="1"/>
  <c r="AH115" i="5"/>
  <c r="AK115" i="5" s="1"/>
  <c r="AI99" i="5"/>
  <c r="AL99" i="5" s="1"/>
  <c r="AH99" i="5"/>
  <c r="AK99" i="5" s="1"/>
  <c r="AI83" i="5"/>
  <c r="AL83" i="5" s="1"/>
  <c r="AH83" i="5"/>
  <c r="AK83" i="5" s="1"/>
  <c r="AI67" i="5"/>
  <c r="AL67" i="5" s="1"/>
  <c r="AH67" i="5"/>
  <c r="AK67" i="5" s="1"/>
  <c r="AI51" i="5"/>
  <c r="AL51" i="5" s="1"/>
  <c r="AH51" i="5"/>
  <c r="AK51" i="5" s="1"/>
  <c r="AH35" i="5"/>
  <c r="AK35" i="5" s="1"/>
  <c r="AH660" i="5"/>
  <c r="AK660" i="5" s="1"/>
  <c r="AI707" i="5"/>
  <c r="AL707" i="5" s="1"/>
  <c r="AI770" i="5"/>
  <c r="AL770" i="5" s="1"/>
  <c r="AH770" i="5"/>
  <c r="AK770" i="5" s="1"/>
  <c r="AI754" i="5"/>
  <c r="AL754" i="5" s="1"/>
  <c r="AH754" i="5"/>
  <c r="AK754" i="5" s="1"/>
  <c r="AI738" i="5"/>
  <c r="AL738" i="5" s="1"/>
  <c r="AH738" i="5"/>
  <c r="AK738" i="5" s="1"/>
  <c r="AH722" i="5"/>
  <c r="AK722" i="5" s="1"/>
  <c r="AI706" i="5"/>
  <c r="AL706" i="5" s="1"/>
  <c r="AH706" i="5"/>
  <c r="AK706" i="5" s="1"/>
  <c r="AI690" i="5"/>
  <c r="AL690" i="5" s="1"/>
  <c r="AH690" i="5"/>
  <c r="AK690" i="5" s="1"/>
  <c r="AH674" i="5"/>
  <c r="AK674" i="5" s="1"/>
  <c r="AI658" i="5"/>
  <c r="AL658" i="5" s="1"/>
  <c r="AH658" i="5"/>
  <c r="AK658" i="5" s="1"/>
  <c r="AH642" i="5"/>
  <c r="AK642" i="5" s="1"/>
  <c r="AI642" i="5"/>
  <c r="AL642" i="5" s="1"/>
  <c r="AI626" i="5"/>
  <c r="AL626" i="5" s="1"/>
  <c r="AH626" i="5"/>
  <c r="AK626" i="5" s="1"/>
  <c r="AI610" i="5"/>
  <c r="AL610" i="5" s="1"/>
  <c r="AH610" i="5"/>
  <c r="AK610" i="5" s="1"/>
  <c r="AH594" i="5"/>
  <c r="AK594" i="5" s="1"/>
  <c r="AI594" i="5"/>
  <c r="AL594" i="5" s="1"/>
  <c r="AI578" i="5"/>
  <c r="AL578" i="5" s="1"/>
  <c r="AH578" i="5"/>
  <c r="AK578" i="5" s="1"/>
  <c r="AH546" i="5"/>
  <c r="AK546" i="5" s="1"/>
  <c r="AI530" i="5"/>
  <c r="AL530" i="5" s="1"/>
  <c r="AI514" i="5"/>
  <c r="AL514" i="5" s="1"/>
  <c r="AH514" i="5"/>
  <c r="AK514" i="5" s="1"/>
  <c r="AI498" i="5"/>
  <c r="AL498" i="5" s="1"/>
  <c r="AH498" i="5"/>
  <c r="AK498" i="5" s="1"/>
  <c r="AI482" i="5"/>
  <c r="AL482" i="5" s="1"/>
  <c r="AH482" i="5"/>
  <c r="AK482" i="5" s="1"/>
  <c r="AH244" i="5"/>
  <c r="AK244" i="5" s="1"/>
  <c r="AI674" i="5"/>
  <c r="AL674" i="5" s="1"/>
  <c r="AH542" i="5"/>
  <c r="AK542" i="5" s="1"/>
  <c r="AH612" i="5"/>
  <c r="AK612" i="5" s="1"/>
  <c r="AI612" i="5"/>
  <c r="AL612" i="5" s="1"/>
  <c r="AI686" i="5"/>
  <c r="AL686" i="5" s="1"/>
  <c r="AH686" i="5"/>
  <c r="AK686" i="5" s="1"/>
  <c r="AI30" i="5"/>
  <c r="AL30" i="5" s="1"/>
  <c r="AH462" i="5"/>
  <c r="AK462" i="5" s="1"/>
  <c r="AH382" i="5"/>
  <c r="AK382" i="5" s="1"/>
  <c r="AI766" i="5"/>
  <c r="AL766" i="5" s="1"/>
  <c r="AH766" i="5"/>
  <c r="AK766" i="5" s="1"/>
  <c r="AI750" i="5"/>
  <c r="AL750" i="5" s="1"/>
  <c r="AH750" i="5"/>
  <c r="AK750" i="5" s="1"/>
  <c r="AI734" i="5"/>
  <c r="AL734" i="5" s="1"/>
  <c r="AH734" i="5"/>
  <c r="AK734" i="5" s="1"/>
  <c r="AH702" i="5"/>
  <c r="AK702" i="5" s="1"/>
  <c r="AH670" i="5"/>
  <c r="AK670" i="5" s="1"/>
  <c r="AI670" i="5"/>
  <c r="AL670" i="5" s="1"/>
  <c r="AH654" i="5"/>
  <c r="AK654" i="5" s="1"/>
  <c r="AI654" i="5"/>
  <c r="AL654" i="5" s="1"/>
  <c r="AH622" i="5"/>
  <c r="AK622" i="5" s="1"/>
  <c r="AI622" i="5"/>
  <c r="AL622" i="5" s="1"/>
  <c r="AI606" i="5"/>
  <c r="AL606" i="5" s="1"/>
  <c r="AH606" i="5"/>
  <c r="AK606" i="5" s="1"/>
  <c r="AI590" i="5"/>
  <c r="AL590" i="5" s="1"/>
  <c r="AH590" i="5"/>
  <c r="AK590" i="5" s="1"/>
  <c r="AH574" i="5"/>
  <c r="AK574" i="5" s="1"/>
  <c r="AI574" i="5"/>
  <c r="AL574" i="5" s="1"/>
  <c r="AI526" i="5"/>
  <c r="AL526" i="5" s="1"/>
  <c r="AH526" i="5"/>
  <c r="AK526" i="5" s="1"/>
  <c r="AI510" i="5"/>
  <c r="AL510" i="5" s="1"/>
  <c r="AH510" i="5"/>
  <c r="AK510" i="5" s="1"/>
  <c r="AI494" i="5"/>
  <c r="AL494" i="5" s="1"/>
  <c r="AH494" i="5"/>
  <c r="AK494" i="5" s="1"/>
  <c r="AI478" i="5"/>
  <c r="AL478" i="5" s="1"/>
  <c r="AH478" i="5"/>
  <c r="AK478" i="5" s="1"/>
  <c r="AH446" i="5"/>
  <c r="AK446" i="5" s="1"/>
  <c r="AI446" i="5"/>
  <c r="AL446" i="5" s="1"/>
  <c r="AI414" i="5"/>
  <c r="AL414" i="5" s="1"/>
  <c r="AH414" i="5"/>
  <c r="AK414" i="5" s="1"/>
  <c r="AI398" i="5"/>
  <c r="AL398" i="5" s="1"/>
  <c r="AH398" i="5"/>
  <c r="AK398" i="5" s="1"/>
  <c r="AI366" i="5"/>
  <c r="AL366" i="5" s="1"/>
  <c r="AH366" i="5"/>
  <c r="AK366" i="5" s="1"/>
  <c r="AI334" i="5"/>
  <c r="AL334" i="5" s="1"/>
  <c r="AH334" i="5"/>
  <c r="AK334" i="5" s="1"/>
  <c r="AH318" i="5"/>
  <c r="AK318" i="5" s="1"/>
  <c r="AI318" i="5"/>
  <c r="AL318" i="5" s="1"/>
  <c r="AI302" i="5"/>
  <c r="AL302" i="5" s="1"/>
  <c r="AH302" i="5"/>
  <c r="AK302" i="5" s="1"/>
  <c r="AI286" i="5"/>
  <c r="AL286" i="5" s="1"/>
  <c r="AH286" i="5"/>
  <c r="AK286" i="5" s="1"/>
  <c r="AH254" i="5"/>
  <c r="AK254" i="5" s="1"/>
  <c r="AI254" i="5"/>
  <c r="AL254" i="5" s="1"/>
  <c r="AI238" i="5"/>
  <c r="AL238" i="5" s="1"/>
  <c r="AH238" i="5"/>
  <c r="AK238" i="5" s="1"/>
  <c r="AI222" i="5"/>
  <c r="AL222" i="5" s="1"/>
  <c r="AH222" i="5"/>
  <c r="AK222" i="5" s="1"/>
  <c r="AI206" i="5"/>
  <c r="AL206" i="5" s="1"/>
  <c r="AH206" i="5"/>
  <c r="AK206" i="5" s="1"/>
  <c r="AI190" i="5"/>
  <c r="AL190" i="5" s="1"/>
  <c r="AH190" i="5"/>
  <c r="AK190" i="5" s="1"/>
  <c r="AI174" i="5"/>
  <c r="AL174" i="5" s="1"/>
  <c r="AH174" i="5"/>
  <c r="AK174" i="5" s="1"/>
  <c r="AI158" i="5"/>
  <c r="AL158" i="5" s="1"/>
  <c r="AH158" i="5"/>
  <c r="AK158" i="5" s="1"/>
  <c r="AI142" i="5"/>
  <c r="AL142" i="5" s="1"/>
  <c r="AI126" i="5"/>
  <c r="AL126" i="5" s="1"/>
  <c r="AH126" i="5"/>
  <c r="AK126" i="5" s="1"/>
  <c r="AI94" i="5"/>
  <c r="AL94" i="5" s="1"/>
  <c r="AH94" i="5"/>
  <c r="AK94" i="5" s="1"/>
  <c r="AI62" i="5"/>
  <c r="AL62" i="5" s="1"/>
  <c r="AH62" i="5"/>
  <c r="AK62" i="5" s="1"/>
  <c r="AH46" i="5"/>
  <c r="AK46" i="5" s="1"/>
  <c r="AH718" i="5"/>
  <c r="AK718" i="5" s="1"/>
  <c r="AH430" i="5"/>
  <c r="AK430" i="5" s="1"/>
  <c r="AI718" i="5"/>
  <c r="AL718" i="5" s="1"/>
  <c r="AI46" i="5"/>
  <c r="AL46" i="5" s="1"/>
  <c r="AH516" i="5"/>
  <c r="AK516" i="5" s="1"/>
  <c r="AI292" i="5"/>
  <c r="AL292" i="5" s="1"/>
  <c r="AH404" i="5"/>
  <c r="AK404" i="5" s="1"/>
  <c r="AH110" i="5"/>
  <c r="AK110" i="5" s="1"/>
  <c r="AH164" i="5"/>
  <c r="AK164" i="5" s="1"/>
  <c r="AI307" i="5"/>
  <c r="AL307" i="5" s="1"/>
  <c r="AI419" i="5"/>
  <c r="AL419" i="5" s="1"/>
  <c r="AI531" i="5"/>
  <c r="AL531" i="5" s="1"/>
  <c r="AH692" i="5"/>
  <c r="AK692" i="5" s="1"/>
  <c r="AH740" i="5"/>
  <c r="AK740" i="5" s="1"/>
  <c r="AH78" i="5"/>
  <c r="AK78" i="5" s="1"/>
  <c r="AI110" i="5"/>
  <c r="AL110" i="5" s="1"/>
  <c r="AI451" i="5"/>
  <c r="AL451" i="5" s="1"/>
  <c r="AH638" i="5"/>
  <c r="AK638" i="5" s="1"/>
  <c r="AH644" i="5"/>
  <c r="AK644" i="5" s="1"/>
  <c r="AI78" i="5"/>
  <c r="AL78" i="5" s="1"/>
  <c r="AH142" i="5"/>
  <c r="AK142" i="5" s="1"/>
  <c r="AI546" i="5"/>
  <c r="AL546" i="5" s="1"/>
  <c r="AI638" i="5"/>
  <c r="AL638" i="5" s="1"/>
  <c r="AH466" i="5"/>
  <c r="AK466" i="5" s="1"/>
  <c r="AI466" i="5"/>
  <c r="AL466" i="5" s="1"/>
  <c r="AI450" i="5"/>
  <c r="AL450" i="5" s="1"/>
  <c r="AH450" i="5"/>
  <c r="AK450" i="5" s="1"/>
  <c r="AI418" i="5"/>
  <c r="AL418" i="5" s="1"/>
  <c r="AH418" i="5"/>
  <c r="AK418" i="5" s="1"/>
  <c r="AI402" i="5"/>
  <c r="AL402" i="5" s="1"/>
  <c r="AH402" i="5"/>
  <c r="AK402" i="5" s="1"/>
  <c r="AI386" i="5"/>
  <c r="AL386" i="5" s="1"/>
  <c r="AH386" i="5"/>
  <c r="AK386" i="5" s="1"/>
  <c r="AI354" i="5"/>
  <c r="AL354" i="5" s="1"/>
  <c r="AI338" i="5"/>
  <c r="AL338" i="5" s="1"/>
  <c r="AH338" i="5"/>
  <c r="AK338" i="5" s="1"/>
  <c r="AI306" i="5"/>
  <c r="AL306" i="5" s="1"/>
  <c r="AH306" i="5"/>
  <c r="AK306" i="5" s="1"/>
  <c r="AI290" i="5"/>
  <c r="AL290" i="5" s="1"/>
  <c r="AH290" i="5"/>
  <c r="AK290" i="5" s="1"/>
  <c r="AH258" i="5"/>
  <c r="AK258" i="5" s="1"/>
  <c r="AI242" i="5"/>
  <c r="AL242" i="5" s="1"/>
  <c r="AH242" i="5"/>
  <c r="AK242" i="5" s="1"/>
  <c r="AI210" i="5"/>
  <c r="AL210" i="5" s="1"/>
  <c r="AH210" i="5"/>
  <c r="AK210" i="5" s="1"/>
  <c r="AI194" i="5"/>
  <c r="AL194" i="5" s="1"/>
  <c r="AH194" i="5"/>
  <c r="AK194" i="5" s="1"/>
  <c r="AI162" i="5"/>
  <c r="AL162" i="5" s="1"/>
  <c r="AH162" i="5"/>
  <c r="AK162" i="5" s="1"/>
  <c r="AI130" i="5"/>
  <c r="AL130" i="5" s="1"/>
  <c r="AH130" i="5"/>
  <c r="AK130" i="5" s="1"/>
  <c r="AI98" i="5"/>
  <c r="AL98" i="5" s="1"/>
  <c r="AH98" i="5"/>
  <c r="AK98" i="5" s="1"/>
  <c r="AH66" i="5"/>
  <c r="AK66" i="5" s="1"/>
  <c r="AI66" i="5"/>
  <c r="AL66" i="5" s="1"/>
  <c r="AI34" i="5"/>
  <c r="AL34" i="5" s="1"/>
  <c r="AH34" i="5"/>
  <c r="AK34" i="5" s="1"/>
  <c r="AI769" i="5"/>
  <c r="AL769" i="5" s="1"/>
  <c r="AH769" i="5"/>
  <c r="AK769" i="5" s="1"/>
  <c r="AI753" i="5"/>
  <c r="AL753" i="5" s="1"/>
  <c r="AH753" i="5"/>
  <c r="AK753" i="5" s="1"/>
  <c r="AH737" i="5"/>
  <c r="AK737" i="5" s="1"/>
  <c r="AI737" i="5"/>
  <c r="AL737" i="5" s="1"/>
  <c r="AI721" i="5"/>
  <c r="AL721" i="5" s="1"/>
  <c r="AH721" i="5"/>
  <c r="AK721" i="5" s="1"/>
  <c r="AI705" i="5"/>
  <c r="AL705" i="5" s="1"/>
  <c r="AH705" i="5"/>
  <c r="AK705" i="5" s="1"/>
  <c r="AH689" i="5"/>
  <c r="AK689" i="5" s="1"/>
  <c r="AI689" i="5"/>
  <c r="AL689" i="5" s="1"/>
  <c r="AI673" i="5"/>
  <c r="AL673" i="5" s="1"/>
  <c r="AH673" i="5"/>
  <c r="AK673" i="5" s="1"/>
  <c r="AI657" i="5"/>
  <c r="AL657" i="5" s="1"/>
  <c r="AH657" i="5"/>
  <c r="AK657" i="5" s="1"/>
  <c r="AI641" i="5"/>
  <c r="AL641" i="5" s="1"/>
  <c r="AH641" i="5"/>
  <c r="AK641" i="5" s="1"/>
  <c r="AI625" i="5"/>
  <c r="AL625" i="5" s="1"/>
  <c r="AH625" i="5"/>
  <c r="AK625" i="5" s="1"/>
  <c r="AI609" i="5"/>
  <c r="AL609" i="5" s="1"/>
  <c r="AH609" i="5"/>
  <c r="AK609" i="5" s="1"/>
  <c r="AH561" i="5"/>
  <c r="AK561" i="5" s="1"/>
  <c r="AH545" i="5"/>
  <c r="AK545" i="5" s="1"/>
  <c r="AI545" i="5"/>
  <c r="AL545" i="5" s="1"/>
  <c r="AI529" i="5"/>
  <c r="AL529" i="5" s="1"/>
  <c r="AH529" i="5"/>
  <c r="AK529" i="5" s="1"/>
  <c r="AI513" i="5"/>
  <c r="AL513" i="5" s="1"/>
  <c r="AH513" i="5"/>
  <c r="AK513" i="5" s="1"/>
  <c r="AI497" i="5"/>
  <c r="AL497" i="5" s="1"/>
  <c r="AH497" i="5"/>
  <c r="AK497" i="5" s="1"/>
  <c r="AI481" i="5"/>
  <c r="AL481" i="5" s="1"/>
  <c r="AH481" i="5"/>
  <c r="AK481" i="5" s="1"/>
  <c r="AH449" i="5"/>
  <c r="AK449" i="5" s="1"/>
  <c r="AH433" i="5"/>
  <c r="AK433" i="5" s="1"/>
  <c r="AI433" i="5"/>
  <c r="AL433" i="5" s="1"/>
  <c r="AI417" i="5"/>
  <c r="AL417" i="5" s="1"/>
  <c r="AH417" i="5"/>
  <c r="AK417" i="5" s="1"/>
  <c r="AI401" i="5"/>
  <c r="AL401" i="5" s="1"/>
  <c r="AH401" i="5"/>
  <c r="AK401" i="5" s="1"/>
  <c r="AH369" i="5"/>
  <c r="AK369" i="5" s="1"/>
  <c r="AH353" i="5"/>
  <c r="AK353" i="5" s="1"/>
  <c r="AH337" i="5"/>
  <c r="AK337" i="5" s="1"/>
  <c r="AI337" i="5"/>
  <c r="AL337" i="5" s="1"/>
  <c r="AI321" i="5"/>
  <c r="AL321" i="5" s="1"/>
  <c r="AH321" i="5"/>
  <c r="AK321" i="5" s="1"/>
  <c r="AI305" i="5"/>
  <c r="AL305" i="5" s="1"/>
  <c r="AH305" i="5"/>
  <c r="AK305" i="5" s="1"/>
  <c r="AI289" i="5"/>
  <c r="AL289" i="5" s="1"/>
  <c r="AH289" i="5"/>
  <c r="AK289" i="5" s="1"/>
  <c r="AH273" i="5"/>
  <c r="AK273" i="5" s="1"/>
  <c r="AI257" i="5"/>
  <c r="AL257" i="5" s="1"/>
  <c r="AH257" i="5"/>
  <c r="AK257" i="5" s="1"/>
  <c r="AH225" i="5"/>
  <c r="AK225" i="5" s="1"/>
  <c r="AI225" i="5"/>
  <c r="AL225" i="5" s="1"/>
  <c r="AH209" i="5"/>
  <c r="AK209" i="5" s="1"/>
  <c r="AI209" i="5"/>
  <c r="AL209" i="5" s="1"/>
  <c r="AH177" i="5"/>
  <c r="AK177" i="5" s="1"/>
  <c r="AI177" i="5"/>
  <c r="AL177" i="5" s="1"/>
  <c r="AH161" i="5"/>
  <c r="AK161" i="5" s="1"/>
  <c r="AI161" i="5"/>
  <c r="AL161" i="5" s="1"/>
  <c r="AH145" i="5"/>
  <c r="AK145" i="5" s="1"/>
  <c r="AI145" i="5"/>
  <c r="AL145" i="5" s="1"/>
  <c r="AH129" i="5"/>
  <c r="AK129" i="5" s="1"/>
  <c r="AI129" i="5"/>
  <c r="AL129" i="5" s="1"/>
  <c r="AH113" i="5"/>
  <c r="AK113" i="5" s="1"/>
  <c r="AI113" i="5"/>
  <c r="AL113" i="5" s="1"/>
  <c r="AH97" i="5"/>
  <c r="AK97" i="5" s="1"/>
  <c r="AI97" i="5"/>
  <c r="AL97" i="5" s="1"/>
  <c r="AH81" i="5"/>
  <c r="AK81" i="5" s="1"/>
  <c r="AI81" i="5"/>
  <c r="AL81" i="5" s="1"/>
  <c r="AH49" i="5"/>
  <c r="AK49" i="5" s="1"/>
  <c r="AI49" i="5"/>
  <c r="AL49" i="5" s="1"/>
  <c r="AH82" i="5"/>
  <c r="AK82" i="5" s="1"/>
  <c r="AI720" i="5"/>
  <c r="AL720" i="5" s="1"/>
  <c r="AH720" i="5"/>
  <c r="AK720" i="5" s="1"/>
  <c r="AI704" i="5"/>
  <c r="AL704" i="5" s="1"/>
  <c r="AI672" i="5"/>
  <c r="AL672" i="5" s="1"/>
  <c r="AH672" i="5"/>
  <c r="AK672" i="5" s="1"/>
  <c r="AI656" i="5"/>
  <c r="AL656" i="5" s="1"/>
  <c r="AI640" i="5"/>
  <c r="AL640" i="5" s="1"/>
  <c r="AH640" i="5"/>
  <c r="AK640" i="5" s="1"/>
  <c r="AI608" i="5"/>
  <c r="AL608" i="5" s="1"/>
  <c r="AH592" i="5"/>
  <c r="AK592" i="5" s="1"/>
  <c r="AI576" i="5"/>
  <c r="AL576" i="5" s="1"/>
  <c r="AH576" i="5"/>
  <c r="AK576" i="5" s="1"/>
  <c r="AI560" i="5"/>
  <c r="AL560" i="5" s="1"/>
  <c r="AH560" i="5"/>
  <c r="AK560" i="5" s="1"/>
  <c r="AH544" i="5"/>
  <c r="AK544" i="5" s="1"/>
  <c r="AI544" i="5"/>
  <c r="AL544" i="5" s="1"/>
  <c r="AI528" i="5"/>
  <c r="AL528" i="5" s="1"/>
  <c r="AH528" i="5"/>
  <c r="AK528" i="5" s="1"/>
  <c r="AH464" i="5"/>
  <c r="AK464" i="5" s="1"/>
  <c r="AI464" i="5"/>
  <c r="AL464" i="5" s="1"/>
  <c r="AI448" i="5"/>
  <c r="AL448" i="5" s="1"/>
  <c r="AH448" i="5"/>
  <c r="AK448" i="5" s="1"/>
  <c r="AH432" i="5"/>
  <c r="AK432" i="5" s="1"/>
  <c r="AI432" i="5"/>
  <c r="AL432" i="5" s="1"/>
  <c r="AI400" i="5"/>
  <c r="AL400" i="5" s="1"/>
  <c r="AI384" i="5"/>
  <c r="AL384" i="5" s="1"/>
  <c r="AH384" i="5"/>
  <c r="AK384" i="5" s="1"/>
  <c r="AI368" i="5"/>
  <c r="AL368" i="5" s="1"/>
  <c r="AH368" i="5"/>
  <c r="AK368" i="5" s="1"/>
  <c r="AI352" i="5"/>
  <c r="AL352" i="5" s="1"/>
  <c r="AH352" i="5"/>
  <c r="AK352" i="5" s="1"/>
  <c r="AI336" i="5"/>
  <c r="AL336" i="5" s="1"/>
  <c r="AH336" i="5"/>
  <c r="AK336" i="5" s="1"/>
  <c r="AI320" i="5"/>
  <c r="AL320" i="5" s="1"/>
  <c r="AH320" i="5"/>
  <c r="AK320" i="5" s="1"/>
  <c r="AI272" i="5"/>
  <c r="AL272" i="5" s="1"/>
  <c r="AH272" i="5"/>
  <c r="AK272" i="5" s="1"/>
  <c r="AI224" i="5"/>
  <c r="AL224" i="5" s="1"/>
  <c r="AH224" i="5"/>
  <c r="AK224" i="5" s="1"/>
  <c r="AI192" i="5"/>
  <c r="AL192" i="5" s="1"/>
  <c r="AH192" i="5"/>
  <c r="AK192" i="5" s="1"/>
  <c r="AI176" i="5"/>
  <c r="AL176" i="5" s="1"/>
  <c r="AH176" i="5"/>
  <c r="AK176" i="5" s="1"/>
  <c r="AI144" i="5"/>
  <c r="AL144" i="5" s="1"/>
  <c r="AH144" i="5"/>
  <c r="AK144" i="5" s="1"/>
  <c r="AI112" i="5"/>
  <c r="AL112" i="5" s="1"/>
  <c r="AH112" i="5"/>
  <c r="AK112" i="5" s="1"/>
  <c r="AI80" i="5"/>
  <c r="AL80" i="5" s="1"/>
  <c r="AH80" i="5"/>
  <c r="AK80" i="5" s="1"/>
  <c r="AI48" i="5"/>
  <c r="AL48" i="5" s="1"/>
  <c r="AH48" i="5"/>
  <c r="AK48" i="5" s="1"/>
  <c r="AI416" i="5"/>
  <c r="AL416" i="5" s="1"/>
  <c r="AI561" i="5"/>
  <c r="AL561" i="5" s="1"/>
  <c r="AH752" i="5"/>
  <c r="AK752" i="5" s="1"/>
  <c r="AI767" i="5"/>
  <c r="AL767" i="5" s="1"/>
  <c r="AH767" i="5"/>
  <c r="AK767" i="5" s="1"/>
  <c r="AI751" i="5"/>
  <c r="AL751" i="5" s="1"/>
  <c r="AI719" i="5"/>
  <c r="AL719" i="5" s="1"/>
  <c r="AH719" i="5"/>
  <c r="AK719" i="5" s="1"/>
  <c r="AI703" i="5"/>
  <c r="AL703" i="5" s="1"/>
  <c r="AH703" i="5"/>
  <c r="AK703" i="5" s="1"/>
  <c r="AI687" i="5"/>
  <c r="AL687" i="5" s="1"/>
  <c r="AH687" i="5"/>
  <c r="AK687" i="5" s="1"/>
  <c r="AI639" i="5"/>
  <c r="AL639" i="5" s="1"/>
  <c r="AH639" i="5"/>
  <c r="AK639" i="5" s="1"/>
  <c r="AI607" i="5"/>
  <c r="AL607" i="5" s="1"/>
  <c r="AH607" i="5"/>
  <c r="AK607" i="5" s="1"/>
  <c r="AI591" i="5"/>
  <c r="AL591" i="5" s="1"/>
  <c r="AH591" i="5"/>
  <c r="AK591" i="5" s="1"/>
  <c r="AI575" i="5"/>
  <c r="AL575" i="5" s="1"/>
  <c r="AH575" i="5"/>
  <c r="AK575" i="5" s="1"/>
  <c r="AI559" i="5"/>
  <c r="AL559" i="5" s="1"/>
  <c r="AH559" i="5"/>
  <c r="AK559" i="5" s="1"/>
  <c r="AI543" i="5"/>
  <c r="AL543" i="5" s="1"/>
  <c r="AH543" i="5"/>
  <c r="AK543" i="5" s="1"/>
  <c r="AH527" i="5"/>
  <c r="AK527" i="5" s="1"/>
  <c r="AI495" i="5"/>
  <c r="AL495" i="5" s="1"/>
  <c r="AH495" i="5"/>
  <c r="AK495" i="5" s="1"/>
  <c r="AI479" i="5"/>
  <c r="AL479" i="5" s="1"/>
  <c r="AH479" i="5"/>
  <c r="AK479" i="5" s="1"/>
  <c r="AI463" i="5"/>
  <c r="AL463" i="5" s="1"/>
  <c r="AH463" i="5"/>
  <c r="AK463" i="5" s="1"/>
  <c r="AI447" i="5"/>
  <c r="AL447" i="5" s="1"/>
  <c r="AH447" i="5"/>
  <c r="AK447" i="5" s="1"/>
  <c r="AH415" i="5"/>
  <c r="AK415" i="5" s="1"/>
  <c r="AI415" i="5"/>
  <c r="AL415" i="5" s="1"/>
  <c r="AI399" i="5"/>
  <c r="AL399" i="5" s="1"/>
  <c r="AH399" i="5"/>
  <c r="AK399" i="5" s="1"/>
  <c r="AI383" i="5"/>
  <c r="AL383" i="5" s="1"/>
  <c r="AH383" i="5"/>
  <c r="AK383" i="5" s="1"/>
  <c r="AI367" i="5"/>
  <c r="AL367" i="5" s="1"/>
  <c r="AH367" i="5"/>
  <c r="AK367" i="5" s="1"/>
  <c r="AI351" i="5"/>
  <c r="AL351" i="5" s="1"/>
  <c r="AH351" i="5"/>
  <c r="AK351" i="5" s="1"/>
  <c r="AI303" i="5"/>
  <c r="AL303" i="5" s="1"/>
  <c r="AH303" i="5"/>
  <c r="AK303" i="5" s="1"/>
  <c r="AI287" i="5"/>
  <c r="AL287" i="5" s="1"/>
  <c r="AH287" i="5"/>
  <c r="AK287" i="5" s="1"/>
  <c r="AI239" i="5"/>
  <c r="AL239" i="5" s="1"/>
  <c r="AH239" i="5"/>
  <c r="AK239" i="5" s="1"/>
  <c r="AI191" i="5"/>
  <c r="AL191" i="5" s="1"/>
  <c r="AH191" i="5"/>
  <c r="AK191" i="5" s="1"/>
  <c r="AH159" i="5"/>
  <c r="AK159" i="5" s="1"/>
  <c r="AI159" i="5"/>
  <c r="AL159" i="5" s="1"/>
  <c r="AI127" i="5"/>
  <c r="AL127" i="5" s="1"/>
  <c r="AH127" i="5"/>
  <c r="AK127" i="5" s="1"/>
  <c r="AH95" i="5"/>
  <c r="AK95" i="5" s="1"/>
  <c r="AI79" i="5"/>
  <c r="AL79" i="5" s="1"/>
  <c r="AH79" i="5"/>
  <c r="AK79" i="5" s="1"/>
  <c r="AI63" i="5"/>
  <c r="AL63" i="5" s="1"/>
  <c r="AH63" i="5"/>
  <c r="AK63" i="5" s="1"/>
  <c r="AI31" i="5"/>
  <c r="AL31" i="5" s="1"/>
  <c r="AH31" i="5"/>
  <c r="AK31" i="5" s="1"/>
  <c r="AH16" i="5"/>
  <c r="AK16" i="5" s="1"/>
  <c r="AI331" i="5"/>
  <c r="AL331" i="5" s="1"/>
  <c r="AH331" i="5"/>
  <c r="AK331" i="5" s="1"/>
  <c r="AI749" i="5"/>
  <c r="AL749" i="5" s="1"/>
  <c r="AH749" i="5"/>
  <c r="AK749" i="5" s="1"/>
  <c r="AI701" i="5"/>
  <c r="AL701" i="5" s="1"/>
  <c r="AH701" i="5"/>
  <c r="AK701" i="5" s="1"/>
  <c r="AI669" i="5"/>
  <c r="AL669" i="5" s="1"/>
  <c r="AH669" i="5"/>
  <c r="AK669" i="5" s="1"/>
  <c r="AI541" i="5"/>
  <c r="AL541" i="5" s="1"/>
  <c r="AH541" i="5"/>
  <c r="AK541" i="5" s="1"/>
  <c r="AI509" i="5"/>
  <c r="AL509" i="5" s="1"/>
  <c r="AH509" i="5"/>
  <c r="AK509" i="5" s="1"/>
  <c r="AH429" i="5"/>
  <c r="AK429" i="5" s="1"/>
  <c r="AI397" i="5"/>
  <c r="AL397" i="5" s="1"/>
  <c r="AI269" i="5"/>
  <c r="AL269" i="5" s="1"/>
  <c r="AH269" i="5"/>
  <c r="AK269" i="5" s="1"/>
  <c r="AI205" i="5"/>
  <c r="AL205" i="5" s="1"/>
  <c r="AH205" i="5"/>
  <c r="AK205" i="5" s="1"/>
  <c r="AH109" i="5"/>
  <c r="AK109" i="5" s="1"/>
  <c r="AI29" i="5"/>
  <c r="AL29" i="5" s="1"/>
  <c r="AH29" i="5"/>
  <c r="AK29" i="5" s="1"/>
  <c r="AH19" i="5"/>
  <c r="AK19" i="5" s="1"/>
  <c r="AH363" i="5"/>
  <c r="AK363" i="5" s="1"/>
  <c r="AH413" i="5"/>
  <c r="AK413" i="5" s="1"/>
  <c r="AH765" i="5"/>
  <c r="AK765" i="5" s="1"/>
  <c r="AI764" i="5"/>
  <c r="AL764" i="5" s="1"/>
  <c r="AH764" i="5"/>
  <c r="AK764" i="5" s="1"/>
  <c r="AH652" i="5"/>
  <c r="AK652" i="5" s="1"/>
  <c r="AI636" i="5"/>
  <c r="AL636" i="5" s="1"/>
  <c r="AH636" i="5"/>
  <c r="AK636" i="5" s="1"/>
  <c r="AH604" i="5"/>
  <c r="AK604" i="5" s="1"/>
  <c r="AH492" i="5"/>
  <c r="AK492" i="5" s="1"/>
  <c r="AI380" i="5"/>
  <c r="AL380" i="5" s="1"/>
  <c r="AH380" i="5"/>
  <c r="AK380" i="5" s="1"/>
  <c r="AH364" i="5"/>
  <c r="AK364" i="5" s="1"/>
  <c r="AI364" i="5"/>
  <c r="AL364" i="5" s="1"/>
  <c r="AI348" i="5"/>
  <c r="AL348" i="5" s="1"/>
  <c r="AH348" i="5"/>
  <c r="AK348" i="5" s="1"/>
  <c r="AI252" i="5"/>
  <c r="AL252" i="5" s="1"/>
  <c r="AH252" i="5"/>
  <c r="AK252" i="5" s="1"/>
  <c r="AI172" i="5"/>
  <c r="AL172" i="5" s="1"/>
  <c r="AH172" i="5"/>
  <c r="AK172" i="5" s="1"/>
  <c r="AH12" i="5"/>
  <c r="AK12" i="5" s="1"/>
  <c r="AH76" i="5"/>
  <c r="AK76" i="5" s="1"/>
  <c r="AH253" i="5"/>
  <c r="AK253" i="5" s="1"/>
  <c r="AH332" i="5"/>
  <c r="AK332" i="5" s="1"/>
  <c r="AI347" i="5"/>
  <c r="AL347" i="5" s="1"/>
  <c r="AH428" i="5"/>
  <c r="AK428" i="5" s="1"/>
  <c r="AH605" i="5"/>
  <c r="AK605" i="5" s="1"/>
  <c r="AH621" i="5"/>
  <c r="AK621" i="5" s="1"/>
  <c r="AI700" i="5"/>
  <c r="AL700" i="5" s="1"/>
  <c r="AH716" i="5"/>
  <c r="AK716" i="5" s="1"/>
  <c r="AI763" i="5"/>
  <c r="AL763" i="5" s="1"/>
  <c r="AH763" i="5"/>
  <c r="AK763" i="5" s="1"/>
  <c r="AI747" i="5"/>
  <c r="AL747" i="5" s="1"/>
  <c r="AH747" i="5"/>
  <c r="AK747" i="5" s="1"/>
  <c r="AH683" i="5"/>
  <c r="AK683" i="5" s="1"/>
  <c r="AI683" i="5"/>
  <c r="AL683" i="5" s="1"/>
  <c r="AH571" i="5"/>
  <c r="AK571" i="5" s="1"/>
  <c r="AI523" i="5"/>
  <c r="AL523" i="5" s="1"/>
  <c r="AH523" i="5"/>
  <c r="AK523" i="5" s="1"/>
  <c r="AI459" i="5"/>
  <c r="AL459" i="5" s="1"/>
  <c r="AH459" i="5"/>
  <c r="AK459" i="5" s="1"/>
  <c r="AI443" i="5"/>
  <c r="AL443" i="5" s="1"/>
  <c r="AH443" i="5"/>
  <c r="AK443" i="5" s="1"/>
  <c r="AI235" i="5"/>
  <c r="AL235" i="5" s="1"/>
  <c r="AH235" i="5"/>
  <c r="AK235" i="5" s="1"/>
  <c r="AH139" i="5"/>
  <c r="AK139" i="5" s="1"/>
  <c r="AI59" i="5"/>
  <c r="AL59" i="5" s="1"/>
  <c r="AH59" i="5"/>
  <c r="AK59" i="5" s="1"/>
  <c r="AI76" i="5"/>
  <c r="AL76" i="5" s="1"/>
  <c r="AH108" i="5"/>
  <c r="AK108" i="5" s="1"/>
  <c r="AH283" i="5"/>
  <c r="AK283" i="5" s="1"/>
  <c r="AH444" i="5"/>
  <c r="AK444" i="5" s="1"/>
  <c r="AH556" i="5"/>
  <c r="AK556" i="5" s="1"/>
  <c r="AI716" i="5"/>
  <c r="AL716" i="5" s="1"/>
  <c r="AI730" i="5"/>
  <c r="AL730" i="5" s="1"/>
  <c r="AH730" i="5"/>
  <c r="AK730" i="5" s="1"/>
  <c r="AH666" i="5"/>
  <c r="AK666" i="5" s="1"/>
  <c r="AI650" i="5"/>
  <c r="AL650" i="5" s="1"/>
  <c r="AH650" i="5"/>
  <c r="AK650" i="5" s="1"/>
  <c r="AI618" i="5"/>
  <c r="AL618" i="5" s="1"/>
  <c r="AH618" i="5"/>
  <c r="AK618" i="5" s="1"/>
  <c r="AH538" i="5"/>
  <c r="AK538" i="5" s="1"/>
  <c r="AI506" i="5"/>
  <c r="AL506" i="5" s="1"/>
  <c r="AH506" i="5"/>
  <c r="AK506" i="5" s="1"/>
  <c r="AI474" i="5"/>
  <c r="AL474" i="5" s="1"/>
  <c r="AH474" i="5"/>
  <c r="AK474" i="5" s="1"/>
  <c r="AI394" i="5"/>
  <c r="AL394" i="5" s="1"/>
  <c r="AH394" i="5"/>
  <c r="AK394" i="5" s="1"/>
  <c r="AI202" i="5"/>
  <c r="AL202" i="5" s="1"/>
  <c r="AH202" i="5"/>
  <c r="AK202" i="5" s="1"/>
  <c r="AH26" i="5"/>
  <c r="AK26" i="5" s="1"/>
  <c r="AI16" i="5"/>
  <c r="AL16" i="5" s="1"/>
  <c r="AH27" i="5"/>
  <c r="AK27" i="5" s="1"/>
  <c r="AH123" i="5"/>
  <c r="AK123" i="5" s="1"/>
  <c r="AH220" i="5"/>
  <c r="AK220" i="5" s="1"/>
  <c r="AH268" i="5"/>
  <c r="AK268" i="5" s="1"/>
  <c r="AH379" i="5"/>
  <c r="AK379" i="5" s="1"/>
  <c r="AI410" i="5"/>
  <c r="AL410" i="5" s="1"/>
  <c r="AH525" i="5"/>
  <c r="AK525" i="5" s="1"/>
  <c r="AH540" i="5"/>
  <c r="AK540" i="5" s="1"/>
  <c r="AI571" i="5"/>
  <c r="AL571" i="5" s="1"/>
  <c r="AH637" i="5"/>
  <c r="AK637" i="5" s="1"/>
  <c r="AH653" i="5"/>
  <c r="AK653" i="5" s="1"/>
  <c r="AI761" i="5"/>
  <c r="AL761" i="5" s="1"/>
  <c r="AI745" i="5"/>
  <c r="AL745" i="5" s="1"/>
  <c r="AH745" i="5"/>
  <c r="AK745" i="5" s="1"/>
  <c r="AH665" i="5"/>
  <c r="AK665" i="5" s="1"/>
  <c r="AI569" i="5"/>
  <c r="AL569" i="5" s="1"/>
  <c r="AH569" i="5"/>
  <c r="AK569" i="5" s="1"/>
  <c r="AH457" i="5"/>
  <c r="AK457" i="5" s="1"/>
  <c r="AH345" i="5"/>
  <c r="AK345" i="5" s="1"/>
  <c r="AI313" i="5"/>
  <c r="AL313" i="5" s="1"/>
  <c r="AH313" i="5"/>
  <c r="AK313" i="5" s="1"/>
  <c r="AH169" i="5"/>
  <c r="AK169" i="5" s="1"/>
  <c r="AI89" i="5"/>
  <c r="AL89" i="5" s="1"/>
  <c r="AH89" i="5"/>
  <c r="AK89" i="5" s="1"/>
  <c r="AH20" i="5"/>
  <c r="AK20" i="5" s="1"/>
  <c r="AH105" i="5"/>
  <c r="AK105" i="5" s="1"/>
  <c r="AI169" i="5"/>
  <c r="AL169" i="5" s="1"/>
  <c r="AH187" i="5"/>
  <c r="AK187" i="5" s="1"/>
  <c r="AH317" i="5"/>
  <c r="AK317" i="5" s="1"/>
  <c r="AH395" i="5"/>
  <c r="AK395" i="5" s="1"/>
  <c r="AH475" i="5"/>
  <c r="AK475" i="5" s="1"/>
  <c r="AI525" i="5"/>
  <c r="AL525" i="5" s="1"/>
  <c r="AH602" i="5"/>
  <c r="AK602" i="5" s="1"/>
  <c r="AH633" i="5"/>
  <c r="AK633" i="5" s="1"/>
  <c r="AI653" i="5"/>
  <c r="AL653" i="5" s="1"/>
  <c r="AI665" i="5"/>
  <c r="AL665" i="5" s="1"/>
  <c r="AH685" i="5"/>
  <c r="AK685" i="5" s="1"/>
  <c r="AH697" i="5"/>
  <c r="AK697" i="5" s="1"/>
  <c r="AH733" i="5"/>
  <c r="AK733" i="5" s="1"/>
  <c r="AH712" i="5"/>
  <c r="AK712" i="5" s="1"/>
  <c r="AI712" i="5"/>
  <c r="AL712" i="5" s="1"/>
  <c r="AH680" i="5"/>
  <c r="AK680" i="5" s="1"/>
  <c r="AH632" i="5"/>
  <c r="AK632" i="5" s="1"/>
  <c r="AI632" i="5"/>
  <c r="AL632" i="5" s="1"/>
  <c r="AI552" i="5"/>
  <c r="AL552" i="5" s="1"/>
  <c r="AH552" i="5"/>
  <c r="AK552" i="5" s="1"/>
  <c r="AH520" i="5"/>
  <c r="AK520" i="5" s="1"/>
  <c r="AI520" i="5"/>
  <c r="AL520" i="5" s="1"/>
  <c r="AI488" i="5"/>
  <c r="AL488" i="5" s="1"/>
  <c r="AH488" i="5"/>
  <c r="AK488" i="5" s="1"/>
  <c r="AI408" i="5"/>
  <c r="AL408" i="5" s="1"/>
  <c r="AH408" i="5"/>
  <c r="AK408" i="5" s="1"/>
  <c r="AI296" i="5"/>
  <c r="AL296" i="5" s="1"/>
  <c r="AH296" i="5"/>
  <c r="AK296" i="5" s="1"/>
  <c r="AI232" i="5"/>
  <c r="AL232" i="5" s="1"/>
  <c r="AH232" i="5"/>
  <c r="AK232" i="5" s="1"/>
  <c r="AH56" i="5"/>
  <c r="AK56" i="5" s="1"/>
  <c r="AH45" i="5"/>
  <c r="AK45" i="5" s="1"/>
  <c r="AH91" i="5"/>
  <c r="AK91" i="5" s="1"/>
  <c r="AH120" i="5"/>
  <c r="AK120" i="5" s="1"/>
  <c r="AH141" i="5"/>
  <c r="AK141" i="5" s="1"/>
  <c r="AH155" i="5"/>
  <c r="AK155" i="5" s="1"/>
  <c r="AH173" i="5"/>
  <c r="AK173" i="5" s="1"/>
  <c r="AH217" i="5"/>
  <c r="AK217" i="5" s="1"/>
  <c r="AI317" i="5"/>
  <c r="AL317" i="5" s="1"/>
  <c r="AI344" i="5"/>
  <c r="AL344" i="5" s="1"/>
  <c r="AI429" i="5"/>
  <c r="AL429" i="5" s="1"/>
  <c r="AH460" i="5"/>
  <c r="AK460" i="5" s="1"/>
  <c r="AH553" i="5"/>
  <c r="AK553" i="5" s="1"/>
  <c r="AH587" i="5"/>
  <c r="AK587" i="5" s="1"/>
  <c r="AH649" i="5"/>
  <c r="AK649" i="5" s="1"/>
  <c r="AH713" i="5"/>
  <c r="AK713" i="5" s="1"/>
  <c r="AH717" i="5"/>
  <c r="AK717" i="5" s="1"/>
  <c r="AH746" i="5"/>
  <c r="AK746" i="5" s="1"/>
  <c r="AH762" i="5"/>
  <c r="AK762" i="5" s="1"/>
  <c r="AH13" i="5"/>
  <c r="AK13" i="5" s="1"/>
  <c r="AH24" i="5"/>
  <c r="AK24" i="5" s="1"/>
  <c r="AH42" i="5"/>
  <c r="AK42" i="5" s="1"/>
  <c r="AI56" i="5"/>
  <c r="AL56" i="5" s="1"/>
  <c r="AH77" i="5"/>
  <c r="AK77" i="5" s="1"/>
  <c r="AI109" i="5"/>
  <c r="AL109" i="5" s="1"/>
  <c r="AH184" i="5"/>
  <c r="AK184" i="5" s="1"/>
  <c r="AH250" i="5"/>
  <c r="AK250" i="5" s="1"/>
  <c r="AH265" i="5"/>
  <c r="AK265" i="5" s="1"/>
  <c r="AH329" i="5"/>
  <c r="AK329" i="5" s="1"/>
  <c r="AH333" i="5"/>
  <c r="AK333" i="5" s="1"/>
  <c r="AI456" i="5"/>
  <c r="AL456" i="5" s="1"/>
  <c r="AI649" i="5"/>
  <c r="AL649" i="5" s="1"/>
  <c r="AI717" i="5"/>
  <c r="AL717" i="5" s="1"/>
  <c r="AI17" i="5"/>
  <c r="AL17" i="5" s="1"/>
  <c r="AH152" i="5"/>
  <c r="AK152" i="5" s="1"/>
  <c r="AH299" i="5"/>
  <c r="AK299" i="5" s="1"/>
  <c r="AH361" i="5"/>
  <c r="AK361" i="5" s="1"/>
  <c r="AH376" i="5"/>
  <c r="AK376" i="5" s="1"/>
  <c r="AH426" i="5"/>
  <c r="AK426" i="5" s="1"/>
  <c r="AI537" i="5"/>
  <c r="AL537" i="5" s="1"/>
  <c r="AI666" i="5"/>
  <c r="AL666" i="5" s="1"/>
  <c r="AH727" i="5"/>
  <c r="AK727" i="5" s="1"/>
  <c r="AI551" i="5"/>
  <c r="AL551" i="5" s="1"/>
  <c r="AH119" i="5"/>
  <c r="AK119" i="5" s="1"/>
  <c r="AI327" i="5"/>
  <c r="AL327" i="5" s="1"/>
  <c r="AH359" i="5"/>
  <c r="AK359" i="5" s="1"/>
  <c r="AH583" i="5"/>
  <c r="AK583" i="5" s="1"/>
  <c r="AI727" i="5"/>
  <c r="AL727" i="5" s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4" i="1"/>
  <c r="U770" i="2" a="1"/>
  <c r="U769" i="2" a="1"/>
  <c r="U768" i="2" a="1"/>
  <c r="U767" i="2" a="1"/>
  <c r="U766" i="2" a="1"/>
  <c r="U765" i="2" a="1"/>
  <c r="U764" i="2" a="1"/>
  <c r="U763" i="2" a="1"/>
  <c r="U762" i="2" a="1"/>
  <c r="U761" i="2" a="1"/>
  <c r="U760" i="2" a="1"/>
  <c r="U759" i="2" a="1"/>
  <c r="U758" i="2" a="1"/>
  <c r="U757" i="2" a="1"/>
  <c r="U756" i="2" a="1"/>
  <c r="U755" i="2" a="1"/>
  <c r="U754" i="2" a="1"/>
  <c r="U753" i="2" a="1"/>
  <c r="U752" i="2" a="1"/>
  <c r="U751" i="2" a="1"/>
  <c r="U750" i="2" a="1"/>
  <c r="U749" i="2" a="1"/>
  <c r="U748" i="2" a="1"/>
  <c r="U747" i="2" a="1"/>
  <c r="U746" i="2" a="1"/>
  <c r="U745" i="2" a="1"/>
  <c r="U744" i="2" a="1"/>
  <c r="U743" i="2" a="1"/>
  <c r="U742" i="2" a="1"/>
  <c r="U741" i="2" a="1"/>
  <c r="U740" i="2" a="1"/>
  <c r="U739" i="2" a="1"/>
  <c r="U738" i="2" a="1"/>
  <c r="U737" i="2" a="1"/>
  <c r="U736" i="2" a="1"/>
  <c r="U735" i="2" a="1"/>
  <c r="U734" i="2" a="1"/>
  <c r="U733" i="2" a="1"/>
  <c r="U732" i="2" a="1"/>
  <c r="U731" i="2" a="1"/>
  <c r="U730" i="2" a="1"/>
  <c r="U729" i="2" a="1"/>
  <c r="U728" i="2" a="1"/>
  <c r="U727" i="2" a="1"/>
  <c r="U726" i="2" a="1"/>
  <c r="U725" i="2" a="1"/>
  <c r="U724" i="2" a="1"/>
  <c r="U723" i="2" a="1"/>
  <c r="U722" i="2" a="1"/>
  <c r="U721" i="2" a="1"/>
  <c r="U720" i="2" a="1"/>
  <c r="U719" i="2" a="1"/>
  <c r="U718" i="2" a="1"/>
  <c r="U717" i="2" a="1"/>
  <c r="U716" i="2" a="1"/>
  <c r="U715" i="2" a="1"/>
  <c r="U714" i="2" a="1"/>
  <c r="U713" i="2" a="1"/>
  <c r="U712" i="2" a="1"/>
  <c r="U711" i="2" a="1"/>
  <c r="U710" i="2" a="1"/>
  <c r="U709" i="2" a="1"/>
  <c r="U708" i="2" a="1"/>
  <c r="U707" i="2" a="1"/>
  <c r="U706" i="2" a="1"/>
  <c r="U705" i="2" a="1"/>
  <c r="U704" i="2" a="1"/>
  <c r="U703" i="2" a="1"/>
  <c r="U702" i="2" a="1"/>
  <c r="U701" i="2" a="1"/>
  <c r="U700" i="2" a="1"/>
  <c r="U699" i="2" a="1"/>
  <c r="U698" i="2" a="1"/>
  <c r="U697" i="2" a="1"/>
  <c r="U696" i="2" a="1"/>
  <c r="U695" i="2" a="1"/>
  <c r="U694" i="2" a="1"/>
  <c r="U693" i="2" a="1"/>
  <c r="U692" i="2" a="1"/>
  <c r="U691" i="2" a="1"/>
  <c r="U690" i="2" a="1"/>
  <c r="U689" i="2" a="1"/>
  <c r="U688" i="2" a="1"/>
  <c r="U687" i="2" a="1"/>
  <c r="U686" i="2" a="1"/>
  <c r="U685" i="2" a="1"/>
  <c r="U684" i="2" a="1"/>
  <c r="U683" i="2" a="1"/>
  <c r="U682" i="2" a="1"/>
  <c r="U681" i="2" a="1"/>
  <c r="U680" i="2" a="1"/>
  <c r="U679" i="2" a="1"/>
  <c r="U678" i="2" a="1"/>
  <c r="U677" i="2" a="1"/>
  <c r="U676" i="2" a="1"/>
  <c r="U675" i="2" a="1"/>
  <c r="U674" i="2" a="1"/>
  <c r="U673" i="2" a="1"/>
  <c r="U672" i="2" a="1"/>
  <c r="U671" i="2" a="1"/>
  <c r="U670" i="2" a="1"/>
  <c r="U669" i="2" a="1"/>
  <c r="U668" i="2" a="1"/>
  <c r="U667" i="2" a="1"/>
  <c r="U666" i="2" a="1"/>
  <c r="U665" i="2" a="1"/>
  <c r="U664" i="2" a="1"/>
  <c r="U663" i="2" a="1"/>
  <c r="U662" i="2" a="1"/>
  <c r="U661" i="2" a="1"/>
  <c r="U660" i="2" a="1"/>
  <c r="U659" i="2" a="1"/>
  <c r="U658" i="2" a="1"/>
  <c r="U657" i="2" a="1"/>
  <c r="U656" i="2" a="1"/>
  <c r="U655" i="2" a="1"/>
  <c r="U654" i="2" a="1"/>
  <c r="U653" i="2" a="1"/>
  <c r="U652" i="2" a="1"/>
  <c r="U651" i="2" a="1"/>
  <c r="U650" i="2" a="1"/>
  <c r="U649" i="2" a="1"/>
  <c r="U648" i="2" a="1"/>
  <c r="U647" i="2" a="1"/>
  <c r="U646" i="2" a="1"/>
  <c r="U645" i="2" a="1"/>
  <c r="U644" i="2" a="1"/>
  <c r="U643" i="2" a="1"/>
  <c r="U642" i="2" a="1"/>
  <c r="U641" i="2" a="1"/>
  <c r="U640" i="2" a="1"/>
  <c r="U639" i="2" a="1"/>
  <c r="U638" i="2" a="1"/>
  <c r="U637" i="2" a="1"/>
  <c r="U636" i="2" a="1"/>
  <c r="U635" i="2" a="1"/>
  <c r="U634" i="2" a="1"/>
  <c r="U633" i="2" a="1"/>
  <c r="U632" i="2" a="1"/>
  <c r="U631" i="2" a="1"/>
  <c r="U630" i="2" a="1"/>
  <c r="U629" i="2" a="1"/>
  <c r="U628" i="2" a="1"/>
  <c r="U627" i="2" a="1"/>
  <c r="U626" i="2" a="1"/>
  <c r="U625" i="2" a="1"/>
  <c r="U624" i="2" a="1"/>
  <c r="U623" i="2" a="1"/>
  <c r="U622" i="2" a="1"/>
  <c r="U621" i="2" a="1"/>
  <c r="U620" i="2" a="1"/>
  <c r="U619" i="2" a="1"/>
  <c r="U618" i="2" a="1"/>
  <c r="U617" i="2" a="1"/>
  <c r="U616" i="2" a="1"/>
  <c r="U615" i="2" a="1"/>
  <c r="U614" i="2" a="1"/>
  <c r="U613" i="2" a="1"/>
  <c r="U612" i="2" a="1"/>
  <c r="U611" i="2" a="1"/>
  <c r="U610" i="2" a="1"/>
  <c r="U609" i="2" a="1"/>
  <c r="U608" i="2" a="1"/>
  <c r="U607" i="2" a="1"/>
  <c r="U606" i="2" a="1"/>
  <c r="U605" i="2" a="1"/>
  <c r="U604" i="2" a="1"/>
  <c r="U603" i="2" a="1"/>
  <c r="U602" i="2" a="1"/>
  <c r="U601" i="2" a="1"/>
  <c r="U600" i="2" a="1"/>
  <c r="U599" i="2" a="1"/>
  <c r="U598" i="2" a="1"/>
  <c r="U597" i="2" a="1"/>
  <c r="U596" i="2" a="1"/>
  <c r="U595" i="2" a="1"/>
  <c r="U594" i="2" a="1"/>
  <c r="U593" i="2" a="1"/>
  <c r="U592" i="2" a="1"/>
  <c r="U591" i="2" a="1"/>
  <c r="U590" i="2" a="1"/>
  <c r="U589" i="2" a="1"/>
  <c r="U588" i="2" a="1"/>
  <c r="U587" i="2" a="1"/>
  <c r="U586" i="2" a="1"/>
  <c r="U585" i="2" a="1"/>
  <c r="U584" i="2" a="1"/>
  <c r="U583" i="2" a="1"/>
  <c r="U582" i="2" a="1"/>
  <c r="U581" i="2" a="1"/>
  <c r="U580" i="2" a="1"/>
  <c r="U579" i="2" a="1"/>
  <c r="U578" i="2" a="1"/>
  <c r="U577" i="2" a="1"/>
  <c r="U576" i="2" a="1"/>
  <c r="U575" i="2" a="1"/>
  <c r="U574" i="2" a="1"/>
  <c r="U573" i="2" a="1"/>
  <c r="U572" i="2" a="1"/>
  <c r="U571" i="2" a="1"/>
  <c r="U570" i="2" a="1"/>
  <c r="U569" i="2" a="1"/>
  <c r="U568" i="2" a="1"/>
  <c r="U567" i="2" a="1"/>
  <c r="U566" i="2" a="1"/>
  <c r="U565" i="2" a="1"/>
  <c r="U564" i="2" a="1"/>
  <c r="U563" i="2" a="1"/>
  <c r="U562" i="2" a="1"/>
  <c r="U561" i="2" a="1"/>
  <c r="U560" i="2" a="1"/>
  <c r="U559" i="2" a="1"/>
  <c r="U558" i="2" a="1"/>
  <c r="U557" i="2" a="1"/>
  <c r="U556" i="2" a="1"/>
  <c r="U555" i="2" a="1"/>
  <c r="U554" i="2" a="1"/>
  <c r="U553" i="2" a="1"/>
  <c r="U552" i="2" a="1"/>
  <c r="U551" i="2" a="1"/>
  <c r="U550" i="2" a="1"/>
  <c r="U549" i="2" a="1"/>
  <c r="U548" i="2" a="1"/>
  <c r="U547" i="2" a="1"/>
  <c r="U546" i="2" a="1"/>
  <c r="U545" i="2" a="1"/>
  <c r="U544" i="2" a="1"/>
  <c r="U543" i="2" a="1"/>
  <c r="U542" i="2" a="1"/>
  <c r="U541" i="2" a="1"/>
  <c r="U540" i="2" a="1"/>
  <c r="U539" i="2" a="1"/>
  <c r="U538" i="2" a="1"/>
  <c r="U537" i="2" a="1"/>
  <c r="U536" i="2" a="1"/>
  <c r="U535" i="2" a="1"/>
  <c r="U534" i="2" a="1"/>
  <c r="U533" i="2" a="1"/>
  <c r="U532" i="2" a="1"/>
  <c r="U531" i="2" a="1"/>
  <c r="U530" i="2" a="1"/>
  <c r="U529" i="2" a="1"/>
  <c r="U528" i="2" a="1"/>
  <c r="U527" i="2" a="1"/>
  <c r="U526" i="2" a="1"/>
  <c r="U525" i="2" a="1"/>
  <c r="U524" i="2" a="1"/>
  <c r="U523" i="2" a="1"/>
  <c r="U522" i="2" a="1"/>
  <c r="U521" i="2" a="1"/>
  <c r="U520" i="2" a="1"/>
  <c r="U519" i="2" a="1"/>
  <c r="U518" i="2" a="1"/>
  <c r="U517" i="2" a="1"/>
  <c r="U516" i="2" a="1"/>
  <c r="U515" i="2" a="1"/>
  <c r="U514" i="2" a="1"/>
  <c r="U513" i="2" a="1"/>
  <c r="U512" i="2" a="1"/>
  <c r="U511" i="2" a="1"/>
  <c r="U510" i="2" a="1"/>
  <c r="U509" i="2" a="1"/>
  <c r="U508" i="2" a="1"/>
  <c r="U507" i="2" a="1"/>
  <c r="U506" i="2" a="1"/>
  <c r="U505" i="2" a="1"/>
  <c r="U504" i="2" a="1"/>
  <c r="U503" i="2" a="1"/>
  <c r="U502" i="2" a="1"/>
  <c r="U501" i="2" a="1"/>
  <c r="U500" i="2" a="1"/>
  <c r="U499" i="2" a="1"/>
  <c r="U498" i="2" a="1"/>
  <c r="U497" i="2" a="1"/>
  <c r="U496" i="2" a="1"/>
  <c r="U495" i="2" a="1"/>
  <c r="U494" i="2" a="1"/>
  <c r="U493" i="2" a="1"/>
  <c r="U492" i="2" a="1"/>
  <c r="U491" i="2" a="1"/>
  <c r="U490" i="2" a="1"/>
  <c r="U489" i="2" a="1"/>
  <c r="U488" i="2" a="1"/>
  <c r="U487" i="2" a="1"/>
  <c r="U486" i="2" a="1"/>
  <c r="U485" i="2" a="1"/>
  <c r="U484" i="2" a="1"/>
  <c r="U483" i="2" a="1"/>
  <c r="U482" i="2" a="1"/>
  <c r="U481" i="2" a="1"/>
  <c r="U480" i="2" a="1"/>
  <c r="U479" i="2" a="1"/>
  <c r="U478" i="2" a="1"/>
  <c r="U477" i="2" a="1"/>
  <c r="U476" i="2" a="1"/>
  <c r="U475" i="2" a="1"/>
  <c r="U474" i="2" a="1"/>
  <c r="U473" i="2" a="1"/>
  <c r="U472" i="2" a="1"/>
  <c r="U471" i="2" a="1"/>
  <c r="U470" i="2" a="1"/>
  <c r="U469" i="2" a="1"/>
  <c r="U468" i="2" a="1"/>
  <c r="U467" i="2" a="1"/>
  <c r="U466" i="2" a="1"/>
  <c r="U465" i="2" a="1"/>
  <c r="U464" i="2" a="1"/>
  <c r="U463" i="2" a="1"/>
  <c r="U462" i="2" a="1"/>
  <c r="U461" i="2" a="1"/>
  <c r="U460" i="2" a="1"/>
  <c r="U459" i="2" a="1"/>
  <c r="U458" i="2" a="1"/>
  <c r="U457" i="2" a="1"/>
  <c r="U456" i="2" a="1"/>
  <c r="U455" i="2" a="1"/>
  <c r="U454" i="2" a="1"/>
  <c r="U453" i="2" a="1"/>
  <c r="U452" i="2" a="1"/>
  <c r="U451" i="2" a="1"/>
  <c r="U450" i="2" a="1"/>
  <c r="U449" i="2" a="1"/>
  <c r="U448" i="2" a="1"/>
  <c r="U447" i="2" a="1"/>
  <c r="U446" i="2" a="1"/>
  <c r="U445" i="2" a="1"/>
  <c r="U444" i="2" a="1"/>
  <c r="U443" i="2" a="1"/>
  <c r="U442" i="2" a="1"/>
  <c r="U441" i="2" a="1"/>
  <c r="U440" i="2" a="1"/>
  <c r="U439" i="2" a="1"/>
  <c r="U438" i="2" a="1"/>
  <c r="U437" i="2" a="1"/>
  <c r="U436" i="2" a="1"/>
  <c r="U435" i="2" a="1"/>
  <c r="U434" i="2" a="1"/>
  <c r="U433" i="2" a="1"/>
  <c r="U432" i="2" a="1"/>
  <c r="U431" i="2" a="1"/>
  <c r="U430" i="2" a="1"/>
  <c r="U429" i="2" a="1"/>
  <c r="U428" i="2" a="1"/>
  <c r="U427" i="2" a="1"/>
  <c r="U426" i="2" a="1"/>
  <c r="U425" i="2" a="1"/>
  <c r="U424" i="2" a="1"/>
  <c r="U423" i="2" a="1"/>
  <c r="U422" i="2" a="1"/>
  <c r="U421" i="2" a="1"/>
  <c r="U420" i="2" a="1"/>
  <c r="U419" i="2" a="1"/>
  <c r="U418" i="2" a="1"/>
  <c r="U417" i="2" a="1"/>
  <c r="U416" i="2" a="1"/>
  <c r="U415" i="2" a="1"/>
  <c r="U414" i="2" a="1"/>
  <c r="U413" i="2" a="1"/>
  <c r="U412" i="2" a="1"/>
  <c r="U411" i="2" a="1"/>
  <c r="U410" i="2" a="1"/>
  <c r="U409" i="2" a="1"/>
  <c r="U408" i="2" a="1"/>
  <c r="U407" i="2" a="1"/>
  <c r="U406" i="2" a="1"/>
  <c r="U405" i="2" a="1"/>
  <c r="U404" i="2" a="1"/>
  <c r="U403" i="2" a="1"/>
  <c r="U402" i="2" a="1"/>
  <c r="U401" i="2" a="1"/>
  <c r="U400" i="2" a="1"/>
  <c r="U399" i="2" a="1"/>
  <c r="U398" i="2" a="1"/>
  <c r="U397" i="2" a="1"/>
  <c r="U396" i="2" a="1"/>
  <c r="U395" i="2" a="1"/>
  <c r="U394" i="2" a="1"/>
  <c r="U393" i="2" a="1"/>
  <c r="U392" i="2" a="1"/>
  <c r="U391" i="2" a="1"/>
  <c r="U390" i="2" a="1"/>
  <c r="U389" i="2" a="1"/>
  <c r="U388" i="2" a="1"/>
  <c r="U387" i="2" a="1"/>
  <c r="U386" i="2" a="1"/>
  <c r="U385" i="2" a="1"/>
  <c r="U384" i="2" a="1"/>
  <c r="U383" i="2" a="1"/>
  <c r="U382" i="2" a="1"/>
  <c r="U381" i="2" a="1"/>
  <c r="U380" i="2" a="1"/>
  <c r="U379" i="2" a="1"/>
  <c r="U378" i="2" a="1"/>
  <c r="U377" i="2" a="1"/>
  <c r="U376" i="2" a="1"/>
  <c r="U375" i="2" a="1"/>
  <c r="U374" i="2" a="1"/>
  <c r="U373" i="2" a="1"/>
  <c r="U372" i="2" a="1"/>
  <c r="U371" i="2" a="1"/>
  <c r="U370" i="2" a="1"/>
  <c r="U369" i="2" a="1"/>
  <c r="U368" i="2" a="1"/>
  <c r="U367" i="2" a="1"/>
  <c r="U366" i="2" a="1"/>
  <c r="U365" i="2" a="1"/>
  <c r="U364" i="2" a="1"/>
  <c r="U363" i="2" a="1"/>
  <c r="U362" i="2" a="1"/>
  <c r="U361" i="2" a="1"/>
  <c r="U360" i="2" a="1"/>
  <c r="U359" i="2" a="1"/>
  <c r="U358" i="2" a="1"/>
  <c r="U357" i="2" a="1"/>
  <c r="U356" i="2" a="1"/>
  <c r="U355" i="2" a="1"/>
  <c r="U354" i="2" a="1"/>
  <c r="U353" i="2" a="1"/>
  <c r="U352" i="2" a="1"/>
  <c r="U351" i="2" a="1"/>
  <c r="U350" i="2" a="1"/>
  <c r="U349" i="2" a="1"/>
  <c r="U348" i="2" a="1"/>
  <c r="U347" i="2" a="1"/>
  <c r="U346" i="2" a="1"/>
  <c r="U345" i="2" a="1"/>
  <c r="U344" i="2" a="1"/>
  <c r="U343" i="2" a="1"/>
  <c r="U342" i="2" a="1"/>
  <c r="U341" i="2" a="1"/>
  <c r="U340" i="2" a="1"/>
  <c r="U339" i="2" a="1"/>
  <c r="U338" i="2" a="1"/>
  <c r="U337" i="2" a="1"/>
  <c r="U336" i="2" a="1"/>
  <c r="U335" i="2" a="1"/>
  <c r="U334" i="2" a="1"/>
  <c r="U333" i="2" a="1"/>
  <c r="U332" i="2" a="1"/>
  <c r="U331" i="2" a="1"/>
  <c r="U330" i="2" a="1"/>
  <c r="U329" i="2" a="1"/>
  <c r="U328" i="2" a="1"/>
  <c r="U327" i="2" a="1"/>
  <c r="U326" i="2" a="1"/>
  <c r="U325" i="2" a="1"/>
  <c r="U324" i="2" a="1"/>
  <c r="U323" i="2" a="1"/>
  <c r="U322" i="2" a="1"/>
  <c r="U321" i="2" a="1"/>
  <c r="U320" i="2" a="1"/>
  <c r="U319" i="2" a="1"/>
  <c r="U318" i="2" a="1"/>
  <c r="U317" i="2" a="1"/>
  <c r="U316" i="2" a="1"/>
  <c r="U315" i="2" a="1"/>
  <c r="U314" i="2" a="1"/>
  <c r="U313" i="2" a="1"/>
  <c r="U312" i="2" a="1"/>
  <c r="U311" i="2" a="1"/>
  <c r="U310" i="2" a="1"/>
  <c r="U309" i="2" a="1"/>
  <c r="U308" i="2" a="1"/>
  <c r="U307" i="2" a="1"/>
  <c r="U306" i="2" a="1"/>
  <c r="U305" i="2" a="1"/>
  <c r="U304" i="2" a="1"/>
  <c r="U303" i="2" a="1"/>
  <c r="U302" i="2" a="1"/>
  <c r="U301" i="2" a="1"/>
  <c r="U300" i="2" a="1"/>
  <c r="U299" i="2" a="1"/>
  <c r="U298" i="2" a="1"/>
  <c r="U297" i="2" a="1"/>
  <c r="U296" i="2" a="1"/>
  <c r="U295" i="2" a="1"/>
  <c r="U294" i="2" a="1"/>
  <c r="U293" i="2" a="1"/>
  <c r="U292" i="2" a="1"/>
  <c r="U291" i="2" a="1"/>
  <c r="U290" i="2" a="1"/>
  <c r="U289" i="2" a="1"/>
  <c r="U288" i="2" a="1"/>
  <c r="U287" i="2" a="1"/>
  <c r="U286" i="2" a="1"/>
  <c r="U285" i="2" a="1"/>
  <c r="U284" i="2" a="1"/>
  <c r="U283" i="2" a="1"/>
  <c r="U282" i="2" a="1"/>
  <c r="U281" i="2" a="1"/>
  <c r="U280" i="2" a="1"/>
  <c r="U279" i="2" a="1"/>
  <c r="U278" i="2" a="1"/>
  <c r="U277" i="2" a="1"/>
  <c r="U276" i="2" a="1"/>
  <c r="U275" i="2" a="1"/>
  <c r="U274" i="2" a="1"/>
  <c r="U273" i="2" a="1"/>
  <c r="U272" i="2" a="1"/>
  <c r="U271" i="2" a="1"/>
  <c r="U270" i="2" a="1"/>
  <c r="U269" i="2" a="1"/>
  <c r="U268" i="2" a="1"/>
  <c r="U267" i="2" a="1"/>
  <c r="U266" i="2" a="1"/>
  <c r="U265" i="2" a="1"/>
  <c r="U264" i="2" a="1"/>
  <c r="U263" i="2" a="1"/>
  <c r="U262" i="2" a="1"/>
  <c r="U261" i="2" a="1"/>
  <c r="U260" i="2" a="1"/>
  <c r="U259" i="2" a="1"/>
  <c r="U258" i="2" a="1"/>
  <c r="U257" i="2" a="1"/>
  <c r="U256" i="2" a="1"/>
  <c r="U255" i="2" a="1"/>
  <c r="U254" i="2" a="1"/>
  <c r="U253" i="2" a="1"/>
  <c r="U252" i="2" a="1"/>
  <c r="U251" i="2" a="1"/>
  <c r="U250" i="2" a="1"/>
  <c r="U249" i="2" a="1"/>
  <c r="U248" i="2" a="1"/>
  <c r="U247" i="2" a="1"/>
  <c r="U246" i="2" a="1"/>
  <c r="U245" i="2" a="1"/>
  <c r="U244" i="2" a="1"/>
  <c r="U243" i="2" a="1"/>
  <c r="U242" i="2" a="1"/>
  <c r="U241" i="2" a="1"/>
  <c r="U240" i="2" a="1"/>
  <c r="U239" i="2" a="1"/>
  <c r="U238" i="2" a="1"/>
  <c r="U237" i="2" a="1"/>
  <c r="U236" i="2" a="1"/>
  <c r="U235" i="2" a="1"/>
  <c r="U234" i="2" a="1"/>
  <c r="U233" i="2" a="1"/>
  <c r="U232" i="2" a="1"/>
  <c r="U231" i="2" a="1"/>
  <c r="U230" i="2" a="1"/>
  <c r="U229" i="2" a="1"/>
  <c r="U228" i="2" a="1"/>
  <c r="U227" i="2" a="1"/>
  <c r="U226" i="2" a="1"/>
  <c r="U225" i="2" a="1"/>
  <c r="U224" i="2" a="1"/>
  <c r="U223" i="2" a="1"/>
  <c r="U222" i="2" a="1"/>
  <c r="U221" i="2" a="1"/>
  <c r="U220" i="2" a="1"/>
  <c r="U219" i="2" a="1"/>
  <c r="U218" i="2" a="1"/>
  <c r="U217" i="2" a="1"/>
  <c r="U216" i="2" a="1"/>
  <c r="U215" i="2" a="1"/>
  <c r="U214" i="2" a="1"/>
  <c r="U213" i="2" a="1"/>
  <c r="U212" i="2" a="1"/>
  <c r="U211" i="2" a="1"/>
  <c r="U210" i="2" a="1"/>
  <c r="U209" i="2" a="1"/>
  <c r="U208" i="2" a="1"/>
  <c r="U207" i="2" a="1"/>
  <c r="U206" i="2" a="1"/>
  <c r="U205" i="2" a="1"/>
  <c r="U204" i="2" a="1"/>
  <c r="U203" i="2" a="1"/>
  <c r="U202" i="2" a="1"/>
  <c r="U201" i="2" a="1"/>
  <c r="U200" i="2" a="1"/>
  <c r="U199" i="2" a="1"/>
  <c r="U198" i="2" a="1"/>
  <c r="U197" i="2" a="1"/>
  <c r="U196" i="2" a="1"/>
  <c r="U195" i="2" a="1"/>
  <c r="U194" i="2" a="1"/>
  <c r="U193" i="2" a="1"/>
  <c r="U192" i="2" a="1"/>
  <c r="U191" i="2" a="1"/>
  <c r="U190" i="2" a="1"/>
  <c r="U189" i="2" a="1"/>
  <c r="U188" i="2" a="1"/>
  <c r="U187" i="2" a="1"/>
  <c r="U186" i="2" a="1"/>
  <c r="U185" i="2" a="1"/>
  <c r="U184" i="2" a="1"/>
  <c r="U183" i="2" a="1"/>
  <c r="U182" i="2" a="1"/>
  <c r="U181" i="2" a="1"/>
  <c r="U180" i="2" a="1"/>
  <c r="U179" i="2" a="1"/>
  <c r="U178" i="2" a="1"/>
  <c r="U177" i="2" a="1"/>
  <c r="U176" i="2" a="1"/>
  <c r="U175" i="2" a="1"/>
  <c r="U174" i="2" a="1"/>
  <c r="U173" i="2" a="1"/>
  <c r="U172" i="2" a="1"/>
  <c r="U171" i="2" a="1"/>
  <c r="U170" i="2" a="1"/>
  <c r="U169" i="2" a="1"/>
  <c r="U168" i="2" a="1"/>
  <c r="U167" i="2" a="1"/>
  <c r="U166" i="2" a="1"/>
  <c r="U165" i="2" a="1"/>
  <c r="U164" i="2" a="1"/>
  <c r="U163" i="2" a="1"/>
  <c r="U162" i="2" a="1"/>
  <c r="U161" i="2" a="1"/>
  <c r="U160" i="2" a="1"/>
  <c r="U159" i="2" a="1"/>
  <c r="U158" i="2" a="1"/>
  <c r="U157" i="2" a="1"/>
  <c r="U156" i="2" a="1"/>
  <c r="U155" i="2" a="1"/>
  <c r="U154" i="2" a="1"/>
  <c r="U153" i="2" a="1"/>
  <c r="U152" i="2" a="1"/>
  <c r="U151" i="2" a="1"/>
  <c r="U150" i="2" a="1"/>
  <c r="U149" i="2" a="1"/>
  <c r="U148" i="2" a="1"/>
  <c r="U147" i="2" a="1"/>
  <c r="U146" i="2" a="1"/>
  <c r="U145" i="2" a="1"/>
  <c r="U144" i="2" a="1"/>
  <c r="U143" i="2" a="1"/>
  <c r="U142" i="2" a="1"/>
  <c r="U141" i="2" a="1"/>
  <c r="U140" i="2" a="1"/>
  <c r="U139" i="2" a="1"/>
  <c r="U138" i="2" a="1"/>
  <c r="U137" i="2" a="1"/>
  <c r="U136" i="2" a="1"/>
  <c r="U135" i="2" a="1"/>
  <c r="U134" i="2" a="1"/>
  <c r="U133" i="2" a="1"/>
  <c r="U132" i="2" a="1"/>
  <c r="U131" i="2" a="1"/>
  <c r="U130" i="2" a="1"/>
  <c r="U129" i="2" a="1"/>
  <c r="U128" i="2" a="1"/>
  <c r="U127" i="2" a="1"/>
  <c r="U126" i="2" a="1"/>
  <c r="U125" i="2" a="1"/>
  <c r="U124" i="2" a="1"/>
  <c r="U123" i="2" a="1"/>
  <c r="U122" i="2" a="1"/>
  <c r="U121" i="2" a="1"/>
  <c r="U120" i="2" a="1"/>
  <c r="U119" i="2" a="1"/>
  <c r="U118" i="2" a="1"/>
  <c r="U117" i="2" a="1"/>
  <c r="U116" i="2" a="1"/>
  <c r="U115" i="2" a="1"/>
  <c r="U114" i="2" a="1"/>
  <c r="U113" i="2" a="1"/>
  <c r="U112" i="2" a="1"/>
  <c r="U111" i="2" a="1"/>
  <c r="U110" i="2" a="1"/>
  <c r="U109" i="2" a="1"/>
  <c r="U108" i="2" a="1"/>
  <c r="U107" i="2" a="1"/>
  <c r="U106" i="2" a="1"/>
  <c r="U105" i="2" a="1"/>
  <c r="U104" i="2" a="1"/>
  <c r="U103" i="2" a="1"/>
  <c r="U102" i="2" a="1"/>
  <c r="U101" i="2" a="1"/>
  <c r="U100" i="2" a="1"/>
  <c r="U99" i="2" a="1"/>
  <c r="U98" i="2" a="1"/>
  <c r="U97" i="2" a="1"/>
  <c r="U96" i="2" a="1"/>
  <c r="U95" i="2" a="1"/>
  <c r="U94" i="2" a="1"/>
  <c r="U93" i="2" a="1"/>
  <c r="U92" i="2" a="1"/>
  <c r="U91" i="2" a="1"/>
  <c r="U90" i="2" a="1"/>
  <c r="U89" i="2" a="1"/>
  <c r="U88" i="2" a="1"/>
  <c r="U87" i="2" a="1"/>
  <c r="U86" i="2" a="1"/>
  <c r="U85" i="2" a="1"/>
  <c r="U84" i="2" a="1"/>
  <c r="U83" i="2" a="1"/>
  <c r="U82" i="2" a="1"/>
  <c r="U81" i="2" a="1"/>
  <c r="U80" i="2" a="1"/>
  <c r="U79" i="2" a="1"/>
  <c r="U78" i="2" a="1"/>
  <c r="U77" i="2" a="1"/>
  <c r="U76" i="2" a="1"/>
  <c r="U75" i="2" a="1"/>
  <c r="U74" i="2" a="1"/>
  <c r="U73" i="2" a="1"/>
  <c r="U72" i="2" a="1"/>
  <c r="U71" i="2" a="1"/>
  <c r="U70" i="2" a="1"/>
  <c r="U69" i="2" a="1"/>
  <c r="U68" i="2" a="1"/>
  <c r="U67" i="2" a="1"/>
  <c r="U66" i="2" a="1"/>
  <c r="U65" i="2" a="1"/>
  <c r="U64" i="2" a="1"/>
  <c r="U63" i="2" a="1"/>
  <c r="U62" i="2" a="1"/>
  <c r="U61" i="2" a="1"/>
  <c r="U60" i="2" a="1"/>
  <c r="U59" i="2" a="1"/>
  <c r="U58" i="2" a="1"/>
  <c r="U57" i="2" a="1"/>
  <c r="U56" i="2" a="1"/>
  <c r="U55" i="2" a="1"/>
  <c r="U54" i="2" a="1"/>
  <c r="U53" i="2" a="1"/>
  <c r="U52" i="2" a="1"/>
  <c r="U51" i="2" a="1"/>
  <c r="U50" i="2" a="1"/>
  <c r="U49" i="2" a="1"/>
  <c r="U48" i="2" a="1"/>
  <c r="U47" i="2" a="1"/>
  <c r="U46" i="2" a="1"/>
  <c r="U45" i="2" a="1"/>
  <c r="U44" i="2" a="1"/>
  <c r="U43" i="2" a="1"/>
  <c r="U42" i="2" a="1"/>
  <c r="U41" i="2" a="1"/>
  <c r="U40" i="2" a="1"/>
  <c r="U39" i="2" a="1"/>
  <c r="U38" i="2" a="1"/>
  <c r="U37" i="2" a="1"/>
  <c r="U36" i="2" a="1"/>
  <c r="U35" i="2" a="1"/>
  <c r="U34" i="2" a="1"/>
  <c r="U33" i="2" a="1"/>
  <c r="U32" i="2" a="1"/>
  <c r="U31" i="2" a="1"/>
  <c r="U30" i="2" a="1"/>
  <c r="U29" i="2" a="1"/>
  <c r="U28" i="2" a="1"/>
  <c r="U27" i="2" a="1"/>
  <c r="U26" i="2" a="1"/>
  <c r="U25" i="2" a="1"/>
  <c r="U24" i="2" a="1"/>
  <c r="U23" i="2" a="1"/>
  <c r="U22" i="2" a="1"/>
  <c r="U21" i="2" a="1"/>
  <c r="U20" i="2" a="1"/>
  <c r="U19" i="2" a="1"/>
  <c r="U18" i="2" a="1"/>
  <c r="U17" i="2" a="1"/>
  <c r="U16" i="2" a="1"/>
  <c r="U15" i="2" a="1"/>
  <c r="U14" i="2" a="1"/>
  <c r="U13" i="2" a="1"/>
  <c r="U12" i="2" a="1"/>
  <c r="U11" i="2" a="1"/>
  <c r="U10" i="2" a="1"/>
  <c r="U9" i="2" a="1"/>
  <c r="U8" i="2" a="1"/>
  <c r="U7" i="2" a="1"/>
  <c r="U6" i="2" a="1"/>
  <c r="U5" i="2" a="1"/>
  <c r="U4" i="2" a="1"/>
  <c r="Z5" i="1"/>
  <c r="Z6" i="1"/>
  <c r="Z7" i="1"/>
  <c r="AC7" i="1" s="1"/>
  <c r="Z8" i="1"/>
  <c r="AC8" i="1" s="1"/>
  <c r="Z9" i="1"/>
  <c r="AC9" i="1" s="1"/>
  <c r="Z10" i="1"/>
  <c r="AC10" i="1" s="1"/>
  <c r="Z11" i="1"/>
  <c r="AC11" i="1" s="1"/>
  <c r="Z12" i="1"/>
  <c r="AC12" i="1" s="1"/>
  <c r="Z13" i="1"/>
  <c r="AC13" i="1" s="1"/>
  <c r="Z14" i="1"/>
  <c r="AC14" i="1" s="1"/>
  <c r="Z15" i="1"/>
  <c r="AC15" i="1" s="1"/>
  <c r="Z16" i="1"/>
  <c r="AC16" i="1" s="1"/>
  <c r="Z17" i="1"/>
  <c r="AC17" i="1" s="1"/>
  <c r="Z18" i="1"/>
  <c r="AC18" i="1" s="1"/>
  <c r="Z19" i="1"/>
  <c r="AC19" i="1" s="1"/>
  <c r="Z20" i="1"/>
  <c r="AC20" i="1" s="1"/>
  <c r="Z21" i="1"/>
  <c r="Z22" i="1"/>
  <c r="Z23" i="1"/>
  <c r="AC23" i="1" s="1"/>
  <c r="Z24" i="1"/>
  <c r="AC24" i="1" s="1"/>
  <c r="Z25" i="1"/>
  <c r="Z26" i="1"/>
  <c r="Z27" i="1"/>
  <c r="Z28" i="1"/>
  <c r="Z29" i="1"/>
  <c r="AC29" i="1" s="1"/>
  <c r="Z30" i="1"/>
  <c r="AC30" i="1" s="1"/>
  <c r="Z31" i="1"/>
  <c r="AC31" i="1" s="1"/>
  <c r="Z32" i="1"/>
  <c r="AC32" i="1" s="1"/>
  <c r="Z33" i="1"/>
  <c r="AC33" i="1" s="1"/>
  <c r="Z34" i="1"/>
  <c r="AC34" i="1" s="1"/>
  <c r="Z35" i="1"/>
  <c r="AC35" i="1" s="1"/>
  <c r="Z36" i="1"/>
  <c r="AC36" i="1" s="1"/>
  <c r="Z37" i="1"/>
  <c r="Z38" i="1"/>
  <c r="Z39" i="1"/>
  <c r="AC39" i="1" s="1"/>
  <c r="Z40" i="1"/>
  <c r="AC40" i="1" s="1"/>
  <c r="Z41" i="1"/>
  <c r="Z42" i="1"/>
  <c r="AC42" i="1" s="1"/>
  <c r="Z43" i="1"/>
  <c r="AC43" i="1" s="1"/>
  <c r="Z44" i="1"/>
  <c r="AC44" i="1" s="1"/>
  <c r="Z45" i="1"/>
  <c r="AC45" i="1" s="1"/>
  <c r="Z46" i="1"/>
  <c r="AC46" i="1" s="1"/>
  <c r="Z47" i="1"/>
  <c r="AC47" i="1" s="1"/>
  <c r="Z48" i="1"/>
  <c r="AC48" i="1" s="1"/>
  <c r="Z49" i="1"/>
  <c r="AC49" i="1" s="1"/>
  <c r="Z50" i="1"/>
  <c r="AC50" i="1" s="1"/>
  <c r="Z51" i="1"/>
  <c r="AC51" i="1" s="1"/>
  <c r="Z52" i="1"/>
  <c r="AC52" i="1" s="1"/>
  <c r="Z53" i="1"/>
  <c r="AC53" i="1" s="1"/>
  <c r="Z54" i="1"/>
  <c r="AC54" i="1" s="1"/>
  <c r="Z55" i="1"/>
  <c r="AC55" i="1" s="1"/>
  <c r="Z56" i="1"/>
  <c r="AC56" i="1" s="1"/>
  <c r="Z57" i="1"/>
  <c r="AC57" i="1" s="1"/>
  <c r="Z58" i="1"/>
  <c r="AC58" i="1" s="1"/>
  <c r="Z59" i="1"/>
  <c r="AC59" i="1" s="1"/>
  <c r="Z60" i="1"/>
  <c r="AC60" i="1" s="1"/>
  <c r="Z61" i="1"/>
  <c r="AC61" i="1" s="1"/>
  <c r="Z62" i="1"/>
  <c r="AC62" i="1" s="1"/>
  <c r="Z63" i="1"/>
  <c r="AC63" i="1" s="1"/>
  <c r="Z64" i="1"/>
  <c r="AC64" i="1" s="1"/>
  <c r="Z65" i="1"/>
  <c r="AC65" i="1" s="1"/>
  <c r="Z66" i="1"/>
  <c r="AC66" i="1" s="1"/>
  <c r="Z67" i="1"/>
  <c r="AC67" i="1" s="1"/>
  <c r="Z68" i="1"/>
  <c r="AC68" i="1" s="1"/>
  <c r="Z69" i="1"/>
  <c r="AC69" i="1" s="1"/>
  <c r="Z70" i="1"/>
  <c r="AC70" i="1" s="1"/>
  <c r="Z71" i="1"/>
  <c r="AC71" i="1" s="1"/>
  <c r="Z72" i="1"/>
  <c r="AC72" i="1" s="1"/>
  <c r="Z73" i="1"/>
  <c r="AC73" i="1" s="1"/>
  <c r="Z74" i="1"/>
  <c r="AC74" i="1" s="1"/>
  <c r="Z75" i="1"/>
  <c r="AC75" i="1" s="1"/>
  <c r="Z76" i="1"/>
  <c r="AC76" i="1" s="1"/>
  <c r="Z77" i="1"/>
  <c r="AC77" i="1" s="1"/>
  <c r="Z78" i="1"/>
  <c r="AC78" i="1" s="1"/>
  <c r="Z79" i="1"/>
  <c r="AC79" i="1" s="1"/>
  <c r="Z80" i="1"/>
  <c r="AC80" i="1" s="1"/>
  <c r="Z81" i="1"/>
  <c r="AC81" i="1" s="1"/>
  <c r="Z82" i="1"/>
  <c r="AC82" i="1" s="1"/>
  <c r="Z83" i="1"/>
  <c r="AC83" i="1" s="1"/>
  <c r="Z84" i="1"/>
  <c r="AC84" i="1" s="1"/>
  <c r="Z85" i="1"/>
  <c r="AC85" i="1" s="1"/>
  <c r="Z86" i="1"/>
  <c r="AC86" i="1" s="1"/>
  <c r="Z87" i="1"/>
  <c r="AC87" i="1" s="1"/>
  <c r="Z88" i="1"/>
  <c r="AC88" i="1" s="1"/>
  <c r="Z89" i="1"/>
  <c r="AC89" i="1" s="1"/>
  <c r="Z90" i="1"/>
  <c r="AC90" i="1" s="1"/>
  <c r="Z91" i="1"/>
  <c r="AC91" i="1" s="1"/>
  <c r="Z92" i="1"/>
  <c r="AC92" i="1" s="1"/>
  <c r="Z93" i="1"/>
  <c r="AC93" i="1" s="1"/>
  <c r="Z94" i="1"/>
  <c r="AC94" i="1" s="1"/>
  <c r="Z95" i="1"/>
  <c r="AC95" i="1" s="1"/>
  <c r="Z96" i="1"/>
  <c r="AC96" i="1" s="1"/>
  <c r="Z97" i="1"/>
  <c r="AC97" i="1" s="1"/>
  <c r="Z98" i="1"/>
  <c r="AC98" i="1" s="1"/>
  <c r="Z99" i="1"/>
  <c r="AC99" i="1" s="1"/>
  <c r="Z100" i="1"/>
  <c r="AC100" i="1" s="1"/>
  <c r="Z101" i="1"/>
  <c r="AC101" i="1" s="1"/>
  <c r="Z102" i="1"/>
  <c r="AC102" i="1" s="1"/>
  <c r="Z103" i="1"/>
  <c r="AC103" i="1" s="1"/>
  <c r="Z104" i="1"/>
  <c r="AC104" i="1" s="1"/>
  <c r="Z105" i="1"/>
  <c r="AC105" i="1" s="1"/>
  <c r="Z106" i="1"/>
  <c r="AC106" i="1" s="1"/>
  <c r="Z107" i="1"/>
  <c r="AC107" i="1" s="1"/>
  <c r="Z108" i="1"/>
  <c r="AC108" i="1" s="1"/>
  <c r="Z109" i="1"/>
  <c r="AC109" i="1" s="1"/>
  <c r="Z110" i="1"/>
  <c r="AC110" i="1" s="1"/>
  <c r="Z111" i="1"/>
  <c r="AC111" i="1" s="1"/>
  <c r="Z112" i="1"/>
  <c r="AC112" i="1" s="1"/>
  <c r="Z113" i="1"/>
  <c r="AC113" i="1" s="1"/>
  <c r="Z114" i="1"/>
  <c r="AC114" i="1" s="1"/>
  <c r="Z115" i="1"/>
  <c r="AC115" i="1" s="1"/>
  <c r="Z116" i="1"/>
  <c r="AC116" i="1" s="1"/>
  <c r="Z117" i="1"/>
  <c r="AC117" i="1" s="1"/>
  <c r="Z118" i="1"/>
  <c r="AC118" i="1" s="1"/>
  <c r="Z119" i="1"/>
  <c r="AC119" i="1" s="1"/>
  <c r="Z120" i="1"/>
  <c r="AC120" i="1" s="1"/>
  <c r="Z121" i="1"/>
  <c r="AC121" i="1" s="1"/>
  <c r="Z122" i="1"/>
  <c r="AC122" i="1" s="1"/>
  <c r="Z123" i="1"/>
  <c r="AC123" i="1" s="1"/>
  <c r="Z124" i="1"/>
  <c r="AC124" i="1" s="1"/>
  <c r="Z125" i="1"/>
  <c r="AC125" i="1" s="1"/>
  <c r="Z126" i="1"/>
  <c r="AC126" i="1" s="1"/>
  <c r="Z127" i="1"/>
  <c r="AC127" i="1" s="1"/>
  <c r="Z128" i="1"/>
  <c r="AC128" i="1" s="1"/>
  <c r="Z129" i="1"/>
  <c r="AC129" i="1" s="1"/>
  <c r="Z130" i="1"/>
  <c r="AC130" i="1" s="1"/>
  <c r="Z131" i="1"/>
  <c r="AC131" i="1" s="1"/>
  <c r="Z132" i="1"/>
  <c r="AC132" i="1" s="1"/>
  <c r="Z133" i="1"/>
  <c r="AC133" i="1" s="1"/>
  <c r="Z134" i="1"/>
  <c r="AC134" i="1" s="1"/>
  <c r="Z135" i="1"/>
  <c r="AC135" i="1" s="1"/>
  <c r="Z136" i="1"/>
  <c r="AC136" i="1" s="1"/>
  <c r="Z137" i="1"/>
  <c r="AC137" i="1" s="1"/>
  <c r="Z138" i="1"/>
  <c r="AC138" i="1" s="1"/>
  <c r="Z139" i="1"/>
  <c r="AC139" i="1" s="1"/>
  <c r="Z140" i="1"/>
  <c r="AC140" i="1" s="1"/>
  <c r="Z141" i="1"/>
  <c r="AC141" i="1" s="1"/>
  <c r="Z142" i="1"/>
  <c r="AC142" i="1" s="1"/>
  <c r="Z143" i="1"/>
  <c r="AC143" i="1" s="1"/>
  <c r="Z144" i="1"/>
  <c r="AC144" i="1" s="1"/>
  <c r="Z145" i="1"/>
  <c r="AC145" i="1" s="1"/>
  <c r="Z146" i="1"/>
  <c r="AC146" i="1" s="1"/>
  <c r="Z147" i="1"/>
  <c r="AC147" i="1" s="1"/>
  <c r="Z148" i="1"/>
  <c r="AC148" i="1" s="1"/>
  <c r="Z149" i="1"/>
  <c r="Z150" i="1"/>
  <c r="AC150" i="1" s="1"/>
  <c r="Z151" i="1"/>
  <c r="AC151" i="1" s="1"/>
  <c r="Z152" i="1"/>
  <c r="AC152" i="1" s="1"/>
  <c r="Z153" i="1"/>
  <c r="AC153" i="1" s="1"/>
  <c r="Z154" i="1"/>
  <c r="AC154" i="1" s="1"/>
  <c r="Z155" i="1"/>
  <c r="AC155" i="1" s="1"/>
  <c r="Z156" i="1"/>
  <c r="AC156" i="1" s="1"/>
  <c r="Z157" i="1"/>
  <c r="AC157" i="1" s="1"/>
  <c r="Z158" i="1"/>
  <c r="AC158" i="1" s="1"/>
  <c r="Z159" i="1"/>
  <c r="AC159" i="1" s="1"/>
  <c r="Z160" i="1"/>
  <c r="AC160" i="1" s="1"/>
  <c r="Z161" i="1"/>
  <c r="AC161" i="1" s="1"/>
  <c r="Z162" i="1"/>
  <c r="AC162" i="1" s="1"/>
  <c r="Z163" i="1"/>
  <c r="AC163" i="1" s="1"/>
  <c r="Z164" i="1"/>
  <c r="AC164" i="1" s="1"/>
  <c r="Z165" i="1"/>
  <c r="AC165" i="1" s="1"/>
  <c r="Z166" i="1"/>
  <c r="AC166" i="1" s="1"/>
  <c r="Z167" i="1"/>
  <c r="AC167" i="1" s="1"/>
  <c r="Z168" i="1"/>
  <c r="AC168" i="1" s="1"/>
  <c r="Z169" i="1"/>
  <c r="AC169" i="1" s="1"/>
  <c r="Z170" i="1"/>
  <c r="AC170" i="1" s="1"/>
  <c r="Z171" i="1"/>
  <c r="AC171" i="1" s="1"/>
  <c r="Z172" i="1"/>
  <c r="AC172" i="1" s="1"/>
  <c r="Z173" i="1"/>
  <c r="AC173" i="1" s="1"/>
  <c r="Z174" i="1"/>
  <c r="AC174" i="1" s="1"/>
  <c r="Z175" i="1"/>
  <c r="AC175" i="1" s="1"/>
  <c r="Z176" i="1"/>
  <c r="AC176" i="1" s="1"/>
  <c r="Z177" i="1"/>
  <c r="AC177" i="1" s="1"/>
  <c r="Z178" i="1"/>
  <c r="Z179" i="1"/>
  <c r="AC179" i="1" s="1"/>
  <c r="Z180" i="1"/>
  <c r="AC180" i="1" s="1"/>
  <c r="Z181" i="1"/>
  <c r="AC181" i="1" s="1"/>
  <c r="Z182" i="1"/>
  <c r="AC182" i="1" s="1"/>
  <c r="Z183" i="1"/>
  <c r="AC183" i="1" s="1"/>
  <c r="Z184" i="1"/>
  <c r="AC184" i="1" s="1"/>
  <c r="Z185" i="1"/>
  <c r="AC185" i="1" s="1"/>
  <c r="Z186" i="1"/>
  <c r="AC186" i="1" s="1"/>
  <c r="Z187" i="1"/>
  <c r="AC187" i="1" s="1"/>
  <c r="Z188" i="1"/>
  <c r="AC188" i="1" s="1"/>
  <c r="Z189" i="1"/>
  <c r="AC189" i="1" s="1"/>
  <c r="Z190" i="1"/>
  <c r="AC190" i="1" s="1"/>
  <c r="Z191" i="1"/>
  <c r="AC191" i="1" s="1"/>
  <c r="Z192" i="1"/>
  <c r="AC192" i="1" s="1"/>
  <c r="Z193" i="1"/>
  <c r="AC193" i="1" s="1"/>
  <c r="Z194" i="1"/>
  <c r="AC194" i="1" s="1"/>
  <c r="Z195" i="1"/>
  <c r="AC195" i="1" s="1"/>
  <c r="Z196" i="1"/>
  <c r="AC196" i="1" s="1"/>
  <c r="Z197" i="1"/>
  <c r="AC197" i="1" s="1"/>
  <c r="Z198" i="1"/>
  <c r="AC198" i="1" s="1"/>
  <c r="Z199" i="1"/>
  <c r="AC199" i="1" s="1"/>
  <c r="Z200" i="1"/>
  <c r="AC200" i="1" s="1"/>
  <c r="Z201" i="1"/>
  <c r="AC201" i="1" s="1"/>
  <c r="Z202" i="1"/>
  <c r="AC202" i="1" s="1"/>
  <c r="Z203" i="1"/>
  <c r="AC203" i="1" s="1"/>
  <c r="Z204" i="1"/>
  <c r="AC204" i="1" s="1"/>
  <c r="Z205" i="1"/>
  <c r="AC205" i="1" s="1"/>
  <c r="Z206" i="1"/>
  <c r="AC206" i="1" s="1"/>
  <c r="Z207" i="1"/>
  <c r="AC207" i="1" s="1"/>
  <c r="Z208" i="1"/>
  <c r="AC208" i="1" s="1"/>
  <c r="Z209" i="1"/>
  <c r="AC209" i="1" s="1"/>
  <c r="Z210" i="1"/>
  <c r="AC210" i="1" s="1"/>
  <c r="Z211" i="1"/>
  <c r="AC211" i="1" s="1"/>
  <c r="Z212" i="1"/>
  <c r="AC212" i="1" s="1"/>
  <c r="Z213" i="1"/>
  <c r="AC213" i="1" s="1"/>
  <c r="Z214" i="1"/>
  <c r="AC214" i="1" s="1"/>
  <c r="Z215" i="1"/>
  <c r="AC215" i="1" s="1"/>
  <c r="Z216" i="1"/>
  <c r="AC216" i="1" s="1"/>
  <c r="Z217" i="1"/>
  <c r="AC217" i="1" s="1"/>
  <c r="Z218" i="1"/>
  <c r="AC218" i="1" s="1"/>
  <c r="Z219" i="1"/>
  <c r="AC219" i="1" s="1"/>
  <c r="Z220" i="1"/>
  <c r="AC220" i="1" s="1"/>
  <c r="Z221" i="1"/>
  <c r="AC221" i="1" s="1"/>
  <c r="Z222" i="1"/>
  <c r="AC222" i="1" s="1"/>
  <c r="Z223" i="1"/>
  <c r="AC223" i="1" s="1"/>
  <c r="Z224" i="1"/>
  <c r="AC224" i="1" s="1"/>
  <c r="Z225" i="1"/>
  <c r="AC225" i="1" s="1"/>
  <c r="Z226" i="1"/>
  <c r="AC226" i="1" s="1"/>
  <c r="Z227" i="1"/>
  <c r="AC227" i="1" s="1"/>
  <c r="Z228" i="1"/>
  <c r="AC228" i="1" s="1"/>
  <c r="Z229" i="1"/>
  <c r="Z230" i="1"/>
  <c r="AC230" i="1" s="1"/>
  <c r="Z231" i="1"/>
  <c r="AC231" i="1" s="1"/>
  <c r="Z232" i="1"/>
  <c r="AC232" i="1" s="1"/>
  <c r="Z233" i="1"/>
  <c r="AC233" i="1" s="1"/>
  <c r="Z234" i="1"/>
  <c r="AC234" i="1" s="1"/>
  <c r="Z235" i="1"/>
  <c r="AC235" i="1" s="1"/>
  <c r="Z236" i="1"/>
  <c r="AC236" i="1" s="1"/>
  <c r="Z237" i="1"/>
  <c r="AC237" i="1" s="1"/>
  <c r="Z238" i="1"/>
  <c r="AC238" i="1" s="1"/>
  <c r="Z239" i="1"/>
  <c r="AC239" i="1" s="1"/>
  <c r="Z240" i="1"/>
  <c r="AC240" i="1" s="1"/>
  <c r="Z241" i="1"/>
  <c r="AC241" i="1" s="1"/>
  <c r="Z242" i="1"/>
  <c r="AC242" i="1" s="1"/>
  <c r="Z243" i="1"/>
  <c r="AC243" i="1" s="1"/>
  <c r="Z244" i="1"/>
  <c r="AC244" i="1" s="1"/>
  <c r="Z245" i="1"/>
  <c r="AC245" i="1" s="1"/>
  <c r="Z246" i="1"/>
  <c r="AC246" i="1" s="1"/>
  <c r="Z247" i="1"/>
  <c r="AC247" i="1" s="1"/>
  <c r="Z248" i="1"/>
  <c r="AC248" i="1" s="1"/>
  <c r="Z249" i="1"/>
  <c r="AC249" i="1" s="1"/>
  <c r="Z250" i="1"/>
  <c r="AC250" i="1" s="1"/>
  <c r="Z251" i="1"/>
  <c r="AC251" i="1" s="1"/>
  <c r="Z252" i="1"/>
  <c r="AC252" i="1" s="1"/>
  <c r="Z253" i="1"/>
  <c r="AC253" i="1" s="1"/>
  <c r="Z254" i="1"/>
  <c r="AC254" i="1" s="1"/>
  <c r="Z255" i="1"/>
  <c r="AC255" i="1" s="1"/>
  <c r="Z256" i="1"/>
  <c r="AC256" i="1" s="1"/>
  <c r="Z257" i="1"/>
  <c r="AC257" i="1" s="1"/>
  <c r="Z258" i="1"/>
  <c r="AC258" i="1" s="1"/>
  <c r="Z259" i="1"/>
  <c r="AC259" i="1" s="1"/>
  <c r="Z260" i="1"/>
  <c r="AC260" i="1" s="1"/>
  <c r="Z261" i="1"/>
  <c r="AC261" i="1" s="1"/>
  <c r="Z262" i="1"/>
  <c r="AC262" i="1" s="1"/>
  <c r="Z263" i="1"/>
  <c r="AC263" i="1" s="1"/>
  <c r="Z264" i="1"/>
  <c r="AC264" i="1" s="1"/>
  <c r="Z265" i="1"/>
  <c r="AC265" i="1" s="1"/>
  <c r="Z266" i="1"/>
  <c r="AC266" i="1" s="1"/>
  <c r="Z267" i="1"/>
  <c r="AC267" i="1" s="1"/>
  <c r="Z268" i="1"/>
  <c r="AC268" i="1" s="1"/>
  <c r="Z269" i="1"/>
  <c r="AC269" i="1" s="1"/>
  <c r="Z270" i="1"/>
  <c r="AC270" i="1" s="1"/>
  <c r="Z271" i="1"/>
  <c r="AC271" i="1" s="1"/>
  <c r="Z272" i="1"/>
  <c r="AC272" i="1" s="1"/>
  <c r="Z273" i="1"/>
  <c r="AC273" i="1" s="1"/>
  <c r="Z274" i="1"/>
  <c r="AC274" i="1" s="1"/>
  <c r="Z275" i="1"/>
  <c r="AC275" i="1" s="1"/>
  <c r="Z276" i="1"/>
  <c r="AC276" i="1" s="1"/>
  <c r="Z277" i="1"/>
  <c r="AC277" i="1" s="1"/>
  <c r="Z278" i="1"/>
  <c r="AC278" i="1" s="1"/>
  <c r="Z279" i="1"/>
  <c r="AC279" i="1" s="1"/>
  <c r="Z280" i="1"/>
  <c r="AC280" i="1" s="1"/>
  <c r="Z281" i="1"/>
  <c r="Z282" i="1"/>
  <c r="AC282" i="1" s="1"/>
  <c r="Z283" i="1"/>
  <c r="AC283" i="1" s="1"/>
  <c r="Z284" i="1"/>
  <c r="AC284" i="1" s="1"/>
  <c r="Z285" i="1"/>
  <c r="AC285" i="1" s="1"/>
  <c r="Z286" i="1"/>
  <c r="AC286" i="1" s="1"/>
  <c r="Z287" i="1"/>
  <c r="AC287" i="1" s="1"/>
  <c r="Z288" i="1"/>
  <c r="AC288" i="1" s="1"/>
  <c r="Z289" i="1"/>
  <c r="AC289" i="1" s="1"/>
  <c r="Z290" i="1"/>
  <c r="Z291" i="1"/>
  <c r="AC291" i="1" s="1"/>
  <c r="Z292" i="1"/>
  <c r="AC292" i="1" s="1"/>
  <c r="Z293" i="1"/>
  <c r="Z294" i="1"/>
  <c r="Z295" i="1"/>
  <c r="AC295" i="1" s="1"/>
  <c r="Z296" i="1"/>
  <c r="AC296" i="1" s="1"/>
  <c r="Z297" i="1"/>
  <c r="Z298" i="1"/>
  <c r="AC298" i="1" s="1"/>
  <c r="Z299" i="1"/>
  <c r="AC299" i="1" s="1"/>
  <c r="Z300" i="1"/>
  <c r="AC300" i="1" s="1"/>
  <c r="Z301" i="1"/>
  <c r="AC301" i="1" s="1"/>
  <c r="Z302" i="1"/>
  <c r="AC302" i="1" s="1"/>
  <c r="Z303" i="1"/>
  <c r="AC303" i="1" s="1"/>
  <c r="Z304" i="1"/>
  <c r="AC304" i="1" s="1"/>
  <c r="Z305" i="1"/>
  <c r="AC305" i="1" s="1"/>
  <c r="Z306" i="1"/>
  <c r="AC306" i="1" s="1"/>
  <c r="Z307" i="1"/>
  <c r="AC307" i="1" s="1"/>
  <c r="Z308" i="1"/>
  <c r="AC308" i="1" s="1"/>
  <c r="Z309" i="1"/>
  <c r="AC309" i="1" s="1"/>
  <c r="Z310" i="1"/>
  <c r="AC310" i="1" s="1"/>
  <c r="Z311" i="1"/>
  <c r="AC311" i="1" s="1"/>
  <c r="Z312" i="1"/>
  <c r="AC312" i="1" s="1"/>
  <c r="Z313" i="1"/>
  <c r="AC313" i="1" s="1"/>
  <c r="Z314" i="1"/>
  <c r="AC314" i="1" s="1"/>
  <c r="Z315" i="1"/>
  <c r="AC315" i="1" s="1"/>
  <c r="Z316" i="1"/>
  <c r="AC316" i="1" s="1"/>
  <c r="Z317" i="1"/>
  <c r="AC317" i="1" s="1"/>
  <c r="Z318" i="1"/>
  <c r="AC318" i="1" s="1"/>
  <c r="Z319" i="1"/>
  <c r="AC319" i="1" s="1"/>
  <c r="Z320" i="1"/>
  <c r="AC320" i="1" s="1"/>
  <c r="Z321" i="1"/>
  <c r="AC321" i="1" s="1"/>
  <c r="Z322" i="1"/>
  <c r="AC322" i="1" s="1"/>
  <c r="Z323" i="1"/>
  <c r="AC323" i="1" s="1"/>
  <c r="Z324" i="1"/>
  <c r="AC324" i="1" s="1"/>
  <c r="Z325" i="1"/>
  <c r="AC325" i="1" s="1"/>
  <c r="Z326" i="1"/>
  <c r="AC326" i="1" s="1"/>
  <c r="Z327" i="1"/>
  <c r="AC327" i="1" s="1"/>
  <c r="Z328" i="1"/>
  <c r="AC328" i="1" s="1"/>
  <c r="Z329" i="1"/>
  <c r="AC329" i="1" s="1"/>
  <c r="Z330" i="1"/>
  <c r="AC330" i="1" s="1"/>
  <c r="Z331" i="1"/>
  <c r="AC331" i="1" s="1"/>
  <c r="Z332" i="1"/>
  <c r="AC332" i="1" s="1"/>
  <c r="Z333" i="1"/>
  <c r="AC333" i="1" s="1"/>
  <c r="Z334" i="1"/>
  <c r="AC334" i="1" s="1"/>
  <c r="Z335" i="1"/>
  <c r="AC335" i="1" s="1"/>
  <c r="Z336" i="1"/>
  <c r="AC336" i="1" s="1"/>
  <c r="Z337" i="1"/>
  <c r="AC337" i="1" s="1"/>
  <c r="Z338" i="1"/>
  <c r="AC338" i="1" s="1"/>
  <c r="Z339" i="1"/>
  <c r="AC339" i="1" s="1"/>
  <c r="Z340" i="1"/>
  <c r="AC340" i="1" s="1"/>
  <c r="Z341" i="1"/>
  <c r="AC341" i="1" s="1"/>
  <c r="Z342" i="1"/>
  <c r="AC342" i="1" s="1"/>
  <c r="Z343" i="1"/>
  <c r="AC343" i="1" s="1"/>
  <c r="Z344" i="1"/>
  <c r="AC344" i="1" s="1"/>
  <c r="Z345" i="1"/>
  <c r="AC345" i="1" s="1"/>
  <c r="Z346" i="1"/>
  <c r="AC346" i="1" s="1"/>
  <c r="Z347" i="1"/>
  <c r="AC347" i="1" s="1"/>
  <c r="Z348" i="1"/>
  <c r="AC348" i="1" s="1"/>
  <c r="Z349" i="1"/>
  <c r="AC349" i="1" s="1"/>
  <c r="Z350" i="1"/>
  <c r="AC350" i="1" s="1"/>
  <c r="Z351" i="1"/>
  <c r="AC351" i="1" s="1"/>
  <c r="Z352" i="1"/>
  <c r="AC352" i="1" s="1"/>
  <c r="Z353" i="1"/>
  <c r="AC353" i="1" s="1"/>
  <c r="Z354" i="1"/>
  <c r="Z355" i="1"/>
  <c r="Z356" i="1"/>
  <c r="AC356" i="1" s="1"/>
  <c r="Z357" i="1"/>
  <c r="AC357" i="1" s="1"/>
  <c r="Z358" i="1"/>
  <c r="AC358" i="1" s="1"/>
  <c r="Z359" i="1"/>
  <c r="AC359" i="1" s="1"/>
  <c r="Z360" i="1"/>
  <c r="AC360" i="1" s="1"/>
  <c r="Z361" i="1"/>
  <c r="AC361" i="1" s="1"/>
  <c r="Z362" i="1"/>
  <c r="AC362" i="1" s="1"/>
  <c r="Z363" i="1"/>
  <c r="AC363" i="1" s="1"/>
  <c r="Z364" i="1"/>
  <c r="AC364" i="1" s="1"/>
  <c r="Z365" i="1"/>
  <c r="AC365" i="1" s="1"/>
  <c r="Z366" i="1"/>
  <c r="AC366" i="1" s="1"/>
  <c r="Z367" i="1"/>
  <c r="AC367" i="1" s="1"/>
  <c r="Z368" i="1"/>
  <c r="AC368" i="1" s="1"/>
  <c r="Z369" i="1"/>
  <c r="AC369" i="1" s="1"/>
  <c r="Z370" i="1"/>
  <c r="AC370" i="1" s="1"/>
  <c r="Z371" i="1"/>
  <c r="AC371" i="1" s="1"/>
  <c r="Z372" i="1"/>
  <c r="AC372" i="1" s="1"/>
  <c r="Z373" i="1"/>
  <c r="AC373" i="1" s="1"/>
  <c r="Z374" i="1"/>
  <c r="AC374" i="1" s="1"/>
  <c r="Z375" i="1"/>
  <c r="AC375" i="1" s="1"/>
  <c r="Z376" i="1"/>
  <c r="AC376" i="1" s="1"/>
  <c r="Z377" i="1"/>
  <c r="AC377" i="1" s="1"/>
  <c r="Z378" i="1"/>
  <c r="AC378" i="1" s="1"/>
  <c r="Z379" i="1"/>
  <c r="AC379" i="1" s="1"/>
  <c r="Z380" i="1"/>
  <c r="AC380" i="1" s="1"/>
  <c r="Z381" i="1"/>
  <c r="AC381" i="1" s="1"/>
  <c r="Z382" i="1"/>
  <c r="AC382" i="1" s="1"/>
  <c r="Z383" i="1"/>
  <c r="AC383" i="1" s="1"/>
  <c r="Z384" i="1"/>
  <c r="AC384" i="1" s="1"/>
  <c r="Z385" i="1"/>
  <c r="AC385" i="1" s="1"/>
  <c r="Z386" i="1"/>
  <c r="AC386" i="1" s="1"/>
  <c r="Z387" i="1"/>
  <c r="AC387" i="1" s="1"/>
  <c r="Z388" i="1"/>
  <c r="AC388" i="1" s="1"/>
  <c r="Z389" i="1"/>
  <c r="AC389" i="1" s="1"/>
  <c r="Z390" i="1"/>
  <c r="AC390" i="1" s="1"/>
  <c r="Z391" i="1"/>
  <c r="AC391" i="1" s="1"/>
  <c r="Z392" i="1"/>
  <c r="AC392" i="1" s="1"/>
  <c r="Z393" i="1"/>
  <c r="AC393" i="1" s="1"/>
  <c r="Z394" i="1"/>
  <c r="AC394" i="1" s="1"/>
  <c r="Z395" i="1"/>
  <c r="AC395" i="1" s="1"/>
  <c r="Z396" i="1"/>
  <c r="AC396" i="1" s="1"/>
  <c r="Z397" i="1"/>
  <c r="AC397" i="1" s="1"/>
  <c r="Z398" i="1"/>
  <c r="AC398" i="1" s="1"/>
  <c r="Z399" i="1"/>
  <c r="AC399" i="1" s="1"/>
  <c r="Z400" i="1"/>
  <c r="AC400" i="1" s="1"/>
  <c r="Z401" i="1"/>
  <c r="AC401" i="1" s="1"/>
  <c r="Z402" i="1"/>
  <c r="AC402" i="1" s="1"/>
  <c r="Z403" i="1"/>
  <c r="AC403" i="1" s="1"/>
  <c r="Z404" i="1"/>
  <c r="AC404" i="1" s="1"/>
  <c r="Z405" i="1"/>
  <c r="AC405" i="1" s="1"/>
  <c r="Z406" i="1"/>
  <c r="AC406" i="1" s="1"/>
  <c r="Z407" i="1"/>
  <c r="AC407" i="1" s="1"/>
  <c r="Z408" i="1"/>
  <c r="AC408" i="1" s="1"/>
  <c r="Z409" i="1"/>
  <c r="AC409" i="1" s="1"/>
  <c r="Z410" i="1"/>
  <c r="AC410" i="1" s="1"/>
  <c r="Z411" i="1"/>
  <c r="AC411" i="1" s="1"/>
  <c r="Z412" i="1"/>
  <c r="AC412" i="1" s="1"/>
  <c r="Z413" i="1"/>
  <c r="AC413" i="1" s="1"/>
  <c r="Z414" i="1"/>
  <c r="AC414" i="1" s="1"/>
  <c r="Z415" i="1"/>
  <c r="AC415" i="1" s="1"/>
  <c r="Z416" i="1"/>
  <c r="AC416" i="1" s="1"/>
  <c r="Z417" i="1"/>
  <c r="AC417" i="1" s="1"/>
  <c r="Z418" i="1"/>
  <c r="AC418" i="1" s="1"/>
  <c r="Z419" i="1"/>
  <c r="AC419" i="1" s="1"/>
  <c r="Z420" i="1"/>
  <c r="AC420" i="1" s="1"/>
  <c r="Z421" i="1"/>
  <c r="AC421" i="1" s="1"/>
  <c r="Z422" i="1"/>
  <c r="AC422" i="1" s="1"/>
  <c r="Z423" i="1"/>
  <c r="AC423" i="1" s="1"/>
  <c r="Z424" i="1"/>
  <c r="AC424" i="1" s="1"/>
  <c r="Z425" i="1"/>
  <c r="AC425" i="1" s="1"/>
  <c r="Z426" i="1"/>
  <c r="AC426" i="1" s="1"/>
  <c r="Z427" i="1"/>
  <c r="AC427" i="1" s="1"/>
  <c r="Z428" i="1"/>
  <c r="AC428" i="1" s="1"/>
  <c r="Z429" i="1"/>
  <c r="AC429" i="1" s="1"/>
  <c r="Z430" i="1"/>
  <c r="AC430" i="1" s="1"/>
  <c r="Z431" i="1"/>
  <c r="AC431" i="1" s="1"/>
  <c r="Z432" i="1"/>
  <c r="AC432" i="1" s="1"/>
  <c r="Z433" i="1"/>
  <c r="AC433" i="1" s="1"/>
  <c r="Z434" i="1"/>
  <c r="Z435" i="1"/>
  <c r="AC435" i="1" s="1"/>
  <c r="Z436" i="1"/>
  <c r="AC436" i="1" s="1"/>
  <c r="Z437" i="1"/>
  <c r="AC437" i="1" s="1"/>
  <c r="Z438" i="1"/>
  <c r="AC438" i="1" s="1"/>
  <c r="Z439" i="1"/>
  <c r="AC439" i="1" s="1"/>
  <c r="Z440" i="1"/>
  <c r="AC440" i="1" s="1"/>
  <c r="Z441" i="1"/>
  <c r="AC441" i="1" s="1"/>
  <c r="Z442" i="1"/>
  <c r="AC442" i="1" s="1"/>
  <c r="Z443" i="1"/>
  <c r="AC443" i="1" s="1"/>
  <c r="Z444" i="1"/>
  <c r="AC444" i="1" s="1"/>
  <c r="Z445" i="1"/>
  <c r="AC445" i="1" s="1"/>
  <c r="Z446" i="1"/>
  <c r="AC446" i="1" s="1"/>
  <c r="Z447" i="1"/>
  <c r="AC447" i="1" s="1"/>
  <c r="Z448" i="1"/>
  <c r="AC448" i="1" s="1"/>
  <c r="Z449" i="1"/>
  <c r="AC449" i="1" s="1"/>
  <c r="Z450" i="1"/>
  <c r="AC450" i="1" s="1"/>
  <c r="Z451" i="1"/>
  <c r="AC451" i="1" s="1"/>
  <c r="Z452" i="1"/>
  <c r="AC452" i="1" s="1"/>
  <c r="Z453" i="1"/>
  <c r="AC453" i="1" s="1"/>
  <c r="Z454" i="1"/>
  <c r="AC454" i="1" s="1"/>
  <c r="Z455" i="1"/>
  <c r="AC455" i="1" s="1"/>
  <c r="Z456" i="1"/>
  <c r="AC456" i="1" s="1"/>
  <c r="Z457" i="1"/>
  <c r="AC457" i="1" s="1"/>
  <c r="Z458" i="1"/>
  <c r="AC458" i="1" s="1"/>
  <c r="Z459" i="1"/>
  <c r="AC459" i="1" s="1"/>
  <c r="Z460" i="1"/>
  <c r="AC460" i="1" s="1"/>
  <c r="Z461" i="1"/>
  <c r="AC461" i="1" s="1"/>
  <c r="Z462" i="1"/>
  <c r="AC462" i="1" s="1"/>
  <c r="Z463" i="1"/>
  <c r="AC463" i="1" s="1"/>
  <c r="Z464" i="1"/>
  <c r="AC464" i="1" s="1"/>
  <c r="Z465" i="1"/>
  <c r="AC465" i="1" s="1"/>
  <c r="Z466" i="1"/>
  <c r="AC466" i="1" s="1"/>
  <c r="Z467" i="1"/>
  <c r="AC467" i="1" s="1"/>
  <c r="Z468" i="1"/>
  <c r="AC468" i="1" s="1"/>
  <c r="Z469" i="1"/>
  <c r="Z470" i="1"/>
  <c r="Z471" i="1"/>
  <c r="AC471" i="1" s="1"/>
  <c r="Z472" i="1"/>
  <c r="AC472" i="1" s="1"/>
  <c r="Z473" i="1"/>
  <c r="AC473" i="1" s="1"/>
  <c r="Z474" i="1"/>
  <c r="AC474" i="1" s="1"/>
  <c r="Z475" i="1"/>
  <c r="AC475" i="1" s="1"/>
  <c r="Z476" i="1"/>
  <c r="AC476" i="1" s="1"/>
  <c r="Z477" i="1"/>
  <c r="AC477" i="1" s="1"/>
  <c r="Z478" i="1"/>
  <c r="AC478" i="1" s="1"/>
  <c r="Z479" i="1"/>
  <c r="AC479" i="1" s="1"/>
  <c r="Z480" i="1"/>
  <c r="AC480" i="1" s="1"/>
  <c r="Z481" i="1"/>
  <c r="AC481" i="1" s="1"/>
  <c r="Z482" i="1"/>
  <c r="AC482" i="1" s="1"/>
  <c r="Z483" i="1"/>
  <c r="AC483" i="1" s="1"/>
  <c r="Z484" i="1"/>
  <c r="AC484" i="1" s="1"/>
  <c r="Z485" i="1"/>
  <c r="AC485" i="1" s="1"/>
  <c r="Z486" i="1"/>
  <c r="AC486" i="1" s="1"/>
  <c r="Z487" i="1"/>
  <c r="AC487" i="1" s="1"/>
  <c r="Z488" i="1"/>
  <c r="AC488" i="1" s="1"/>
  <c r="Z489" i="1"/>
  <c r="AC489" i="1" s="1"/>
  <c r="Z490" i="1"/>
  <c r="AC490" i="1" s="1"/>
  <c r="Z491" i="1"/>
  <c r="AC491" i="1" s="1"/>
  <c r="Z492" i="1"/>
  <c r="AC492" i="1" s="1"/>
  <c r="Z493" i="1"/>
  <c r="AC493" i="1" s="1"/>
  <c r="Z494" i="1"/>
  <c r="AC494" i="1" s="1"/>
  <c r="Z495" i="1"/>
  <c r="AC495" i="1" s="1"/>
  <c r="Z496" i="1"/>
  <c r="AC496" i="1" s="1"/>
  <c r="Z497" i="1"/>
  <c r="AC497" i="1" s="1"/>
  <c r="Z498" i="1"/>
  <c r="AC498" i="1" s="1"/>
  <c r="Z499" i="1"/>
  <c r="AC499" i="1" s="1"/>
  <c r="Z500" i="1"/>
  <c r="AC500" i="1" s="1"/>
  <c r="Z501" i="1"/>
  <c r="AC501" i="1" s="1"/>
  <c r="Z502" i="1"/>
  <c r="AC502" i="1" s="1"/>
  <c r="Z503" i="1"/>
  <c r="AC503" i="1" s="1"/>
  <c r="Z504" i="1"/>
  <c r="AC504" i="1" s="1"/>
  <c r="Z505" i="1"/>
  <c r="AC505" i="1" s="1"/>
  <c r="Z506" i="1"/>
  <c r="AC506" i="1" s="1"/>
  <c r="Z507" i="1"/>
  <c r="AC507" i="1" s="1"/>
  <c r="Z508" i="1"/>
  <c r="AC508" i="1" s="1"/>
  <c r="Z509" i="1"/>
  <c r="AC509" i="1" s="1"/>
  <c r="Z510" i="1"/>
  <c r="AC510" i="1" s="1"/>
  <c r="Z511" i="1"/>
  <c r="AC511" i="1" s="1"/>
  <c r="Z512" i="1"/>
  <c r="AC512" i="1" s="1"/>
  <c r="Z513" i="1"/>
  <c r="AC513" i="1" s="1"/>
  <c r="Z514" i="1"/>
  <c r="AC514" i="1" s="1"/>
  <c r="Z515" i="1"/>
  <c r="AC515" i="1" s="1"/>
  <c r="Z516" i="1"/>
  <c r="AC516" i="1" s="1"/>
  <c r="Z517" i="1"/>
  <c r="AC517" i="1" s="1"/>
  <c r="Z518" i="1"/>
  <c r="AC518" i="1" s="1"/>
  <c r="Z519" i="1"/>
  <c r="AC519" i="1" s="1"/>
  <c r="Z520" i="1"/>
  <c r="AC520" i="1" s="1"/>
  <c r="Z521" i="1"/>
  <c r="AC521" i="1" s="1"/>
  <c r="Z522" i="1"/>
  <c r="AC522" i="1" s="1"/>
  <c r="Z523" i="1"/>
  <c r="AC523" i="1" s="1"/>
  <c r="Z524" i="1"/>
  <c r="AC524" i="1" s="1"/>
  <c r="Z525" i="1"/>
  <c r="AC525" i="1" s="1"/>
  <c r="Z526" i="1"/>
  <c r="AC526" i="1" s="1"/>
  <c r="Z527" i="1"/>
  <c r="AC527" i="1" s="1"/>
  <c r="Z528" i="1"/>
  <c r="Z529" i="1"/>
  <c r="AC529" i="1" s="1"/>
  <c r="Z530" i="1"/>
  <c r="Z531" i="1"/>
  <c r="AC531" i="1" s="1"/>
  <c r="Z532" i="1"/>
  <c r="AC532" i="1" s="1"/>
  <c r="Z533" i="1"/>
  <c r="AC533" i="1" s="1"/>
  <c r="Z534" i="1"/>
  <c r="Z535" i="1"/>
  <c r="AC535" i="1" s="1"/>
  <c r="Z536" i="1"/>
  <c r="AC536" i="1" s="1"/>
  <c r="Z537" i="1"/>
  <c r="AC537" i="1" s="1"/>
  <c r="Z538" i="1"/>
  <c r="AC538" i="1" s="1"/>
  <c r="Z539" i="1"/>
  <c r="AC539" i="1" s="1"/>
  <c r="Z540" i="1"/>
  <c r="AC540" i="1" s="1"/>
  <c r="Z541" i="1"/>
  <c r="AC541" i="1" s="1"/>
  <c r="Z542" i="1"/>
  <c r="AC542" i="1" s="1"/>
  <c r="Z543" i="1"/>
  <c r="AC543" i="1" s="1"/>
  <c r="Z544" i="1"/>
  <c r="AC544" i="1" s="1"/>
  <c r="Z545" i="1"/>
  <c r="AC545" i="1" s="1"/>
  <c r="Z546" i="1"/>
  <c r="Z547" i="1"/>
  <c r="AC547" i="1" s="1"/>
  <c r="Z548" i="1"/>
  <c r="AC548" i="1" s="1"/>
  <c r="Z549" i="1"/>
  <c r="AC549" i="1" s="1"/>
  <c r="Z550" i="1"/>
  <c r="AC550" i="1" s="1"/>
  <c r="Z551" i="1"/>
  <c r="AC551" i="1" s="1"/>
  <c r="Z552" i="1"/>
  <c r="AC552" i="1" s="1"/>
  <c r="Z553" i="1"/>
  <c r="AC553" i="1" s="1"/>
  <c r="Z554" i="1"/>
  <c r="AC554" i="1" s="1"/>
  <c r="Z555" i="1"/>
  <c r="AC555" i="1" s="1"/>
  <c r="Z556" i="1"/>
  <c r="AC556" i="1" s="1"/>
  <c r="Z557" i="1"/>
  <c r="AC557" i="1" s="1"/>
  <c r="Z558" i="1"/>
  <c r="AC558" i="1" s="1"/>
  <c r="Z559" i="1"/>
  <c r="AC559" i="1" s="1"/>
  <c r="Z560" i="1"/>
  <c r="AC560" i="1" s="1"/>
  <c r="Z561" i="1"/>
  <c r="AC561" i="1" s="1"/>
  <c r="Z562" i="1"/>
  <c r="AC562" i="1" s="1"/>
  <c r="Z563" i="1"/>
  <c r="AC563" i="1" s="1"/>
  <c r="Z564" i="1"/>
  <c r="AC564" i="1" s="1"/>
  <c r="Z565" i="1"/>
  <c r="AC565" i="1" s="1"/>
  <c r="Z566" i="1"/>
  <c r="AC566" i="1" s="1"/>
  <c r="Z567" i="1"/>
  <c r="AC567" i="1" s="1"/>
  <c r="Z568" i="1"/>
  <c r="AC568" i="1" s="1"/>
  <c r="Z569" i="1"/>
  <c r="AC569" i="1" s="1"/>
  <c r="Z570" i="1"/>
  <c r="AC570" i="1" s="1"/>
  <c r="Z571" i="1"/>
  <c r="AC571" i="1" s="1"/>
  <c r="Z572" i="1"/>
  <c r="AC572" i="1" s="1"/>
  <c r="Z573" i="1"/>
  <c r="AC573" i="1" s="1"/>
  <c r="Z574" i="1"/>
  <c r="AC574" i="1" s="1"/>
  <c r="Z575" i="1"/>
  <c r="AC575" i="1" s="1"/>
  <c r="Z576" i="1"/>
  <c r="AC576" i="1" s="1"/>
  <c r="Z577" i="1"/>
  <c r="AC577" i="1" s="1"/>
  <c r="Z578" i="1"/>
  <c r="AC578" i="1" s="1"/>
  <c r="Z579" i="1"/>
  <c r="AC579" i="1" s="1"/>
  <c r="Z580" i="1"/>
  <c r="AC580" i="1" s="1"/>
  <c r="Z581" i="1"/>
  <c r="AC581" i="1" s="1"/>
  <c r="Z582" i="1"/>
  <c r="AC582" i="1" s="1"/>
  <c r="Z583" i="1"/>
  <c r="AC583" i="1" s="1"/>
  <c r="Z584" i="1"/>
  <c r="AC584" i="1" s="1"/>
  <c r="Z585" i="1"/>
  <c r="AC585" i="1" s="1"/>
  <c r="Z586" i="1"/>
  <c r="Z587" i="1"/>
  <c r="AC587" i="1" s="1"/>
  <c r="Z588" i="1"/>
  <c r="AC588" i="1" s="1"/>
  <c r="Z589" i="1"/>
  <c r="AC589" i="1" s="1"/>
  <c r="Z590" i="1"/>
  <c r="AC590" i="1" s="1"/>
  <c r="Z591" i="1"/>
  <c r="AC591" i="1" s="1"/>
  <c r="Z592" i="1"/>
  <c r="AC592" i="1" s="1"/>
  <c r="Z593" i="1"/>
  <c r="AC593" i="1" s="1"/>
  <c r="Z594" i="1"/>
  <c r="AC594" i="1" s="1"/>
  <c r="Z595" i="1"/>
  <c r="AC595" i="1" s="1"/>
  <c r="Z596" i="1"/>
  <c r="AC596" i="1" s="1"/>
  <c r="Z597" i="1"/>
  <c r="AC597" i="1" s="1"/>
  <c r="Z598" i="1"/>
  <c r="AC598" i="1" s="1"/>
  <c r="Z599" i="1"/>
  <c r="AC599" i="1" s="1"/>
  <c r="Z600" i="1"/>
  <c r="AC600" i="1" s="1"/>
  <c r="Z601" i="1"/>
  <c r="Z602" i="1"/>
  <c r="AC602" i="1" s="1"/>
  <c r="Z603" i="1"/>
  <c r="AC603" i="1" s="1"/>
  <c r="Z604" i="1"/>
  <c r="AC604" i="1" s="1"/>
  <c r="Z605" i="1"/>
  <c r="AC605" i="1" s="1"/>
  <c r="Z606" i="1"/>
  <c r="AC606" i="1" s="1"/>
  <c r="Z607" i="1"/>
  <c r="AC607" i="1" s="1"/>
  <c r="Z608" i="1"/>
  <c r="AC608" i="1" s="1"/>
  <c r="Z609" i="1"/>
  <c r="AC609" i="1" s="1"/>
  <c r="Z610" i="1"/>
  <c r="Z611" i="1"/>
  <c r="Z612" i="1"/>
  <c r="AC612" i="1" s="1"/>
  <c r="Z613" i="1"/>
  <c r="AC613" i="1" s="1"/>
  <c r="Z614" i="1"/>
  <c r="AC614" i="1" s="1"/>
  <c r="Z615" i="1"/>
  <c r="AC615" i="1" s="1"/>
  <c r="Z616" i="1"/>
  <c r="AC616" i="1" s="1"/>
  <c r="Z617" i="1"/>
  <c r="AC617" i="1" s="1"/>
  <c r="Z618" i="1"/>
  <c r="AC618" i="1" s="1"/>
  <c r="Z619" i="1"/>
  <c r="AC619" i="1" s="1"/>
  <c r="Z620" i="1"/>
  <c r="AC620" i="1" s="1"/>
  <c r="Z621" i="1"/>
  <c r="AC621" i="1" s="1"/>
  <c r="Z622" i="1"/>
  <c r="AC622" i="1" s="1"/>
  <c r="Z623" i="1"/>
  <c r="AC623" i="1" s="1"/>
  <c r="Z624" i="1"/>
  <c r="AC624" i="1" s="1"/>
  <c r="Z625" i="1"/>
  <c r="AC625" i="1" s="1"/>
  <c r="Z626" i="1"/>
  <c r="AC626" i="1" s="1"/>
  <c r="Z627" i="1"/>
  <c r="AC627" i="1" s="1"/>
  <c r="Z628" i="1"/>
  <c r="AC628" i="1" s="1"/>
  <c r="Z629" i="1"/>
  <c r="AC629" i="1" s="1"/>
  <c r="Z630" i="1"/>
  <c r="AC630" i="1" s="1"/>
  <c r="Z631" i="1"/>
  <c r="AC631" i="1" s="1"/>
  <c r="Z632" i="1"/>
  <c r="AC632" i="1" s="1"/>
  <c r="Z633" i="1"/>
  <c r="AC633" i="1" s="1"/>
  <c r="Z634" i="1"/>
  <c r="AC634" i="1" s="1"/>
  <c r="Z635" i="1"/>
  <c r="AC635" i="1" s="1"/>
  <c r="Z636" i="1"/>
  <c r="AC636" i="1" s="1"/>
  <c r="Z637" i="1"/>
  <c r="AC637" i="1" s="1"/>
  <c r="Z638" i="1"/>
  <c r="AC638" i="1" s="1"/>
  <c r="Z639" i="1"/>
  <c r="AC639" i="1" s="1"/>
  <c r="Z640" i="1"/>
  <c r="AC640" i="1" s="1"/>
  <c r="Z641" i="1"/>
  <c r="AC641" i="1" s="1"/>
  <c r="Z642" i="1"/>
  <c r="AC642" i="1" s="1"/>
  <c r="Z643" i="1"/>
  <c r="AC643" i="1" s="1"/>
  <c r="Z644" i="1"/>
  <c r="AC644" i="1" s="1"/>
  <c r="Z645" i="1"/>
  <c r="AC645" i="1" s="1"/>
  <c r="Z646" i="1"/>
  <c r="AC646" i="1" s="1"/>
  <c r="Z647" i="1"/>
  <c r="AC647" i="1" s="1"/>
  <c r="Z648" i="1"/>
  <c r="AC648" i="1" s="1"/>
  <c r="Z649" i="1"/>
  <c r="AC649" i="1" s="1"/>
  <c r="Z650" i="1"/>
  <c r="AC650" i="1" s="1"/>
  <c r="Z651" i="1"/>
  <c r="AC651" i="1" s="1"/>
  <c r="Z652" i="1"/>
  <c r="AC652" i="1" s="1"/>
  <c r="Z653" i="1"/>
  <c r="AC653" i="1" s="1"/>
  <c r="Z654" i="1"/>
  <c r="AC654" i="1" s="1"/>
  <c r="Z655" i="1"/>
  <c r="AC655" i="1" s="1"/>
  <c r="Z656" i="1"/>
  <c r="AC656" i="1" s="1"/>
  <c r="Z657" i="1"/>
  <c r="AC657" i="1" s="1"/>
  <c r="Z658" i="1"/>
  <c r="AC658" i="1" s="1"/>
  <c r="Z659" i="1"/>
  <c r="AC659" i="1" s="1"/>
  <c r="Z660" i="1"/>
  <c r="AC660" i="1" s="1"/>
  <c r="Z661" i="1"/>
  <c r="AC661" i="1" s="1"/>
  <c r="Z662" i="1"/>
  <c r="AC662" i="1" s="1"/>
  <c r="Z663" i="1"/>
  <c r="AC663" i="1" s="1"/>
  <c r="Z664" i="1"/>
  <c r="AC664" i="1" s="1"/>
  <c r="Z665" i="1"/>
  <c r="Z666" i="1"/>
  <c r="AC666" i="1" s="1"/>
  <c r="Z667" i="1"/>
  <c r="AC667" i="1" s="1"/>
  <c r="Z668" i="1"/>
  <c r="AC668" i="1" s="1"/>
  <c r="Z669" i="1"/>
  <c r="AC669" i="1" s="1"/>
  <c r="Z670" i="1"/>
  <c r="AC670" i="1" s="1"/>
  <c r="Z671" i="1"/>
  <c r="AC671" i="1" s="1"/>
  <c r="Z672" i="1"/>
  <c r="AC672" i="1" s="1"/>
  <c r="Z673" i="1"/>
  <c r="AC673" i="1" s="1"/>
  <c r="Z674" i="1"/>
  <c r="AC674" i="1" s="1"/>
  <c r="Z675" i="1"/>
  <c r="AC675" i="1" s="1"/>
  <c r="Z676" i="1"/>
  <c r="AC676" i="1" s="1"/>
  <c r="Z677" i="1"/>
  <c r="AC677" i="1" s="1"/>
  <c r="Z678" i="1"/>
  <c r="AC678" i="1" s="1"/>
  <c r="Z679" i="1"/>
  <c r="AC679" i="1" s="1"/>
  <c r="Z680" i="1"/>
  <c r="AC680" i="1" s="1"/>
  <c r="Z681" i="1"/>
  <c r="AC681" i="1" s="1"/>
  <c r="Z682" i="1"/>
  <c r="AC682" i="1" s="1"/>
  <c r="Z683" i="1"/>
  <c r="AC683" i="1" s="1"/>
  <c r="Z684" i="1"/>
  <c r="AC684" i="1" s="1"/>
  <c r="Z685" i="1"/>
  <c r="AC685" i="1" s="1"/>
  <c r="Z686" i="1"/>
  <c r="AC686" i="1" s="1"/>
  <c r="Z687" i="1"/>
  <c r="AC687" i="1" s="1"/>
  <c r="Z688" i="1"/>
  <c r="AC688" i="1" s="1"/>
  <c r="Z689" i="1"/>
  <c r="AC689" i="1" s="1"/>
  <c r="Z690" i="1"/>
  <c r="AC690" i="1" s="1"/>
  <c r="Z691" i="1"/>
  <c r="AC691" i="1" s="1"/>
  <c r="Z692" i="1"/>
  <c r="AC692" i="1" s="1"/>
  <c r="Z693" i="1"/>
  <c r="AC693" i="1" s="1"/>
  <c r="Z694" i="1"/>
  <c r="AC694" i="1" s="1"/>
  <c r="Z695" i="1"/>
  <c r="AC695" i="1" s="1"/>
  <c r="Z696" i="1"/>
  <c r="AC696" i="1" s="1"/>
  <c r="Z697" i="1"/>
  <c r="AC697" i="1" s="1"/>
  <c r="Z698" i="1"/>
  <c r="AC698" i="1" s="1"/>
  <c r="Z699" i="1"/>
  <c r="AC699" i="1" s="1"/>
  <c r="Z700" i="1"/>
  <c r="AC700" i="1" s="1"/>
  <c r="Z701" i="1"/>
  <c r="AC701" i="1" s="1"/>
  <c r="Z702" i="1"/>
  <c r="AC702" i="1" s="1"/>
  <c r="Z703" i="1"/>
  <c r="AC703" i="1" s="1"/>
  <c r="Z704" i="1"/>
  <c r="AC704" i="1" s="1"/>
  <c r="Z705" i="1"/>
  <c r="AC705" i="1" s="1"/>
  <c r="Z706" i="1"/>
  <c r="AC706" i="1" s="1"/>
  <c r="Z707" i="1"/>
  <c r="AC707" i="1" s="1"/>
  <c r="Z708" i="1"/>
  <c r="AC708" i="1" s="1"/>
  <c r="Z709" i="1"/>
  <c r="AC709" i="1" s="1"/>
  <c r="Z710" i="1"/>
  <c r="AC710" i="1" s="1"/>
  <c r="Z711" i="1"/>
  <c r="AC711" i="1" s="1"/>
  <c r="Z712" i="1"/>
  <c r="AC712" i="1" s="1"/>
  <c r="Z713" i="1"/>
  <c r="AC713" i="1" s="1"/>
  <c r="Z714" i="1"/>
  <c r="AC714" i="1" s="1"/>
  <c r="Z715" i="1"/>
  <c r="AC715" i="1" s="1"/>
  <c r="Z716" i="1"/>
  <c r="AC716" i="1" s="1"/>
  <c r="Z717" i="1"/>
  <c r="AC717" i="1" s="1"/>
  <c r="Z718" i="1"/>
  <c r="AC718" i="1" s="1"/>
  <c r="Z719" i="1"/>
  <c r="AC719" i="1" s="1"/>
  <c r="Z720" i="1"/>
  <c r="AC720" i="1" s="1"/>
  <c r="Z721" i="1"/>
  <c r="AC721" i="1" s="1"/>
  <c r="Z722" i="1"/>
  <c r="AC722" i="1" s="1"/>
  <c r="Z723" i="1"/>
  <c r="AC723" i="1" s="1"/>
  <c r="Z724" i="1"/>
  <c r="AC724" i="1" s="1"/>
  <c r="Z725" i="1"/>
  <c r="AC725" i="1" s="1"/>
  <c r="Z726" i="1"/>
  <c r="AC726" i="1" s="1"/>
  <c r="Z727" i="1"/>
  <c r="AC727" i="1" s="1"/>
  <c r="Z728" i="1"/>
  <c r="AC728" i="1" s="1"/>
  <c r="Z729" i="1"/>
  <c r="AC729" i="1" s="1"/>
  <c r="Z730" i="1"/>
  <c r="AC730" i="1" s="1"/>
  <c r="Z731" i="1"/>
  <c r="AC731" i="1" s="1"/>
  <c r="Z732" i="1"/>
  <c r="AC732" i="1" s="1"/>
  <c r="Z733" i="1"/>
  <c r="AC733" i="1" s="1"/>
  <c r="Z734" i="1"/>
  <c r="AC734" i="1" s="1"/>
  <c r="Z735" i="1"/>
  <c r="AC735" i="1" s="1"/>
  <c r="Z736" i="1"/>
  <c r="AC736" i="1" s="1"/>
  <c r="Z737" i="1"/>
  <c r="AC737" i="1" s="1"/>
  <c r="Z738" i="1"/>
  <c r="AC738" i="1" s="1"/>
  <c r="Z739" i="1"/>
  <c r="AC739" i="1" s="1"/>
  <c r="Z740" i="1"/>
  <c r="AC740" i="1" s="1"/>
  <c r="Z741" i="1"/>
  <c r="Z742" i="1"/>
  <c r="AC742" i="1" s="1"/>
  <c r="Z743" i="1"/>
  <c r="AC743" i="1" s="1"/>
  <c r="Z744" i="1"/>
  <c r="AC744" i="1" s="1"/>
  <c r="Z745" i="1"/>
  <c r="AC745" i="1" s="1"/>
  <c r="Z746" i="1"/>
  <c r="AC746" i="1" s="1"/>
  <c r="Z747" i="1"/>
  <c r="AC747" i="1" s="1"/>
  <c r="Z748" i="1"/>
  <c r="AC748" i="1" s="1"/>
  <c r="Z749" i="1"/>
  <c r="AC749" i="1" s="1"/>
  <c r="Z750" i="1"/>
  <c r="AC750" i="1" s="1"/>
  <c r="Z751" i="1"/>
  <c r="AC751" i="1" s="1"/>
  <c r="Z752" i="1"/>
  <c r="AC752" i="1" s="1"/>
  <c r="Z753" i="1"/>
  <c r="AC753" i="1" s="1"/>
  <c r="Z754" i="1"/>
  <c r="AC754" i="1" s="1"/>
  <c r="Z755" i="1"/>
  <c r="AC755" i="1" s="1"/>
  <c r="Z756" i="1"/>
  <c r="AC756" i="1" s="1"/>
  <c r="Z757" i="1"/>
  <c r="AC757" i="1" s="1"/>
  <c r="Z758" i="1"/>
  <c r="AC758" i="1" s="1"/>
  <c r="Z759" i="1"/>
  <c r="AC759" i="1" s="1"/>
  <c r="Z760" i="1"/>
  <c r="AC760" i="1" s="1"/>
  <c r="Z761" i="1"/>
  <c r="AC761" i="1" s="1"/>
  <c r="Z762" i="1"/>
  <c r="AC762" i="1" s="1"/>
  <c r="Z763" i="1"/>
  <c r="AC763" i="1" s="1"/>
  <c r="Z764" i="1"/>
  <c r="AC764" i="1" s="1"/>
  <c r="Z765" i="1"/>
  <c r="AC765" i="1" s="1"/>
  <c r="Z766" i="1"/>
  <c r="AC766" i="1" s="1"/>
  <c r="Z767" i="1"/>
  <c r="AC767" i="1" s="1"/>
  <c r="Z768" i="1"/>
  <c r="AC768" i="1" s="1"/>
  <c r="Z769" i="1"/>
  <c r="AC769" i="1" s="1"/>
  <c r="Z770" i="1"/>
  <c r="AC770" i="1" s="1"/>
  <c r="Z771" i="1"/>
  <c r="AC771" i="1" s="1"/>
  <c r="Z4" i="1"/>
  <c r="AC4" i="1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4" i="1"/>
  <c r="AC5" i="1"/>
  <c r="AC6" i="1"/>
  <c r="AC21" i="1"/>
  <c r="AC22" i="1"/>
  <c r="AC25" i="1"/>
  <c r="AC26" i="1"/>
  <c r="AC27" i="1"/>
  <c r="AC28" i="1"/>
  <c r="AC37" i="1"/>
  <c r="AC38" i="1"/>
  <c r="AC41" i="1"/>
  <c r="AC149" i="1"/>
  <c r="AC178" i="1"/>
  <c r="AC229" i="1"/>
  <c r="AC281" i="1"/>
  <c r="AC290" i="1"/>
  <c r="AC293" i="1"/>
  <c r="AC294" i="1"/>
  <c r="AC297" i="1"/>
  <c r="AC354" i="1"/>
  <c r="AC355" i="1"/>
  <c r="AC434" i="1"/>
  <c r="AC469" i="1"/>
  <c r="AC470" i="1"/>
  <c r="AC528" i="1"/>
  <c r="AC530" i="1"/>
  <c r="AC534" i="1"/>
  <c r="AC546" i="1"/>
  <c r="AC586" i="1"/>
  <c r="AC601" i="1"/>
  <c r="AC610" i="1"/>
  <c r="AC611" i="1"/>
  <c r="AC665" i="1"/>
  <c r="AC741" i="1"/>
  <c r="Y771" i="1"/>
  <c r="AB771" i="1" s="1"/>
  <c r="Y770" i="1"/>
  <c r="AB770" i="1" s="1"/>
  <c r="Y769" i="1"/>
  <c r="AB769" i="1" s="1"/>
  <c r="Y768" i="1"/>
  <c r="AB768" i="1" s="1"/>
  <c r="Y767" i="1"/>
  <c r="AB767" i="1" s="1"/>
  <c r="Y766" i="1"/>
  <c r="AB766" i="1" s="1"/>
  <c r="Y765" i="1"/>
  <c r="AB765" i="1" s="1"/>
  <c r="Y764" i="1"/>
  <c r="AB764" i="1" s="1"/>
  <c r="Y763" i="1"/>
  <c r="AB763" i="1" s="1"/>
  <c r="Y762" i="1"/>
  <c r="AB762" i="1" s="1"/>
  <c r="Y761" i="1"/>
  <c r="AB761" i="1" s="1"/>
  <c r="Y760" i="1"/>
  <c r="AB760" i="1" s="1"/>
  <c r="Y759" i="1"/>
  <c r="AB759" i="1" s="1"/>
  <c r="Y758" i="1"/>
  <c r="AB758" i="1" s="1"/>
  <c r="Y757" i="1"/>
  <c r="AB757" i="1" s="1"/>
  <c r="Y756" i="1"/>
  <c r="AB756" i="1" s="1"/>
  <c r="Y755" i="1"/>
  <c r="AB755" i="1" s="1"/>
  <c r="Y754" i="1"/>
  <c r="AB754" i="1" s="1"/>
  <c r="Y753" i="1"/>
  <c r="AB753" i="1" s="1"/>
  <c r="Y752" i="1"/>
  <c r="AB752" i="1" s="1"/>
  <c r="Y751" i="1"/>
  <c r="AB751" i="1" s="1"/>
  <c r="Y750" i="1"/>
  <c r="AB750" i="1" s="1"/>
  <c r="Y749" i="1"/>
  <c r="AB749" i="1" s="1"/>
  <c r="Y748" i="1"/>
  <c r="AB748" i="1" s="1"/>
  <c r="Y747" i="1"/>
  <c r="AB747" i="1" s="1"/>
  <c r="Y746" i="1"/>
  <c r="AB746" i="1" s="1"/>
  <c r="Y745" i="1"/>
  <c r="AB745" i="1" s="1"/>
  <c r="Y744" i="1"/>
  <c r="AB744" i="1" s="1"/>
  <c r="Y743" i="1"/>
  <c r="AB743" i="1" s="1"/>
  <c r="Y742" i="1"/>
  <c r="AB742" i="1" s="1"/>
  <c r="Y741" i="1"/>
  <c r="AB741" i="1" s="1"/>
  <c r="Y740" i="1"/>
  <c r="AB740" i="1" s="1"/>
  <c r="Y739" i="1"/>
  <c r="AB739" i="1" s="1"/>
  <c r="Y738" i="1"/>
  <c r="AB738" i="1" s="1"/>
  <c r="Y737" i="1"/>
  <c r="AB737" i="1" s="1"/>
  <c r="Y736" i="1"/>
  <c r="AB736" i="1" s="1"/>
  <c r="Y735" i="1"/>
  <c r="AB735" i="1" s="1"/>
  <c r="Y734" i="1"/>
  <c r="AB734" i="1" s="1"/>
  <c r="Y733" i="1"/>
  <c r="AB733" i="1" s="1"/>
  <c r="Y732" i="1"/>
  <c r="AB732" i="1" s="1"/>
  <c r="Y731" i="1"/>
  <c r="AB731" i="1" s="1"/>
  <c r="Y730" i="1"/>
  <c r="AB730" i="1" s="1"/>
  <c r="Y729" i="1"/>
  <c r="AB729" i="1" s="1"/>
  <c r="Y728" i="1"/>
  <c r="AB728" i="1" s="1"/>
  <c r="Y727" i="1"/>
  <c r="AB727" i="1" s="1"/>
  <c r="Y726" i="1"/>
  <c r="AB726" i="1" s="1"/>
  <c r="Y725" i="1"/>
  <c r="AB725" i="1" s="1"/>
  <c r="Y724" i="1"/>
  <c r="AB724" i="1" s="1"/>
  <c r="Y723" i="1"/>
  <c r="AB723" i="1" s="1"/>
  <c r="Y722" i="1"/>
  <c r="AB722" i="1" s="1"/>
  <c r="Y721" i="1"/>
  <c r="AB721" i="1" s="1"/>
  <c r="Y720" i="1"/>
  <c r="AB720" i="1" s="1"/>
  <c r="Y719" i="1"/>
  <c r="AB719" i="1" s="1"/>
  <c r="Y718" i="1"/>
  <c r="AB718" i="1" s="1"/>
  <c r="Y717" i="1"/>
  <c r="AB717" i="1" s="1"/>
  <c r="Y716" i="1"/>
  <c r="AB716" i="1" s="1"/>
  <c r="Y715" i="1"/>
  <c r="AB715" i="1" s="1"/>
  <c r="Y714" i="1"/>
  <c r="AB714" i="1" s="1"/>
  <c r="Y713" i="1"/>
  <c r="AB713" i="1" s="1"/>
  <c r="Y712" i="1"/>
  <c r="AB712" i="1" s="1"/>
  <c r="Y711" i="1"/>
  <c r="AB711" i="1" s="1"/>
  <c r="Y710" i="1"/>
  <c r="AB710" i="1" s="1"/>
  <c r="Y709" i="1"/>
  <c r="AB709" i="1" s="1"/>
  <c r="Y708" i="1"/>
  <c r="AB708" i="1" s="1"/>
  <c r="Y707" i="1"/>
  <c r="AB707" i="1" s="1"/>
  <c r="Y706" i="1"/>
  <c r="AB706" i="1" s="1"/>
  <c r="Y705" i="1"/>
  <c r="AB705" i="1" s="1"/>
  <c r="Y704" i="1"/>
  <c r="AB704" i="1" s="1"/>
  <c r="Y703" i="1"/>
  <c r="AB703" i="1" s="1"/>
  <c r="Y702" i="1"/>
  <c r="AB702" i="1" s="1"/>
  <c r="Y701" i="1"/>
  <c r="AB701" i="1" s="1"/>
  <c r="Y700" i="1"/>
  <c r="AB700" i="1" s="1"/>
  <c r="Y699" i="1"/>
  <c r="AB699" i="1" s="1"/>
  <c r="Y698" i="1"/>
  <c r="AB698" i="1" s="1"/>
  <c r="Y697" i="1"/>
  <c r="AB697" i="1" s="1"/>
  <c r="Y696" i="1"/>
  <c r="AB696" i="1" s="1"/>
  <c r="Y695" i="1"/>
  <c r="AB695" i="1" s="1"/>
  <c r="Y694" i="1"/>
  <c r="AB694" i="1" s="1"/>
  <c r="Y693" i="1"/>
  <c r="AB693" i="1" s="1"/>
  <c r="Y692" i="1"/>
  <c r="AB692" i="1" s="1"/>
  <c r="Y691" i="1"/>
  <c r="AB691" i="1" s="1"/>
  <c r="Y690" i="1"/>
  <c r="AB690" i="1" s="1"/>
  <c r="Y689" i="1"/>
  <c r="AB689" i="1" s="1"/>
  <c r="Y688" i="1"/>
  <c r="AB688" i="1" s="1"/>
  <c r="Y687" i="1"/>
  <c r="AB687" i="1" s="1"/>
  <c r="Y686" i="1"/>
  <c r="AB686" i="1" s="1"/>
  <c r="Y685" i="1"/>
  <c r="AB685" i="1" s="1"/>
  <c r="Y684" i="1"/>
  <c r="AB684" i="1" s="1"/>
  <c r="Y683" i="1"/>
  <c r="AB683" i="1" s="1"/>
  <c r="Y682" i="1"/>
  <c r="AB682" i="1" s="1"/>
  <c r="Y681" i="1"/>
  <c r="AB681" i="1" s="1"/>
  <c r="Y680" i="1"/>
  <c r="AB680" i="1" s="1"/>
  <c r="Y679" i="1"/>
  <c r="AB679" i="1" s="1"/>
  <c r="Y678" i="1"/>
  <c r="AB678" i="1" s="1"/>
  <c r="Y677" i="1"/>
  <c r="AB677" i="1" s="1"/>
  <c r="Y676" i="1"/>
  <c r="AB676" i="1" s="1"/>
  <c r="Y675" i="1"/>
  <c r="AB675" i="1" s="1"/>
  <c r="Y674" i="1"/>
  <c r="AB674" i="1" s="1"/>
  <c r="Y673" i="1"/>
  <c r="AB673" i="1" s="1"/>
  <c r="Y672" i="1"/>
  <c r="AB672" i="1" s="1"/>
  <c r="Y671" i="1"/>
  <c r="AB671" i="1" s="1"/>
  <c r="Y670" i="1"/>
  <c r="AB670" i="1" s="1"/>
  <c r="Y669" i="1"/>
  <c r="AB669" i="1" s="1"/>
  <c r="Y668" i="1"/>
  <c r="AB668" i="1" s="1"/>
  <c r="Y667" i="1"/>
  <c r="AB667" i="1" s="1"/>
  <c r="Y666" i="1"/>
  <c r="AB666" i="1" s="1"/>
  <c r="Y665" i="1"/>
  <c r="AB665" i="1" s="1"/>
  <c r="Y664" i="1"/>
  <c r="AB664" i="1" s="1"/>
  <c r="Y663" i="1"/>
  <c r="AB663" i="1" s="1"/>
  <c r="Y662" i="1"/>
  <c r="AB662" i="1" s="1"/>
  <c r="Y661" i="1"/>
  <c r="AB661" i="1" s="1"/>
  <c r="Y660" i="1"/>
  <c r="AB660" i="1" s="1"/>
  <c r="Y659" i="1"/>
  <c r="AB659" i="1" s="1"/>
  <c r="Y658" i="1"/>
  <c r="AB658" i="1" s="1"/>
  <c r="Y657" i="1"/>
  <c r="AB657" i="1" s="1"/>
  <c r="Y656" i="1"/>
  <c r="AB656" i="1" s="1"/>
  <c r="Y655" i="1"/>
  <c r="AB655" i="1" s="1"/>
  <c r="Y654" i="1"/>
  <c r="AB654" i="1" s="1"/>
  <c r="Y653" i="1"/>
  <c r="AB653" i="1" s="1"/>
  <c r="Y652" i="1"/>
  <c r="AB652" i="1" s="1"/>
  <c r="Y651" i="1"/>
  <c r="AB651" i="1" s="1"/>
  <c r="Y650" i="1"/>
  <c r="AB650" i="1" s="1"/>
  <c r="Y649" i="1"/>
  <c r="AB649" i="1" s="1"/>
  <c r="Y648" i="1"/>
  <c r="AB648" i="1" s="1"/>
  <c r="Y647" i="1"/>
  <c r="AB647" i="1" s="1"/>
  <c r="Y646" i="1"/>
  <c r="AB646" i="1" s="1"/>
  <c r="Y645" i="1"/>
  <c r="AB645" i="1" s="1"/>
  <c r="Y644" i="1"/>
  <c r="AB644" i="1" s="1"/>
  <c r="Y643" i="1"/>
  <c r="AB643" i="1" s="1"/>
  <c r="Y642" i="1"/>
  <c r="AB642" i="1" s="1"/>
  <c r="Y641" i="1"/>
  <c r="AB641" i="1" s="1"/>
  <c r="Y640" i="1"/>
  <c r="AB640" i="1" s="1"/>
  <c r="Y639" i="1"/>
  <c r="AB639" i="1" s="1"/>
  <c r="Y638" i="1"/>
  <c r="AB638" i="1" s="1"/>
  <c r="Y637" i="1"/>
  <c r="AB637" i="1" s="1"/>
  <c r="Y636" i="1"/>
  <c r="AB636" i="1" s="1"/>
  <c r="Y635" i="1"/>
  <c r="AB635" i="1" s="1"/>
  <c r="Y634" i="1"/>
  <c r="AB634" i="1" s="1"/>
  <c r="Y633" i="1"/>
  <c r="AB633" i="1" s="1"/>
  <c r="Y632" i="1"/>
  <c r="AB632" i="1" s="1"/>
  <c r="Y631" i="1"/>
  <c r="AB631" i="1" s="1"/>
  <c r="Y630" i="1"/>
  <c r="AB630" i="1" s="1"/>
  <c r="Y629" i="1"/>
  <c r="AB629" i="1" s="1"/>
  <c r="Y628" i="1"/>
  <c r="AB628" i="1" s="1"/>
  <c r="Y627" i="1"/>
  <c r="AB627" i="1" s="1"/>
  <c r="Y626" i="1"/>
  <c r="AB626" i="1" s="1"/>
  <c r="Y625" i="1"/>
  <c r="AB625" i="1" s="1"/>
  <c r="Y624" i="1"/>
  <c r="AB624" i="1" s="1"/>
  <c r="Y623" i="1"/>
  <c r="AB623" i="1" s="1"/>
  <c r="Y622" i="1"/>
  <c r="AB622" i="1" s="1"/>
  <c r="Y621" i="1"/>
  <c r="AB621" i="1" s="1"/>
  <c r="Y620" i="1"/>
  <c r="AB620" i="1" s="1"/>
  <c r="Y619" i="1"/>
  <c r="AB619" i="1" s="1"/>
  <c r="Y618" i="1"/>
  <c r="AB618" i="1" s="1"/>
  <c r="Y617" i="1"/>
  <c r="AB617" i="1" s="1"/>
  <c r="Y616" i="1"/>
  <c r="AB616" i="1" s="1"/>
  <c r="Y615" i="1"/>
  <c r="AB615" i="1" s="1"/>
  <c r="Y614" i="1"/>
  <c r="AB614" i="1" s="1"/>
  <c r="Y613" i="1"/>
  <c r="AB613" i="1" s="1"/>
  <c r="Y612" i="1"/>
  <c r="AB612" i="1" s="1"/>
  <c r="Y611" i="1"/>
  <c r="AB611" i="1" s="1"/>
  <c r="Y610" i="1"/>
  <c r="AB610" i="1" s="1"/>
  <c r="Y609" i="1"/>
  <c r="AB609" i="1" s="1"/>
  <c r="Y608" i="1"/>
  <c r="AB608" i="1" s="1"/>
  <c r="Y607" i="1"/>
  <c r="AB607" i="1" s="1"/>
  <c r="Y606" i="1"/>
  <c r="AB606" i="1" s="1"/>
  <c r="Y605" i="1"/>
  <c r="AB605" i="1" s="1"/>
  <c r="Y604" i="1"/>
  <c r="AB604" i="1" s="1"/>
  <c r="Y603" i="1"/>
  <c r="AB603" i="1" s="1"/>
  <c r="Y602" i="1"/>
  <c r="AB602" i="1" s="1"/>
  <c r="Y601" i="1"/>
  <c r="AB601" i="1" s="1"/>
  <c r="Y600" i="1"/>
  <c r="AB600" i="1" s="1"/>
  <c r="Y599" i="1"/>
  <c r="AB599" i="1" s="1"/>
  <c r="Y598" i="1"/>
  <c r="AB598" i="1" s="1"/>
  <c r="Y597" i="1"/>
  <c r="AB597" i="1" s="1"/>
  <c r="Y596" i="1"/>
  <c r="AB596" i="1" s="1"/>
  <c r="Y595" i="1"/>
  <c r="AB595" i="1" s="1"/>
  <c r="Y594" i="1"/>
  <c r="AB594" i="1" s="1"/>
  <c r="Y593" i="1"/>
  <c r="AB593" i="1" s="1"/>
  <c r="Y592" i="1"/>
  <c r="AB592" i="1" s="1"/>
  <c r="Y591" i="1"/>
  <c r="AB591" i="1" s="1"/>
  <c r="Y590" i="1"/>
  <c r="AB590" i="1" s="1"/>
  <c r="Y589" i="1"/>
  <c r="AB589" i="1" s="1"/>
  <c r="Y588" i="1"/>
  <c r="AB588" i="1" s="1"/>
  <c r="Y587" i="1"/>
  <c r="AB587" i="1" s="1"/>
  <c r="Y586" i="1"/>
  <c r="AB586" i="1" s="1"/>
  <c r="Y585" i="1"/>
  <c r="AB585" i="1" s="1"/>
  <c r="Y584" i="1"/>
  <c r="AB584" i="1" s="1"/>
  <c r="Y583" i="1"/>
  <c r="AB583" i="1" s="1"/>
  <c r="Y582" i="1"/>
  <c r="AB582" i="1" s="1"/>
  <c r="Y581" i="1"/>
  <c r="AB581" i="1" s="1"/>
  <c r="Y580" i="1"/>
  <c r="AB580" i="1" s="1"/>
  <c r="Y579" i="1"/>
  <c r="AB579" i="1" s="1"/>
  <c r="Y578" i="1"/>
  <c r="AB578" i="1" s="1"/>
  <c r="Y577" i="1"/>
  <c r="AB577" i="1" s="1"/>
  <c r="Y576" i="1"/>
  <c r="AB576" i="1" s="1"/>
  <c r="Y575" i="1"/>
  <c r="AB575" i="1" s="1"/>
  <c r="Y574" i="1"/>
  <c r="AB574" i="1" s="1"/>
  <c r="Y573" i="1"/>
  <c r="AB573" i="1" s="1"/>
  <c r="Y572" i="1"/>
  <c r="AB572" i="1" s="1"/>
  <c r="Y571" i="1"/>
  <c r="AB571" i="1" s="1"/>
  <c r="Y570" i="1"/>
  <c r="AB570" i="1" s="1"/>
  <c r="Y569" i="1"/>
  <c r="AB569" i="1" s="1"/>
  <c r="Y568" i="1"/>
  <c r="AB568" i="1" s="1"/>
  <c r="Y567" i="1"/>
  <c r="AB567" i="1" s="1"/>
  <c r="Y566" i="1"/>
  <c r="AB566" i="1" s="1"/>
  <c r="Y565" i="1"/>
  <c r="AB565" i="1" s="1"/>
  <c r="Y564" i="1"/>
  <c r="AB564" i="1" s="1"/>
  <c r="Y563" i="1"/>
  <c r="AB563" i="1" s="1"/>
  <c r="Y562" i="1"/>
  <c r="AB562" i="1" s="1"/>
  <c r="Y561" i="1"/>
  <c r="AB561" i="1" s="1"/>
  <c r="Y560" i="1"/>
  <c r="AB560" i="1" s="1"/>
  <c r="Y559" i="1"/>
  <c r="AB559" i="1" s="1"/>
  <c r="Y558" i="1"/>
  <c r="AB558" i="1" s="1"/>
  <c r="Y557" i="1"/>
  <c r="AB557" i="1" s="1"/>
  <c r="Y556" i="1"/>
  <c r="AB556" i="1" s="1"/>
  <c r="Y555" i="1"/>
  <c r="AB555" i="1" s="1"/>
  <c r="Y554" i="1"/>
  <c r="AB554" i="1" s="1"/>
  <c r="Y553" i="1"/>
  <c r="AB553" i="1" s="1"/>
  <c r="Y552" i="1"/>
  <c r="AB552" i="1" s="1"/>
  <c r="Y551" i="1"/>
  <c r="AB551" i="1" s="1"/>
  <c r="Y550" i="1"/>
  <c r="AB550" i="1" s="1"/>
  <c r="Y549" i="1"/>
  <c r="AB549" i="1" s="1"/>
  <c r="Y548" i="1"/>
  <c r="AB548" i="1" s="1"/>
  <c r="Y547" i="1"/>
  <c r="AB547" i="1" s="1"/>
  <c r="Y546" i="1"/>
  <c r="AB546" i="1" s="1"/>
  <c r="Y545" i="1"/>
  <c r="AB545" i="1" s="1"/>
  <c r="Y544" i="1"/>
  <c r="AB544" i="1" s="1"/>
  <c r="Y543" i="1"/>
  <c r="AB543" i="1" s="1"/>
  <c r="Y542" i="1"/>
  <c r="AB542" i="1" s="1"/>
  <c r="Y541" i="1"/>
  <c r="AB541" i="1" s="1"/>
  <c r="Y540" i="1"/>
  <c r="AB540" i="1" s="1"/>
  <c r="Y539" i="1"/>
  <c r="AB539" i="1" s="1"/>
  <c r="Y538" i="1"/>
  <c r="AB538" i="1" s="1"/>
  <c r="Y537" i="1"/>
  <c r="AB537" i="1" s="1"/>
  <c r="Y536" i="1"/>
  <c r="AB536" i="1" s="1"/>
  <c r="Y535" i="1"/>
  <c r="AB535" i="1" s="1"/>
  <c r="Y534" i="1"/>
  <c r="AB534" i="1" s="1"/>
  <c r="Y533" i="1"/>
  <c r="AB533" i="1" s="1"/>
  <c r="Y532" i="1"/>
  <c r="AB532" i="1" s="1"/>
  <c r="Y531" i="1"/>
  <c r="AB531" i="1" s="1"/>
  <c r="Y530" i="1"/>
  <c r="AB530" i="1" s="1"/>
  <c r="Y529" i="1"/>
  <c r="AB529" i="1" s="1"/>
  <c r="Y528" i="1"/>
  <c r="AB528" i="1" s="1"/>
  <c r="Y527" i="1"/>
  <c r="AB527" i="1" s="1"/>
  <c r="Y526" i="1"/>
  <c r="AB526" i="1" s="1"/>
  <c r="Y525" i="1"/>
  <c r="AB525" i="1" s="1"/>
  <c r="Y524" i="1"/>
  <c r="AB524" i="1" s="1"/>
  <c r="Y523" i="1"/>
  <c r="AB523" i="1" s="1"/>
  <c r="Y522" i="1"/>
  <c r="AB522" i="1" s="1"/>
  <c r="Y521" i="1"/>
  <c r="AB521" i="1" s="1"/>
  <c r="Y520" i="1"/>
  <c r="AB520" i="1" s="1"/>
  <c r="Y519" i="1"/>
  <c r="AB519" i="1" s="1"/>
  <c r="Y518" i="1"/>
  <c r="AB518" i="1" s="1"/>
  <c r="Y517" i="1"/>
  <c r="AB517" i="1" s="1"/>
  <c r="Y516" i="1"/>
  <c r="AB516" i="1" s="1"/>
  <c r="Y515" i="1"/>
  <c r="AB515" i="1" s="1"/>
  <c r="Y514" i="1"/>
  <c r="AB514" i="1" s="1"/>
  <c r="Y513" i="1"/>
  <c r="AB513" i="1" s="1"/>
  <c r="Y512" i="1"/>
  <c r="AB512" i="1" s="1"/>
  <c r="Y511" i="1"/>
  <c r="AB511" i="1" s="1"/>
  <c r="Y510" i="1"/>
  <c r="AB510" i="1" s="1"/>
  <c r="Y509" i="1"/>
  <c r="AB509" i="1" s="1"/>
  <c r="Y508" i="1"/>
  <c r="AB508" i="1" s="1"/>
  <c r="Y507" i="1"/>
  <c r="AB507" i="1" s="1"/>
  <c r="Y506" i="1"/>
  <c r="AB506" i="1" s="1"/>
  <c r="Y505" i="1"/>
  <c r="AB505" i="1" s="1"/>
  <c r="Y504" i="1"/>
  <c r="AB504" i="1" s="1"/>
  <c r="Y503" i="1"/>
  <c r="AB503" i="1" s="1"/>
  <c r="Y502" i="1"/>
  <c r="AB502" i="1" s="1"/>
  <c r="Y501" i="1"/>
  <c r="AB501" i="1" s="1"/>
  <c r="Y500" i="1"/>
  <c r="AB500" i="1" s="1"/>
  <c r="Y499" i="1"/>
  <c r="AB499" i="1" s="1"/>
  <c r="Y498" i="1"/>
  <c r="AB498" i="1" s="1"/>
  <c r="Y497" i="1"/>
  <c r="AB497" i="1" s="1"/>
  <c r="Y496" i="1"/>
  <c r="AB496" i="1" s="1"/>
  <c r="Y495" i="1"/>
  <c r="AB495" i="1" s="1"/>
  <c r="Y494" i="1"/>
  <c r="AB494" i="1" s="1"/>
  <c r="Y493" i="1"/>
  <c r="AB493" i="1" s="1"/>
  <c r="Y492" i="1"/>
  <c r="AB492" i="1" s="1"/>
  <c r="Y491" i="1"/>
  <c r="AB491" i="1" s="1"/>
  <c r="Y490" i="1"/>
  <c r="AB490" i="1" s="1"/>
  <c r="Y489" i="1"/>
  <c r="AB489" i="1" s="1"/>
  <c r="Y488" i="1"/>
  <c r="AB488" i="1" s="1"/>
  <c r="Y487" i="1"/>
  <c r="AB487" i="1" s="1"/>
  <c r="Y486" i="1"/>
  <c r="AB486" i="1" s="1"/>
  <c r="Y485" i="1"/>
  <c r="AB485" i="1" s="1"/>
  <c r="Y484" i="1"/>
  <c r="AB484" i="1" s="1"/>
  <c r="Y483" i="1"/>
  <c r="AB483" i="1" s="1"/>
  <c r="Y482" i="1"/>
  <c r="AB482" i="1" s="1"/>
  <c r="Y481" i="1"/>
  <c r="AB481" i="1" s="1"/>
  <c r="Y480" i="1"/>
  <c r="AB480" i="1" s="1"/>
  <c r="Y479" i="1"/>
  <c r="AB479" i="1" s="1"/>
  <c r="Y478" i="1"/>
  <c r="AB478" i="1" s="1"/>
  <c r="Y477" i="1"/>
  <c r="AB477" i="1" s="1"/>
  <c r="Y476" i="1"/>
  <c r="AB476" i="1" s="1"/>
  <c r="Y475" i="1"/>
  <c r="AB475" i="1" s="1"/>
  <c r="Y474" i="1"/>
  <c r="AB474" i="1" s="1"/>
  <c r="Y473" i="1"/>
  <c r="AB473" i="1" s="1"/>
  <c r="Y472" i="1"/>
  <c r="AB472" i="1" s="1"/>
  <c r="Y471" i="1"/>
  <c r="AB471" i="1" s="1"/>
  <c r="Y470" i="1"/>
  <c r="AB470" i="1" s="1"/>
  <c r="Y469" i="1"/>
  <c r="AB469" i="1" s="1"/>
  <c r="Y468" i="1"/>
  <c r="AB468" i="1" s="1"/>
  <c r="Y467" i="1"/>
  <c r="AB467" i="1" s="1"/>
  <c r="Y466" i="1"/>
  <c r="AB466" i="1" s="1"/>
  <c r="Y465" i="1"/>
  <c r="AB465" i="1" s="1"/>
  <c r="Y464" i="1"/>
  <c r="AB464" i="1" s="1"/>
  <c r="Y463" i="1"/>
  <c r="AB463" i="1" s="1"/>
  <c r="Y462" i="1"/>
  <c r="AB462" i="1" s="1"/>
  <c r="Y461" i="1"/>
  <c r="AB461" i="1" s="1"/>
  <c r="Y460" i="1"/>
  <c r="AB460" i="1" s="1"/>
  <c r="Y459" i="1"/>
  <c r="AB459" i="1" s="1"/>
  <c r="Y458" i="1"/>
  <c r="AB458" i="1" s="1"/>
  <c r="Y457" i="1"/>
  <c r="AB457" i="1" s="1"/>
  <c r="Y456" i="1"/>
  <c r="AB456" i="1" s="1"/>
  <c r="Y455" i="1"/>
  <c r="AB455" i="1" s="1"/>
  <c r="Y454" i="1"/>
  <c r="AB454" i="1" s="1"/>
  <c r="Y453" i="1"/>
  <c r="AB453" i="1" s="1"/>
  <c r="Y452" i="1"/>
  <c r="AB452" i="1" s="1"/>
  <c r="Y451" i="1"/>
  <c r="AB451" i="1" s="1"/>
  <c r="Y450" i="1"/>
  <c r="AB450" i="1" s="1"/>
  <c r="Y449" i="1"/>
  <c r="AB449" i="1" s="1"/>
  <c r="Y448" i="1"/>
  <c r="AB448" i="1" s="1"/>
  <c r="Y447" i="1"/>
  <c r="AB447" i="1" s="1"/>
  <c r="Y446" i="1"/>
  <c r="AB446" i="1" s="1"/>
  <c r="Y445" i="1"/>
  <c r="AB445" i="1" s="1"/>
  <c r="Y444" i="1"/>
  <c r="AB444" i="1" s="1"/>
  <c r="Y443" i="1"/>
  <c r="AB443" i="1" s="1"/>
  <c r="Y442" i="1"/>
  <c r="AB442" i="1" s="1"/>
  <c r="Y441" i="1"/>
  <c r="AB441" i="1" s="1"/>
  <c r="Y440" i="1"/>
  <c r="AB440" i="1" s="1"/>
  <c r="Y439" i="1"/>
  <c r="AB439" i="1" s="1"/>
  <c r="Y438" i="1"/>
  <c r="AB438" i="1" s="1"/>
  <c r="Y437" i="1"/>
  <c r="AB437" i="1" s="1"/>
  <c r="Y436" i="1"/>
  <c r="AB436" i="1" s="1"/>
  <c r="Y435" i="1"/>
  <c r="AB435" i="1" s="1"/>
  <c r="Y434" i="1"/>
  <c r="AB434" i="1" s="1"/>
  <c r="Y433" i="1"/>
  <c r="AB433" i="1" s="1"/>
  <c r="Y432" i="1"/>
  <c r="AB432" i="1" s="1"/>
  <c r="Y431" i="1"/>
  <c r="AB431" i="1" s="1"/>
  <c r="Y430" i="1"/>
  <c r="AB430" i="1" s="1"/>
  <c r="Y429" i="1"/>
  <c r="AB429" i="1" s="1"/>
  <c r="Y428" i="1"/>
  <c r="AB428" i="1" s="1"/>
  <c r="Y427" i="1"/>
  <c r="AB427" i="1" s="1"/>
  <c r="Y426" i="1"/>
  <c r="AB426" i="1" s="1"/>
  <c r="Y425" i="1"/>
  <c r="AB425" i="1" s="1"/>
  <c r="Y424" i="1"/>
  <c r="AB424" i="1" s="1"/>
  <c r="Y423" i="1"/>
  <c r="AB423" i="1" s="1"/>
  <c r="Y422" i="1"/>
  <c r="AB422" i="1" s="1"/>
  <c r="Y421" i="1"/>
  <c r="AB421" i="1" s="1"/>
  <c r="Y420" i="1"/>
  <c r="AB420" i="1" s="1"/>
  <c r="Y419" i="1"/>
  <c r="AB419" i="1" s="1"/>
  <c r="Y418" i="1"/>
  <c r="AB418" i="1" s="1"/>
  <c r="Y417" i="1"/>
  <c r="AB417" i="1" s="1"/>
  <c r="Y416" i="1"/>
  <c r="AB416" i="1" s="1"/>
  <c r="Y415" i="1"/>
  <c r="AB415" i="1" s="1"/>
  <c r="Y414" i="1"/>
  <c r="AB414" i="1" s="1"/>
  <c r="Y413" i="1"/>
  <c r="AB413" i="1" s="1"/>
  <c r="Y412" i="1"/>
  <c r="AB412" i="1" s="1"/>
  <c r="Y411" i="1"/>
  <c r="AB411" i="1" s="1"/>
  <c r="Y410" i="1"/>
  <c r="AB410" i="1" s="1"/>
  <c r="Y409" i="1"/>
  <c r="AB409" i="1" s="1"/>
  <c r="Y408" i="1"/>
  <c r="AB408" i="1" s="1"/>
  <c r="Y407" i="1"/>
  <c r="AB407" i="1" s="1"/>
  <c r="Y406" i="1"/>
  <c r="AB406" i="1" s="1"/>
  <c r="Y405" i="1"/>
  <c r="AB405" i="1" s="1"/>
  <c r="Y404" i="1"/>
  <c r="AB404" i="1" s="1"/>
  <c r="Y403" i="1"/>
  <c r="AB403" i="1" s="1"/>
  <c r="Y402" i="1"/>
  <c r="AB402" i="1" s="1"/>
  <c r="Y401" i="1"/>
  <c r="AB401" i="1" s="1"/>
  <c r="Y400" i="1"/>
  <c r="AB400" i="1" s="1"/>
  <c r="Y399" i="1"/>
  <c r="AB399" i="1" s="1"/>
  <c r="Y398" i="1"/>
  <c r="AB398" i="1" s="1"/>
  <c r="Y397" i="1"/>
  <c r="AB397" i="1" s="1"/>
  <c r="Y396" i="1"/>
  <c r="AB396" i="1" s="1"/>
  <c r="Y395" i="1"/>
  <c r="AB395" i="1" s="1"/>
  <c r="Y394" i="1"/>
  <c r="AB394" i="1" s="1"/>
  <c r="Y393" i="1"/>
  <c r="AB393" i="1" s="1"/>
  <c r="Y392" i="1"/>
  <c r="AB392" i="1" s="1"/>
  <c r="Y391" i="1"/>
  <c r="AB391" i="1" s="1"/>
  <c r="Y390" i="1"/>
  <c r="AB390" i="1" s="1"/>
  <c r="Y389" i="1"/>
  <c r="AB389" i="1" s="1"/>
  <c r="Y388" i="1"/>
  <c r="AB388" i="1" s="1"/>
  <c r="Y387" i="1"/>
  <c r="AB387" i="1" s="1"/>
  <c r="Y386" i="1"/>
  <c r="AB386" i="1" s="1"/>
  <c r="Y385" i="1"/>
  <c r="AB385" i="1" s="1"/>
  <c r="Y384" i="1"/>
  <c r="AB384" i="1" s="1"/>
  <c r="Y383" i="1"/>
  <c r="AB383" i="1" s="1"/>
  <c r="Y382" i="1"/>
  <c r="AB382" i="1" s="1"/>
  <c r="Y381" i="1"/>
  <c r="AB381" i="1" s="1"/>
  <c r="Y380" i="1"/>
  <c r="AB380" i="1" s="1"/>
  <c r="Y379" i="1"/>
  <c r="AB379" i="1" s="1"/>
  <c r="Y378" i="1"/>
  <c r="AB378" i="1" s="1"/>
  <c r="Y377" i="1"/>
  <c r="AB377" i="1" s="1"/>
  <c r="Y376" i="1"/>
  <c r="AB376" i="1" s="1"/>
  <c r="Y375" i="1"/>
  <c r="AB375" i="1" s="1"/>
  <c r="Y374" i="1"/>
  <c r="AB374" i="1" s="1"/>
  <c r="Y373" i="1"/>
  <c r="AB373" i="1" s="1"/>
  <c r="Y372" i="1"/>
  <c r="AB372" i="1" s="1"/>
  <c r="Y371" i="1"/>
  <c r="AB371" i="1" s="1"/>
  <c r="Y370" i="1"/>
  <c r="AB370" i="1" s="1"/>
  <c r="Y369" i="1"/>
  <c r="AB369" i="1" s="1"/>
  <c r="Y368" i="1"/>
  <c r="AB368" i="1" s="1"/>
  <c r="Y367" i="1"/>
  <c r="AB367" i="1" s="1"/>
  <c r="Y366" i="1"/>
  <c r="AB366" i="1" s="1"/>
  <c r="Y365" i="1"/>
  <c r="AB365" i="1" s="1"/>
  <c r="Y364" i="1"/>
  <c r="AB364" i="1" s="1"/>
  <c r="Y363" i="1"/>
  <c r="AB363" i="1" s="1"/>
  <c r="Y362" i="1"/>
  <c r="AB362" i="1" s="1"/>
  <c r="Y361" i="1"/>
  <c r="AB361" i="1" s="1"/>
  <c r="Y360" i="1"/>
  <c r="AB360" i="1" s="1"/>
  <c r="Y359" i="1"/>
  <c r="AB359" i="1" s="1"/>
  <c r="Y358" i="1"/>
  <c r="AB358" i="1" s="1"/>
  <c r="Y357" i="1"/>
  <c r="AB357" i="1" s="1"/>
  <c r="Y356" i="1"/>
  <c r="AB356" i="1" s="1"/>
  <c r="Y355" i="1"/>
  <c r="AB355" i="1" s="1"/>
  <c r="Y354" i="1"/>
  <c r="AB354" i="1" s="1"/>
  <c r="Y353" i="1"/>
  <c r="AB353" i="1" s="1"/>
  <c r="Y352" i="1"/>
  <c r="AB352" i="1" s="1"/>
  <c r="Y351" i="1"/>
  <c r="AB351" i="1" s="1"/>
  <c r="Y350" i="1"/>
  <c r="AB350" i="1" s="1"/>
  <c r="Y349" i="1"/>
  <c r="AB349" i="1" s="1"/>
  <c r="Y348" i="1"/>
  <c r="AB348" i="1" s="1"/>
  <c r="Y347" i="1"/>
  <c r="AB347" i="1" s="1"/>
  <c r="Y346" i="1"/>
  <c r="AB346" i="1" s="1"/>
  <c r="Y345" i="1"/>
  <c r="AB345" i="1" s="1"/>
  <c r="Y344" i="1"/>
  <c r="AB344" i="1" s="1"/>
  <c r="Y343" i="1"/>
  <c r="AB343" i="1" s="1"/>
  <c r="Y342" i="1"/>
  <c r="AB342" i="1" s="1"/>
  <c r="Y341" i="1"/>
  <c r="AB341" i="1" s="1"/>
  <c r="Y340" i="1"/>
  <c r="AB340" i="1" s="1"/>
  <c r="Y339" i="1"/>
  <c r="AB339" i="1" s="1"/>
  <c r="Y338" i="1"/>
  <c r="AB338" i="1" s="1"/>
  <c r="Y337" i="1"/>
  <c r="AB337" i="1" s="1"/>
  <c r="Y336" i="1"/>
  <c r="AB336" i="1" s="1"/>
  <c r="Y335" i="1"/>
  <c r="AB335" i="1" s="1"/>
  <c r="Y334" i="1"/>
  <c r="AB334" i="1" s="1"/>
  <c r="Y333" i="1"/>
  <c r="AB333" i="1" s="1"/>
  <c r="Y332" i="1"/>
  <c r="AB332" i="1" s="1"/>
  <c r="Y331" i="1"/>
  <c r="AB331" i="1" s="1"/>
  <c r="Y330" i="1"/>
  <c r="AB330" i="1" s="1"/>
  <c r="Y329" i="1"/>
  <c r="AB329" i="1" s="1"/>
  <c r="Y328" i="1"/>
  <c r="AB328" i="1" s="1"/>
  <c r="Y327" i="1"/>
  <c r="AB327" i="1" s="1"/>
  <c r="Y326" i="1"/>
  <c r="AB326" i="1" s="1"/>
  <c r="Y325" i="1"/>
  <c r="AB325" i="1" s="1"/>
  <c r="Y324" i="1"/>
  <c r="AB324" i="1" s="1"/>
  <c r="Y323" i="1"/>
  <c r="AB323" i="1" s="1"/>
  <c r="Y322" i="1"/>
  <c r="AB322" i="1" s="1"/>
  <c r="Y321" i="1"/>
  <c r="AB321" i="1" s="1"/>
  <c r="Y320" i="1"/>
  <c r="AB320" i="1" s="1"/>
  <c r="Y319" i="1"/>
  <c r="AB319" i="1" s="1"/>
  <c r="Y318" i="1"/>
  <c r="AB318" i="1" s="1"/>
  <c r="Y317" i="1"/>
  <c r="AB317" i="1" s="1"/>
  <c r="Y316" i="1"/>
  <c r="AB316" i="1" s="1"/>
  <c r="Y315" i="1"/>
  <c r="AB315" i="1" s="1"/>
  <c r="Y314" i="1"/>
  <c r="AB314" i="1" s="1"/>
  <c r="Y313" i="1"/>
  <c r="AB313" i="1" s="1"/>
  <c r="Y312" i="1"/>
  <c r="AB312" i="1" s="1"/>
  <c r="Y311" i="1"/>
  <c r="AB311" i="1" s="1"/>
  <c r="Y310" i="1"/>
  <c r="AB310" i="1" s="1"/>
  <c r="Y309" i="1"/>
  <c r="AB309" i="1" s="1"/>
  <c r="Y308" i="1"/>
  <c r="AB308" i="1" s="1"/>
  <c r="Y307" i="1"/>
  <c r="AB307" i="1" s="1"/>
  <c r="Y306" i="1"/>
  <c r="AB306" i="1" s="1"/>
  <c r="Y305" i="1"/>
  <c r="AB305" i="1" s="1"/>
  <c r="Y304" i="1"/>
  <c r="AB304" i="1" s="1"/>
  <c r="Y303" i="1"/>
  <c r="AB303" i="1" s="1"/>
  <c r="Y302" i="1"/>
  <c r="AB302" i="1" s="1"/>
  <c r="Y301" i="1"/>
  <c r="AB301" i="1" s="1"/>
  <c r="Y300" i="1"/>
  <c r="AB300" i="1" s="1"/>
  <c r="Y299" i="1"/>
  <c r="AB299" i="1" s="1"/>
  <c r="Y298" i="1"/>
  <c r="AB298" i="1" s="1"/>
  <c r="Y297" i="1"/>
  <c r="AB297" i="1" s="1"/>
  <c r="Y296" i="1"/>
  <c r="AB296" i="1" s="1"/>
  <c r="Y295" i="1"/>
  <c r="AB295" i="1" s="1"/>
  <c r="Y294" i="1"/>
  <c r="AB294" i="1" s="1"/>
  <c r="Y293" i="1"/>
  <c r="AB293" i="1" s="1"/>
  <c r="Y292" i="1"/>
  <c r="AB292" i="1" s="1"/>
  <c r="Y291" i="1"/>
  <c r="AB291" i="1" s="1"/>
  <c r="Y290" i="1"/>
  <c r="AB290" i="1" s="1"/>
  <c r="Y289" i="1"/>
  <c r="AB289" i="1" s="1"/>
  <c r="Y288" i="1"/>
  <c r="AB288" i="1" s="1"/>
  <c r="Y287" i="1"/>
  <c r="AB287" i="1" s="1"/>
  <c r="Y286" i="1"/>
  <c r="AB286" i="1" s="1"/>
  <c r="Y285" i="1"/>
  <c r="AB285" i="1" s="1"/>
  <c r="Y284" i="1"/>
  <c r="AB284" i="1" s="1"/>
  <c r="Y283" i="1"/>
  <c r="AB283" i="1" s="1"/>
  <c r="Y282" i="1"/>
  <c r="AB282" i="1" s="1"/>
  <c r="Y281" i="1"/>
  <c r="AB281" i="1" s="1"/>
  <c r="Y280" i="1"/>
  <c r="AB280" i="1" s="1"/>
  <c r="Y279" i="1"/>
  <c r="AB279" i="1" s="1"/>
  <c r="Y278" i="1"/>
  <c r="AB278" i="1" s="1"/>
  <c r="Y277" i="1"/>
  <c r="AB277" i="1" s="1"/>
  <c r="Y276" i="1"/>
  <c r="AB276" i="1" s="1"/>
  <c r="Y275" i="1"/>
  <c r="AB275" i="1" s="1"/>
  <c r="Y274" i="1"/>
  <c r="AB274" i="1" s="1"/>
  <c r="Y273" i="1"/>
  <c r="AB273" i="1" s="1"/>
  <c r="Y272" i="1"/>
  <c r="AB272" i="1" s="1"/>
  <c r="Y271" i="1"/>
  <c r="AB271" i="1" s="1"/>
  <c r="Y270" i="1"/>
  <c r="AB270" i="1" s="1"/>
  <c r="Y269" i="1"/>
  <c r="AB269" i="1" s="1"/>
  <c r="Y268" i="1"/>
  <c r="AB268" i="1" s="1"/>
  <c r="Y267" i="1"/>
  <c r="AB267" i="1" s="1"/>
  <c r="Y266" i="1"/>
  <c r="AB266" i="1" s="1"/>
  <c r="Y265" i="1"/>
  <c r="AB265" i="1" s="1"/>
  <c r="Y264" i="1"/>
  <c r="AB264" i="1" s="1"/>
  <c r="Y263" i="1"/>
  <c r="AB263" i="1" s="1"/>
  <c r="Y262" i="1"/>
  <c r="AB262" i="1" s="1"/>
  <c r="Y261" i="1"/>
  <c r="AB261" i="1" s="1"/>
  <c r="Y260" i="1"/>
  <c r="AB260" i="1" s="1"/>
  <c r="Y259" i="1"/>
  <c r="AB259" i="1" s="1"/>
  <c r="Y258" i="1"/>
  <c r="AB258" i="1" s="1"/>
  <c r="Y257" i="1"/>
  <c r="AB257" i="1" s="1"/>
  <c r="Y256" i="1"/>
  <c r="AB256" i="1" s="1"/>
  <c r="Y255" i="1"/>
  <c r="AB255" i="1" s="1"/>
  <c r="Y254" i="1"/>
  <c r="AB254" i="1" s="1"/>
  <c r="Y253" i="1"/>
  <c r="AB253" i="1" s="1"/>
  <c r="Y252" i="1"/>
  <c r="AB252" i="1" s="1"/>
  <c r="Y251" i="1"/>
  <c r="AB251" i="1" s="1"/>
  <c r="Y250" i="1"/>
  <c r="AB250" i="1" s="1"/>
  <c r="Y249" i="1"/>
  <c r="AB249" i="1" s="1"/>
  <c r="Y248" i="1"/>
  <c r="AB248" i="1" s="1"/>
  <c r="Y247" i="1"/>
  <c r="AB247" i="1" s="1"/>
  <c r="Y246" i="1"/>
  <c r="AB246" i="1" s="1"/>
  <c r="Y245" i="1"/>
  <c r="AB245" i="1" s="1"/>
  <c r="Y244" i="1"/>
  <c r="AB244" i="1" s="1"/>
  <c r="Y243" i="1"/>
  <c r="AB243" i="1" s="1"/>
  <c r="Y242" i="1"/>
  <c r="AB242" i="1" s="1"/>
  <c r="Y241" i="1"/>
  <c r="AB241" i="1" s="1"/>
  <c r="Y240" i="1"/>
  <c r="AB240" i="1" s="1"/>
  <c r="Y239" i="1"/>
  <c r="AB239" i="1" s="1"/>
  <c r="Y238" i="1"/>
  <c r="AB238" i="1" s="1"/>
  <c r="Y237" i="1"/>
  <c r="AB237" i="1" s="1"/>
  <c r="Y236" i="1"/>
  <c r="AB236" i="1" s="1"/>
  <c r="Y235" i="1"/>
  <c r="AB235" i="1" s="1"/>
  <c r="Y234" i="1"/>
  <c r="AB234" i="1" s="1"/>
  <c r="Y233" i="1"/>
  <c r="AB233" i="1" s="1"/>
  <c r="Y232" i="1"/>
  <c r="AB232" i="1" s="1"/>
  <c r="Y231" i="1"/>
  <c r="AB231" i="1" s="1"/>
  <c r="Y230" i="1"/>
  <c r="AB230" i="1" s="1"/>
  <c r="Y229" i="1"/>
  <c r="AB229" i="1" s="1"/>
  <c r="Y228" i="1"/>
  <c r="AB228" i="1" s="1"/>
  <c r="Y227" i="1"/>
  <c r="AB227" i="1" s="1"/>
  <c r="Y226" i="1"/>
  <c r="AB226" i="1" s="1"/>
  <c r="Y225" i="1"/>
  <c r="AB225" i="1" s="1"/>
  <c r="Y224" i="1"/>
  <c r="AB224" i="1" s="1"/>
  <c r="Y223" i="1"/>
  <c r="AB223" i="1" s="1"/>
  <c r="Y222" i="1"/>
  <c r="AB222" i="1" s="1"/>
  <c r="Y221" i="1"/>
  <c r="AB221" i="1" s="1"/>
  <c r="Y220" i="1"/>
  <c r="AB220" i="1" s="1"/>
  <c r="Y219" i="1"/>
  <c r="AB219" i="1" s="1"/>
  <c r="Y218" i="1"/>
  <c r="AB218" i="1" s="1"/>
  <c r="Y217" i="1"/>
  <c r="AB217" i="1" s="1"/>
  <c r="Y216" i="1"/>
  <c r="AB216" i="1" s="1"/>
  <c r="Y215" i="1"/>
  <c r="AB215" i="1" s="1"/>
  <c r="Y214" i="1"/>
  <c r="AB214" i="1" s="1"/>
  <c r="Y213" i="1"/>
  <c r="AB213" i="1" s="1"/>
  <c r="Y212" i="1"/>
  <c r="AB212" i="1" s="1"/>
  <c r="Y211" i="1"/>
  <c r="AB211" i="1" s="1"/>
  <c r="Y210" i="1"/>
  <c r="AB210" i="1" s="1"/>
  <c r="Y209" i="1"/>
  <c r="AB209" i="1" s="1"/>
  <c r="Y208" i="1"/>
  <c r="AB208" i="1" s="1"/>
  <c r="Y207" i="1"/>
  <c r="AB207" i="1" s="1"/>
  <c r="Y206" i="1"/>
  <c r="AB206" i="1" s="1"/>
  <c r="Y205" i="1"/>
  <c r="AB205" i="1" s="1"/>
  <c r="Y204" i="1"/>
  <c r="AB204" i="1" s="1"/>
  <c r="Y203" i="1"/>
  <c r="AB203" i="1" s="1"/>
  <c r="Y202" i="1"/>
  <c r="AB202" i="1" s="1"/>
  <c r="Y201" i="1"/>
  <c r="AB201" i="1" s="1"/>
  <c r="Y200" i="1"/>
  <c r="AB200" i="1" s="1"/>
  <c r="Y199" i="1"/>
  <c r="AB199" i="1" s="1"/>
  <c r="Y198" i="1"/>
  <c r="AB198" i="1" s="1"/>
  <c r="Y197" i="1"/>
  <c r="AB197" i="1" s="1"/>
  <c r="Y196" i="1"/>
  <c r="AB196" i="1" s="1"/>
  <c r="Y195" i="1"/>
  <c r="AB195" i="1" s="1"/>
  <c r="Y194" i="1"/>
  <c r="AB194" i="1" s="1"/>
  <c r="Y193" i="1"/>
  <c r="AB193" i="1" s="1"/>
  <c r="Y192" i="1"/>
  <c r="AB192" i="1" s="1"/>
  <c r="Y191" i="1"/>
  <c r="AB191" i="1" s="1"/>
  <c r="Y190" i="1"/>
  <c r="AB190" i="1" s="1"/>
  <c r="Y189" i="1"/>
  <c r="AB189" i="1" s="1"/>
  <c r="Y188" i="1"/>
  <c r="AB188" i="1" s="1"/>
  <c r="Y187" i="1"/>
  <c r="AB187" i="1" s="1"/>
  <c r="Y186" i="1"/>
  <c r="AB186" i="1" s="1"/>
  <c r="Y185" i="1"/>
  <c r="AB185" i="1" s="1"/>
  <c r="Y184" i="1"/>
  <c r="AB184" i="1" s="1"/>
  <c r="Y183" i="1"/>
  <c r="AB183" i="1" s="1"/>
  <c r="Y182" i="1"/>
  <c r="AB182" i="1" s="1"/>
  <c r="Y181" i="1"/>
  <c r="AB181" i="1" s="1"/>
  <c r="Y180" i="1"/>
  <c r="AB180" i="1" s="1"/>
  <c r="Y179" i="1"/>
  <c r="AB179" i="1" s="1"/>
  <c r="Y178" i="1"/>
  <c r="AB178" i="1" s="1"/>
  <c r="Y177" i="1"/>
  <c r="AB177" i="1" s="1"/>
  <c r="Y176" i="1"/>
  <c r="AB176" i="1" s="1"/>
  <c r="Y175" i="1"/>
  <c r="AB175" i="1" s="1"/>
  <c r="Y174" i="1"/>
  <c r="AB174" i="1" s="1"/>
  <c r="Y173" i="1"/>
  <c r="AB173" i="1" s="1"/>
  <c r="Y172" i="1"/>
  <c r="AB172" i="1" s="1"/>
  <c r="Y171" i="1"/>
  <c r="AB171" i="1" s="1"/>
  <c r="Y170" i="1"/>
  <c r="AB170" i="1" s="1"/>
  <c r="Y169" i="1"/>
  <c r="AB169" i="1" s="1"/>
  <c r="Y168" i="1"/>
  <c r="AB168" i="1" s="1"/>
  <c r="Y167" i="1"/>
  <c r="AB167" i="1" s="1"/>
  <c r="Y166" i="1"/>
  <c r="AB166" i="1" s="1"/>
  <c r="Y165" i="1"/>
  <c r="AB165" i="1" s="1"/>
  <c r="Y164" i="1"/>
  <c r="AB164" i="1" s="1"/>
  <c r="Y163" i="1"/>
  <c r="AB163" i="1" s="1"/>
  <c r="Y162" i="1"/>
  <c r="AB162" i="1" s="1"/>
  <c r="Y161" i="1"/>
  <c r="AB161" i="1" s="1"/>
  <c r="Y160" i="1"/>
  <c r="AB160" i="1" s="1"/>
  <c r="Y159" i="1"/>
  <c r="AB159" i="1" s="1"/>
  <c r="Y158" i="1"/>
  <c r="AB158" i="1" s="1"/>
  <c r="Y157" i="1"/>
  <c r="AB157" i="1" s="1"/>
  <c r="Y156" i="1"/>
  <c r="AB156" i="1" s="1"/>
  <c r="Y155" i="1"/>
  <c r="AB155" i="1" s="1"/>
  <c r="Y154" i="1"/>
  <c r="AB154" i="1" s="1"/>
  <c r="Y153" i="1"/>
  <c r="AB153" i="1" s="1"/>
  <c r="Y152" i="1"/>
  <c r="AB152" i="1" s="1"/>
  <c r="Y151" i="1"/>
  <c r="AB151" i="1" s="1"/>
  <c r="Y150" i="1"/>
  <c r="AB150" i="1" s="1"/>
  <c r="Y149" i="1"/>
  <c r="AB149" i="1" s="1"/>
  <c r="Y148" i="1"/>
  <c r="AB148" i="1" s="1"/>
  <c r="Y147" i="1"/>
  <c r="AB147" i="1" s="1"/>
  <c r="Y146" i="1"/>
  <c r="AB146" i="1" s="1"/>
  <c r="Y145" i="1"/>
  <c r="AB145" i="1" s="1"/>
  <c r="Y144" i="1"/>
  <c r="AB144" i="1" s="1"/>
  <c r="Y143" i="1"/>
  <c r="AB143" i="1" s="1"/>
  <c r="Y142" i="1"/>
  <c r="AB142" i="1" s="1"/>
  <c r="Y141" i="1"/>
  <c r="AB141" i="1" s="1"/>
  <c r="Y140" i="1"/>
  <c r="AB140" i="1" s="1"/>
  <c r="Y139" i="1"/>
  <c r="AB139" i="1" s="1"/>
  <c r="Y138" i="1"/>
  <c r="AB138" i="1" s="1"/>
  <c r="Y137" i="1"/>
  <c r="AB137" i="1" s="1"/>
  <c r="Y136" i="1"/>
  <c r="AB136" i="1" s="1"/>
  <c r="Y135" i="1"/>
  <c r="AB135" i="1" s="1"/>
  <c r="Y134" i="1"/>
  <c r="AB134" i="1" s="1"/>
  <c r="Y133" i="1"/>
  <c r="AB133" i="1" s="1"/>
  <c r="Y132" i="1"/>
  <c r="AB132" i="1" s="1"/>
  <c r="Y131" i="1"/>
  <c r="AB131" i="1" s="1"/>
  <c r="Y130" i="1"/>
  <c r="AB130" i="1" s="1"/>
  <c r="Y129" i="1"/>
  <c r="AB129" i="1" s="1"/>
  <c r="Y128" i="1"/>
  <c r="AB128" i="1" s="1"/>
  <c r="Y127" i="1"/>
  <c r="AB127" i="1" s="1"/>
  <c r="Y126" i="1"/>
  <c r="AB126" i="1" s="1"/>
  <c r="Y125" i="1"/>
  <c r="AB125" i="1" s="1"/>
  <c r="Y124" i="1"/>
  <c r="AB124" i="1" s="1"/>
  <c r="Y123" i="1"/>
  <c r="AB123" i="1" s="1"/>
  <c r="Y122" i="1"/>
  <c r="AB122" i="1" s="1"/>
  <c r="Y121" i="1"/>
  <c r="AB121" i="1" s="1"/>
  <c r="Y120" i="1"/>
  <c r="AB120" i="1" s="1"/>
  <c r="Y119" i="1"/>
  <c r="AB119" i="1" s="1"/>
  <c r="Y118" i="1"/>
  <c r="AB118" i="1" s="1"/>
  <c r="Y117" i="1"/>
  <c r="AB117" i="1" s="1"/>
  <c r="Y116" i="1"/>
  <c r="AB116" i="1" s="1"/>
  <c r="Y115" i="1"/>
  <c r="AB115" i="1" s="1"/>
  <c r="Y114" i="1"/>
  <c r="AB114" i="1" s="1"/>
  <c r="Y113" i="1"/>
  <c r="AB113" i="1" s="1"/>
  <c r="Y112" i="1"/>
  <c r="AB112" i="1" s="1"/>
  <c r="Y111" i="1"/>
  <c r="AB111" i="1" s="1"/>
  <c r="Y110" i="1"/>
  <c r="AB110" i="1" s="1"/>
  <c r="Y109" i="1"/>
  <c r="AB109" i="1" s="1"/>
  <c r="Y108" i="1"/>
  <c r="AB108" i="1" s="1"/>
  <c r="Y107" i="1"/>
  <c r="AB107" i="1" s="1"/>
  <c r="Y106" i="1"/>
  <c r="AB106" i="1" s="1"/>
  <c r="Y105" i="1"/>
  <c r="AB105" i="1" s="1"/>
  <c r="Y104" i="1"/>
  <c r="AB104" i="1" s="1"/>
  <c r="Y103" i="1"/>
  <c r="AB103" i="1" s="1"/>
  <c r="Y102" i="1"/>
  <c r="AB102" i="1" s="1"/>
  <c r="Y101" i="1"/>
  <c r="AB101" i="1" s="1"/>
  <c r="Y100" i="1"/>
  <c r="AB100" i="1" s="1"/>
  <c r="Y99" i="1"/>
  <c r="AB99" i="1" s="1"/>
  <c r="Y98" i="1"/>
  <c r="AB98" i="1" s="1"/>
  <c r="Y97" i="1"/>
  <c r="AB97" i="1" s="1"/>
  <c r="Y96" i="1"/>
  <c r="AB96" i="1" s="1"/>
  <c r="Y95" i="1"/>
  <c r="AB95" i="1" s="1"/>
  <c r="Y94" i="1"/>
  <c r="AB94" i="1" s="1"/>
  <c r="Y93" i="1"/>
  <c r="AB93" i="1" s="1"/>
  <c r="Y92" i="1"/>
  <c r="AB92" i="1" s="1"/>
  <c r="Y91" i="1"/>
  <c r="AB91" i="1" s="1"/>
  <c r="Y90" i="1"/>
  <c r="AB90" i="1" s="1"/>
  <c r="Y89" i="1"/>
  <c r="AB89" i="1" s="1"/>
  <c r="Y88" i="1"/>
  <c r="AB88" i="1" s="1"/>
  <c r="Y87" i="1"/>
  <c r="AB87" i="1" s="1"/>
  <c r="Y86" i="1"/>
  <c r="AB86" i="1" s="1"/>
  <c r="Y85" i="1"/>
  <c r="AB85" i="1" s="1"/>
  <c r="Y84" i="1"/>
  <c r="AB84" i="1" s="1"/>
  <c r="Y83" i="1"/>
  <c r="AB83" i="1" s="1"/>
  <c r="Y82" i="1"/>
  <c r="AB82" i="1" s="1"/>
  <c r="Y81" i="1"/>
  <c r="AB81" i="1" s="1"/>
  <c r="Y80" i="1"/>
  <c r="AB80" i="1" s="1"/>
  <c r="Y79" i="1"/>
  <c r="AB79" i="1" s="1"/>
  <c r="Y78" i="1"/>
  <c r="AB78" i="1" s="1"/>
  <c r="Y77" i="1"/>
  <c r="AB77" i="1" s="1"/>
  <c r="Y76" i="1"/>
  <c r="AB76" i="1" s="1"/>
  <c r="Y75" i="1"/>
  <c r="AB75" i="1" s="1"/>
  <c r="Y74" i="1"/>
  <c r="AB74" i="1" s="1"/>
  <c r="Y73" i="1"/>
  <c r="AB73" i="1" s="1"/>
  <c r="Y72" i="1"/>
  <c r="AB72" i="1" s="1"/>
  <c r="Y71" i="1"/>
  <c r="AB71" i="1" s="1"/>
  <c r="Y70" i="1"/>
  <c r="AB70" i="1" s="1"/>
  <c r="Y69" i="1"/>
  <c r="AB69" i="1" s="1"/>
  <c r="Y68" i="1"/>
  <c r="AB68" i="1" s="1"/>
  <c r="Y67" i="1"/>
  <c r="AB67" i="1" s="1"/>
  <c r="Y66" i="1"/>
  <c r="AB66" i="1" s="1"/>
  <c r="Y65" i="1"/>
  <c r="AB65" i="1" s="1"/>
  <c r="Y64" i="1"/>
  <c r="AB64" i="1" s="1"/>
  <c r="Y63" i="1"/>
  <c r="AB63" i="1" s="1"/>
  <c r="Y62" i="1"/>
  <c r="AB62" i="1" s="1"/>
  <c r="Y61" i="1"/>
  <c r="AB61" i="1" s="1"/>
  <c r="Y60" i="1"/>
  <c r="AB60" i="1" s="1"/>
  <c r="Y59" i="1"/>
  <c r="AB59" i="1" s="1"/>
  <c r="Y58" i="1"/>
  <c r="AB58" i="1" s="1"/>
  <c r="Y57" i="1"/>
  <c r="AB57" i="1" s="1"/>
  <c r="Y56" i="1"/>
  <c r="AB56" i="1" s="1"/>
  <c r="Y55" i="1"/>
  <c r="AB55" i="1" s="1"/>
  <c r="Y54" i="1"/>
  <c r="AB54" i="1" s="1"/>
  <c r="Y53" i="1"/>
  <c r="AB53" i="1" s="1"/>
  <c r="Y52" i="1"/>
  <c r="AB52" i="1" s="1"/>
  <c r="Y51" i="1"/>
  <c r="AB51" i="1" s="1"/>
  <c r="Y50" i="1"/>
  <c r="AB50" i="1" s="1"/>
  <c r="Y49" i="1"/>
  <c r="AB49" i="1" s="1"/>
  <c r="Y48" i="1"/>
  <c r="AB48" i="1" s="1"/>
  <c r="Y47" i="1"/>
  <c r="AB47" i="1" s="1"/>
  <c r="Y46" i="1"/>
  <c r="AB46" i="1" s="1"/>
  <c r="Y45" i="1"/>
  <c r="AB45" i="1" s="1"/>
  <c r="Y44" i="1"/>
  <c r="AB44" i="1" s="1"/>
  <c r="Y43" i="1"/>
  <c r="AB43" i="1" s="1"/>
  <c r="Y42" i="1"/>
  <c r="AB42" i="1" s="1"/>
  <c r="Y41" i="1"/>
  <c r="AB41" i="1" s="1"/>
  <c r="Y40" i="1"/>
  <c r="AB40" i="1" s="1"/>
  <c r="Y39" i="1"/>
  <c r="AB39" i="1" s="1"/>
  <c r="Y38" i="1"/>
  <c r="AB38" i="1" s="1"/>
  <c r="Y37" i="1"/>
  <c r="AB37" i="1" s="1"/>
  <c r="Y36" i="1"/>
  <c r="AB36" i="1" s="1"/>
  <c r="Y35" i="1"/>
  <c r="AB35" i="1" s="1"/>
  <c r="Y34" i="1"/>
  <c r="AB34" i="1" s="1"/>
  <c r="Y33" i="1"/>
  <c r="AB33" i="1" s="1"/>
  <c r="Y32" i="1"/>
  <c r="AB32" i="1" s="1"/>
  <c r="Y31" i="1"/>
  <c r="AB31" i="1" s="1"/>
  <c r="Y30" i="1"/>
  <c r="AB30" i="1" s="1"/>
  <c r="Y29" i="1"/>
  <c r="AB29" i="1" s="1"/>
  <c r="Y28" i="1"/>
  <c r="AB28" i="1" s="1"/>
  <c r="Y27" i="1"/>
  <c r="AB27" i="1" s="1"/>
  <c r="Y26" i="1"/>
  <c r="AB26" i="1" s="1"/>
  <c r="Y25" i="1"/>
  <c r="AB25" i="1" s="1"/>
  <c r="Y24" i="1"/>
  <c r="AB24" i="1" s="1"/>
  <c r="Y23" i="1"/>
  <c r="AB23" i="1" s="1"/>
  <c r="Y22" i="1"/>
  <c r="AB22" i="1" s="1"/>
  <c r="Y21" i="1"/>
  <c r="AB21" i="1" s="1"/>
  <c r="Y20" i="1"/>
  <c r="AB20" i="1" s="1"/>
  <c r="Y19" i="1"/>
  <c r="AB19" i="1" s="1"/>
  <c r="Y18" i="1"/>
  <c r="AB18" i="1" s="1"/>
  <c r="Y17" i="1"/>
  <c r="AB17" i="1" s="1"/>
  <c r="Y16" i="1"/>
  <c r="AB16" i="1" s="1"/>
  <c r="Y15" i="1"/>
  <c r="AB15" i="1" s="1"/>
  <c r="Y14" i="1"/>
  <c r="AB14" i="1" s="1"/>
  <c r="Y13" i="1"/>
  <c r="AB13" i="1" s="1"/>
  <c r="Y12" i="1"/>
  <c r="AB12" i="1" s="1"/>
  <c r="Y11" i="1"/>
  <c r="AB11" i="1" s="1"/>
  <c r="Y10" i="1"/>
  <c r="AB10" i="1" s="1"/>
  <c r="Y9" i="1"/>
  <c r="AB9" i="1" s="1"/>
  <c r="Y8" i="1"/>
  <c r="AB8" i="1" s="1"/>
  <c r="Y7" i="1"/>
  <c r="AB7" i="1" s="1"/>
  <c r="Y6" i="1"/>
  <c r="AB6" i="1" s="1"/>
  <c r="Y5" i="1"/>
  <c r="AB5" i="1" s="1"/>
  <c r="Y4" i="1"/>
  <c r="AB4" i="1" s="1"/>
  <c r="AG354" i="5" l="1"/>
  <c r="AM354" i="5" s="1"/>
  <c r="AG230" i="5"/>
  <c r="AM230" i="5" s="1"/>
  <c r="AG756" i="5"/>
  <c r="AM756" i="5" s="1"/>
  <c r="AG157" i="5"/>
  <c r="AM157" i="5" s="1"/>
  <c r="AG570" i="5"/>
  <c r="AM570" i="5" s="1"/>
  <c r="AG717" i="5"/>
  <c r="AM717" i="5" s="1"/>
  <c r="AG76" i="5"/>
  <c r="AM76" i="5" s="1"/>
  <c r="AG246" i="5"/>
  <c r="AM246" i="5" s="1"/>
  <c r="AN291" i="5" s="1"/>
  <c r="AG523" i="5"/>
  <c r="AM523" i="5" s="1"/>
  <c r="AG258" i="5"/>
  <c r="AM258" i="5" s="1"/>
  <c r="AG316" i="5"/>
  <c r="AM316" i="5" s="1"/>
  <c r="AN387" i="5" s="1"/>
  <c r="AG440" i="5"/>
  <c r="AM440" i="5" s="1"/>
  <c r="AG104" i="5"/>
  <c r="AM104" i="5" s="1"/>
  <c r="AG13" i="5"/>
  <c r="AM13" i="5" s="1"/>
  <c r="AG18" i="5"/>
  <c r="AM18" i="5" s="1"/>
  <c r="AG317" i="5"/>
  <c r="AM317" i="5" s="1"/>
  <c r="AG638" i="5"/>
  <c r="AM638" i="5" s="1"/>
  <c r="AG14" i="5"/>
  <c r="AM14" i="5" s="1"/>
  <c r="AG716" i="5"/>
  <c r="AM716" i="5" s="1"/>
  <c r="AG135" i="5"/>
  <c r="AM135" i="5" s="1"/>
  <c r="AG381" i="5"/>
  <c r="AM381" i="5" s="1"/>
  <c r="AG125" i="5"/>
  <c r="AM125" i="5" s="1"/>
  <c r="AG572" i="5"/>
  <c r="AM572" i="5" s="1"/>
  <c r="AG8" i="5"/>
  <c r="AM8" i="5" s="1"/>
  <c r="AN99" i="5" s="1"/>
  <c r="AG38" i="5"/>
  <c r="AM38" i="5" s="1"/>
  <c r="AG278" i="5"/>
  <c r="AM278" i="5" s="1"/>
  <c r="AG108" i="5"/>
  <c r="AM108" i="5" s="1"/>
  <c r="AN675" i="5"/>
  <c r="AN771" i="5"/>
  <c r="AM772" i="5"/>
  <c r="AN579" i="5"/>
  <c r="AN483" i="5"/>
  <c r="AN195" i="5"/>
  <c r="AE99" i="1"/>
  <c r="AD772" i="1"/>
  <c r="AE771" i="1"/>
  <c r="AE675" i="1"/>
  <c r="AE579" i="1"/>
  <c r="AE483" i="1"/>
  <c r="AE387" i="1"/>
  <c r="AE291" i="1"/>
  <c r="AE195" i="1"/>
  <c r="AN772" i="5" l="1"/>
  <c r="AE7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<sst xmlns="http://schemas.openxmlformats.org/spreadsheetml/2006/main" count="139" uniqueCount="72">
  <si>
    <t>Time</t>
  </si>
  <si>
    <t>SYSTEM.KL_ISGS.ADD.MW</t>
  </si>
  <si>
    <t>ISGS Average RATE/UNIT</t>
  </si>
  <si>
    <t>SYSTEM.KER_LTA_NET.MES1.MW</t>
  </si>
  <si>
    <t>LTA RATE/UNIT</t>
  </si>
  <si>
    <t>SYSTEM.KER_MTOA_NET.MES1.MW</t>
  </si>
  <si>
    <t>MTOA RATE/UNIT</t>
  </si>
  <si>
    <t>SYSTEM.KER_PX_NET.MES1.MW</t>
  </si>
  <si>
    <t>PX RATE/UNIT</t>
  </si>
  <si>
    <t>SYSTEM.KER_RTM.MES1.MW</t>
  </si>
  <si>
    <t>RTM RATE/UNIT</t>
  </si>
  <si>
    <t>SYSTEM.KL_OTS.ADD.MW</t>
  </si>
  <si>
    <t>OTS RATE/UNIT</t>
  </si>
  <si>
    <t>SYSTEM.KL_REN.ADD.MW</t>
  </si>
  <si>
    <t>REN RATE/UNIT</t>
  </si>
  <si>
    <t>Total Gen Internal</t>
  </si>
  <si>
    <t>Internal RATE/UNIT</t>
  </si>
  <si>
    <t>Max Demand</t>
  </si>
  <si>
    <t>Total Scheduled Generation</t>
  </si>
  <si>
    <t>Actual Drawn</t>
  </si>
  <si>
    <t>Scheduled Deviation</t>
  </si>
  <si>
    <t>Actual Deviation</t>
  </si>
  <si>
    <t>Total Demand with Actual Drawn</t>
  </si>
  <si>
    <t>Hydel total</t>
  </si>
  <si>
    <t>Solar total</t>
  </si>
  <si>
    <t>Wind total</t>
  </si>
  <si>
    <t>Total Scheduled Power</t>
  </si>
  <si>
    <t>Power Balance</t>
  </si>
  <si>
    <t>Hydro power</t>
  </si>
  <si>
    <t>SYSTEM.ID_GEN_MW.MEAS.MW (Idukki)</t>
  </si>
  <si>
    <t>SYSTEM.IM_GEN_MW.MEAS.MW (Idamalayar)</t>
  </si>
  <si>
    <t>STTN.TOTAL_GEN_MW.MEAS.MW (Kakkad)</t>
  </si>
  <si>
    <t>STTN.TOTAL_GEN_MW.MEAS.MW (Kakkayam)</t>
  </si>
  <si>
    <t>STTN.TOTAL_GEN_MW.MEAS.MW (Lower Periyar)</t>
  </si>
  <si>
    <t>SYSTEM.NR_GEN_MW.MEAS.MW (Neriamangalam)</t>
  </si>
  <si>
    <t>SYSTEM.PO_GEN_MW.MEAS.MW (Poringal)</t>
  </si>
  <si>
    <t>SYSTEM.PL_GEN_MW.MEAS.MW (Pallivasal)</t>
  </si>
  <si>
    <t>STTN.TOTAL_GEN_MW.MEAS.MW (Sbarigiri)</t>
  </si>
  <si>
    <t>STTN.TOTAL_GEN_MW.MEAS.MW (Sengulam)</t>
  </si>
  <si>
    <t>SYSTEM.PN_GEN_MW.MEAS.MW (Panniyar)</t>
  </si>
  <si>
    <t>STTN.TOTAL_GEN_MW.MEAS.MW (Sholayar)</t>
  </si>
  <si>
    <t>STTN.TOTAL_GEN_MW.MEAS.MW (Kallada)</t>
  </si>
  <si>
    <t>STTN.TOTAL_GEN_MW.MEAS.MW (Barapole)</t>
  </si>
  <si>
    <t>STTN.TOTAL_GEN_MW.MEAS.MW (Vilangadu)</t>
  </si>
  <si>
    <t>STTN.TOTAL_GEN_MW.MEAS.MW (Poozhithode)</t>
  </si>
  <si>
    <t>STTN.TOTAL_GEN_MW.MEAS.MW (Urumi)</t>
  </si>
  <si>
    <t>STTN.TOTAL_GEN_MW.MEAS.MW (Malankara)</t>
  </si>
  <si>
    <t>STTN.TOTAL_GEN_MW.MEAS.MW (Chembukadavu)</t>
  </si>
  <si>
    <t>Total Scheduled Cost</t>
  </si>
  <si>
    <t>Total internal Gen Cost</t>
  </si>
  <si>
    <t>Total Cost</t>
  </si>
  <si>
    <t>Total Hydro (With Pump)</t>
  </si>
  <si>
    <t>Total Hydro (Without Pump)</t>
  </si>
  <si>
    <t>Variable 1</t>
  </si>
  <si>
    <t>Variable 2</t>
  </si>
  <si>
    <t>Variable 3</t>
  </si>
  <si>
    <t>Variable 4</t>
  </si>
  <si>
    <t>Variable 5</t>
  </si>
  <si>
    <t>Objective function is to minimize this cost either weekly or daily</t>
  </si>
  <si>
    <t>Capacity:</t>
  </si>
  <si>
    <t xml:space="preserve">MCU available: </t>
  </si>
  <si>
    <t>MCU required/unit:</t>
  </si>
  <si>
    <t>SYSTEM.PO_GEN_MW.MEAS.MW (Poringal) - Level 2 of Sholayar</t>
  </si>
  <si>
    <t>STTN.TOTAL_GEN_MW.MEAS.MW (Kakkad) - Level 2 of Sabrigiri</t>
  </si>
  <si>
    <t>STTN.TOTAL_GEN_MW.MEAS.MW (Sengulam) - Level 2 of Pallivasal</t>
  </si>
  <si>
    <t>SYSTEM.PL_GEN_MW.MEAS.MW (Pallivasal) - Level 1</t>
  </si>
  <si>
    <t>STTN.TOTAL_GEN_MW.MEAS.MW (Sholayar) - Level 1  (not a pumped storage)</t>
  </si>
  <si>
    <t xml:space="preserve">STTN.TOTAL_GEN_MW.MEAS.MW (Sbarigiri) - Level 1 </t>
  </si>
  <si>
    <t>Hydro with pump cost</t>
  </si>
  <si>
    <t>Total Gen Internal without pump</t>
  </si>
  <si>
    <t>Total internal Gen Cost without pump</t>
  </si>
  <si>
    <t>Total Internal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</si>
</sst>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1" fillId="0" borderId="2" xfId="0" applyFont="1" applyBorder="1" applyAlignment="1">
      <alignment wrapText="1"/>
    </xf>
    <xf numFmtId="22" fontId="0" fillId="0" borderId="2" xfId="0" applyNumberFormat="1" applyBorder="1"/>
    <xf numFmtId="22" fontId="1" fillId="0" borderId="2" xfId="0" applyNumberFormat="1" applyFont="1" applyBorder="1"/>
    <xf numFmtId="0" fontId="4" fillId="0" borderId="3" xfId="0" applyFont="1" applyBorder="1"/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0" borderId="3" xfId="0" applyFont="1" applyBorder="1"/>
    <xf numFmtId="0" fontId="6" fillId="0" borderId="1" xfId="0" applyFont="1" applyBorder="1"/>
    <xf numFmtId="0" fontId="6" fillId="0" borderId="0" xfId="0" applyFont="1"/>
    <xf numFmtId="0" fontId="2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2" xfId="0" applyBorder="1"/>
    <xf numFmtId="43" fontId="2" fillId="0" borderId="1" xfId="1" applyFont="1" applyBorder="1"/>
    <xf numFmtId="43" fontId="1" fillId="0" borderId="0" xfId="1" applyFont="1"/>
    <xf numFmtId="43" fontId="1" fillId="0" borderId="0" xfId="0" applyNumberFormat="1" applyFont="1"/>
    <xf numFmtId="0" fontId="0" fillId="0" borderId="0" xfId="0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2" xfId="0" applyFont="1" applyBorder="1"/>
    <xf numFmtId="0" fontId="1" fillId="4" borderId="5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22" fontId="0" fillId="0" borderId="2" xfId="0" applyNumberForma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/>
    <xf numFmtId="0" fontId="6" fillId="0" borderId="6" xfId="0" applyFont="1" applyBorder="1"/>
    <xf numFmtId="0" fontId="0" fillId="0" borderId="7" xfId="0" applyBorder="1"/>
    <xf numFmtId="0" fontId="4" fillId="0" borderId="7" xfId="0" applyFont="1" applyBorder="1"/>
    <xf numFmtId="0" fontId="4" fillId="0" borderId="1" xfId="0" applyFont="1" applyBorder="1" applyAlignment="1">
      <alignment horizontal="right"/>
    </xf>
    <xf numFmtId="0" fontId="0" fillId="0" borderId="6" xfId="0" applyBorder="1"/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84AF-C93F-44D6-936F-5D18F485FF7E}">
  <dimension ref="A1:W774"/>
  <sheetViews>
    <sheetView zoomScale="102" zoomScaleNormal="102" workbookViewId="0">
      <selection activeCell="B1" sqref="B1:E4"/>
    </sheetView>
  </sheetViews>
  <sheetFormatPr defaultColWidth="8.88671875" defaultRowHeight="14.4" x14ac:dyDescent="0.3"/>
  <cols>
    <col min="1" max="1" width="19.109375" customWidth="1"/>
    <col min="2" max="5" width="25.5546875" customWidth="1"/>
    <col min="6" max="6" width="12.77734375" customWidth="1"/>
    <col min="7" max="7" width="21.6640625" customWidth="1"/>
    <col min="8" max="8" width="27.5546875" customWidth="1"/>
    <col min="9" max="9" width="12.6640625" customWidth="1"/>
    <col min="10" max="10" width="15" customWidth="1"/>
    <col min="11" max="11" width="11.6640625" customWidth="1"/>
    <col min="12" max="12" width="11.109375" customWidth="1"/>
    <col min="13" max="13" width="14.21875" customWidth="1"/>
    <col min="23" max="23" width="9.109375" style="12" customWidth="1"/>
  </cols>
  <sheetData>
    <row r="1" spans="1:23" x14ac:dyDescent="0.3">
      <c r="B1" s="2" t="s">
        <v>53</v>
      </c>
      <c r="C1" s="2" t="s">
        <v>54</v>
      </c>
      <c r="D1" s="35" t="s">
        <v>55</v>
      </c>
      <c r="E1" s="2" t="s">
        <v>56</v>
      </c>
      <c r="G1" s="4"/>
      <c r="H1" s="4"/>
    </row>
    <row r="2" spans="1:23" x14ac:dyDescent="0.3">
      <c r="B2" s="2" t="s">
        <v>59</v>
      </c>
      <c r="C2" s="2" t="s">
        <v>59</v>
      </c>
      <c r="D2" s="35" t="s">
        <v>59</v>
      </c>
      <c r="E2" s="2" t="s">
        <v>59</v>
      </c>
      <c r="G2" s="4"/>
      <c r="H2" s="4"/>
    </row>
    <row r="3" spans="1:23" x14ac:dyDescent="0.3">
      <c r="B3" s="2" t="s">
        <v>60</v>
      </c>
      <c r="C3" s="2" t="s">
        <v>60</v>
      </c>
      <c r="D3" s="35" t="s">
        <v>60</v>
      </c>
      <c r="E3" s="2" t="s">
        <v>60</v>
      </c>
      <c r="G3" s="4"/>
      <c r="H3" s="4"/>
    </row>
    <row r="4" spans="1:23" x14ac:dyDescent="0.3">
      <c r="B4" s="2" t="s">
        <v>61</v>
      </c>
      <c r="C4" s="2" t="s">
        <v>61</v>
      </c>
      <c r="D4" s="35" t="s">
        <v>61</v>
      </c>
      <c r="E4" s="2" t="s">
        <v>61</v>
      </c>
      <c r="G4" s="4"/>
      <c r="H4" s="4"/>
    </row>
    <row r="5" spans="1:23" ht="60.6" customHeight="1" x14ac:dyDescent="0.3">
      <c r="A5" s="13" t="s">
        <v>0</v>
      </c>
      <c r="B5" s="27" t="s">
        <v>29</v>
      </c>
      <c r="C5" s="27" t="s">
        <v>63</v>
      </c>
      <c r="D5" s="27" t="s">
        <v>62</v>
      </c>
      <c r="E5" s="36" t="s">
        <v>64</v>
      </c>
      <c r="F5" s="27" t="s">
        <v>51</v>
      </c>
      <c r="G5" s="3" t="s">
        <v>66</v>
      </c>
      <c r="H5" s="3" t="s">
        <v>67</v>
      </c>
      <c r="I5" s="3" t="s">
        <v>30</v>
      </c>
      <c r="J5" s="3" t="s">
        <v>32</v>
      </c>
      <c r="K5" s="3" t="s">
        <v>33</v>
      </c>
      <c r="L5" s="3" t="s">
        <v>34</v>
      </c>
      <c r="M5" s="34" t="s">
        <v>65</v>
      </c>
      <c r="N5" s="3" t="s">
        <v>39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52</v>
      </c>
      <c r="W5" s="5" t="s">
        <v>23</v>
      </c>
    </row>
    <row r="6" spans="1:23" x14ac:dyDescent="0.3">
      <c r="A6" s="14">
        <v>45782</v>
      </c>
      <c r="B6" s="1">
        <v>-715.11</v>
      </c>
      <c r="C6" s="1">
        <v>35.86</v>
      </c>
      <c r="D6" s="1">
        <v>66.89</v>
      </c>
      <c r="E6" s="1">
        <v>33.340000000000003</v>
      </c>
      <c r="F6" s="1" cm="1">
        <f t="array" ref="F6">SUM(ABS(B6:E6))</f>
        <v>851.2</v>
      </c>
      <c r="G6" s="1">
        <v>54.25</v>
      </c>
      <c r="H6" s="1">
        <v>268.39999999999998</v>
      </c>
      <c r="I6" s="1">
        <v>-55.29</v>
      </c>
      <c r="J6" s="1">
        <v>191.59</v>
      </c>
      <c r="K6" s="1">
        <v>115.59</v>
      </c>
      <c r="L6" s="1">
        <v>-56.25</v>
      </c>
      <c r="M6" s="1">
        <v>0</v>
      </c>
      <c r="N6" s="1">
        <v>-30.89</v>
      </c>
      <c r="O6" s="1">
        <v>10.42</v>
      </c>
      <c r="P6" s="1">
        <v>0</v>
      </c>
      <c r="Q6" s="1">
        <v>0</v>
      </c>
      <c r="R6" s="1">
        <v>0</v>
      </c>
      <c r="S6" s="1">
        <v>0</v>
      </c>
      <c r="T6" s="1">
        <v>4.72</v>
      </c>
      <c r="U6" s="1">
        <v>0</v>
      </c>
      <c r="V6" s="1" cm="1">
        <f t="array" ref="V6">SUM(ABS(G6:U6))</f>
        <v>787.4</v>
      </c>
      <c r="W6" s="11" cm="1">
        <f t="array" ref="W6">SUM(ABS(B6:E6))+SUM(ABS(G6:U6))</f>
        <v>1638.6</v>
      </c>
    </row>
    <row r="7" spans="1:23" x14ac:dyDescent="0.3">
      <c r="A7" s="14">
        <v>45782.010416666664</v>
      </c>
      <c r="B7" s="1">
        <v>-684.21</v>
      </c>
      <c r="C7" s="1">
        <v>35.869999999999997</v>
      </c>
      <c r="D7" s="1">
        <v>63.45</v>
      </c>
      <c r="E7" s="1">
        <v>25.67</v>
      </c>
      <c r="F7" s="1" cm="1">
        <f t="array" ref="F7">SUM(ABS(B7:E7))</f>
        <v>809.2</v>
      </c>
      <c r="G7" s="1">
        <v>54.25</v>
      </c>
      <c r="H7" s="1">
        <v>266.24</v>
      </c>
      <c r="I7" s="1">
        <v>-55.27</v>
      </c>
      <c r="J7" s="1">
        <v>190.28</v>
      </c>
      <c r="K7" s="1">
        <v>115.49</v>
      </c>
      <c r="L7" s="1">
        <v>-55.89</v>
      </c>
      <c r="M7" s="1">
        <v>0</v>
      </c>
      <c r="N7" s="1">
        <v>-30.88</v>
      </c>
      <c r="O7" s="1">
        <v>10.42</v>
      </c>
      <c r="P7" s="1">
        <v>0</v>
      </c>
      <c r="Q7" s="1">
        <v>0</v>
      </c>
      <c r="R7" s="1">
        <v>0</v>
      </c>
      <c r="S7" s="1">
        <v>0</v>
      </c>
      <c r="T7" s="1">
        <v>4.72</v>
      </c>
      <c r="U7" s="1">
        <v>0</v>
      </c>
      <c r="V7" s="1" cm="1">
        <f t="array" ref="V7">SUM(ABS(G7:U7))</f>
        <v>783.43999999999994</v>
      </c>
      <c r="W7" s="11" cm="1">
        <f t="array" ref="W7">SUM(ABS(B7:E7))+SUM(ABS(G7:U7))</f>
        <v>1592.6399999999999</v>
      </c>
    </row>
    <row r="8" spans="1:23" x14ac:dyDescent="0.3">
      <c r="A8" s="14">
        <v>45782.020833333336</v>
      </c>
      <c r="B8" s="1">
        <v>-685.33</v>
      </c>
      <c r="C8" s="1">
        <v>35.86</v>
      </c>
      <c r="D8" s="1">
        <v>31.92</v>
      </c>
      <c r="E8" s="1">
        <v>25.65</v>
      </c>
      <c r="F8" s="1" cm="1">
        <f t="array" ref="F8">SUM(ABS(B8:E8))</f>
        <v>778.76</v>
      </c>
      <c r="G8" s="1">
        <v>54.26</v>
      </c>
      <c r="H8" s="1">
        <v>267.02999999999997</v>
      </c>
      <c r="I8" s="1">
        <v>-55.28</v>
      </c>
      <c r="J8" s="1">
        <v>190.4</v>
      </c>
      <c r="K8" s="1">
        <v>115.39</v>
      </c>
      <c r="L8" s="1">
        <v>-55.95</v>
      </c>
      <c r="M8" s="1">
        <v>0</v>
      </c>
      <c r="N8" s="1">
        <v>-30.88</v>
      </c>
      <c r="O8" s="1">
        <v>10.41</v>
      </c>
      <c r="P8" s="1">
        <v>0</v>
      </c>
      <c r="Q8" s="1">
        <v>0</v>
      </c>
      <c r="R8" s="1">
        <v>0</v>
      </c>
      <c r="S8" s="1">
        <v>0</v>
      </c>
      <c r="T8" s="1">
        <v>4.72</v>
      </c>
      <c r="U8" s="1">
        <v>0</v>
      </c>
      <c r="V8" s="1" cm="1">
        <f t="array" ref="V8">SUM(ABS(G8:U8))</f>
        <v>784.31999999999994</v>
      </c>
      <c r="W8" s="11" cm="1">
        <f t="array" ref="W8">SUM(ABS(B8:E8))+SUM(ABS(G8:U8))</f>
        <v>1563.08</v>
      </c>
    </row>
    <row r="9" spans="1:23" x14ac:dyDescent="0.3">
      <c r="A9" s="14">
        <v>45782.03125</v>
      </c>
      <c r="B9" s="1">
        <v>-687.02</v>
      </c>
      <c r="C9" s="1">
        <v>35.840000000000003</v>
      </c>
      <c r="D9" s="1">
        <v>12</v>
      </c>
      <c r="E9" s="1">
        <v>25.65</v>
      </c>
      <c r="F9" s="1" cm="1">
        <f t="array" ref="F9">SUM(ABS(B9:E9))</f>
        <v>760.51</v>
      </c>
      <c r="G9" s="1">
        <v>54.26</v>
      </c>
      <c r="H9" s="1">
        <v>267.76</v>
      </c>
      <c r="I9" s="1">
        <v>-55.29</v>
      </c>
      <c r="J9" s="1">
        <v>190.68</v>
      </c>
      <c r="K9" s="1">
        <v>115.28</v>
      </c>
      <c r="L9" s="1">
        <v>-56.04</v>
      </c>
      <c r="M9" s="1">
        <v>0</v>
      </c>
      <c r="N9" s="1">
        <v>-30.88</v>
      </c>
      <c r="O9" s="1">
        <v>10.41</v>
      </c>
      <c r="P9" s="1">
        <v>0</v>
      </c>
      <c r="Q9" s="1">
        <v>0</v>
      </c>
      <c r="R9" s="1">
        <v>0</v>
      </c>
      <c r="S9" s="1">
        <v>0</v>
      </c>
      <c r="T9" s="1">
        <v>4.72</v>
      </c>
      <c r="U9" s="1">
        <v>0</v>
      </c>
      <c r="V9" s="1" cm="1">
        <f t="array" ref="V9">SUM(ABS(G9:U9))</f>
        <v>785.31999999999994</v>
      </c>
      <c r="W9" s="11" cm="1">
        <f t="array" ref="W9">SUM(ABS(B9:E9))+SUM(ABS(G9:U9))</f>
        <v>1545.83</v>
      </c>
    </row>
    <row r="10" spans="1:23" x14ac:dyDescent="0.3">
      <c r="A10" s="14">
        <v>45782.041666666664</v>
      </c>
      <c r="B10" s="1">
        <v>-703.57</v>
      </c>
      <c r="C10" s="1">
        <v>35.869999999999997</v>
      </c>
      <c r="D10" s="1">
        <v>12</v>
      </c>
      <c r="E10" s="1">
        <v>17.95</v>
      </c>
      <c r="F10" s="1" cm="1">
        <f t="array" ref="F10">SUM(ABS(B10:E10))</f>
        <v>769.3900000000001</v>
      </c>
      <c r="G10" s="1">
        <v>54.27</v>
      </c>
      <c r="H10" s="1">
        <v>271.2</v>
      </c>
      <c r="I10" s="1">
        <v>-55.3</v>
      </c>
      <c r="J10" s="1">
        <v>193.7</v>
      </c>
      <c r="K10" s="1">
        <v>91.42</v>
      </c>
      <c r="L10" s="1">
        <v>-57.02</v>
      </c>
      <c r="M10" s="1">
        <v>0</v>
      </c>
      <c r="N10" s="1">
        <v>-30.9</v>
      </c>
      <c r="O10" s="1">
        <v>10.42</v>
      </c>
      <c r="P10" s="1">
        <v>0</v>
      </c>
      <c r="Q10" s="1">
        <v>0</v>
      </c>
      <c r="R10" s="1">
        <v>0</v>
      </c>
      <c r="S10" s="1">
        <v>0</v>
      </c>
      <c r="T10" s="1">
        <v>4.72</v>
      </c>
      <c r="U10" s="1">
        <v>0</v>
      </c>
      <c r="V10" s="1" cm="1">
        <f t="array" ref="V10">SUM(ABS(G10:U10))</f>
        <v>768.94999999999993</v>
      </c>
      <c r="W10" s="11" cm="1">
        <f t="array" ref="W10">SUM(ABS(B10:E10))+SUM(ABS(G10:U10))</f>
        <v>1538.3400000000001</v>
      </c>
    </row>
    <row r="11" spans="1:23" x14ac:dyDescent="0.3">
      <c r="A11" s="14">
        <v>45782.052083333336</v>
      </c>
      <c r="B11" s="1">
        <v>-723.14</v>
      </c>
      <c r="C11" s="1">
        <v>35.89</v>
      </c>
      <c r="D11" s="1">
        <v>12</v>
      </c>
      <c r="E11" s="1">
        <v>12.79</v>
      </c>
      <c r="F11" s="1" cm="1">
        <f t="array" ref="F11">SUM(ABS(B11:E11))</f>
        <v>783.81999999999994</v>
      </c>
      <c r="G11" s="1">
        <v>54.24</v>
      </c>
      <c r="H11" s="1">
        <v>272.66000000000003</v>
      </c>
      <c r="I11" s="1">
        <v>-55.33</v>
      </c>
      <c r="J11" s="1">
        <v>194.51</v>
      </c>
      <c r="K11" s="1">
        <v>47.22</v>
      </c>
      <c r="L11" s="1">
        <v>-58.29</v>
      </c>
      <c r="M11" s="1">
        <v>0</v>
      </c>
      <c r="N11" s="1">
        <v>-30.89</v>
      </c>
      <c r="O11" s="1">
        <v>10.41</v>
      </c>
      <c r="P11" s="1">
        <v>0</v>
      </c>
      <c r="Q11" s="1">
        <v>0</v>
      </c>
      <c r="R11" s="1">
        <v>0</v>
      </c>
      <c r="S11" s="1">
        <v>0</v>
      </c>
      <c r="T11" s="1">
        <v>4.72</v>
      </c>
      <c r="U11" s="1">
        <v>0</v>
      </c>
      <c r="V11" s="1" cm="1">
        <f t="array" ref="V11">SUM(ABS(G11:U11))</f>
        <v>728.27</v>
      </c>
      <c r="W11" s="11" cm="1">
        <f t="array" ref="W11">SUM(ABS(B11:E11))+SUM(ABS(G11:U11))</f>
        <v>1512.09</v>
      </c>
    </row>
    <row r="12" spans="1:23" x14ac:dyDescent="0.3">
      <c r="A12" s="14">
        <v>45782.0625</v>
      </c>
      <c r="B12" s="1">
        <v>-716.72</v>
      </c>
      <c r="C12" s="1">
        <v>35.880000000000003</v>
      </c>
      <c r="D12" s="1">
        <v>12</v>
      </c>
      <c r="E12" s="1">
        <v>11.43</v>
      </c>
      <c r="F12" s="1" cm="1">
        <f t="array" ref="F12">SUM(ABS(B12:E12))</f>
        <v>776.03</v>
      </c>
      <c r="G12" s="1">
        <v>54.26</v>
      </c>
      <c r="H12" s="1">
        <v>272.58999999999997</v>
      </c>
      <c r="I12" s="1">
        <v>-55.29</v>
      </c>
      <c r="J12" s="1">
        <v>153.76</v>
      </c>
      <c r="K12" s="1">
        <v>47.92</v>
      </c>
      <c r="L12" s="1">
        <v>-57.69</v>
      </c>
      <c r="M12" s="1">
        <v>0</v>
      </c>
      <c r="N12" s="1">
        <v>-30.87</v>
      </c>
      <c r="O12" s="1">
        <v>10.4</v>
      </c>
      <c r="P12" s="1">
        <v>0</v>
      </c>
      <c r="Q12" s="1">
        <v>0</v>
      </c>
      <c r="R12" s="1">
        <v>0</v>
      </c>
      <c r="S12" s="1">
        <v>0</v>
      </c>
      <c r="T12" s="1">
        <v>4.72</v>
      </c>
      <c r="U12" s="1">
        <v>0</v>
      </c>
      <c r="V12" s="1" cm="1">
        <f t="array" ref="V12">SUM(ABS(G12:U12))</f>
        <v>687.5</v>
      </c>
      <c r="W12" s="11" cm="1">
        <f t="array" ref="W12">SUM(ABS(B12:E12))+SUM(ABS(G12:U12))</f>
        <v>1463.53</v>
      </c>
    </row>
    <row r="13" spans="1:23" x14ac:dyDescent="0.3">
      <c r="A13" s="14">
        <v>45782.072916666664</v>
      </c>
      <c r="B13" s="1">
        <v>-710.01</v>
      </c>
      <c r="C13" s="1">
        <v>35.880000000000003</v>
      </c>
      <c r="D13" s="1">
        <v>12</v>
      </c>
      <c r="E13" s="1">
        <v>6.42</v>
      </c>
      <c r="F13" s="1" cm="1">
        <f t="array" ref="F13">SUM(ABS(B13:E13))</f>
        <v>764.31</v>
      </c>
      <c r="G13" s="1">
        <v>54.25</v>
      </c>
      <c r="H13" s="1">
        <v>272.27999999999997</v>
      </c>
      <c r="I13" s="1">
        <v>-55.27</v>
      </c>
      <c r="J13" s="1">
        <v>111.91</v>
      </c>
      <c r="K13" s="1">
        <v>48.04</v>
      </c>
      <c r="L13" s="1">
        <v>-57.27</v>
      </c>
      <c r="M13" s="1">
        <v>0</v>
      </c>
      <c r="N13" s="1">
        <v>-30.86</v>
      </c>
      <c r="O13" s="1">
        <v>10.4</v>
      </c>
      <c r="P13" s="1">
        <v>0</v>
      </c>
      <c r="Q13" s="1">
        <v>0</v>
      </c>
      <c r="R13" s="1">
        <v>0</v>
      </c>
      <c r="S13" s="1">
        <v>0</v>
      </c>
      <c r="T13" s="1">
        <v>4.72</v>
      </c>
      <c r="U13" s="1">
        <v>0</v>
      </c>
      <c r="V13" s="1" cm="1">
        <f t="array" ref="V13">SUM(ABS(G13:U13))</f>
        <v>644.99999999999989</v>
      </c>
      <c r="W13" s="11" cm="1">
        <f t="array" ref="W13">SUM(ABS(B13:E13))+SUM(ABS(G13:U13))</f>
        <v>1409.31</v>
      </c>
    </row>
    <row r="14" spans="1:23" x14ac:dyDescent="0.3">
      <c r="A14" s="14">
        <v>45782.083333333336</v>
      </c>
      <c r="B14" s="1">
        <v>-727.74</v>
      </c>
      <c r="C14" s="1">
        <v>35.909999999999997</v>
      </c>
      <c r="D14" s="1">
        <v>12</v>
      </c>
      <c r="E14" s="1">
        <v>6.41</v>
      </c>
      <c r="F14" s="1" cm="1">
        <f t="array" ref="F14">SUM(ABS(B14:E14))</f>
        <v>782.06</v>
      </c>
      <c r="G14" s="1">
        <v>54.25</v>
      </c>
      <c r="H14" s="1">
        <v>272.56</v>
      </c>
      <c r="I14" s="1">
        <v>-55.25</v>
      </c>
      <c r="J14" s="1">
        <v>95.26</v>
      </c>
      <c r="K14" s="1">
        <v>47.99</v>
      </c>
      <c r="L14" s="1">
        <v>-57.34</v>
      </c>
      <c r="M14" s="1">
        <v>0</v>
      </c>
      <c r="N14" s="1">
        <v>-30.88</v>
      </c>
      <c r="O14" s="1">
        <v>10.4</v>
      </c>
      <c r="P14" s="1">
        <v>0</v>
      </c>
      <c r="Q14" s="1">
        <v>0</v>
      </c>
      <c r="R14" s="1">
        <v>0</v>
      </c>
      <c r="S14" s="1">
        <v>0</v>
      </c>
      <c r="T14" s="1">
        <v>4.72</v>
      </c>
      <c r="U14" s="1">
        <v>0</v>
      </c>
      <c r="V14" s="1" cm="1">
        <f t="array" ref="V14">SUM(ABS(G14:U14))</f>
        <v>628.65</v>
      </c>
      <c r="W14" s="11" cm="1">
        <f t="array" ref="W14">SUM(ABS(B14:E14))+SUM(ABS(G14:U14))</f>
        <v>1410.71</v>
      </c>
    </row>
    <row r="15" spans="1:23" x14ac:dyDescent="0.3">
      <c r="A15" s="14">
        <v>45782.09375</v>
      </c>
      <c r="B15" s="1">
        <v>-724</v>
      </c>
      <c r="C15" s="1">
        <v>35.909999999999997</v>
      </c>
      <c r="D15" s="1">
        <v>12</v>
      </c>
      <c r="E15" s="1">
        <v>6.4</v>
      </c>
      <c r="F15" s="1" cm="1">
        <f t="array" ref="F15">SUM(ABS(B15:E15))</f>
        <v>778.31</v>
      </c>
      <c r="G15" s="1">
        <v>54.26</v>
      </c>
      <c r="H15" s="1">
        <v>270.97000000000003</v>
      </c>
      <c r="I15" s="1">
        <v>-55.22</v>
      </c>
      <c r="J15" s="1">
        <v>94.51</v>
      </c>
      <c r="K15" s="1">
        <v>47.95</v>
      </c>
      <c r="L15" s="1">
        <v>-57.02</v>
      </c>
      <c r="M15" s="1">
        <v>0</v>
      </c>
      <c r="N15" s="1">
        <v>-30.88</v>
      </c>
      <c r="O15" s="1">
        <v>10.4</v>
      </c>
      <c r="P15" s="1">
        <v>0</v>
      </c>
      <c r="Q15" s="1">
        <v>0</v>
      </c>
      <c r="R15" s="1">
        <v>0</v>
      </c>
      <c r="S15" s="1">
        <v>0</v>
      </c>
      <c r="T15" s="1">
        <v>4.72</v>
      </c>
      <c r="U15" s="1">
        <v>0</v>
      </c>
      <c r="V15" s="1" cm="1">
        <f t="array" ref="V15">SUM(ABS(G15:U15))</f>
        <v>625.93000000000006</v>
      </c>
      <c r="W15" s="11" cm="1">
        <f t="array" ref="W15">SUM(ABS(B15:E15))+SUM(ABS(G15:U15))</f>
        <v>1404.24</v>
      </c>
    </row>
    <row r="16" spans="1:23" x14ac:dyDescent="0.3">
      <c r="A16" s="14">
        <v>45782.104166666664</v>
      </c>
      <c r="B16" s="1">
        <v>-552.41</v>
      </c>
      <c r="C16" s="1">
        <v>35.92</v>
      </c>
      <c r="D16" s="1">
        <v>12</v>
      </c>
      <c r="E16" s="1">
        <v>6.36</v>
      </c>
      <c r="F16" s="1" cm="1">
        <f t="array" ref="F16">SUM(ABS(B16:E16))</f>
        <v>606.68999999999994</v>
      </c>
      <c r="G16" s="1">
        <v>54.26</v>
      </c>
      <c r="H16" s="1">
        <v>272.76</v>
      </c>
      <c r="I16" s="1">
        <v>-55.22</v>
      </c>
      <c r="J16" s="1">
        <v>43.34</v>
      </c>
      <c r="K16" s="1">
        <v>48.04</v>
      </c>
      <c r="L16" s="1">
        <v>-57.74</v>
      </c>
      <c r="M16" s="1">
        <v>0</v>
      </c>
      <c r="N16" s="1">
        <v>-30.85</v>
      </c>
      <c r="O16" s="1">
        <v>10.41</v>
      </c>
      <c r="P16" s="1">
        <v>0</v>
      </c>
      <c r="Q16" s="1">
        <v>0</v>
      </c>
      <c r="R16" s="1">
        <v>0</v>
      </c>
      <c r="S16" s="1">
        <v>0</v>
      </c>
      <c r="T16" s="1">
        <v>4.72</v>
      </c>
      <c r="U16" s="1">
        <v>0</v>
      </c>
      <c r="V16" s="1" cm="1">
        <f t="array" ref="V16">SUM(ABS(G16:U16))</f>
        <v>577.34</v>
      </c>
      <c r="W16" s="11" cm="1">
        <f t="array" ref="W16">SUM(ABS(B16:E16))+SUM(ABS(G16:U16))</f>
        <v>1184.03</v>
      </c>
    </row>
    <row r="17" spans="1:23" x14ac:dyDescent="0.3">
      <c r="A17" s="14">
        <v>45782.114583333336</v>
      </c>
      <c r="B17" s="1">
        <v>-547.37</v>
      </c>
      <c r="C17" s="1">
        <v>35.93</v>
      </c>
      <c r="D17" s="1">
        <v>12</v>
      </c>
      <c r="E17" s="1">
        <v>6.35</v>
      </c>
      <c r="F17" s="1" cm="1">
        <f t="array" ref="F17">SUM(ABS(B17:E17))</f>
        <v>601.65</v>
      </c>
      <c r="G17" s="1">
        <v>54.24</v>
      </c>
      <c r="H17" s="1">
        <v>272.55</v>
      </c>
      <c r="I17" s="1">
        <v>-55.22</v>
      </c>
      <c r="J17" s="1">
        <v>0</v>
      </c>
      <c r="K17" s="1">
        <v>48.03</v>
      </c>
      <c r="L17" s="1">
        <v>-57.64</v>
      </c>
      <c r="M17" s="1">
        <v>0</v>
      </c>
      <c r="N17" s="1">
        <v>-30.86</v>
      </c>
      <c r="O17" s="1">
        <v>10.4</v>
      </c>
      <c r="P17" s="1">
        <v>0</v>
      </c>
      <c r="Q17" s="1">
        <v>0</v>
      </c>
      <c r="R17" s="1">
        <v>0</v>
      </c>
      <c r="S17" s="1">
        <v>0</v>
      </c>
      <c r="T17" s="1">
        <v>4.72</v>
      </c>
      <c r="U17" s="1">
        <v>0</v>
      </c>
      <c r="V17" s="1" cm="1">
        <f t="array" ref="V17">SUM(ABS(G17:U17))</f>
        <v>533.66</v>
      </c>
      <c r="W17" s="11" cm="1">
        <f t="array" ref="W17">SUM(ABS(B17:E17))+SUM(ABS(G17:U17))</f>
        <v>1135.31</v>
      </c>
    </row>
    <row r="18" spans="1:23" x14ac:dyDescent="0.3">
      <c r="A18" s="14">
        <v>45782.125</v>
      </c>
      <c r="B18" s="1">
        <v>-530.1</v>
      </c>
      <c r="C18" s="1">
        <v>35.9</v>
      </c>
      <c r="D18" s="1">
        <v>12</v>
      </c>
      <c r="E18" s="1">
        <v>2.86</v>
      </c>
      <c r="F18" s="1" cm="1">
        <f t="array" ref="F18">SUM(ABS(B18:E18))</f>
        <v>580.86</v>
      </c>
      <c r="G18" s="1">
        <v>54.25</v>
      </c>
      <c r="H18" s="1">
        <v>270.8</v>
      </c>
      <c r="I18" s="1">
        <v>-55.17</v>
      </c>
      <c r="J18" s="1">
        <v>0</v>
      </c>
      <c r="K18" s="1">
        <v>47.93</v>
      </c>
      <c r="L18" s="1">
        <v>-56.76</v>
      </c>
      <c r="M18" s="1">
        <v>0</v>
      </c>
      <c r="N18" s="1">
        <v>-30.86</v>
      </c>
      <c r="O18" s="1">
        <v>10.4</v>
      </c>
      <c r="P18" s="1">
        <v>0</v>
      </c>
      <c r="Q18" s="1">
        <v>0</v>
      </c>
      <c r="R18" s="1">
        <v>0</v>
      </c>
      <c r="S18" s="1">
        <v>0</v>
      </c>
      <c r="T18" s="1">
        <v>4.72</v>
      </c>
      <c r="U18" s="1">
        <v>0</v>
      </c>
      <c r="V18" s="1" cm="1">
        <f t="array" ref="V18">SUM(ABS(G18:U18))</f>
        <v>530.89</v>
      </c>
      <c r="W18" s="11" cm="1">
        <f t="array" ref="W18">SUM(ABS(B18:E18))+SUM(ABS(G18:U18))</f>
        <v>1111.75</v>
      </c>
    </row>
    <row r="19" spans="1:23" x14ac:dyDescent="0.3">
      <c r="A19" s="14">
        <v>45782.135416666664</v>
      </c>
      <c r="B19" s="1">
        <v>-507.85</v>
      </c>
      <c r="C19" s="1">
        <v>35.909999999999997</v>
      </c>
      <c r="D19" s="1">
        <v>12</v>
      </c>
      <c r="E19" s="1">
        <v>0</v>
      </c>
      <c r="F19" s="1" cm="1">
        <f t="array" ref="F19">SUM(ABS(B19:E19))</f>
        <v>555.76</v>
      </c>
      <c r="G19" s="1">
        <v>35</v>
      </c>
      <c r="H19" s="1">
        <v>269.95999999999998</v>
      </c>
      <c r="I19" s="1">
        <v>-55.19</v>
      </c>
      <c r="J19" s="1">
        <v>0</v>
      </c>
      <c r="K19" s="1">
        <v>47.88</v>
      </c>
      <c r="L19" s="1">
        <v>-56.57</v>
      </c>
      <c r="M19" s="1">
        <v>0</v>
      </c>
      <c r="N19" s="1">
        <v>-30.84</v>
      </c>
      <c r="O19" s="1">
        <v>10.4</v>
      </c>
      <c r="P19" s="1">
        <v>0</v>
      </c>
      <c r="Q19" s="1">
        <v>0</v>
      </c>
      <c r="R19" s="1">
        <v>0</v>
      </c>
      <c r="S19" s="1">
        <v>0</v>
      </c>
      <c r="T19" s="1">
        <v>4.72</v>
      </c>
      <c r="U19" s="1">
        <v>0</v>
      </c>
      <c r="V19" s="1" cm="1">
        <f t="array" ref="V19">SUM(ABS(G19:U19))</f>
        <v>510.55999999999995</v>
      </c>
      <c r="W19" s="11" cm="1">
        <f t="array" ref="W19">SUM(ABS(B19:E19))+SUM(ABS(G19:U19))</f>
        <v>1066.32</v>
      </c>
    </row>
    <row r="20" spans="1:23" x14ac:dyDescent="0.3">
      <c r="A20" s="14">
        <v>45782.145833333336</v>
      </c>
      <c r="B20" s="1">
        <v>-483.25</v>
      </c>
      <c r="C20" s="1">
        <v>35.92</v>
      </c>
      <c r="D20" s="1">
        <v>12</v>
      </c>
      <c r="E20" s="1">
        <v>0</v>
      </c>
      <c r="F20" s="1" cm="1">
        <f t="array" ref="F20">SUM(ABS(B20:E20))</f>
        <v>531.16999999999996</v>
      </c>
      <c r="G20" s="1">
        <v>30.13</v>
      </c>
      <c r="H20" s="1">
        <v>269.44</v>
      </c>
      <c r="I20" s="1">
        <v>-55.18</v>
      </c>
      <c r="J20" s="1">
        <v>0</v>
      </c>
      <c r="K20" s="1">
        <v>47.84</v>
      </c>
      <c r="L20" s="1">
        <v>-56.51</v>
      </c>
      <c r="M20" s="1">
        <v>0</v>
      </c>
      <c r="N20" s="1">
        <v>-30.86</v>
      </c>
      <c r="O20" s="1">
        <v>10.4</v>
      </c>
      <c r="P20" s="1">
        <v>0</v>
      </c>
      <c r="Q20" s="1">
        <v>0</v>
      </c>
      <c r="R20" s="1">
        <v>0</v>
      </c>
      <c r="S20" s="1">
        <v>0</v>
      </c>
      <c r="T20" s="1">
        <v>4.72</v>
      </c>
      <c r="U20" s="1">
        <v>0</v>
      </c>
      <c r="V20" s="1" cm="1">
        <f t="array" ref="V20">SUM(ABS(G20:U20))</f>
        <v>505.08000000000004</v>
      </c>
      <c r="W20" s="11" cm="1">
        <f t="array" ref="W20">SUM(ABS(B20:E20))+SUM(ABS(G20:U20))</f>
        <v>1036.25</v>
      </c>
    </row>
    <row r="21" spans="1:23" x14ac:dyDescent="0.3">
      <c r="A21" s="14">
        <v>45782.15625</v>
      </c>
      <c r="B21" s="1">
        <v>-467.9</v>
      </c>
      <c r="C21" s="1">
        <v>35.92</v>
      </c>
      <c r="D21" s="1">
        <v>12</v>
      </c>
      <c r="E21" s="1">
        <v>0</v>
      </c>
      <c r="F21" s="1" cm="1">
        <f t="array" ref="F21">SUM(ABS(B21:E21))</f>
        <v>515.81999999999994</v>
      </c>
      <c r="G21" s="1">
        <v>30.11</v>
      </c>
      <c r="H21" s="1">
        <v>270.18</v>
      </c>
      <c r="I21" s="1">
        <v>-55.19</v>
      </c>
      <c r="J21" s="1">
        <v>0</v>
      </c>
      <c r="K21" s="1">
        <v>47.95</v>
      </c>
      <c r="L21" s="1">
        <v>-56.6</v>
      </c>
      <c r="M21" s="1">
        <v>0</v>
      </c>
      <c r="N21" s="1">
        <v>-30.85</v>
      </c>
      <c r="O21" s="1">
        <v>10.4</v>
      </c>
      <c r="P21" s="1">
        <v>0</v>
      </c>
      <c r="Q21" s="1">
        <v>0</v>
      </c>
      <c r="R21" s="1">
        <v>0</v>
      </c>
      <c r="S21" s="1">
        <v>0</v>
      </c>
      <c r="T21" s="1">
        <v>4.72</v>
      </c>
      <c r="U21" s="1">
        <v>0</v>
      </c>
      <c r="V21" s="1" cm="1">
        <f t="array" ref="V21">SUM(ABS(G21:U21))</f>
        <v>506.00000000000006</v>
      </c>
      <c r="W21" s="11" cm="1">
        <f t="array" ref="W21">SUM(ABS(B21:E21))+SUM(ABS(G21:U21))</f>
        <v>1021.8199999999999</v>
      </c>
    </row>
    <row r="22" spans="1:23" x14ac:dyDescent="0.3">
      <c r="A22" s="14">
        <v>45782.166666666664</v>
      </c>
      <c r="B22" s="1">
        <v>-372.34</v>
      </c>
      <c r="C22" s="1">
        <v>35.93</v>
      </c>
      <c r="D22" s="1">
        <v>12</v>
      </c>
      <c r="E22" s="1">
        <v>0</v>
      </c>
      <c r="F22" s="1" cm="1">
        <f t="array" ref="F22">SUM(ABS(B22:E22))</f>
        <v>420.27</v>
      </c>
      <c r="G22" s="1">
        <v>30.13</v>
      </c>
      <c r="H22" s="1">
        <v>270.35000000000002</v>
      </c>
      <c r="I22" s="1">
        <v>-48.97</v>
      </c>
      <c r="J22" s="1">
        <v>0</v>
      </c>
      <c r="K22" s="1">
        <v>47.94</v>
      </c>
      <c r="L22" s="1">
        <v>-56.71</v>
      </c>
      <c r="M22" s="1">
        <v>0</v>
      </c>
      <c r="N22" s="1">
        <v>-30.84</v>
      </c>
      <c r="O22" s="1">
        <v>10.4</v>
      </c>
      <c r="P22" s="1">
        <v>0</v>
      </c>
      <c r="Q22" s="1">
        <v>0</v>
      </c>
      <c r="R22" s="1">
        <v>0</v>
      </c>
      <c r="S22" s="1">
        <v>0</v>
      </c>
      <c r="T22" s="1">
        <v>4.72</v>
      </c>
      <c r="U22" s="1">
        <v>0</v>
      </c>
      <c r="V22" s="1" cm="1">
        <f t="array" ref="V22">SUM(ABS(G22:U22))</f>
        <v>500.06</v>
      </c>
      <c r="W22" s="11" cm="1">
        <f t="array" ref="W22">SUM(ABS(B22:E22))+SUM(ABS(G22:U22))</f>
        <v>920.32999999999993</v>
      </c>
    </row>
    <row r="23" spans="1:23" x14ac:dyDescent="0.3">
      <c r="A23" s="14">
        <v>45782.177083333336</v>
      </c>
      <c r="B23" s="1">
        <v>-317.81</v>
      </c>
      <c r="C23" s="1">
        <v>35.950000000000003</v>
      </c>
      <c r="D23" s="1">
        <v>12</v>
      </c>
      <c r="E23" s="1">
        <v>0</v>
      </c>
      <c r="F23" s="1" cm="1">
        <f t="array" ref="F23">SUM(ABS(B23:E23))</f>
        <v>365.76</v>
      </c>
      <c r="G23" s="1">
        <v>30.14</v>
      </c>
      <c r="H23" s="1">
        <v>270.8</v>
      </c>
      <c r="I23" s="1">
        <v>-47.25</v>
      </c>
      <c r="J23" s="1">
        <v>0</v>
      </c>
      <c r="K23" s="1">
        <v>48.01</v>
      </c>
      <c r="L23" s="1">
        <v>-56.86</v>
      </c>
      <c r="M23" s="1">
        <v>0</v>
      </c>
      <c r="N23" s="1">
        <v>-30.83</v>
      </c>
      <c r="O23" s="1">
        <v>10.4</v>
      </c>
      <c r="P23" s="1">
        <v>0</v>
      </c>
      <c r="Q23" s="1">
        <v>0</v>
      </c>
      <c r="R23" s="1">
        <v>0</v>
      </c>
      <c r="S23" s="1">
        <v>0</v>
      </c>
      <c r="T23" s="1">
        <v>4.72</v>
      </c>
      <c r="U23" s="1">
        <v>0</v>
      </c>
      <c r="V23" s="1" cm="1">
        <f t="array" ref="V23">SUM(ABS(G23:U23))</f>
        <v>499.01</v>
      </c>
      <c r="W23" s="11" cm="1">
        <f t="array" ref="W23">SUM(ABS(B23:E23))+SUM(ABS(G23:U23))</f>
        <v>864.77</v>
      </c>
    </row>
    <row r="24" spans="1:23" x14ac:dyDescent="0.3">
      <c r="A24" s="14">
        <v>45782.1875</v>
      </c>
      <c r="B24" s="1">
        <v>-311.91000000000003</v>
      </c>
      <c r="C24" s="1">
        <v>35.96</v>
      </c>
      <c r="D24" s="1">
        <v>12</v>
      </c>
      <c r="E24" s="1">
        <v>0</v>
      </c>
      <c r="F24" s="1" cm="1">
        <f t="array" ref="F24">SUM(ABS(B24:E24))</f>
        <v>359.87</v>
      </c>
      <c r="G24" s="1">
        <v>30.14</v>
      </c>
      <c r="H24" s="1">
        <v>272.04000000000002</v>
      </c>
      <c r="I24" s="1">
        <v>-47.23</v>
      </c>
      <c r="J24" s="1">
        <v>0</v>
      </c>
      <c r="K24" s="1">
        <v>48.05</v>
      </c>
      <c r="L24" s="1">
        <v>-57.46</v>
      </c>
      <c r="M24" s="1">
        <v>0</v>
      </c>
      <c r="N24" s="1">
        <v>-30.84</v>
      </c>
      <c r="O24" s="1">
        <v>10.4</v>
      </c>
      <c r="P24" s="1">
        <v>0</v>
      </c>
      <c r="Q24" s="1">
        <v>0</v>
      </c>
      <c r="R24" s="1">
        <v>0</v>
      </c>
      <c r="S24" s="1">
        <v>0</v>
      </c>
      <c r="T24" s="1">
        <v>4.72</v>
      </c>
      <c r="U24" s="1">
        <v>0</v>
      </c>
      <c r="V24" s="1" cm="1">
        <f t="array" ref="V24">SUM(ABS(G24:U24))</f>
        <v>500.88</v>
      </c>
      <c r="W24" s="11" cm="1">
        <f t="array" ref="W24">SUM(ABS(B24:E24))+SUM(ABS(G24:U24))</f>
        <v>860.75</v>
      </c>
    </row>
    <row r="25" spans="1:23" x14ac:dyDescent="0.3">
      <c r="A25" s="14">
        <v>45782.197916666664</v>
      </c>
      <c r="B25" s="1">
        <v>-244.99</v>
      </c>
      <c r="C25" s="1">
        <v>36</v>
      </c>
      <c r="D25" s="1">
        <v>12</v>
      </c>
      <c r="E25" s="1">
        <v>0</v>
      </c>
      <c r="F25" s="1" cm="1">
        <f t="array" ref="F25">SUM(ABS(B25:E25))</f>
        <v>292.99</v>
      </c>
      <c r="G25" s="1">
        <v>30.13</v>
      </c>
      <c r="H25" s="1">
        <v>272.45999999999998</v>
      </c>
      <c r="I25" s="1">
        <v>-54.47</v>
      </c>
      <c r="J25" s="1">
        <v>0</v>
      </c>
      <c r="K25" s="1">
        <v>48.1</v>
      </c>
      <c r="L25" s="1">
        <v>-57.63</v>
      </c>
      <c r="M25" s="1">
        <v>0</v>
      </c>
      <c r="N25" s="1">
        <v>-30.82</v>
      </c>
      <c r="O25" s="1">
        <v>10.4</v>
      </c>
      <c r="P25" s="1">
        <v>0</v>
      </c>
      <c r="Q25" s="1">
        <v>0</v>
      </c>
      <c r="R25" s="1">
        <v>0</v>
      </c>
      <c r="S25" s="1">
        <v>0</v>
      </c>
      <c r="T25" s="1">
        <v>4.72</v>
      </c>
      <c r="U25" s="1">
        <v>0</v>
      </c>
      <c r="V25" s="1" cm="1">
        <f t="array" ref="V25">SUM(ABS(G25:U25))</f>
        <v>508.72999999999996</v>
      </c>
      <c r="W25" s="11" cm="1">
        <f t="array" ref="W25">SUM(ABS(B25:E25))+SUM(ABS(G25:U25))</f>
        <v>801.72</v>
      </c>
    </row>
    <row r="26" spans="1:23" x14ac:dyDescent="0.3">
      <c r="A26" s="14">
        <v>45782.208333333336</v>
      </c>
      <c r="B26" s="1">
        <v>-232.32</v>
      </c>
      <c r="C26" s="1">
        <v>36.01</v>
      </c>
      <c r="D26" s="1">
        <v>12</v>
      </c>
      <c r="E26" s="1">
        <v>0</v>
      </c>
      <c r="F26" s="1" cm="1">
        <f t="array" ref="F26">SUM(ABS(B26:E26))</f>
        <v>280.33</v>
      </c>
      <c r="G26" s="1">
        <v>30.13</v>
      </c>
      <c r="H26" s="1">
        <v>272.51</v>
      </c>
      <c r="I26" s="1">
        <v>-55.28</v>
      </c>
      <c r="J26" s="1">
        <v>0</v>
      </c>
      <c r="K26" s="1">
        <v>48.12</v>
      </c>
      <c r="L26" s="1">
        <v>-57.9</v>
      </c>
      <c r="M26" s="1">
        <v>0</v>
      </c>
      <c r="N26" s="1">
        <v>-30.82</v>
      </c>
      <c r="O26" s="1">
        <v>10.4</v>
      </c>
      <c r="P26" s="1">
        <v>0</v>
      </c>
      <c r="Q26" s="1">
        <v>0</v>
      </c>
      <c r="R26" s="1">
        <v>0</v>
      </c>
      <c r="S26" s="1">
        <v>0</v>
      </c>
      <c r="T26" s="1">
        <v>4.72</v>
      </c>
      <c r="U26" s="1">
        <v>0</v>
      </c>
      <c r="V26" s="1" cm="1">
        <f t="array" ref="V26">SUM(ABS(G26:U26))</f>
        <v>509.87999999999994</v>
      </c>
      <c r="W26" s="11" cm="1">
        <f t="array" ref="W26">SUM(ABS(B26:E26))+SUM(ABS(G26:U26))</f>
        <v>790.20999999999992</v>
      </c>
    </row>
    <row r="27" spans="1:23" x14ac:dyDescent="0.3">
      <c r="A27" s="14">
        <v>45782.21875</v>
      </c>
      <c r="B27" s="1">
        <v>-231.23</v>
      </c>
      <c r="C27" s="1">
        <v>36.06</v>
      </c>
      <c r="D27" s="1">
        <v>12</v>
      </c>
      <c r="E27" s="1">
        <v>0</v>
      </c>
      <c r="F27" s="1" cm="1">
        <f t="array" ref="F27">SUM(ABS(B27:E27))</f>
        <v>279.28999999999996</v>
      </c>
      <c r="G27" s="1">
        <v>30.13</v>
      </c>
      <c r="H27" s="1">
        <v>272.62</v>
      </c>
      <c r="I27" s="1">
        <v>-55.31</v>
      </c>
      <c r="J27" s="1">
        <v>0</v>
      </c>
      <c r="K27" s="1">
        <v>48.17</v>
      </c>
      <c r="L27" s="1">
        <v>-58.29</v>
      </c>
      <c r="M27" s="1">
        <v>0</v>
      </c>
      <c r="N27" s="1">
        <v>-30.81</v>
      </c>
      <c r="O27" s="1">
        <v>10.4</v>
      </c>
      <c r="P27" s="1">
        <v>0</v>
      </c>
      <c r="Q27" s="1">
        <v>0</v>
      </c>
      <c r="R27" s="1">
        <v>0</v>
      </c>
      <c r="S27" s="1">
        <v>0</v>
      </c>
      <c r="T27" s="1">
        <v>4.72</v>
      </c>
      <c r="U27" s="1">
        <v>0</v>
      </c>
      <c r="V27" s="1" cm="1">
        <f t="array" ref="V27">SUM(ABS(G27:U27))</f>
        <v>510.45000000000005</v>
      </c>
      <c r="W27" s="11" cm="1">
        <f t="array" ref="W27">SUM(ABS(B27:E27))+SUM(ABS(G27:U27))</f>
        <v>789.74</v>
      </c>
    </row>
    <row r="28" spans="1:23" x14ac:dyDescent="0.3">
      <c r="A28" s="14">
        <v>45782.229166666664</v>
      </c>
      <c r="B28" s="1">
        <v>-219.54</v>
      </c>
      <c r="C28" s="1">
        <v>36.07</v>
      </c>
      <c r="D28" s="1">
        <v>12</v>
      </c>
      <c r="E28" s="1">
        <v>0</v>
      </c>
      <c r="F28" s="1" cm="1">
        <f t="array" ref="F28">SUM(ABS(B28:E28))</f>
        <v>267.61</v>
      </c>
      <c r="G28" s="1">
        <v>30.14</v>
      </c>
      <c r="H28" s="1">
        <v>272.11</v>
      </c>
      <c r="I28" s="1">
        <v>-55.31</v>
      </c>
      <c r="J28" s="1">
        <v>0</v>
      </c>
      <c r="K28" s="1">
        <v>48.14</v>
      </c>
      <c r="L28" s="1">
        <v>-57.46</v>
      </c>
      <c r="M28" s="1">
        <v>0</v>
      </c>
      <c r="N28" s="1">
        <v>-30.8</v>
      </c>
      <c r="O28" s="1">
        <v>10.4</v>
      </c>
      <c r="P28" s="1">
        <v>0</v>
      </c>
      <c r="Q28" s="1">
        <v>0</v>
      </c>
      <c r="R28" s="1">
        <v>0</v>
      </c>
      <c r="S28" s="1">
        <v>0</v>
      </c>
      <c r="T28" s="1">
        <v>4.72</v>
      </c>
      <c r="U28" s="1">
        <v>0</v>
      </c>
      <c r="V28" s="1" cm="1">
        <f t="array" ref="V28">SUM(ABS(G28:U28))</f>
        <v>509.08</v>
      </c>
      <c r="W28" s="11" cm="1">
        <f t="array" ref="W28">SUM(ABS(B28:E28))+SUM(ABS(G28:U28))</f>
        <v>776.69</v>
      </c>
    </row>
    <row r="29" spans="1:23" x14ac:dyDescent="0.3">
      <c r="A29" s="14">
        <v>45782.239583333336</v>
      </c>
      <c r="B29" s="1">
        <v>-276.49</v>
      </c>
      <c r="C29" s="1">
        <v>36.06</v>
      </c>
      <c r="D29" s="1">
        <v>12</v>
      </c>
      <c r="E29" s="1">
        <v>0</v>
      </c>
      <c r="F29" s="1" cm="1">
        <f t="array" ref="F29">SUM(ABS(B29:E29))</f>
        <v>324.55</v>
      </c>
      <c r="G29" s="1">
        <v>39.340000000000003</v>
      </c>
      <c r="H29" s="1">
        <v>271.23</v>
      </c>
      <c r="I29" s="1">
        <v>-55.29</v>
      </c>
      <c r="J29" s="1">
        <v>0</v>
      </c>
      <c r="K29" s="1">
        <v>48.14</v>
      </c>
      <c r="L29" s="1">
        <v>-56.84</v>
      </c>
      <c r="M29" s="1">
        <v>0</v>
      </c>
      <c r="N29" s="1">
        <v>-30.81</v>
      </c>
      <c r="O29" s="1">
        <v>10.4</v>
      </c>
      <c r="P29" s="1">
        <v>0</v>
      </c>
      <c r="Q29" s="1">
        <v>0</v>
      </c>
      <c r="R29" s="1">
        <v>0</v>
      </c>
      <c r="S29" s="1">
        <v>0</v>
      </c>
      <c r="T29" s="1">
        <v>4.72</v>
      </c>
      <c r="U29" s="1">
        <v>0</v>
      </c>
      <c r="V29" s="1" cm="1">
        <f t="array" ref="V29">SUM(ABS(G29:U29))</f>
        <v>516.7700000000001</v>
      </c>
      <c r="W29" s="11" cm="1">
        <f t="array" ref="W29">SUM(ABS(B29:E29))+SUM(ABS(G29:U29))</f>
        <v>841.32000000000016</v>
      </c>
    </row>
    <row r="30" spans="1:23" x14ac:dyDescent="0.3">
      <c r="A30" s="14">
        <v>45782.25</v>
      </c>
      <c r="B30" s="1">
        <v>-293.58999999999997</v>
      </c>
      <c r="C30" s="1">
        <v>36.07</v>
      </c>
      <c r="D30" s="1">
        <v>12</v>
      </c>
      <c r="E30" s="1">
        <v>0</v>
      </c>
      <c r="F30" s="1" cm="1">
        <f t="array" ref="F30">SUM(ABS(B30:E30))</f>
        <v>341.65999999999997</v>
      </c>
      <c r="G30" s="1">
        <v>54.24</v>
      </c>
      <c r="H30" s="1">
        <v>269.87</v>
      </c>
      <c r="I30" s="1">
        <v>-55.27</v>
      </c>
      <c r="J30" s="1">
        <v>0</v>
      </c>
      <c r="K30" s="1">
        <v>47.91</v>
      </c>
      <c r="L30" s="1">
        <v>-56.54</v>
      </c>
      <c r="M30" s="1">
        <v>0</v>
      </c>
      <c r="N30" s="1">
        <v>-30.81</v>
      </c>
      <c r="O30" s="1">
        <v>10.4</v>
      </c>
      <c r="P30" s="1">
        <v>0</v>
      </c>
      <c r="Q30" s="1">
        <v>0</v>
      </c>
      <c r="R30" s="1">
        <v>0</v>
      </c>
      <c r="S30" s="1">
        <v>0</v>
      </c>
      <c r="T30" s="1">
        <v>4.72</v>
      </c>
      <c r="U30" s="1">
        <v>0</v>
      </c>
      <c r="V30" s="1" cm="1">
        <f t="array" ref="V30">SUM(ABS(G30:U30))</f>
        <v>529.76</v>
      </c>
      <c r="W30" s="11" cm="1">
        <f t="array" ref="W30">SUM(ABS(B30:E30))+SUM(ABS(G30:U30))</f>
        <v>871.42</v>
      </c>
    </row>
    <row r="31" spans="1:23" x14ac:dyDescent="0.3">
      <c r="A31" s="14">
        <v>45782.260416666664</v>
      </c>
      <c r="B31" s="1">
        <v>-293.75</v>
      </c>
      <c r="C31" s="1">
        <v>36.08</v>
      </c>
      <c r="D31" s="1">
        <v>12</v>
      </c>
      <c r="E31" s="1">
        <v>0</v>
      </c>
      <c r="F31" s="1" cm="1">
        <f t="array" ref="F31">SUM(ABS(B31:E31))</f>
        <v>341.83</v>
      </c>
      <c r="G31" s="1">
        <v>54.25</v>
      </c>
      <c r="H31" s="1">
        <v>270.47000000000003</v>
      </c>
      <c r="I31" s="1">
        <v>-55.25</v>
      </c>
      <c r="J31" s="1">
        <v>0</v>
      </c>
      <c r="K31" s="1">
        <v>48.16</v>
      </c>
      <c r="L31" s="1">
        <v>-56.54</v>
      </c>
      <c r="M31" s="1">
        <v>0</v>
      </c>
      <c r="N31" s="1">
        <v>-30.79</v>
      </c>
      <c r="O31" s="1">
        <v>10.39</v>
      </c>
      <c r="P31" s="1">
        <v>0</v>
      </c>
      <c r="Q31" s="1">
        <v>0</v>
      </c>
      <c r="R31" s="1">
        <v>0</v>
      </c>
      <c r="S31" s="1">
        <v>0</v>
      </c>
      <c r="T31" s="1">
        <v>4.72</v>
      </c>
      <c r="U31" s="1">
        <v>0</v>
      </c>
      <c r="V31" s="1" cm="1">
        <f t="array" ref="V31">SUM(ABS(G31:U31))</f>
        <v>530.57000000000005</v>
      </c>
      <c r="W31" s="11" cm="1">
        <f t="array" ref="W31">SUM(ABS(B31:E31))+SUM(ABS(G31:U31))</f>
        <v>872.40000000000009</v>
      </c>
    </row>
    <row r="32" spans="1:23" x14ac:dyDescent="0.3">
      <c r="A32" s="14">
        <v>45782.270833333336</v>
      </c>
      <c r="B32" s="1">
        <v>-307.64999999999998</v>
      </c>
      <c r="C32" s="1">
        <v>36.07</v>
      </c>
      <c r="D32" s="1">
        <v>12</v>
      </c>
      <c r="E32" s="1">
        <v>0</v>
      </c>
      <c r="F32" s="1" cm="1">
        <f t="array" ref="F32">SUM(ABS(B32:E32))</f>
        <v>355.71999999999997</v>
      </c>
      <c r="G32" s="1">
        <v>54.23</v>
      </c>
      <c r="H32" s="1">
        <v>271.56</v>
      </c>
      <c r="I32" s="1">
        <v>-55.28</v>
      </c>
      <c r="J32" s="1">
        <v>0</v>
      </c>
      <c r="K32" s="1">
        <v>48.15</v>
      </c>
      <c r="L32" s="1">
        <v>-56.88</v>
      </c>
      <c r="M32" s="1">
        <v>0</v>
      </c>
      <c r="N32" s="1">
        <v>-30.8</v>
      </c>
      <c r="O32" s="1">
        <v>10.39</v>
      </c>
      <c r="P32" s="1">
        <v>0</v>
      </c>
      <c r="Q32" s="1">
        <v>0</v>
      </c>
      <c r="R32" s="1">
        <v>0</v>
      </c>
      <c r="S32" s="1">
        <v>0</v>
      </c>
      <c r="T32" s="1">
        <v>4.72</v>
      </c>
      <c r="U32" s="1">
        <v>0</v>
      </c>
      <c r="V32" s="1" cm="1">
        <f t="array" ref="V32">SUM(ABS(G32:U32))</f>
        <v>532.01</v>
      </c>
      <c r="W32" s="11" cm="1">
        <f t="array" ref="W32">SUM(ABS(B32:E32))+SUM(ABS(G32:U32))</f>
        <v>887.73</v>
      </c>
    </row>
    <row r="33" spans="1:23" x14ac:dyDescent="0.3">
      <c r="A33" s="14">
        <v>45782.28125</v>
      </c>
      <c r="B33" s="1">
        <v>-250.29</v>
      </c>
      <c r="C33" s="1">
        <v>36.08</v>
      </c>
      <c r="D33" s="1">
        <v>12</v>
      </c>
      <c r="E33" s="1">
        <v>0</v>
      </c>
      <c r="F33" s="1" cm="1">
        <f t="array" ref="F33">SUM(ABS(B33:E33))</f>
        <v>298.37</v>
      </c>
      <c r="G33" s="1">
        <v>52.77</v>
      </c>
      <c r="H33" s="1">
        <v>270.16000000000003</v>
      </c>
      <c r="I33" s="1">
        <v>-55.27</v>
      </c>
      <c r="J33" s="1">
        <v>0</v>
      </c>
      <c r="K33" s="1">
        <v>48.14</v>
      </c>
      <c r="L33" s="1">
        <v>-56.58</v>
      </c>
      <c r="M33" s="1">
        <v>0</v>
      </c>
      <c r="N33" s="1">
        <v>-30.78</v>
      </c>
      <c r="O33" s="1">
        <v>10.4</v>
      </c>
      <c r="P33" s="1">
        <v>0</v>
      </c>
      <c r="Q33" s="1">
        <v>0</v>
      </c>
      <c r="R33" s="1">
        <v>0</v>
      </c>
      <c r="S33" s="1">
        <v>0</v>
      </c>
      <c r="T33" s="1">
        <v>4.72</v>
      </c>
      <c r="U33" s="1">
        <v>0</v>
      </c>
      <c r="V33" s="1" cm="1">
        <f t="array" ref="V33">SUM(ABS(G33:U33))</f>
        <v>528.81999999999994</v>
      </c>
      <c r="W33" s="11" cm="1">
        <f t="array" ref="W33">SUM(ABS(B33:E33))+SUM(ABS(G33:U33))</f>
        <v>827.18999999999994</v>
      </c>
    </row>
    <row r="34" spans="1:23" x14ac:dyDescent="0.3">
      <c r="A34" s="14">
        <v>45782.291666666664</v>
      </c>
      <c r="B34" s="1">
        <v>-257.08999999999997</v>
      </c>
      <c r="C34" s="1">
        <v>36.090000000000003</v>
      </c>
      <c r="D34" s="1">
        <v>12</v>
      </c>
      <c r="E34" s="1">
        <v>0</v>
      </c>
      <c r="F34" s="1" cm="1">
        <f t="array" ref="F34">SUM(ABS(B34:E34))</f>
        <v>305.17999999999995</v>
      </c>
      <c r="G34" s="1">
        <v>30.08</v>
      </c>
      <c r="H34" s="1">
        <v>272.01</v>
      </c>
      <c r="I34" s="1">
        <v>-55.3</v>
      </c>
      <c r="J34" s="1">
        <v>0</v>
      </c>
      <c r="K34" s="1">
        <v>48.18</v>
      </c>
      <c r="L34" s="1">
        <v>-57.17</v>
      </c>
      <c r="M34" s="1">
        <v>0</v>
      </c>
      <c r="N34" s="1">
        <v>-30.82</v>
      </c>
      <c r="O34" s="1">
        <v>10.4</v>
      </c>
      <c r="P34" s="1">
        <v>0</v>
      </c>
      <c r="Q34" s="1">
        <v>0</v>
      </c>
      <c r="R34" s="1">
        <v>0</v>
      </c>
      <c r="S34" s="1">
        <v>0</v>
      </c>
      <c r="T34" s="1">
        <v>4.72</v>
      </c>
      <c r="U34" s="1">
        <v>0</v>
      </c>
      <c r="V34" s="1" cm="1">
        <f t="array" ref="V34">SUM(ABS(G34:U34))</f>
        <v>508.68</v>
      </c>
      <c r="W34" s="11" cm="1">
        <f t="array" ref="W34">SUM(ABS(B34:E34))+SUM(ABS(G34:U34))</f>
        <v>813.8599999999999</v>
      </c>
    </row>
    <row r="35" spans="1:23" x14ac:dyDescent="0.3">
      <c r="A35" s="14">
        <v>45782.302083333336</v>
      </c>
      <c r="B35" s="1">
        <v>-251.28</v>
      </c>
      <c r="C35" s="1">
        <v>36.1</v>
      </c>
      <c r="D35" s="1">
        <v>12</v>
      </c>
      <c r="E35" s="1">
        <v>0</v>
      </c>
      <c r="F35" s="1" cm="1">
        <f t="array" ref="F35">SUM(ABS(B35:E35))</f>
        <v>299.38</v>
      </c>
      <c r="G35" s="1">
        <v>36.15</v>
      </c>
      <c r="H35" s="1">
        <v>271.69</v>
      </c>
      <c r="I35" s="1">
        <v>-55.3</v>
      </c>
      <c r="J35" s="1">
        <v>0</v>
      </c>
      <c r="K35" s="1">
        <v>48.19</v>
      </c>
      <c r="L35" s="1">
        <v>-56.88</v>
      </c>
      <c r="M35" s="1">
        <v>0</v>
      </c>
      <c r="N35" s="1">
        <v>-30.79</v>
      </c>
      <c r="O35" s="1">
        <v>10.39</v>
      </c>
      <c r="P35" s="1">
        <v>0</v>
      </c>
      <c r="Q35" s="1">
        <v>0</v>
      </c>
      <c r="R35" s="1">
        <v>0</v>
      </c>
      <c r="S35" s="1">
        <v>0</v>
      </c>
      <c r="T35" s="1">
        <v>4.72</v>
      </c>
      <c r="U35" s="1">
        <v>0</v>
      </c>
      <c r="V35" s="1" cm="1">
        <f t="array" ref="V35">SUM(ABS(G35:U35))</f>
        <v>514.11</v>
      </c>
      <c r="W35" s="11" cm="1">
        <f t="array" ref="W35">SUM(ABS(B35:E35))+SUM(ABS(G35:U35))</f>
        <v>813.49</v>
      </c>
    </row>
    <row r="36" spans="1:23" x14ac:dyDescent="0.3">
      <c r="A36" s="14">
        <v>45782.3125</v>
      </c>
      <c r="B36" s="1">
        <v>-221.26</v>
      </c>
      <c r="C36" s="1">
        <v>36.11</v>
      </c>
      <c r="D36" s="1">
        <v>12</v>
      </c>
      <c r="E36" s="1">
        <v>0</v>
      </c>
      <c r="F36" s="1" cm="1">
        <f t="array" ref="F36">SUM(ABS(B36:E36))</f>
        <v>269.37</v>
      </c>
      <c r="G36" s="1">
        <v>21.21</v>
      </c>
      <c r="H36" s="1">
        <v>218.43</v>
      </c>
      <c r="I36" s="1">
        <v>-41.2</v>
      </c>
      <c r="J36" s="1">
        <v>0</v>
      </c>
      <c r="K36" s="1">
        <v>11.81</v>
      </c>
      <c r="L36" s="1">
        <v>-33.700000000000003</v>
      </c>
      <c r="M36" s="1">
        <v>0</v>
      </c>
      <c r="N36" s="1">
        <v>-30.79</v>
      </c>
      <c r="O36" s="1">
        <v>10.39</v>
      </c>
      <c r="P36" s="1">
        <v>0</v>
      </c>
      <c r="Q36" s="1">
        <v>0</v>
      </c>
      <c r="R36" s="1">
        <v>0</v>
      </c>
      <c r="S36" s="1">
        <v>0</v>
      </c>
      <c r="T36" s="1">
        <v>4.72</v>
      </c>
      <c r="U36" s="1">
        <v>0</v>
      </c>
      <c r="V36" s="1" cm="1">
        <f t="array" ref="V36">SUM(ABS(G36:U36))</f>
        <v>372.25000000000006</v>
      </c>
      <c r="W36" s="11" cm="1">
        <f t="array" ref="W36">SUM(ABS(B36:E36))+SUM(ABS(G36:U36))</f>
        <v>641.62000000000012</v>
      </c>
    </row>
    <row r="37" spans="1:23" x14ac:dyDescent="0.3">
      <c r="A37" s="14">
        <v>45782.322916666664</v>
      </c>
      <c r="B37" s="1">
        <v>-252.75</v>
      </c>
      <c r="C37" s="1">
        <v>36.090000000000003</v>
      </c>
      <c r="D37" s="1">
        <v>12</v>
      </c>
      <c r="E37" s="1">
        <v>0</v>
      </c>
      <c r="F37" s="1" cm="1">
        <f t="array" ref="F37">SUM(ABS(B37:E37))</f>
        <v>300.84000000000003</v>
      </c>
      <c r="G37" s="1">
        <v>20.100000000000001</v>
      </c>
      <c r="H37" s="1">
        <v>212.54</v>
      </c>
      <c r="I37" s="1">
        <v>-40.78</v>
      </c>
      <c r="J37" s="1">
        <v>0</v>
      </c>
      <c r="K37" s="1">
        <v>0</v>
      </c>
      <c r="L37" s="1">
        <v>-23.91</v>
      </c>
      <c r="M37" s="1">
        <v>0</v>
      </c>
      <c r="N37" s="1">
        <v>-30.8</v>
      </c>
      <c r="O37" s="1">
        <v>10.39</v>
      </c>
      <c r="P37" s="1">
        <v>0</v>
      </c>
      <c r="Q37" s="1">
        <v>0</v>
      </c>
      <c r="R37" s="1">
        <v>0</v>
      </c>
      <c r="S37" s="1">
        <v>0</v>
      </c>
      <c r="T37" s="1">
        <v>4.72</v>
      </c>
      <c r="U37" s="1">
        <v>0</v>
      </c>
      <c r="V37" s="1" cm="1">
        <f t="array" ref="V37">SUM(ABS(G37:U37))</f>
        <v>343.24</v>
      </c>
      <c r="W37" s="11" cm="1">
        <f t="array" ref="W37">SUM(ABS(B37:E37))+SUM(ABS(G37:U37))</f>
        <v>644.08000000000004</v>
      </c>
    </row>
    <row r="38" spans="1:23" x14ac:dyDescent="0.3">
      <c r="A38" s="14">
        <v>45782.333333333336</v>
      </c>
      <c r="B38" s="1">
        <v>-268.52999999999997</v>
      </c>
      <c r="C38" s="1">
        <v>36.049999999999997</v>
      </c>
      <c r="D38" s="1">
        <v>12</v>
      </c>
      <c r="E38" s="1">
        <v>0</v>
      </c>
      <c r="F38" s="1" cm="1">
        <f t="array" ref="F38">SUM(ABS(B38:E38))</f>
        <v>316.58</v>
      </c>
      <c r="G38" s="1">
        <v>20.100000000000001</v>
      </c>
      <c r="H38" s="1">
        <v>215.27</v>
      </c>
      <c r="I38" s="1">
        <v>-40.79</v>
      </c>
      <c r="J38" s="1">
        <v>0</v>
      </c>
      <c r="K38" s="1">
        <v>0</v>
      </c>
      <c r="L38" s="1">
        <v>-3.85</v>
      </c>
      <c r="M38" s="1">
        <v>0</v>
      </c>
      <c r="N38" s="1">
        <v>-30.75</v>
      </c>
      <c r="O38" s="1">
        <v>10.39</v>
      </c>
      <c r="P38" s="1">
        <v>0</v>
      </c>
      <c r="Q38" s="1">
        <v>0</v>
      </c>
      <c r="R38" s="1">
        <v>0</v>
      </c>
      <c r="S38" s="1">
        <v>0</v>
      </c>
      <c r="T38" s="1">
        <v>4.72</v>
      </c>
      <c r="U38" s="1">
        <v>0</v>
      </c>
      <c r="V38" s="1" cm="1">
        <f t="array" ref="V38">SUM(ABS(G38:U38))</f>
        <v>325.87000000000006</v>
      </c>
      <c r="W38" s="11" cm="1">
        <f t="array" ref="W38">SUM(ABS(B38:E38))+SUM(ABS(G38:U38))</f>
        <v>642.45000000000005</v>
      </c>
    </row>
    <row r="39" spans="1:23" x14ac:dyDescent="0.3">
      <c r="A39" s="14">
        <v>45782.34375</v>
      </c>
      <c r="B39" s="1">
        <v>-264.17</v>
      </c>
      <c r="C39" s="1">
        <v>36.01</v>
      </c>
      <c r="D39" s="1">
        <v>12</v>
      </c>
      <c r="E39" s="1">
        <v>0</v>
      </c>
      <c r="F39" s="1" cm="1">
        <f t="array" ref="F39">SUM(ABS(B39:E39))</f>
        <v>312.18</v>
      </c>
      <c r="G39" s="1">
        <v>20.11</v>
      </c>
      <c r="H39" s="1">
        <v>214.57</v>
      </c>
      <c r="I39" s="1">
        <v>-40.81</v>
      </c>
      <c r="J39" s="1">
        <v>0</v>
      </c>
      <c r="K39" s="1">
        <v>0</v>
      </c>
      <c r="L39" s="1">
        <v>0</v>
      </c>
      <c r="M39" s="1">
        <v>0</v>
      </c>
      <c r="N39" s="1">
        <v>-30.75</v>
      </c>
      <c r="O39" s="1">
        <v>10.38</v>
      </c>
      <c r="P39" s="1">
        <v>0</v>
      </c>
      <c r="Q39" s="1">
        <v>0</v>
      </c>
      <c r="R39" s="1">
        <v>0</v>
      </c>
      <c r="S39" s="1">
        <v>0</v>
      </c>
      <c r="T39" s="1">
        <v>4.72</v>
      </c>
      <c r="U39" s="1">
        <v>0</v>
      </c>
      <c r="V39" s="1" cm="1">
        <f t="array" ref="V39">SUM(ABS(G39:U39))</f>
        <v>321.34000000000003</v>
      </c>
      <c r="W39" s="11" cm="1">
        <f t="array" ref="W39">SUM(ABS(B39:E39))+SUM(ABS(G39:U39))</f>
        <v>633.52</v>
      </c>
    </row>
    <row r="40" spans="1:23" x14ac:dyDescent="0.3">
      <c r="A40" s="14">
        <v>45782.354166666664</v>
      </c>
      <c r="B40" s="1">
        <v>-257.77</v>
      </c>
      <c r="C40" s="1">
        <v>35.979999999999997</v>
      </c>
      <c r="D40" s="1">
        <v>12</v>
      </c>
      <c r="E40" s="1">
        <v>0</v>
      </c>
      <c r="F40" s="1" cm="1">
        <f t="array" ref="F40">SUM(ABS(B40:E40))</f>
        <v>305.75</v>
      </c>
      <c r="G40" s="1">
        <v>20.11</v>
      </c>
      <c r="H40" s="1">
        <v>215.23</v>
      </c>
      <c r="I40" s="1">
        <v>-40.799999999999997</v>
      </c>
      <c r="J40" s="1">
        <v>0</v>
      </c>
      <c r="K40" s="1">
        <v>0</v>
      </c>
      <c r="L40" s="1">
        <v>0</v>
      </c>
      <c r="M40" s="1">
        <v>0</v>
      </c>
      <c r="N40" s="1">
        <v>-30.76</v>
      </c>
      <c r="O40" s="1">
        <v>6.7</v>
      </c>
      <c r="P40" s="1">
        <v>0</v>
      </c>
      <c r="Q40" s="1">
        <v>0</v>
      </c>
      <c r="R40" s="1">
        <v>0</v>
      </c>
      <c r="S40" s="1">
        <v>0</v>
      </c>
      <c r="T40" s="1">
        <v>4.72</v>
      </c>
      <c r="U40" s="1">
        <v>0</v>
      </c>
      <c r="V40" s="1" cm="1">
        <f t="array" ref="V40">SUM(ABS(G40:U40))</f>
        <v>318.32</v>
      </c>
      <c r="W40" s="11" cm="1">
        <f t="array" ref="W40">SUM(ABS(B40:E40))+SUM(ABS(G40:U40))</f>
        <v>624.06999999999994</v>
      </c>
    </row>
    <row r="41" spans="1:23" x14ac:dyDescent="0.3">
      <c r="A41" s="14">
        <v>45782.364583333336</v>
      </c>
      <c r="B41" s="1">
        <v>-225.2</v>
      </c>
      <c r="C41" s="1">
        <v>35.93</v>
      </c>
      <c r="D41" s="1">
        <v>12</v>
      </c>
      <c r="E41" s="1">
        <v>0</v>
      </c>
      <c r="F41" s="1" cm="1">
        <f t="array" ref="F41">SUM(ABS(B41:E41))</f>
        <v>273.13</v>
      </c>
      <c r="G41" s="1">
        <v>20.11</v>
      </c>
      <c r="H41" s="1">
        <v>212.21</v>
      </c>
      <c r="I41" s="1">
        <v>-40.799999999999997</v>
      </c>
      <c r="J41" s="1">
        <v>0</v>
      </c>
      <c r="K41" s="1">
        <v>0</v>
      </c>
      <c r="L41" s="1">
        <v>0</v>
      </c>
      <c r="M41" s="1">
        <v>0</v>
      </c>
      <c r="N41" s="1">
        <v>-30.75</v>
      </c>
      <c r="O41" s="1">
        <v>5.65</v>
      </c>
      <c r="P41" s="1">
        <v>0</v>
      </c>
      <c r="Q41" s="1">
        <v>0</v>
      </c>
      <c r="R41" s="1">
        <v>0</v>
      </c>
      <c r="S41" s="1">
        <v>0</v>
      </c>
      <c r="T41" s="1">
        <v>4.72</v>
      </c>
      <c r="U41" s="1">
        <v>0</v>
      </c>
      <c r="V41" s="1" cm="1">
        <f t="array" ref="V41">SUM(ABS(G41:U41))</f>
        <v>314.24</v>
      </c>
      <c r="W41" s="11" cm="1">
        <f t="array" ref="W41">SUM(ABS(B41:E41))+SUM(ABS(G41:U41))</f>
        <v>587.37</v>
      </c>
    </row>
    <row r="42" spans="1:23" x14ac:dyDescent="0.3">
      <c r="A42" s="14">
        <v>45782.375</v>
      </c>
      <c r="B42" s="1">
        <v>-196.85</v>
      </c>
      <c r="C42" s="1">
        <v>35.9</v>
      </c>
      <c r="D42" s="1">
        <v>12</v>
      </c>
      <c r="E42" s="1">
        <v>0</v>
      </c>
      <c r="F42" s="1" cm="1">
        <f t="array" ref="F42">SUM(ABS(B42:E42))</f>
        <v>244.75</v>
      </c>
      <c r="G42" s="1">
        <v>20.11</v>
      </c>
      <c r="H42" s="1">
        <v>267.79000000000002</v>
      </c>
      <c r="I42" s="1">
        <v>-40.78</v>
      </c>
      <c r="J42" s="1">
        <v>0</v>
      </c>
      <c r="K42" s="1">
        <v>0</v>
      </c>
      <c r="L42" s="1">
        <v>0</v>
      </c>
      <c r="M42" s="1">
        <v>0</v>
      </c>
      <c r="N42" s="1">
        <v>-30.75</v>
      </c>
      <c r="O42" s="1">
        <v>5.64</v>
      </c>
      <c r="P42" s="1">
        <v>0</v>
      </c>
      <c r="Q42" s="1">
        <v>0</v>
      </c>
      <c r="R42" s="1">
        <v>0</v>
      </c>
      <c r="S42" s="1">
        <v>0</v>
      </c>
      <c r="T42" s="1">
        <v>4.72</v>
      </c>
      <c r="U42" s="1">
        <v>0</v>
      </c>
      <c r="V42" s="1" cm="1">
        <f t="array" ref="V42">SUM(ABS(G42:U42))</f>
        <v>369.79000000000008</v>
      </c>
      <c r="W42" s="11" cm="1">
        <f t="array" ref="W42">SUM(ABS(B42:E42))+SUM(ABS(G42:U42))</f>
        <v>614.54000000000008</v>
      </c>
    </row>
    <row r="43" spans="1:23" x14ac:dyDescent="0.3">
      <c r="A43" s="14">
        <v>45782.385416666664</v>
      </c>
      <c r="B43" s="1">
        <v>-174.18</v>
      </c>
      <c r="C43" s="1">
        <v>35.840000000000003</v>
      </c>
      <c r="D43" s="1">
        <v>12</v>
      </c>
      <c r="E43" s="1">
        <v>0</v>
      </c>
      <c r="F43" s="1" cm="1">
        <f t="array" ref="F43">SUM(ABS(B43:E43))</f>
        <v>222.02</v>
      </c>
      <c r="G43" s="1">
        <v>20.100000000000001</v>
      </c>
      <c r="H43" s="1">
        <v>263.77999999999997</v>
      </c>
      <c r="I43" s="1">
        <v>-40.72</v>
      </c>
      <c r="J43" s="1">
        <v>0</v>
      </c>
      <c r="K43" s="1">
        <v>0</v>
      </c>
      <c r="L43" s="1">
        <v>0</v>
      </c>
      <c r="M43" s="1">
        <v>0</v>
      </c>
      <c r="N43" s="1">
        <v>-30.74</v>
      </c>
      <c r="O43" s="1">
        <v>5.63</v>
      </c>
      <c r="P43" s="1">
        <v>0</v>
      </c>
      <c r="Q43" s="1">
        <v>0</v>
      </c>
      <c r="R43" s="1">
        <v>0</v>
      </c>
      <c r="S43" s="1">
        <v>0</v>
      </c>
      <c r="T43" s="1">
        <v>4.72</v>
      </c>
      <c r="U43" s="1">
        <v>0</v>
      </c>
      <c r="V43" s="1" cm="1">
        <f t="array" ref="V43">SUM(ABS(G43:U43))</f>
        <v>365.69000000000005</v>
      </c>
      <c r="W43" s="11" cm="1">
        <f t="array" ref="W43">SUM(ABS(B43:E43))+SUM(ABS(G43:U43))</f>
        <v>587.71</v>
      </c>
    </row>
    <row r="44" spans="1:23" x14ac:dyDescent="0.3">
      <c r="A44" s="14">
        <v>45782.395833333336</v>
      </c>
      <c r="B44" s="1">
        <v>-216.98</v>
      </c>
      <c r="C44" s="1">
        <v>35.9</v>
      </c>
      <c r="D44" s="1">
        <v>12</v>
      </c>
      <c r="E44" s="1">
        <v>0</v>
      </c>
      <c r="F44" s="1" cm="1">
        <f t="array" ref="F44">SUM(ABS(B44:E44))</f>
        <v>264.88</v>
      </c>
      <c r="G44" s="1">
        <v>20.11</v>
      </c>
      <c r="H44" s="1">
        <v>270.24</v>
      </c>
      <c r="I44" s="1">
        <v>-40.770000000000003</v>
      </c>
      <c r="J44" s="1">
        <v>0</v>
      </c>
      <c r="K44" s="1">
        <v>0</v>
      </c>
      <c r="L44" s="1">
        <v>0</v>
      </c>
      <c r="M44" s="1">
        <v>0</v>
      </c>
      <c r="N44" s="1">
        <v>-30.77</v>
      </c>
      <c r="O44" s="1">
        <v>5.63</v>
      </c>
      <c r="P44" s="1">
        <v>0</v>
      </c>
      <c r="Q44" s="1">
        <v>0</v>
      </c>
      <c r="R44" s="1">
        <v>0</v>
      </c>
      <c r="S44" s="1">
        <v>0</v>
      </c>
      <c r="T44" s="1">
        <v>4.72</v>
      </c>
      <c r="U44" s="1">
        <v>0</v>
      </c>
      <c r="V44" s="1" cm="1">
        <f t="array" ref="V44">SUM(ABS(G44:U44))</f>
        <v>372.24</v>
      </c>
      <c r="W44" s="11" cm="1">
        <f t="array" ref="W44">SUM(ABS(B44:E44))+SUM(ABS(G44:U44))</f>
        <v>637.12</v>
      </c>
    </row>
    <row r="45" spans="1:23" x14ac:dyDescent="0.3">
      <c r="A45" s="14">
        <v>45782.40625</v>
      </c>
      <c r="B45" s="1">
        <v>-368.02</v>
      </c>
      <c r="C45" s="1">
        <v>35.92</v>
      </c>
      <c r="D45" s="1">
        <v>12</v>
      </c>
      <c r="E45" s="1">
        <v>0</v>
      </c>
      <c r="F45" s="1" cm="1">
        <f t="array" ref="F45">SUM(ABS(B45:E45))</f>
        <v>415.94</v>
      </c>
      <c r="G45" s="1">
        <v>20.09</v>
      </c>
      <c r="H45" s="1">
        <v>270.18</v>
      </c>
      <c r="I45" s="1">
        <v>-40.76</v>
      </c>
      <c r="J45" s="1">
        <v>0</v>
      </c>
      <c r="K45" s="1">
        <v>0</v>
      </c>
      <c r="L45" s="1">
        <v>0</v>
      </c>
      <c r="M45" s="1">
        <v>0</v>
      </c>
      <c r="N45" s="1">
        <v>-30.75</v>
      </c>
      <c r="O45" s="1">
        <v>5.63</v>
      </c>
      <c r="P45" s="1">
        <v>0</v>
      </c>
      <c r="Q45" s="1">
        <v>0</v>
      </c>
      <c r="R45" s="1">
        <v>0</v>
      </c>
      <c r="S45" s="1">
        <v>0</v>
      </c>
      <c r="T45" s="1">
        <v>4.72</v>
      </c>
      <c r="U45" s="1">
        <v>0</v>
      </c>
      <c r="V45" s="1" cm="1">
        <f t="array" ref="V45">SUM(ABS(G45:U45))</f>
        <v>372.13</v>
      </c>
      <c r="W45" s="11" cm="1">
        <f t="array" ref="W45">SUM(ABS(B45:E45))+SUM(ABS(G45:U45))</f>
        <v>788.06999999999994</v>
      </c>
    </row>
    <row r="46" spans="1:23" x14ac:dyDescent="0.3">
      <c r="A46" s="14">
        <v>45782.416666666664</v>
      </c>
      <c r="B46" s="1">
        <v>-250.38</v>
      </c>
      <c r="C46" s="1">
        <v>35.94</v>
      </c>
      <c r="D46" s="1">
        <v>12</v>
      </c>
      <c r="E46" s="1">
        <v>0</v>
      </c>
      <c r="F46" s="1" cm="1">
        <f t="array" ref="F46">SUM(ABS(B46:E46))</f>
        <v>298.32</v>
      </c>
      <c r="G46" s="1">
        <v>20.12</v>
      </c>
      <c r="H46" s="1">
        <v>227.55</v>
      </c>
      <c r="I46" s="1">
        <v>-40.76</v>
      </c>
      <c r="J46" s="1">
        <v>0</v>
      </c>
      <c r="K46" s="1">
        <v>0</v>
      </c>
      <c r="L46" s="1">
        <v>0</v>
      </c>
      <c r="M46" s="1">
        <v>0</v>
      </c>
      <c r="N46" s="1">
        <v>-30.78</v>
      </c>
      <c r="O46" s="1">
        <v>5.64</v>
      </c>
      <c r="P46" s="1">
        <v>0</v>
      </c>
      <c r="Q46" s="1">
        <v>0</v>
      </c>
      <c r="R46" s="1">
        <v>0</v>
      </c>
      <c r="S46" s="1">
        <v>0</v>
      </c>
      <c r="T46" s="1">
        <v>4.72</v>
      </c>
      <c r="U46" s="1">
        <v>0</v>
      </c>
      <c r="V46" s="1" cm="1">
        <f t="array" ref="V46">SUM(ABS(G46:U46))</f>
        <v>329.57000000000005</v>
      </c>
      <c r="W46" s="11" cm="1">
        <f t="array" ref="W46">SUM(ABS(B46:E46))+SUM(ABS(G46:U46))</f>
        <v>627.8900000000001</v>
      </c>
    </row>
    <row r="47" spans="1:23" x14ac:dyDescent="0.3">
      <c r="A47" s="14">
        <v>45782.427083333336</v>
      </c>
      <c r="B47" s="1">
        <v>-349.4</v>
      </c>
      <c r="C47" s="1">
        <v>35.9</v>
      </c>
      <c r="D47" s="1">
        <v>12</v>
      </c>
      <c r="E47" s="1">
        <v>0</v>
      </c>
      <c r="F47" s="1" cm="1">
        <f t="array" ref="F47">SUM(ABS(B47:E47))</f>
        <v>397.29999999999995</v>
      </c>
      <c r="G47" s="1">
        <v>20.11</v>
      </c>
      <c r="H47" s="1">
        <v>212.38</v>
      </c>
      <c r="I47" s="1">
        <v>-40.76</v>
      </c>
      <c r="J47" s="1">
        <v>0</v>
      </c>
      <c r="K47" s="1">
        <v>0</v>
      </c>
      <c r="L47" s="1">
        <v>0</v>
      </c>
      <c r="M47" s="1">
        <v>0</v>
      </c>
      <c r="N47" s="1">
        <v>-30.77</v>
      </c>
      <c r="O47" s="1">
        <v>5.63</v>
      </c>
      <c r="P47" s="1">
        <v>0</v>
      </c>
      <c r="Q47" s="1">
        <v>0</v>
      </c>
      <c r="R47" s="1">
        <v>0</v>
      </c>
      <c r="S47" s="1">
        <v>0</v>
      </c>
      <c r="T47" s="1">
        <v>4.72</v>
      </c>
      <c r="U47" s="1">
        <v>0</v>
      </c>
      <c r="V47" s="1" cm="1">
        <f t="array" ref="V47">SUM(ABS(G47:U47))</f>
        <v>314.37</v>
      </c>
      <c r="W47" s="11" cm="1">
        <f t="array" ref="W47">SUM(ABS(B47:E47))+SUM(ABS(G47:U47))</f>
        <v>711.67</v>
      </c>
    </row>
    <row r="48" spans="1:23" x14ac:dyDescent="0.3">
      <c r="A48" s="14">
        <v>45782.4375</v>
      </c>
      <c r="B48" s="1">
        <v>-321.04000000000002</v>
      </c>
      <c r="C48" s="1">
        <v>35.880000000000003</v>
      </c>
      <c r="D48" s="1">
        <v>12</v>
      </c>
      <c r="E48" s="1">
        <v>0</v>
      </c>
      <c r="F48" s="1" cm="1">
        <f t="array" ref="F48">SUM(ABS(B48:E48))</f>
        <v>368.92</v>
      </c>
      <c r="G48" s="1">
        <v>20.100000000000001</v>
      </c>
      <c r="H48" s="1">
        <v>247.42</v>
      </c>
      <c r="I48" s="1">
        <v>-40.79</v>
      </c>
      <c r="J48" s="1">
        <v>0</v>
      </c>
      <c r="K48" s="1">
        <v>0</v>
      </c>
      <c r="L48" s="1">
        <v>0</v>
      </c>
      <c r="M48" s="1">
        <v>0</v>
      </c>
      <c r="N48" s="1">
        <v>-30.78</v>
      </c>
      <c r="O48" s="1">
        <v>5.63</v>
      </c>
      <c r="P48" s="1">
        <v>0</v>
      </c>
      <c r="Q48" s="1">
        <v>0</v>
      </c>
      <c r="R48" s="1">
        <v>0</v>
      </c>
      <c r="S48" s="1">
        <v>0</v>
      </c>
      <c r="T48" s="1">
        <v>4.72</v>
      </c>
      <c r="U48" s="1">
        <v>0</v>
      </c>
      <c r="V48" s="1" cm="1">
        <f t="array" ref="V48">SUM(ABS(G48:U48))</f>
        <v>349.44000000000005</v>
      </c>
      <c r="W48" s="11" cm="1">
        <f t="array" ref="W48">SUM(ABS(B48:E48))+SUM(ABS(G48:U48))</f>
        <v>718.36000000000013</v>
      </c>
    </row>
    <row r="49" spans="1:23" x14ac:dyDescent="0.3">
      <c r="A49" s="14">
        <v>45782.447916666664</v>
      </c>
      <c r="B49" s="1">
        <v>-306.93</v>
      </c>
      <c r="C49" s="1">
        <v>35.89</v>
      </c>
      <c r="D49" s="1">
        <v>12</v>
      </c>
      <c r="E49" s="1">
        <v>9.34</v>
      </c>
      <c r="F49" s="1" cm="1">
        <f t="array" ref="F49">SUM(ABS(B49:E49))</f>
        <v>364.15999999999997</v>
      </c>
      <c r="G49" s="1">
        <v>19.89</v>
      </c>
      <c r="H49" s="1">
        <v>274.89999999999998</v>
      </c>
      <c r="I49" s="1">
        <v>-22.03</v>
      </c>
      <c r="J49" s="1">
        <v>0</v>
      </c>
      <c r="K49" s="1">
        <v>0</v>
      </c>
      <c r="L49" s="1">
        <v>0</v>
      </c>
      <c r="M49" s="1">
        <v>0</v>
      </c>
      <c r="N49" s="1">
        <v>-30.8</v>
      </c>
      <c r="O49" s="1">
        <v>5.63</v>
      </c>
      <c r="P49" s="1">
        <v>0</v>
      </c>
      <c r="Q49" s="1">
        <v>0</v>
      </c>
      <c r="R49" s="1">
        <v>0</v>
      </c>
      <c r="S49" s="1">
        <v>0</v>
      </c>
      <c r="T49" s="1">
        <v>4.72</v>
      </c>
      <c r="U49" s="1">
        <v>0</v>
      </c>
      <c r="V49" s="1" cm="1">
        <f t="array" ref="V49">SUM(ABS(G49:U49))</f>
        <v>357.96999999999997</v>
      </c>
      <c r="W49" s="11" cm="1">
        <f t="array" ref="W49">SUM(ABS(B49:E49))+SUM(ABS(G49:U49))</f>
        <v>722.12999999999988</v>
      </c>
    </row>
    <row r="50" spans="1:23" x14ac:dyDescent="0.3">
      <c r="A50" s="14">
        <v>45782.458333333336</v>
      </c>
      <c r="B50" s="1">
        <v>-298.08999999999997</v>
      </c>
      <c r="C50" s="1">
        <v>35.909999999999997</v>
      </c>
      <c r="D50" s="1">
        <v>12</v>
      </c>
      <c r="E50" s="1">
        <v>12.69</v>
      </c>
      <c r="F50" s="1" cm="1">
        <f t="array" ref="F50">SUM(ABS(B50:E50))</f>
        <v>358.69</v>
      </c>
      <c r="G50" s="1">
        <v>20.100000000000001</v>
      </c>
      <c r="H50" s="1">
        <v>274.85000000000002</v>
      </c>
      <c r="I50" s="1">
        <v>-20.5</v>
      </c>
      <c r="J50" s="1">
        <v>0</v>
      </c>
      <c r="K50" s="1">
        <v>0</v>
      </c>
      <c r="L50" s="1">
        <v>0</v>
      </c>
      <c r="M50" s="1">
        <v>0</v>
      </c>
      <c r="N50" s="1">
        <v>-30.82</v>
      </c>
      <c r="O50" s="1">
        <v>5.63</v>
      </c>
      <c r="P50" s="1">
        <v>0</v>
      </c>
      <c r="Q50" s="1">
        <v>0</v>
      </c>
      <c r="R50" s="1">
        <v>0</v>
      </c>
      <c r="S50" s="1">
        <v>0</v>
      </c>
      <c r="T50" s="1">
        <v>4.72</v>
      </c>
      <c r="U50" s="1">
        <v>0</v>
      </c>
      <c r="V50" s="1" cm="1">
        <f t="array" ref="V50">SUM(ABS(G50:U50))</f>
        <v>356.62000000000006</v>
      </c>
      <c r="W50" s="11" cm="1">
        <f t="array" ref="W50">SUM(ABS(B50:E50))+SUM(ABS(G50:U50))</f>
        <v>715.31000000000006</v>
      </c>
    </row>
    <row r="51" spans="1:23" x14ac:dyDescent="0.3">
      <c r="A51" s="14">
        <v>45782.46875</v>
      </c>
      <c r="B51" s="1">
        <v>-137.91999999999999</v>
      </c>
      <c r="C51" s="1">
        <v>35.92</v>
      </c>
      <c r="D51" s="1">
        <v>12</v>
      </c>
      <c r="E51" s="1">
        <v>12.68</v>
      </c>
      <c r="F51" s="1" cm="1">
        <f t="array" ref="F51">SUM(ABS(B51:E51))</f>
        <v>198.51999999999998</v>
      </c>
      <c r="G51" s="1">
        <v>20.100000000000001</v>
      </c>
      <c r="H51" s="1">
        <v>222.08</v>
      </c>
      <c r="I51" s="1">
        <v>-20.51</v>
      </c>
      <c r="J51" s="1">
        <v>0</v>
      </c>
      <c r="K51" s="1">
        <v>0</v>
      </c>
      <c r="L51" s="1">
        <v>0</v>
      </c>
      <c r="M51" s="1">
        <v>0</v>
      </c>
      <c r="N51" s="1">
        <v>-30.8</v>
      </c>
      <c r="O51" s="1">
        <v>5.63</v>
      </c>
      <c r="P51" s="1">
        <v>0</v>
      </c>
      <c r="Q51" s="1">
        <v>0</v>
      </c>
      <c r="R51" s="1">
        <v>0</v>
      </c>
      <c r="S51" s="1">
        <v>0</v>
      </c>
      <c r="T51" s="1">
        <v>4.72</v>
      </c>
      <c r="U51" s="1">
        <v>0</v>
      </c>
      <c r="V51" s="1" cm="1">
        <f t="array" ref="V51">SUM(ABS(G51:U51))</f>
        <v>303.84000000000003</v>
      </c>
      <c r="W51" s="11" cm="1">
        <f t="array" ref="W51">SUM(ABS(B51:E51))+SUM(ABS(G51:U51))</f>
        <v>502.36</v>
      </c>
    </row>
    <row r="52" spans="1:23" x14ac:dyDescent="0.3">
      <c r="A52" s="14">
        <v>45782.479166666664</v>
      </c>
      <c r="B52" s="1">
        <v>-129.96</v>
      </c>
      <c r="C52" s="1">
        <v>35.880000000000003</v>
      </c>
      <c r="D52" s="1">
        <v>12</v>
      </c>
      <c r="E52" s="1">
        <v>12.67</v>
      </c>
      <c r="F52" s="1" cm="1">
        <f t="array" ref="F52">SUM(ABS(B52:E52))</f>
        <v>190.51</v>
      </c>
      <c r="G52" s="1">
        <v>20.11</v>
      </c>
      <c r="H52" s="1">
        <v>221.35</v>
      </c>
      <c r="I52" s="1">
        <v>-20.49</v>
      </c>
      <c r="J52" s="1">
        <v>0</v>
      </c>
      <c r="K52" s="1">
        <v>0</v>
      </c>
      <c r="L52" s="1">
        <v>0</v>
      </c>
      <c r="M52" s="1">
        <v>0</v>
      </c>
      <c r="N52" s="1">
        <v>-30.79</v>
      </c>
      <c r="O52" s="1">
        <v>5.63</v>
      </c>
      <c r="P52" s="1">
        <v>0</v>
      </c>
      <c r="Q52" s="1">
        <v>0</v>
      </c>
      <c r="R52" s="1">
        <v>0</v>
      </c>
      <c r="S52" s="1">
        <v>0</v>
      </c>
      <c r="T52" s="1">
        <v>3.56</v>
      </c>
      <c r="U52" s="1">
        <v>0</v>
      </c>
      <c r="V52" s="1" cm="1">
        <f t="array" ref="V52">SUM(ABS(G52:U52))</f>
        <v>301.93</v>
      </c>
      <c r="W52" s="11" cm="1">
        <f t="array" ref="W52">SUM(ABS(B52:E52))+SUM(ABS(G52:U52))</f>
        <v>492.44</v>
      </c>
    </row>
    <row r="53" spans="1:23" x14ac:dyDescent="0.3">
      <c r="A53" s="14">
        <v>45782.489583333336</v>
      </c>
      <c r="B53" s="1">
        <v>-131.57</v>
      </c>
      <c r="C53" s="1">
        <v>35.85</v>
      </c>
      <c r="D53" s="1">
        <v>12</v>
      </c>
      <c r="E53" s="1">
        <v>12.67</v>
      </c>
      <c r="F53" s="1" cm="1">
        <f t="array" ref="F53">SUM(ABS(B53:E53))</f>
        <v>192.08999999999997</v>
      </c>
      <c r="G53" s="1">
        <v>20.11</v>
      </c>
      <c r="H53" s="1">
        <v>246.54</v>
      </c>
      <c r="I53" s="1">
        <v>-20.5</v>
      </c>
      <c r="J53" s="1">
        <v>0</v>
      </c>
      <c r="K53" s="1">
        <v>0</v>
      </c>
      <c r="L53" s="1">
        <v>0</v>
      </c>
      <c r="M53" s="1">
        <v>0</v>
      </c>
      <c r="N53" s="1">
        <v>-30.78</v>
      </c>
      <c r="O53" s="1">
        <v>5.62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 cm="1">
        <f t="array" ref="V53">SUM(ABS(G53:U53))</f>
        <v>323.54999999999995</v>
      </c>
      <c r="W53" s="11" cm="1">
        <f t="array" ref="W53">SUM(ABS(B53:E53))+SUM(ABS(G53:U53))</f>
        <v>515.63999999999987</v>
      </c>
    </row>
    <row r="54" spans="1:23" x14ac:dyDescent="0.3">
      <c r="A54" s="14">
        <v>45782.5</v>
      </c>
      <c r="B54" s="1">
        <v>-124</v>
      </c>
      <c r="C54" s="1">
        <v>35.840000000000003</v>
      </c>
      <c r="D54" s="1">
        <v>12</v>
      </c>
      <c r="E54" s="1">
        <v>12.66</v>
      </c>
      <c r="F54" s="1" cm="1">
        <f t="array" ref="F54">SUM(ABS(B54:E54))</f>
        <v>184.5</v>
      </c>
      <c r="G54" s="1">
        <v>20.11</v>
      </c>
      <c r="H54" s="1">
        <v>269.04000000000002</v>
      </c>
      <c r="I54" s="1">
        <v>-20.48</v>
      </c>
      <c r="J54" s="1">
        <v>0</v>
      </c>
      <c r="K54" s="1">
        <v>0</v>
      </c>
      <c r="L54" s="1">
        <v>0</v>
      </c>
      <c r="M54" s="1">
        <v>0</v>
      </c>
      <c r="N54" s="1">
        <v>-30.79</v>
      </c>
      <c r="O54" s="1">
        <v>5.63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 cm="1">
        <f t="array" ref="V54">SUM(ABS(G54:U54))</f>
        <v>346.05000000000007</v>
      </c>
      <c r="W54" s="11" cm="1">
        <f t="array" ref="W54">SUM(ABS(B54:E54))+SUM(ABS(G54:U54))</f>
        <v>530.55000000000007</v>
      </c>
    </row>
    <row r="55" spans="1:23" x14ac:dyDescent="0.3">
      <c r="A55" s="14">
        <v>45782.510416666664</v>
      </c>
      <c r="B55" s="1">
        <v>-158.59</v>
      </c>
      <c r="C55" s="1">
        <v>35.840000000000003</v>
      </c>
      <c r="D55" s="1">
        <v>12</v>
      </c>
      <c r="E55" s="1">
        <v>12.64</v>
      </c>
      <c r="F55" s="1" cm="1">
        <f t="array" ref="F55">SUM(ABS(B55:E55))</f>
        <v>219.07</v>
      </c>
      <c r="G55" s="1">
        <v>20.100000000000001</v>
      </c>
      <c r="H55" s="1">
        <v>273.77</v>
      </c>
      <c r="I55" s="1">
        <v>-20.48</v>
      </c>
      <c r="J55" s="1">
        <v>0</v>
      </c>
      <c r="K55" s="1">
        <v>0</v>
      </c>
      <c r="L55" s="1">
        <v>0</v>
      </c>
      <c r="M55" s="1">
        <v>0</v>
      </c>
      <c r="N55" s="1">
        <v>-30.79</v>
      </c>
      <c r="O55" s="1">
        <v>5.63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 cm="1">
        <f t="array" ref="V55">SUM(ABS(G55:U55))</f>
        <v>350.77000000000004</v>
      </c>
      <c r="W55" s="11" cm="1">
        <f t="array" ref="W55">SUM(ABS(B55:E55))+SUM(ABS(G55:U55))</f>
        <v>569.84</v>
      </c>
    </row>
    <row r="56" spans="1:23" x14ac:dyDescent="0.3">
      <c r="A56" s="14">
        <v>45782.520833333336</v>
      </c>
      <c r="B56" s="1">
        <v>-146.18</v>
      </c>
      <c r="C56" s="1">
        <v>35.840000000000003</v>
      </c>
      <c r="D56" s="1">
        <v>12</v>
      </c>
      <c r="E56" s="1">
        <v>12.64</v>
      </c>
      <c r="F56" s="1" cm="1">
        <f t="array" ref="F56">SUM(ABS(B56:E56))</f>
        <v>206.66000000000003</v>
      </c>
      <c r="G56" s="1">
        <v>20.100000000000001</v>
      </c>
      <c r="H56" s="1">
        <v>272.36</v>
      </c>
      <c r="I56" s="1">
        <v>-20.48</v>
      </c>
      <c r="J56" s="1">
        <v>0</v>
      </c>
      <c r="K56" s="1">
        <v>0</v>
      </c>
      <c r="L56" s="1">
        <v>0</v>
      </c>
      <c r="M56" s="1">
        <v>0</v>
      </c>
      <c r="N56" s="1">
        <v>-30.76</v>
      </c>
      <c r="O56" s="1">
        <v>5.62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 cm="1">
        <f t="array" ref="V56">SUM(ABS(G56:U56))</f>
        <v>349.32000000000005</v>
      </c>
      <c r="W56" s="11" cm="1">
        <f t="array" ref="W56">SUM(ABS(B56:E56))+SUM(ABS(G56:U56))</f>
        <v>555.98</v>
      </c>
    </row>
    <row r="57" spans="1:23" x14ac:dyDescent="0.3">
      <c r="A57" s="14">
        <v>45782.53125</v>
      </c>
      <c r="B57" s="1">
        <v>-120.07</v>
      </c>
      <c r="C57" s="1">
        <v>35.840000000000003</v>
      </c>
      <c r="D57" s="1">
        <v>12</v>
      </c>
      <c r="E57" s="1">
        <v>12.64</v>
      </c>
      <c r="F57" s="1" cm="1">
        <f t="array" ref="F57">SUM(ABS(B57:E57))</f>
        <v>180.55</v>
      </c>
      <c r="G57" s="1">
        <v>20.100000000000001</v>
      </c>
      <c r="H57" s="1">
        <v>268.77</v>
      </c>
      <c r="I57" s="1">
        <v>-20.49</v>
      </c>
      <c r="J57" s="1">
        <v>0</v>
      </c>
      <c r="K57" s="1">
        <v>0</v>
      </c>
      <c r="L57" s="1">
        <v>0</v>
      </c>
      <c r="M57" s="1">
        <v>0</v>
      </c>
      <c r="N57" s="1">
        <v>-30.75</v>
      </c>
      <c r="O57" s="1">
        <v>5.62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 cm="1">
        <f t="array" ref="V57">SUM(ABS(G57:U57))</f>
        <v>345.73</v>
      </c>
      <c r="W57" s="11" cm="1">
        <f t="array" ref="W57">SUM(ABS(B57:E57))+SUM(ABS(G57:U57))</f>
        <v>526.28</v>
      </c>
    </row>
    <row r="58" spans="1:23" x14ac:dyDescent="0.3">
      <c r="A58" s="14">
        <v>45782.541666666664</v>
      </c>
      <c r="B58" s="1">
        <v>-122.35</v>
      </c>
      <c r="C58" s="1">
        <v>35.76</v>
      </c>
      <c r="D58" s="1">
        <v>12</v>
      </c>
      <c r="E58" s="1">
        <v>12.63</v>
      </c>
      <c r="F58" s="1" cm="1">
        <f t="array" ref="F58">SUM(ABS(B58:E58))</f>
        <v>182.73999999999998</v>
      </c>
      <c r="G58" s="1">
        <v>20.100000000000001</v>
      </c>
      <c r="H58" s="1">
        <v>200.14</v>
      </c>
      <c r="I58" s="1">
        <v>-20.67</v>
      </c>
      <c r="J58" s="1">
        <v>0</v>
      </c>
      <c r="K58" s="1">
        <v>0</v>
      </c>
      <c r="L58" s="1">
        <v>0</v>
      </c>
      <c r="M58" s="1">
        <v>0</v>
      </c>
      <c r="N58" s="1">
        <v>-30.78</v>
      </c>
      <c r="O58" s="1">
        <v>5.62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 cm="1">
        <f t="array" ref="V58">SUM(ABS(G58:U58))</f>
        <v>277.30999999999995</v>
      </c>
      <c r="W58" s="11" cm="1">
        <f t="array" ref="W58">SUM(ABS(B58:E58))+SUM(ABS(G58:U58))</f>
        <v>460.04999999999995</v>
      </c>
    </row>
    <row r="59" spans="1:23" x14ac:dyDescent="0.3">
      <c r="A59" s="14">
        <v>45782.552083333336</v>
      </c>
      <c r="B59" s="1">
        <v>-133.87</v>
      </c>
      <c r="C59" s="1">
        <v>35.770000000000003</v>
      </c>
      <c r="D59" s="1">
        <v>12</v>
      </c>
      <c r="E59" s="1">
        <v>14.73</v>
      </c>
      <c r="F59" s="1" cm="1">
        <f t="array" ref="F59">SUM(ABS(B59:E59))</f>
        <v>196.37</v>
      </c>
      <c r="G59" s="1">
        <v>20.11</v>
      </c>
      <c r="H59" s="1">
        <v>180.96</v>
      </c>
      <c r="I59" s="1">
        <v>-20.72</v>
      </c>
      <c r="J59" s="1">
        <v>0</v>
      </c>
      <c r="K59" s="1">
        <v>0</v>
      </c>
      <c r="L59" s="1">
        <v>0</v>
      </c>
      <c r="M59" s="1">
        <v>0</v>
      </c>
      <c r="N59" s="1">
        <v>-30.83</v>
      </c>
      <c r="O59" s="1">
        <v>5.63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 cm="1">
        <f t="array" ref="V59">SUM(ABS(G59:U59))</f>
        <v>258.25</v>
      </c>
      <c r="W59" s="11" cm="1">
        <f t="array" ref="W59">SUM(ABS(B59:E59))+SUM(ABS(G59:U59))</f>
        <v>454.62</v>
      </c>
    </row>
    <row r="60" spans="1:23" x14ac:dyDescent="0.3">
      <c r="A60" s="14">
        <v>45782.5625</v>
      </c>
      <c r="B60" s="1">
        <v>-553.82000000000005</v>
      </c>
      <c r="C60" s="1">
        <v>35.729999999999997</v>
      </c>
      <c r="D60" s="1">
        <v>12</v>
      </c>
      <c r="E60" s="1">
        <v>19.059999999999999</v>
      </c>
      <c r="F60" s="1" cm="1">
        <f t="array" ref="F60">SUM(ABS(B60:E60))</f>
        <v>620.61</v>
      </c>
      <c r="G60" s="1">
        <v>20.100000000000001</v>
      </c>
      <c r="H60" s="1">
        <v>184.14</v>
      </c>
      <c r="I60" s="1">
        <v>-20.7</v>
      </c>
      <c r="J60" s="1">
        <v>0</v>
      </c>
      <c r="K60" s="1">
        <v>0</v>
      </c>
      <c r="L60" s="1">
        <v>0</v>
      </c>
      <c r="M60" s="1">
        <v>0</v>
      </c>
      <c r="N60" s="1">
        <v>-30.83</v>
      </c>
      <c r="O60" s="1">
        <v>5.63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 cm="1">
        <f t="array" ref="V60">SUM(ABS(G60:U60))</f>
        <v>261.39999999999998</v>
      </c>
      <c r="W60" s="11" cm="1">
        <f t="array" ref="W60">SUM(ABS(B60:E60))+SUM(ABS(G60:U60))</f>
        <v>882.01</v>
      </c>
    </row>
    <row r="61" spans="1:23" x14ac:dyDescent="0.3">
      <c r="A61" s="14">
        <v>45782.572916666664</v>
      </c>
      <c r="B61" s="1">
        <v>-586.5</v>
      </c>
      <c r="C61" s="1">
        <v>35.65</v>
      </c>
      <c r="D61" s="1">
        <v>12</v>
      </c>
      <c r="E61" s="1">
        <v>19.09</v>
      </c>
      <c r="F61" s="1" cm="1">
        <f t="array" ref="F61">SUM(ABS(B61:E61))</f>
        <v>653.24</v>
      </c>
      <c r="G61" s="1">
        <v>30.85</v>
      </c>
      <c r="H61" s="1">
        <v>192.16</v>
      </c>
      <c r="I61" s="1">
        <v>-20.69</v>
      </c>
      <c r="J61" s="1">
        <v>0</v>
      </c>
      <c r="K61" s="1">
        <v>0</v>
      </c>
      <c r="L61" s="1">
        <v>0</v>
      </c>
      <c r="M61" s="1">
        <v>0</v>
      </c>
      <c r="N61" s="1">
        <v>-30.84</v>
      </c>
      <c r="O61" s="1">
        <v>5.62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 cm="1">
        <f t="array" ref="V61">SUM(ABS(G61:U61))</f>
        <v>280.15999999999997</v>
      </c>
      <c r="W61" s="11" cm="1">
        <f t="array" ref="W61">SUM(ABS(B61:E61))+SUM(ABS(G61:U61))</f>
        <v>933.4</v>
      </c>
    </row>
    <row r="62" spans="1:23" x14ac:dyDescent="0.3">
      <c r="A62" s="14">
        <v>45782.583333333336</v>
      </c>
      <c r="B62" s="1">
        <v>-560.79999999999995</v>
      </c>
      <c r="C62" s="1">
        <v>35.659999999999997</v>
      </c>
      <c r="D62" s="1">
        <v>12</v>
      </c>
      <c r="E62" s="1">
        <v>19.11</v>
      </c>
      <c r="F62" s="1" cm="1">
        <f t="array" ref="F62">SUM(ABS(B62:E62))</f>
        <v>627.56999999999994</v>
      </c>
      <c r="G62" s="1">
        <v>36.17</v>
      </c>
      <c r="H62" s="1">
        <v>243.3</v>
      </c>
      <c r="I62" s="1">
        <v>-24.31</v>
      </c>
      <c r="J62" s="1">
        <v>0</v>
      </c>
      <c r="K62" s="1">
        <v>0</v>
      </c>
      <c r="L62" s="1">
        <v>-12.53</v>
      </c>
      <c r="M62" s="1">
        <v>0</v>
      </c>
      <c r="N62" s="1">
        <v>-30.87</v>
      </c>
      <c r="O62" s="1">
        <v>5.62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 cm="1">
        <f t="array" ref="V62">SUM(ABS(G62:U62))</f>
        <v>352.8</v>
      </c>
      <c r="W62" s="11" cm="1">
        <f t="array" ref="W62">SUM(ABS(B62:E62))+SUM(ABS(G62:U62))</f>
        <v>980.36999999999989</v>
      </c>
    </row>
    <row r="63" spans="1:23" x14ac:dyDescent="0.3">
      <c r="A63" s="14">
        <v>45782.59375</v>
      </c>
      <c r="B63" s="1">
        <v>-616.04999999999995</v>
      </c>
      <c r="C63" s="1">
        <v>35.67</v>
      </c>
      <c r="D63" s="1">
        <v>12</v>
      </c>
      <c r="E63" s="1">
        <v>24.77</v>
      </c>
      <c r="F63" s="1" cm="1">
        <f t="array" ref="F63">SUM(ABS(B63:E63))</f>
        <v>688.4899999999999</v>
      </c>
      <c r="G63" s="1">
        <v>36.17</v>
      </c>
      <c r="H63" s="1">
        <v>245.53</v>
      </c>
      <c r="I63" s="1">
        <v>-29.31</v>
      </c>
      <c r="J63" s="1">
        <v>0</v>
      </c>
      <c r="K63" s="1">
        <v>0</v>
      </c>
      <c r="L63" s="1">
        <v>-24.6</v>
      </c>
      <c r="M63" s="1">
        <v>0</v>
      </c>
      <c r="N63" s="1">
        <v>-30.89</v>
      </c>
      <c r="O63" s="1">
        <v>5.63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 cm="1">
        <f t="array" ref="V63">SUM(ABS(G63:U63))</f>
        <v>372.13</v>
      </c>
      <c r="W63" s="11" cm="1">
        <f t="array" ref="W63">SUM(ABS(B63:E63))+SUM(ABS(G63:U63))</f>
        <v>1060.6199999999999</v>
      </c>
    </row>
    <row r="64" spans="1:23" x14ac:dyDescent="0.3">
      <c r="A64" s="14">
        <v>45782.604166666664</v>
      </c>
      <c r="B64" s="1">
        <v>-622.57000000000005</v>
      </c>
      <c r="C64" s="1">
        <v>35.67</v>
      </c>
      <c r="D64" s="1">
        <v>12</v>
      </c>
      <c r="E64" s="1">
        <v>25.31</v>
      </c>
      <c r="F64" s="1" cm="1">
        <f t="array" ref="F64">SUM(ABS(B64:E64))</f>
        <v>695.55</v>
      </c>
      <c r="G64" s="1">
        <v>36.159999999999997</v>
      </c>
      <c r="H64" s="1">
        <v>245.91</v>
      </c>
      <c r="I64" s="1">
        <v>-39.909999999999997</v>
      </c>
      <c r="J64" s="1">
        <v>0</v>
      </c>
      <c r="K64" s="1">
        <v>0</v>
      </c>
      <c r="L64" s="1">
        <v>-24.62</v>
      </c>
      <c r="M64" s="1">
        <v>0</v>
      </c>
      <c r="N64" s="1">
        <v>-30.88</v>
      </c>
      <c r="O64" s="1">
        <v>5.64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 cm="1">
        <f t="array" ref="V64">SUM(ABS(G64:U64))</f>
        <v>383.12</v>
      </c>
      <c r="W64" s="11" cm="1">
        <f t="array" ref="W64">SUM(ABS(B64:E64))+SUM(ABS(G64:U64))</f>
        <v>1078.67</v>
      </c>
    </row>
    <row r="65" spans="1:23" x14ac:dyDescent="0.3">
      <c r="A65" s="14">
        <v>45782.614583333336</v>
      </c>
      <c r="B65" s="1">
        <v>-620.26</v>
      </c>
      <c r="C65" s="1">
        <v>35.64</v>
      </c>
      <c r="D65" s="1">
        <v>12</v>
      </c>
      <c r="E65" s="1">
        <v>25.32</v>
      </c>
      <c r="F65" s="1" cm="1">
        <f t="array" ref="F65">SUM(ABS(B65:E65))</f>
        <v>693.22</v>
      </c>
      <c r="G65" s="1">
        <v>36.159999999999997</v>
      </c>
      <c r="H65" s="1">
        <v>245.6</v>
      </c>
      <c r="I65" s="1">
        <v>-49.42</v>
      </c>
      <c r="J65" s="1">
        <v>0</v>
      </c>
      <c r="K65" s="1">
        <v>0</v>
      </c>
      <c r="L65" s="1">
        <v>-24.59</v>
      </c>
      <c r="M65" s="1">
        <v>0</v>
      </c>
      <c r="N65" s="1">
        <v>-30.89</v>
      </c>
      <c r="O65" s="1">
        <v>5.62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 cm="1">
        <f t="array" ref="V65">SUM(ABS(G65:U65))</f>
        <v>392.28</v>
      </c>
      <c r="W65" s="11" cm="1">
        <f t="array" ref="W65">SUM(ABS(B65:E65))+SUM(ABS(G65:U65))</f>
        <v>1085.5</v>
      </c>
    </row>
    <row r="66" spans="1:23" x14ac:dyDescent="0.3">
      <c r="A66" s="14">
        <v>45782.625</v>
      </c>
      <c r="B66" s="1">
        <v>-620.62</v>
      </c>
      <c r="C66" s="1">
        <v>35.65</v>
      </c>
      <c r="D66" s="1">
        <v>12</v>
      </c>
      <c r="E66" s="1">
        <v>25.31</v>
      </c>
      <c r="F66" s="1" cm="1">
        <f t="array" ref="F66">SUM(ABS(B66:E66))</f>
        <v>693.57999999999993</v>
      </c>
      <c r="G66" s="1">
        <v>36.17</v>
      </c>
      <c r="H66" s="1">
        <v>245.99</v>
      </c>
      <c r="I66" s="1">
        <v>-49.46</v>
      </c>
      <c r="J66" s="1">
        <v>0.25</v>
      </c>
      <c r="K66" s="1">
        <v>0</v>
      </c>
      <c r="L66" s="1">
        <v>-24.54</v>
      </c>
      <c r="M66" s="1">
        <v>0</v>
      </c>
      <c r="N66" s="1">
        <v>-30.88</v>
      </c>
      <c r="O66" s="1">
        <v>5.63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 cm="1">
        <f t="array" ref="V66">SUM(ABS(G66:U66))</f>
        <v>392.92</v>
      </c>
      <c r="W66" s="11" cm="1">
        <f t="array" ref="W66">SUM(ABS(B66:E66))+SUM(ABS(G66:U66))</f>
        <v>1086.5</v>
      </c>
    </row>
    <row r="67" spans="1:23" x14ac:dyDescent="0.3">
      <c r="A67" s="14">
        <v>45782.635416666664</v>
      </c>
      <c r="B67" s="1">
        <v>-625.78</v>
      </c>
      <c r="C67" s="1">
        <v>35.65</v>
      </c>
      <c r="D67" s="1">
        <v>12</v>
      </c>
      <c r="E67" s="1">
        <v>25.33</v>
      </c>
      <c r="F67" s="1" cm="1">
        <f t="array" ref="F67">SUM(ABS(B67:E67))</f>
        <v>698.76</v>
      </c>
      <c r="G67" s="1">
        <v>36.17</v>
      </c>
      <c r="H67" s="1">
        <v>250.85</v>
      </c>
      <c r="I67" s="1">
        <v>-50.41</v>
      </c>
      <c r="J67" s="1">
        <v>39.130000000000003</v>
      </c>
      <c r="K67" s="1">
        <v>0</v>
      </c>
      <c r="L67" s="1">
        <v>-24.66</v>
      </c>
      <c r="M67" s="1">
        <v>0</v>
      </c>
      <c r="N67" s="1">
        <v>-30.89</v>
      </c>
      <c r="O67" s="1">
        <v>5.62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 cm="1">
        <f t="array" ref="V67">SUM(ABS(G67:U67))</f>
        <v>437.72999999999996</v>
      </c>
      <c r="W67" s="11" cm="1">
        <f t="array" ref="W67">SUM(ABS(B67:E67))+SUM(ABS(G67:U67))</f>
        <v>1136.49</v>
      </c>
    </row>
    <row r="68" spans="1:23" x14ac:dyDescent="0.3">
      <c r="A68" s="14">
        <v>45782.645833333336</v>
      </c>
      <c r="B68" s="1">
        <v>-614.77</v>
      </c>
      <c r="C68" s="1">
        <v>35.619999999999997</v>
      </c>
      <c r="D68" s="1">
        <v>12</v>
      </c>
      <c r="E68" s="1">
        <v>25.34</v>
      </c>
      <c r="F68" s="1" cm="1">
        <f t="array" ref="F68">SUM(ABS(B68:E68))</f>
        <v>687.73</v>
      </c>
      <c r="G68" s="1">
        <v>36.159999999999997</v>
      </c>
      <c r="H68" s="1">
        <v>274.13</v>
      </c>
      <c r="I68" s="1">
        <v>-55.25</v>
      </c>
      <c r="J68" s="1">
        <v>64.97</v>
      </c>
      <c r="K68" s="1">
        <v>0</v>
      </c>
      <c r="L68" s="1">
        <v>-24.69</v>
      </c>
      <c r="M68" s="1">
        <v>0</v>
      </c>
      <c r="N68" s="1">
        <v>-30.88</v>
      </c>
      <c r="O68" s="1">
        <v>5.62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 cm="1">
        <f t="array" ref="V68">SUM(ABS(G68:U68))</f>
        <v>491.7</v>
      </c>
      <c r="W68" s="11" cm="1">
        <f t="array" ref="W68">SUM(ABS(B68:E68))+SUM(ABS(G68:U68))</f>
        <v>1179.43</v>
      </c>
    </row>
    <row r="69" spans="1:23" x14ac:dyDescent="0.3">
      <c r="A69" s="14">
        <v>45782.65625</v>
      </c>
      <c r="B69" s="1">
        <v>-613.05999999999995</v>
      </c>
      <c r="C69" s="1">
        <v>35.630000000000003</v>
      </c>
      <c r="D69" s="1">
        <v>12</v>
      </c>
      <c r="E69" s="1">
        <v>25.29</v>
      </c>
      <c r="F69" s="1" cm="1">
        <f t="array" ref="F69">SUM(ABS(B69:E69))</f>
        <v>685.9799999999999</v>
      </c>
      <c r="G69" s="1">
        <v>36.159999999999997</v>
      </c>
      <c r="H69" s="1">
        <v>274.13</v>
      </c>
      <c r="I69" s="1">
        <v>-55.24</v>
      </c>
      <c r="J69" s="1">
        <v>96.31</v>
      </c>
      <c r="K69" s="1">
        <v>0</v>
      </c>
      <c r="L69" s="1">
        <v>-24.55</v>
      </c>
      <c r="M69" s="1">
        <v>0</v>
      </c>
      <c r="N69" s="1">
        <v>-30.88</v>
      </c>
      <c r="O69" s="1">
        <v>5.63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 cm="1">
        <f t="array" ref="V69">SUM(ABS(G69:U69))</f>
        <v>522.9</v>
      </c>
      <c r="W69" s="11" cm="1">
        <f t="array" ref="W69">SUM(ABS(B69:E69))+SUM(ABS(G69:U69))</f>
        <v>1208.8799999999999</v>
      </c>
    </row>
    <row r="70" spans="1:23" x14ac:dyDescent="0.3">
      <c r="A70" s="14">
        <v>45782.666666666664</v>
      </c>
      <c r="B70" s="1">
        <v>-450.7</v>
      </c>
      <c r="C70" s="1">
        <v>35.630000000000003</v>
      </c>
      <c r="D70" s="1">
        <v>12.01</v>
      </c>
      <c r="E70" s="1">
        <v>16.43</v>
      </c>
      <c r="F70" s="1" cm="1">
        <f t="array" ref="F70">SUM(ABS(B70:E70))</f>
        <v>514.77</v>
      </c>
      <c r="G70" s="1">
        <v>36.159999999999997</v>
      </c>
      <c r="H70" s="1">
        <v>237.06</v>
      </c>
      <c r="I70" s="1">
        <v>-55.24</v>
      </c>
      <c r="J70" s="1">
        <v>96.48</v>
      </c>
      <c r="K70" s="1">
        <v>0</v>
      </c>
      <c r="L70" s="1">
        <v>-24.31</v>
      </c>
      <c r="M70" s="1">
        <v>0</v>
      </c>
      <c r="N70" s="1">
        <v>-30.85</v>
      </c>
      <c r="O70" s="1">
        <v>5.63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 cm="1">
        <f t="array" ref="V70">SUM(ABS(G70:U70))</f>
        <v>485.73000000000008</v>
      </c>
      <c r="W70" s="11" cm="1">
        <f t="array" ref="W70">SUM(ABS(B70:E70))+SUM(ABS(G70:U70))</f>
        <v>1000.5</v>
      </c>
    </row>
    <row r="71" spans="1:23" x14ac:dyDescent="0.3">
      <c r="A71" s="14">
        <v>45782.677083333336</v>
      </c>
      <c r="B71" s="1">
        <v>-364.84</v>
      </c>
      <c r="C71" s="1">
        <v>35.61</v>
      </c>
      <c r="D71" s="1">
        <v>24</v>
      </c>
      <c r="E71" s="1">
        <v>12.75</v>
      </c>
      <c r="F71" s="1" cm="1">
        <f t="array" ref="F71">SUM(ABS(B71:E71))</f>
        <v>437.2</v>
      </c>
      <c r="G71" s="1">
        <v>36.15</v>
      </c>
      <c r="H71" s="1">
        <v>263.33999999999997</v>
      </c>
      <c r="I71" s="1">
        <v>-55.22</v>
      </c>
      <c r="J71" s="1">
        <v>96.12</v>
      </c>
      <c r="K71" s="1">
        <v>0</v>
      </c>
      <c r="L71" s="1">
        <v>-24.26</v>
      </c>
      <c r="M71" s="1">
        <v>0</v>
      </c>
      <c r="N71" s="1">
        <v>-30.82</v>
      </c>
      <c r="O71" s="1">
        <v>5.63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 cm="1">
        <f t="array" ref="V71">SUM(ABS(G71:U71))</f>
        <v>511.53999999999991</v>
      </c>
      <c r="W71" s="11" cm="1">
        <f t="array" ref="W71">SUM(ABS(B71:E71))+SUM(ABS(G71:U71))</f>
        <v>948.7399999999999</v>
      </c>
    </row>
    <row r="72" spans="1:23" x14ac:dyDescent="0.3">
      <c r="A72" s="14">
        <v>45782.6875</v>
      </c>
      <c r="B72" s="1">
        <v>-221.32</v>
      </c>
      <c r="C72" s="1">
        <v>35.619999999999997</v>
      </c>
      <c r="D72" s="1">
        <v>15.23</v>
      </c>
      <c r="E72" s="1">
        <v>12.72</v>
      </c>
      <c r="F72" s="1" cm="1">
        <f t="array" ref="F72">SUM(ABS(B72:E72))</f>
        <v>284.89000000000004</v>
      </c>
      <c r="G72" s="1">
        <v>36.18</v>
      </c>
      <c r="H72" s="1">
        <v>273.52999999999997</v>
      </c>
      <c r="I72" s="1">
        <v>-55.23</v>
      </c>
      <c r="J72" s="1">
        <v>95.62</v>
      </c>
      <c r="K72" s="1">
        <v>0</v>
      </c>
      <c r="L72" s="1">
        <v>-24.1</v>
      </c>
      <c r="M72" s="1">
        <v>0</v>
      </c>
      <c r="N72" s="1">
        <v>-30.83</v>
      </c>
      <c r="O72" s="1">
        <v>5.62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 cm="1">
        <f t="array" ref="V72">SUM(ABS(G72:U72))</f>
        <v>521.11</v>
      </c>
      <c r="W72" s="11" cm="1">
        <f t="array" ref="W72">SUM(ABS(B72:E72))+SUM(ABS(G72:U72))</f>
        <v>806</v>
      </c>
    </row>
    <row r="73" spans="1:23" x14ac:dyDescent="0.3">
      <c r="A73" s="14">
        <v>45782.697916666664</v>
      </c>
      <c r="B73" s="1">
        <v>-224.81</v>
      </c>
      <c r="C73" s="1">
        <v>35.630000000000003</v>
      </c>
      <c r="D73" s="1">
        <v>12</v>
      </c>
      <c r="E73" s="1">
        <v>12.71</v>
      </c>
      <c r="F73" s="1" cm="1">
        <f t="array" ref="F73">SUM(ABS(B73:E73))</f>
        <v>285.14999999999998</v>
      </c>
      <c r="G73" s="1">
        <v>36.090000000000003</v>
      </c>
      <c r="H73" s="1">
        <v>274.02</v>
      </c>
      <c r="I73" s="1">
        <v>-55.22</v>
      </c>
      <c r="J73" s="1">
        <v>97.81</v>
      </c>
      <c r="K73" s="1">
        <v>0</v>
      </c>
      <c r="L73" s="1">
        <v>-24.46</v>
      </c>
      <c r="M73" s="1">
        <v>0</v>
      </c>
      <c r="N73" s="1">
        <v>-30.82</v>
      </c>
      <c r="O73" s="1">
        <v>5.62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 cm="1">
        <f t="array" ref="V73">SUM(ABS(G73:U73))</f>
        <v>524.04000000000008</v>
      </c>
      <c r="W73" s="11" cm="1">
        <f t="array" ref="W73">SUM(ABS(B73:E73))+SUM(ABS(G73:U73))</f>
        <v>809.19</v>
      </c>
    </row>
    <row r="74" spans="1:23" x14ac:dyDescent="0.3">
      <c r="A74" s="14">
        <v>45782.708333333336</v>
      </c>
      <c r="B74" s="1">
        <v>-212.66</v>
      </c>
      <c r="C74" s="1">
        <v>35.61</v>
      </c>
      <c r="D74" s="1">
        <v>12</v>
      </c>
      <c r="E74" s="1">
        <v>12.64</v>
      </c>
      <c r="F74" s="1" cm="1">
        <f t="array" ref="F74">SUM(ABS(B74:E74))</f>
        <v>272.90999999999997</v>
      </c>
      <c r="G74" s="1">
        <v>46.14</v>
      </c>
      <c r="H74" s="1">
        <v>273.58999999999997</v>
      </c>
      <c r="I74" s="1">
        <v>-55.23</v>
      </c>
      <c r="J74" s="1">
        <v>96.27</v>
      </c>
      <c r="K74" s="1">
        <v>0</v>
      </c>
      <c r="L74" s="1">
        <v>-24.3</v>
      </c>
      <c r="M74" s="1">
        <v>0</v>
      </c>
      <c r="N74" s="1">
        <v>-30.83</v>
      </c>
      <c r="O74" s="1">
        <v>5.62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 cm="1">
        <f t="array" ref="V74">SUM(ABS(G74:U74))</f>
        <v>531.98</v>
      </c>
      <c r="W74" s="11" cm="1">
        <f t="array" ref="W74">SUM(ABS(B74:E74))+SUM(ABS(G74:U74))</f>
        <v>804.89</v>
      </c>
    </row>
    <row r="75" spans="1:23" x14ac:dyDescent="0.3">
      <c r="A75" s="14">
        <v>45782.71875</v>
      </c>
      <c r="B75" s="1">
        <v>-325.45</v>
      </c>
      <c r="C75" s="1">
        <v>35.6</v>
      </c>
      <c r="D75" s="1">
        <v>12</v>
      </c>
      <c r="E75" s="1">
        <v>12.65</v>
      </c>
      <c r="F75" s="1" cm="1">
        <f t="array" ref="F75">SUM(ABS(B75:E75))</f>
        <v>385.7</v>
      </c>
      <c r="G75" s="1">
        <v>46.11</v>
      </c>
      <c r="H75" s="1">
        <v>273.33999999999997</v>
      </c>
      <c r="I75" s="1">
        <v>-55.22</v>
      </c>
      <c r="J75" s="1">
        <v>100.56</v>
      </c>
      <c r="K75" s="1">
        <v>0</v>
      </c>
      <c r="L75" s="1">
        <v>-24.19</v>
      </c>
      <c r="M75" s="1">
        <v>0</v>
      </c>
      <c r="N75" s="1">
        <v>-30.82</v>
      </c>
      <c r="O75" s="1">
        <v>5.61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 cm="1">
        <f t="array" ref="V75">SUM(ABS(G75:U75))</f>
        <v>535.85</v>
      </c>
      <c r="W75" s="11" cm="1">
        <f t="array" ref="W75">SUM(ABS(B75:E75))+SUM(ABS(G75:U75))</f>
        <v>921.55</v>
      </c>
    </row>
    <row r="76" spans="1:23" x14ac:dyDescent="0.3">
      <c r="A76" s="14">
        <v>45782.729166666664</v>
      </c>
      <c r="B76" s="1">
        <v>-338.43</v>
      </c>
      <c r="C76" s="1">
        <v>35.630000000000003</v>
      </c>
      <c r="D76" s="1">
        <v>12</v>
      </c>
      <c r="E76" s="1">
        <v>12.63</v>
      </c>
      <c r="F76" s="1" cm="1">
        <f t="array" ref="F76">SUM(ABS(B76:E76))</f>
        <v>398.69</v>
      </c>
      <c r="G76" s="1">
        <v>54.21</v>
      </c>
      <c r="H76" s="1">
        <v>271.25</v>
      </c>
      <c r="I76" s="1">
        <v>-55.23</v>
      </c>
      <c r="J76" s="1">
        <v>119.16</v>
      </c>
      <c r="K76" s="1">
        <v>0</v>
      </c>
      <c r="L76" s="1">
        <v>-23.7</v>
      </c>
      <c r="M76" s="1">
        <v>0</v>
      </c>
      <c r="N76" s="1">
        <v>-30.84</v>
      </c>
      <c r="O76" s="1">
        <v>5.61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 cm="1">
        <f t="array" ref="V76">SUM(ABS(G76:U76))</f>
        <v>560.00000000000011</v>
      </c>
      <c r="W76" s="11" cm="1">
        <f t="array" ref="W76">SUM(ABS(B76:E76))+SUM(ABS(G76:U76))</f>
        <v>958.69</v>
      </c>
    </row>
    <row r="77" spans="1:23" x14ac:dyDescent="0.3">
      <c r="A77" s="14">
        <v>45782.739583333336</v>
      </c>
      <c r="B77" s="1">
        <v>-282.25</v>
      </c>
      <c r="C77" s="1">
        <v>35.61</v>
      </c>
      <c r="D77" s="1">
        <v>12</v>
      </c>
      <c r="E77" s="1">
        <v>12.62</v>
      </c>
      <c r="F77" s="1" cm="1">
        <f t="array" ref="F77">SUM(ABS(B77:E77))</f>
        <v>342.48</v>
      </c>
      <c r="G77" s="1">
        <v>54.2</v>
      </c>
      <c r="H77" s="1">
        <v>265.7</v>
      </c>
      <c r="I77" s="1">
        <v>-55.2</v>
      </c>
      <c r="J77" s="1">
        <v>114.42</v>
      </c>
      <c r="K77" s="1">
        <v>0</v>
      </c>
      <c r="L77" s="1">
        <v>-24.41</v>
      </c>
      <c r="M77" s="1">
        <v>0</v>
      </c>
      <c r="N77" s="1">
        <v>-30.81</v>
      </c>
      <c r="O77" s="1">
        <v>5.07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 cm="1">
        <f t="array" ref="V77">SUM(ABS(G77:U77))</f>
        <v>549.80999999999995</v>
      </c>
      <c r="W77" s="11" cm="1">
        <f t="array" ref="W77">SUM(ABS(B77:E77))+SUM(ABS(G77:U77))</f>
        <v>892.29</v>
      </c>
    </row>
    <row r="78" spans="1:23" x14ac:dyDescent="0.3">
      <c r="A78" s="14">
        <v>45782.75</v>
      </c>
      <c r="B78" s="1">
        <v>-172.36</v>
      </c>
      <c r="C78" s="1">
        <v>35.58</v>
      </c>
      <c r="D78" s="1">
        <v>12</v>
      </c>
      <c r="E78" s="1">
        <v>15.68</v>
      </c>
      <c r="F78" s="1" cm="1">
        <f t="array" ref="F78">SUM(ABS(B78:E78))</f>
        <v>235.62</v>
      </c>
      <c r="G78" s="1">
        <v>54.23</v>
      </c>
      <c r="H78" s="1">
        <v>253.8</v>
      </c>
      <c r="I78" s="1">
        <v>-55.16</v>
      </c>
      <c r="J78" s="1">
        <v>109.95</v>
      </c>
      <c r="K78" s="1">
        <v>0</v>
      </c>
      <c r="L78" s="1">
        <v>-33.450000000000003</v>
      </c>
      <c r="M78" s="1">
        <v>0</v>
      </c>
      <c r="N78" s="1">
        <v>-30.86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 cm="1">
        <f t="array" ref="V78">SUM(ABS(G78:U78))</f>
        <v>537.45000000000005</v>
      </c>
      <c r="W78" s="11" cm="1">
        <f t="array" ref="W78">SUM(ABS(B78:E78))+SUM(ABS(G78:U78))</f>
        <v>773.07</v>
      </c>
    </row>
    <row r="79" spans="1:23" x14ac:dyDescent="0.3">
      <c r="A79" s="14">
        <v>45782.760416666664</v>
      </c>
      <c r="B79" s="1">
        <v>-240.22</v>
      </c>
      <c r="C79" s="1">
        <v>35.590000000000003</v>
      </c>
      <c r="D79" s="1">
        <v>12</v>
      </c>
      <c r="E79" s="1">
        <v>19.02</v>
      </c>
      <c r="F79" s="1" cm="1">
        <f t="array" ref="F79">SUM(ABS(B79:E79))</f>
        <v>306.83</v>
      </c>
      <c r="G79" s="1">
        <v>54.22</v>
      </c>
      <c r="H79" s="1">
        <v>265.02999999999997</v>
      </c>
      <c r="I79" s="1">
        <v>-55.2</v>
      </c>
      <c r="J79" s="1">
        <v>124.52</v>
      </c>
      <c r="K79" s="1">
        <v>14.33</v>
      </c>
      <c r="L79" s="1">
        <v>-54.44</v>
      </c>
      <c r="M79" s="1">
        <v>0</v>
      </c>
      <c r="N79" s="1">
        <v>-30.84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 cm="1">
        <f t="array" ref="V79">SUM(ABS(G79:U79))</f>
        <v>598.58000000000004</v>
      </c>
      <c r="W79" s="11" cm="1">
        <f t="array" ref="W79">SUM(ABS(B79:E79))+SUM(ABS(G79:U79))</f>
        <v>905.41000000000008</v>
      </c>
    </row>
    <row r="80" spans="1:23" x14ac:dyDescent="0.3">
      <c r="A80" s="14">
        <v>45782.770833333336</v>
      </c>
      <c r="B80" s="1">
        <v>-370.56</v>
      </c>
      <c r="C80" s="1">
        <v>35.6</v>
      </c>
      <c r="D80" s="1">
        <v>37.83</v>
      </c>
      <c r="E80" s="1">
        <v>21.44</v>
      </c>
      <c r="F80" s="1" cm="1">
        <f t="array" ref="F80">SUM(ABS(B80:E80))</f>
        <v>465.43</v>
      </c>
      <c r="G80" s="1">
        <v>54.22</v>
      </c>
      <c r="H80" s="1">
        <v>259.7</v>
      </c>
      <c r="I80" s="1">
        <v>-55.18</v>
      </c>
      <c r="J80" s="1">
        <v>133.87</v>
      </c>
      <c r="K80" s="1">
        <v>73.63</v>
      </c>
      <c r="L80" s="1">
        <v>-54.75</v>
      </c>
      <c r="M80" s="1">
        <v>0</v>
      </c>
      <c r="N80" s="1">
        <v>-30.87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 cm="1">
        <f t="array" ref="V80">SUM(ABS(G80:U80))</f>
        <v>662.21999999999991</v>
      </c>
      <c r="W80" s="11" cm="1">
        <f t="array" ref="W80">SUM(ABS(B80:E80))+SUM(ABS(G80:U80))</f>
        <v>1127.6499999999999</v>
      </c>
    </row>
    <row r="81" spans="1:23" x14ac:dyDescent="0.3">
      <c r="A81" s="14">
        <v>45782.78125</v>
      </c>
      <c r="B81" s="1">
        <v>-559.94000000000005</v>
      </c>
      <c r="C81" s="1">
        <v>35.64</v>
      </c>
      <c r="D81" s="1">
        <v>63.8</v>
      </c>
      <c r="E81" s="1">
        <v>39.25</v>
      </c>
      <c r="F81" s="1" cm="1">
        <f t="array" ref="F81">SUM(ABS(B81:E81))</f>
        <v>698.63</v>
      </c>
      <c r="G81" s="1">
        <v>54.22</v>
      </c>
      <c r="H81" s="1">
        <v>267.66000000000003</v>
      </c>
      <c r="I81" s="1">
        <v>-55.2</v>
      </c>
      <c r="J81" s="1">
        <v>172.31</v>
      </c>
      <c r="K81" s="1">
        <v>107.31</v>
      </c>
      <c r="L81" s="1">
        <v>-56.48</v>
      </c>
      <c r="M81" s="1">
        <v>0</v>
      </c>
      <c r="N81" s="1">
        <v>-30.89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 cm="1">
        <f t="array" ref="V81">SUM(ABS(G81:U81))</f>
        <v>744.07</v>
      </c>
      <c r="W81" s="11" cm="1">
        <f t="array" ref="W81">SUM(ABS(B81:E81))+SUM(ABS(G81:U81))</f>
        <v>1442.7</v>
      </c>
    </row>
    <row r="82" spans="1:23" x14ac:dyDescent="0.3">
      <c r="A82" s="14">
        <v>45782.791666666664</v>
      </c>
      <c r="B82" s="1">
        <v>-537.38</v>
      </c>
      <c r="C82" s="1">
        <v>35.65</v>
      </c>
      <c r="D82" s="1">
        <v>67</v>
      </c>
      <c r="E82" s="1">
        <v>50.48</v>
      </c>
      <c r="F82" s="1" cm="1">
        <f t="array" ref="F82">SUM(ABS(B82:E82))</f>
        <v>690.51</v>
      </c>
      <c r="G82" s="1">
        <v>54.23</v>
      </c>
      <c r="H82" s="1">
        <v>261.88</v>
      </c>
      <c r="I82" s="1">
        <v>-55.17</v>
      </c>
      <c r="J82" s="1">
        <v>183.9</v>
      </c>
      <c r="K82" s="1">
        <v>96.5</v>
      </c>
      <c r="L82" s="1">
        <v>-55.22</v>
      </c>
      <c r="M82" s="1">
        <v>0</v>
      </c>
      <c r="N82" s="1">
        <v>-30.92</v>
      </c>
      <c r="O82" s="1">
        <v>4.21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 cm="1">
        <f t="array" ref="V82">SUM(ABS(G82:U82))</f>
        <v>742.03000000000009</v>
      </c>
      <c r="W82" s="11" cm="1">
        <f t="array" ref="W82">SUM(ABS(B82:E82))+SUM(ABS(G82:U82))</f>
        <v>1432.54</v>
      </c>
    </row>
    <row r="83" spans="1:23" x14ac:dyDescent="0.3">
      <c r="A83" s="14">
        <v>45782.802083333336</v>
      </c>
      <c r="B83" s="1">
        <v>-572.08000000000004</v>
      </c>
      <c r="C83" s="1">
        <v>35.799999999999997</v>
      </c>
      <c r="D83" s="1">
        <v>67</v>
      </c>
      <c r="E83" s="1">
        <v>50.63</v>
      </c>
      <c r="F83" s="1" cm="1">
        <f t="array" ref="F83">SUM(ABS(B83:E83))</f>
        <v>725.51</v>
      </c>
      <c r="G83" s="1">
        <v>54.22</v>
      </c>
      <c r="H83" s="1">
        <v>268.22000000000003</v>
      </c>
      <c r="I83" s="1">
        <v>-55.2</v>
      </c>
      <c r="J83" s="1">
        <v>188.64</v>
      </c>
      <c r="K83" s="1">
        <v>90.39</v>
      </c>
      <c r="L83" s="1">
        <v>-56.59</v>
      </c>
      <c r="M83" s="1">
        <v>0</v>
      </c>
      <c r="N83" s="1">
        <v>-30.93</v>
      </c>
      <c r="O83" s="1">
        <v>5.12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 cm="1">
        <f t="array" ref="V83">SUM(ABS(G83:U83))</f>
        <v>749.31</v>
      </c>
      <c r="W83" s="11" cm="1">
        <f t="array" ref="W83">SUM(ABS(B83:E83))+SUM(ABS(G83:U83))</f>
        <v>1474.82</v>
      </c>
    </row>
    <row r="84" spans="1:23" x14ac:dyDescent="0.3">
      <c r="A84" s="14">
        <v>45782.8125</v>
      </c>
      <c r="B84" s="1">
        <v>-575.70000000000005</v>
      </c>
      <c r="C84" s="1">
        <v>35.86</v>
      </c>
      <c r="D84" s="1">
        <v>67</v>
      </c>
      <c r="E84" s="1">
        <v>50.62</v>
      </c>
      <c r="F84" s="1" cm="1">
        <f t="array" ref="F84">SUM(ABS(B84:E84))</f>
        <v>729.18000000000006</v>
      </c>
      <c r="G84" s="1">
        <v>54.23</v>
      </c>
      <c r="H84" s="1">
        <v>272.66000000000003</v>
      </c>
      <c r="I84" s="1">
        <v>-55.21</v>
      </c>
      <c r="J84" s="1">
        <v>192.39</v>
      </c>
      <c r="K84" s="1">
        <v>90.37</v>
      </c>
      <c r="L84" s="1">
        <v>-57.77</v>
      </c>
      <c r="M84" s="1">
        <v>0</v>
      </c>
      <c r="N84" s="1">
        <v>-30.94</v>
      </c>
      <c r="O84" s="1">
        <v>5.12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 cm="1">
        <f t="array" ref="V84">SUM(ABS(G84:U84))</f>
        <v>758.69</v>
      </c>
      <c r="W84" s="11" cm="1">
        <f t="array" ref="W84">SUM(ABS(B84:E84))+SUM(ABS(G84:U84))</f>
        <v>1487.8700000000001</v>
      </c>
    </row>
    <row r="85" spans="1:23" x14ac:dyDescent="0.3">
      <c r="A85" s="14">
        <v>45782.822916666664</v>
      </c>
      <c r="B85" s="1">
        <v>-587.74</v>
      </c>
      <c r="C85" s="1">
        <v>35.880000000000003</v>
      </c>
      <c r="D85" s="1">
        <v>67</v>
      </c>
      <c r="E85" s="1">
        <v>50.65</v>
      </c>
      <c r="F85" s="1" cm="1">
        <f t="array" ref="F85">SUM(ABS(B85:E85))</f>
        <v>741.27</v>
      </c>
      <c r="G85" s="1">
        <v>54.21</v>
      </c>
      <c r="H85" s="1">
        <v>270.17</v>
      </c>
      <c r="I85" s="1">
        <v>-55.18</v>
      </c>
      <c r="J85" s="1">
        <v>190.26</v>
      </c>
      <c r="K85" s="1">
        <v>90.3</v>
      </c>
      <c r="L85" s="1">
        <v>-56.98</v>
      </c>
      <c r="M85" s="1">
        <v>0</v>
      </c>
      <c r="N85" s="1">
        <v>-30.93</v>
      </c>
      <c r="O85" s="1">
        <v>5.12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 cm="1">
        <f t="array" ref="V85">SUM(ABS(G85:U85))</f>
        <v>753.14999999999986</v>
      </c>
      <c r="W85" s="11" cm="1">
        <f t="array" ref="W85">SUM(ABS(B85:E85))+SUM(ABS(G85:U85))</f>
        <v>1494.4199999999998</v>
      </c>
    </row>
    <row r="86" spans="1:23" x14ac:dyDescent="0.3">
      <c r="A86" s="14">
        <v>45782.833333333336</v>
      </c>
      <c r="B86" s="1">
        <v>-545.58000000000004</v>
      </c>
      <c r="C86" s="1">
        <v>35.880000000000003</v>
      </c>
      <c r="D86" s="1">
        <v>67</v>
      </c>
      <c r="E86" s="1">
        <v>50.65</v>
      </c>
      <c r="F86" s="1" cm="1">
        <f t="array" ref="F86">SUM(ABS(B86:E86))</f>
        <v>699.11</v>
      </c>
      <c r="G86" s="1">
        <v>54.23</v>
      </c>
      <c r="H86" s="1">
        <v>268.58999999999997</v>
      </c>
      <c r="I86" s="1">
        <v>-55.17</v>
      </c>
      <c r="J86" s="1">
        <v>188.8</v>
      </c>
      <c r="K86" s="1">
        <v>90.26</v>
      </c>
      <c r="L86" s="1">
        <v>-56.67</v>
      </c>
      <c r="M86" s="1">
        <v>0</v>
      </c>
      <c r="N86" s="1">
        <v>-30.93</v>
      </c>
      <c r="O86" s="1">
        <v>5.12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 cm="1">
        <f t="array" ref="V86">SUM(ABS(G86:U86))</f>
        <v>749.76999999999987</v>
      </c>
      <c r="W86" s="11" cm="1">
        <f t="array" ref="W86">SUM(ABS(B86:E86))+SUM(ABS(G86:U86))</f>
        <v>1448.8799999999999</v>
      </c>
    </row>
    <row r="87" spans="1:23" x14ac:dyDescent="0.3">
      <c r="A87" s="14">
        <v>45782.84375</v>
      </c>
      <c r="B87" s="1">
        <v>-517.04999999999995</v>
      </c>
      <c r="C87" s="1">
        <v>35.869999999999997</v>
      </c>
      <c r="D87" s="1">
        <v>67</v>
      </c>
      <c r="E87" s="1">
        <v>50.64</v>
      </c>
      <c r="F87" s="1" cm="1">
        <f t="array" ref="F87">SUM(ABS(B87:E87))</f>
        <v>670.56</v>
      </c>
      <c r="G87" s="1">
        <v>54.22</v>
      </c>
      <c r="H87" s="1">
        <v>271.27999999999997</v>
      </c>
      <c r="I87" s="1">
        <v>-55.17</v>
      </c>
      <c r="J87" s="1">
        <v>191.29</v>
      </c>
      <c r="K87" s="1">
        <v>90.26</v>
      </c>
      <c r="L87" s="1">
        <v>-57.36</v>
      </c>
      <c r="M87" s="1">
        <v>0</v>
      </c>
      <c r="N87" s="1">
        <v>-30.93</v>
      </c>
      <c r="O87" s="1">
        <v>5.12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 cm="1">
        <f t="array" ref="V87">SUM(ABS(G87:U87))</f>
        <v>755.63</v>
      </c>
      <c r="W87" s="11" cm="1">
        <f t="array" ref="W87">SUM(ABS(B87:E87))+SUM(ABS(G87:U87))</f>
        <v>1426.19</v>
      </c>
    </row>
    <row r="88" spans="1:23" x14ac:dyDescent="0.3">
      <c r="A88" s="14">
        <v>45782.854166666664</v>
      </c>
      <c r="B88" s="1">
        <v>-585.39</v>
      </c>
      <c r="C88" s="1">
        <v>35.89</v>
      </c>
      <c r="D88" s="1">
        <v>67</v>
      </c>
      <c r="E88" s="1">
        <v>50.66</v>
      </c>
      <c r="F88" s="1" cm="1">
        <f t="array" ref="F88">SUM(ABS(B88:E88))</f>
        <v>738.93999999999994</v>
      </c>
      <c r="G88" s="1">
        <v>54.22</v>
      </c>
      <c r="H88" s="1">
        <v>272.54000000000002</v>
      </c>
      <c r="I88" s="1">
        <v>-55.18</v>
      </c>
      <c r="J88" s="1">
        <v>192.9</v>
      </c>
      <c r="K88" s="1">
        <v>90.3</v>
      </c>
      <c r="L88" s="1">
        <v>-58.23</v>
      </c>
      <c r="M88" s="1">
        <v>0</v>
      </c>
      <c r="N88" s="1">
        <v>-30.94</v>
      </c>
      <c r="O88" s="1">
        <v>5.12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 cm="1">
        <f t="array" ref="V88">SUM(ABS(G88:U88))</f>
        <v>759.43000000000006</v>
      </c>
      <c r="W88" s="11" cm="1">
        <f t="array" ref="W88">SUM(ABS(B88:E88))+SUM(ABS(G88:U88))</f>
        <v>1498.37</v>
      </c>
    </row>
    <row r="89" spans="1:23" x14ac:dyDescent="0.3">
      <c r="A89" s="14">
        <v>45782.864583333336</v>
      </c>
      <c r="B89" s="1">
        <v>-605.70000000000005</v>
      </c>
      <c r="C89" s="1">
        <v>35.880000000000003</v>
      </c>
      <c r="D89" s="1">
        <v>67</v>
      </c>
      <c r="E89" s="1">
        <v>50.67</v>
      </c>
      <c r="F89" s="1" cm="1">
        <f t="array" ref="F89">SUM(ABS(B89:E89))</f>
        <v>759.25</v>
      </c>
      <c r="G89" s="1">
        <v>54.22</v>
      </c>
      <c r="H89" s="1">
        <v>272.60000000000002</v>
      </c>
      <c r="I89" s="1">
        <v>-55.2</v>
      </c>
      <c r="J89" s="1">
        <v>193.3</v>
      </c>
      <c r="K89" s="1">
        <v>90.27</v>
      </c>
      <c r="L89" s="1">
        <v>-58.59</v>
      </c>
      <c r="M89" s="1">
        <v>0</v>
      </c>
      <c r="N89" s="1">
        <v>-30.94</v>
      </c>
      <c r="O89" s="1">
        <v>5.12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 cm="1">
        <f t="array" ref="V89">SUM(ABS(G89:U89))</f>
        <v>760.24000000000012</v>
      </c>
      <c r="W89" s="11" cm="1">
        <f t="array" ref="W89">SUM(ABS(B89:E89))+SUM(ABS(G89:U89))</f>
        <v>1519.4900000000002</v>
      </c>
    </row>
    <row r="90" spans="1:23" x14ac:dyDescent="0.3">
      <c r="A90" s="14">
        <v>45782.875</v>
      </c>
      <c r="B90" s="1">
        <v>-610.13</v>
      </c>
      <c r="C90" s="1">
        <v>35.880000000000003</v>
      </c>
      <c r="D90" s="1">
        <v>67</v>
      </c>
      <c r="E90" s="1">
        <v>50.71</v>
      </c>
      <c r="F90" s="1" cm="1">
        <f t="array" ref="F90">SUM(ABS(B90:E90))</f>
        <v>763.72</v>
      </c>
      <c r="G90" s="1">
        <v>54.22</v>
      </c>
      <c r="H90" s="1">
        <v>272.55</v>
      </c>
      <c r="I90" s="1">
        <v>-55.22</v>
      </c>
      <c r="J90" s="1">
        <v>194.03</v>
      </c>
      <c r="K90" s="1">
        <v>90.24</v>
      </c>
      <c r="L90" s="1">
        <v>-58.45</v>
      </c>
      <c r="M90" s="1">
        <v>0</v>
      </c>
      <c r="N90" s="1">
        <v>-30.94</v>
      </c>
      <c r="O90" s="1">
        <v>5.2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 cm="1">
        <f t="array" ref="V90">SUM(ABS(G90:U90))</f>
        <v>760.85000000000014</v>
      </c>
      <c r="W90" s="11" cm="1">
        <f t="array" ref="W90">SUM(ABS(B90:E90))+SUM(ABS(G90:U90))</f>
        <v>1524.5700000000002</v>
      </c>
    </row>
    <row r="91" spans="1:23" x14ac:dyDescent="0.3">
      <c r="A91" s="14">
        <v>45782.885416666664</v>
      </c>
      <c r="B91" s="1">
        <v>-592.03</v>
      </c>
      <c r="C91" s="1">
        <v>35.9</v>
      </c>
      <c r="D91" s="1">
        <v>67</v>
      </c>
      <c r="E91" s="1">
        <v>28.65</v>
      </c>
      <c r="F91" s="1" cm="1">
        <f t="array" ref="F91">SUM(ABS(B91:E91))</f>
        <v>723.57999999999993</v>
      </c>
      <c r="G91" s="1">
        <v>54.23</v>
      </c>
      <c r="H91" s="1">
        <v>271.98</v>
      </c>
      <c r="I91" s="1">
        <v>-55.18</v>
      </c>
      <c r="J91" s="1">
        <v>190.99</v>
      </c>
      <c r="K91" s="1">
        <v>90.13</v>
      </c>
      <c r="L91" s="1">
        <v>-57.41</v>
      </c>
      <c r="M91" s="1">
        <v>0</v>
      </c>
      <c r="N91" s="1">
        <v>-30.88</v>
      </c>
      <c r="O91" s="1">
        <v>10.29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 cm="1">
        <f t="array" ref="V91">SUM(ABS(G91:U91))</f>
        <v>761.09</v>
      </c>
      <c r="W91" s="11" cm="1">
        <f t="array" ref="W91">SUM(ABS(B91:E91))+SUM(ABS(G91:U91))</f>
        <v>1484.67</v>
      </c>
    </row>
    <row r="92" spans="1:23" x14ac:dyDescent="0.3">
      <c r="A92" s="14">
        <v>45782.895833333336</v>
      </c>
      <c r="B92" s="1">
        <v>-601.62</v>
      </c>
      <c r="C92" s="1">
        <v>35.92</v>
      </c>
      <c r="D92" s="1">
        <v>67</v>
      </c>
      <c r="E92" s="1">
        <v>25.77</v>
      </c>
      <c r="F92" s="1" cm="1">
        <f t="array" ref="F92">SUM(ABS(B92:E92))</f>
        <v>730.31</v>
      </c>
      <c r="G92" s="1">
        <v>54.24</v>
      </c>
      <c r="H92" s="1">
        <v>272.68</v>
      </c>
      <c r="I92" s="1">
        <v>-55.22</v>
      </c>
      <c r="J92" s="1">
        <v>193.38</v>
      </c>
      <c r="K92" s="1">
        <v>102.23</v>
      </c>
      <c r="L92" s="1">
        <v>-58</v>
      </c>
      <c r="M92" s="1">
        <v>0</v>
      </c>
      <c r="N92" s="1">
        <v>-30.9</v>
      </c>
      <c r="O92" s="1">
        <v>10.3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 cm="1">
        <f t="array" ref="V92">SUM(ABS(G92:U92))</f>
        <v>776.94999999999993</v>
      </c>
      <c r="W92" s="11" cm="1">
        <f t="array" ref="W92">SUM(ABS(B92:E92))+SUM(ABS(G92:U92))</f>
        <v>1507.2599999999998</v>
      </c>
    </row>
    <row r="93" spans="1:23" x14ac:dyDescent="0.3">
      <c r="A93" s="14">
        <v>45782.90625</v>
      </c>
      <c r="B93" s="1">
        <v>-601.22</v>
      </c>
      <c r="C93" s="1">
        <v>35.9</v>
      </c>
      <c r="D93" s="1">
        <v>67</v>
      </c>
      <c r="E93" s="1">
        <v>25.76</v>
      </c>
      <c r="F93" s="1" cm="1">
        <f t="array" ref="F93">SUM(ABS(B93:E93))</f>
        <v>729.88</v>
      </c>
      <c r="G93" s="1">
        <v>54.22</v>
      </c>
      <c r="H93" s="1">
        <v>272.69</v>
      </c>
      <c r="I93" s="1">
        <v>-55.16</v>
      </c>
      <c r="J93" s="1">
        <v>193.13</v>
      </c>
      <c r="K93" s="1">
        <v>117.27</v>
      </c>
      <c r="L93" s="1">
        <v>-57.81</v>
      </c>
      <c r="M93" s="1">
        <v>0</v>
      </c>
      <c r="N93" s="1">
        <v>-30.87</v>
      </c>
      <c r="O93" s="1">
        <v>10.31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 cm="1">
        <f t="array" ref="V93">SUM(ABS(G93:U93))</f>
        <v>791.45999999999992</v>
      </c>
      <c r="W93" s="11" cm="1">
        <f t="array" ref="W93">SUM(ABS(B93:E93))+SUM(ABS(G93:U93))</f>
        <v>1521.34</v>
      </c>
    </row>
    <row r="94" spans="1:23" x14ac:dyDescent="0.3">
      <c r="A94" s="14">
        <v>45782.916666666664</v>
      </c>
      <c r="B94" s="1">
        <v>-618.37</v>
      </c>
      <c r="C94" s="1">
        <v>35.94</v>
      </c>
      <c r="D94" s="1">
        <v>67</v>
      </c>
      <c r="E94" s="1">
        <v>35.659999999999997</v>
      </c>
      <c r="F94" s="1" cm="1">
        <f t="array" ref="F94">SUM(ABS(B94:E94))</f>
        <v>756.96999999999991</v>
      </c>
      <c r="G94" s="1">
        <v>54.23</v>
      </c>
      <c r="H94" s="1">
        <v>272.7</v>
      </c>
      <c r="I94" s="1">
        <v>-55.17</v>
      </c>
      <c r="J94" s="1">
        <v>195.41</v>
      </c>
      <c r="K94" s="1">
        <v>117</v>
      </c>
      <c r="L94" s="1">
        <v>-58.57</v>
      </c>
      <c r="M94" s="1">
        <v>0</v>
      </c>
      <c r="N94" s="1">
        <v>-30.94</v>
      </c>
      <c r="O94" s="1">
        <v>10.31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 cm="1">
        <f t="array" ref="V94">SUM(ABS(G94:U94))</f>
        <v>794.33</v>
      </c>
      <c r="W94" s="11" cm="1">
        <f t="array" ref="W94">SUM(ABS(B94:E94))+SUM(ABS(G94:U94))</f>
        <v>1551.3</v>
      </c>
    </row>
    <row r="95" spans="1:23" x14ac:dyDescent="0.3">
      <c r="A95" s="14">
        <v>45782.927083333336</v>
      </c>
      <c r="B95" s="1">
        <v>-689.49</v>
      </c>
      <c r="C95" s="1">
        <v>35.93</v>
      </c>
      <c r="D95" s="1">
        <v>67</v>
      </c>
      <c r="E95" s="1">
        <v>50.74</v>
      </c>
      <c r="F95" s="1" cm="1">
        <f t="array" ref="F95">SUM(ABS(B95:E95))</f>
        <v>843.16</v>
      </c>
      <c r="G95" s="1">
        <v>54.21</v>
      </c>
      <c r="H95" s="1">
        <v>272.77999999999997</v>
      </c>
      <c r="I95" s="1">
        <v>-55.13</v>
      </c>
      <c r="J95" s="1">
        <v>190.27</v>
      </c>
      <c r="K95" s="1">
        <v>116.86</v>
      </c>
      <c r="L95" s="1">
        <v>-58.06</v>
      </c>
      <c r="M95" s="1">
        <v>0</v>
      </c>
      <c r="N95" s="1">
        <v>-30.89</v>
      </c>
      <c r="O95" s="1">
        <v>10.32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 cm="1">
        <f t="array" ref="V95">SUM(ABS(G95:U95))</f>
        <v>788.52</v>
      </c>
      <c r="W95" s="11" cm="1">
        <f t="array" ref="W95">SUM(ABS(B95:E95))+SUM(ABS(G95:U95))</f>
        <v>1631.6799999999998</v>
      </c>
    </row>
    <row r="96" spans="1:23" x14ac:dyDescent="0.3">
      <c r="A96" s="14">
        <v>45782.9375</v>
      </c>
      <c r="B96" s="1">
        <v>-528.21</v>
      </c>
      <c r="C96" s="1">
        <v>35.950000000000003</v>
      </c>
      <c r="D96" s="1">
        <v>67</v>
      </c>
      <c r="E96" s="1">
        <v>50.69</v>
      </c>
      <c r="F96" s="1" cm="1">
        <f t="array" ref="F96">SUM(ABS(B96:E96))</f>
        <v>681.85000000000014</v>
      </c>
      <c r="G96" s="1">
        <v>54.23</v>
      </c>
      <c r="H96" s="1">
        <v>272.75</v>
      </c>
      <c r="I96" s="1">
        <v>-55.16</v>
      </c>
      <c r="J96" s="1">
        <v>192.25</v>
      </c>
      <c r="K96" s="1">
        <v>116.77</v>
      </c>
      <c r="L96" s="1">
        <v>-58.07</v>
      </c>
      <c r="M96" s="1">
        <v>0</v>
      </c>
      <c r="N96" s="1">
        <v>-30.91</v>
      </c>
      <c r="O96" s="1">
        <v>10.3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 cm="1">
        <f t="array" ref="V96">SUM(ABS(G96:U96))</f>
        <v>790.43999999999994</v>
      </c>
      <c r="W96" s="11" cm="1">
        <f t="array" ref="W96">SUM(ABS(B96:E96))+SUM(ABS(G96:U96))</f>
        <v>1472.29</v>
      </c>
    </row>
    <row r="97" spans="1:23" x14ac:dyDescent="0.3">
      <c r="A97" s="14">
        <v>45782.947916666664</v>
      </c>
      <c r="B97" s="1">
        <v>-408.61</v>
      </c>
      <c r="C97" s="1">
        <v>35.97</v>
      </c>
      <c r="D97" s="1">
        <v>67</v>
      </c>
      <c r="E97" s="1">
        <v>50.75</v>
      </c>
      <c r="F97" s="1" cm="1">
        <f t="array" ref="F97">SUM(ABS(B97:E97))</f>
        <v>562.33000000000004</v>
      </c>
      <c r="G97" s="1">
        <v>54.22</v>
      </c>
      <c r="H97" s="1">
        <v>272.43</v>
      </c>
      <c r="I97" s="1">
        <v>-55.18</v>
      </c>
      <c r="J97" s="1">
        <v>194.22</v>
      </c>
      <c r="K97" s="1">
        <v>116.69</v>
      </c>
      <c r="L97" s="1">
        <v>-58.57</v>
      </c>
      <c r="M97" s="1">
        <v>0</v>
      </c>
      <c r="N97" s="1">
        <v>-30.93</v>
      </c>
      <c r="O97" s="1">
        <v>10.31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 cm="1">
        <f t="array" ref="V97">SUM(ABS(G97:U97))</f>
        <v>792.55</v>
      </c>
      <c r="W97" s="11" cm="1">
        <f t="array" ref="W97">SUM(ABS(B97:E97))+SUM(ABS(G97:U97))</f>
        <v>1354.88</v>
      </c>
    </row>
    <row r="98" spans="1:23" x14ac:dyDescent="0.3">
      <c r="A98" s="14">
        <v>45782.958333333336</v>
      </c>
      <c r="B98" s="1">
        <v>-518.41999999999996</v>
      </c>
      <c r="C98" s="1">
        <v>35.979999999999997</v>
      </c>
      <c r="D98" s="1">
        <v>67</v>
      </c>
      <c r="E98" s="1">
        <v>50.75</v>
      </c>
      <c r="F98" s="1" cm="1">
        <f t="array" ref="F98">SUM(ABS(B98:E98))</f>
        <v>672.15</v>
      </c>
      <c r="G98" s="1">
        <v>54.23</v>
      </c>
      <c r="H98" s="1">
        <v>272.55</v>
      </c>
      <c r="I98" s="1">
        <v>-55.2</v>
      </c>
      <c r="J98" s="1">
        <v>196.36</v>
      </c>
      <c r="K98" s="1">
        <v>116.65</v>
      </c>
      <c r="L98" s="1">
        <v>-58.59</v>
      </c>
      <c r="M98" s="1">
        <v>0</v>
      </c>
      <c r="N98" s="1">
        <v>-30.95</v>
      </c>
      <c r="O98" s="1">
        <v>10.3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 cm="1">
        <f t="array" ref="V98">SUM(ABS(G98:U98))</f>
        <v>794.83</v>
      </c>
      <c r="W98" s="11" cm="1">
        <f t="array" ref="W98">SUM(ABS(B98:E98))+SUM(ABS(G98:U98))</f>
        <v>1466.98</v>
      </c>
    </row>
    <row r="99" spans="1:23" x14ac:dyDescent="0.3">
      <c r="A99" s="14">
        <v>45782.96875</v>
      </c>
      <c r="B99" s="1">
        <v>-675.96</v>
      </c>
      <c r="C99" s="1">
        <v>35.950000000000003</v>
      </c>
      <c r="D99" s="1">
        <v>67</v>
      </c>
      <c r="E99" s="1">
        <v>50.78</v>
      </c>
      <c r="F99" s="1" cm="1">
        <f t="array" ref="F99">SUM(ABS(B99:E99))</f>
        <v>829.69</v>
      </c>
      <c r="G99" s="1">
        <v>54.23</v>
      </c>
      <c r="H99" s="1">
        <v>272.60000000000002</v>
      </c>
      <c r="I99" s="1">
        <v>-55.19</v>
      </c>
      <c r="J99" s="1">
        <v>194.72</v>
      </c>
      <c r="K99" s="1">
        <v>116.57</v>
      </c>
      <c r="L99" s="1">
        <v>-58.25</v>
      </c>
      <c r="M99" s="1">
        <v>0</v>
      </c>
      <c r="N99" s="1">
        <v>-30.93</v>
      </c>
      <c r="O99" s="1">
        <v>10.31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 cm="1">
        <f t="array" ref="V99">SUM(ABS(G99:U99))</f>
        <v>792.79999999999984</v>
      </c>
      <c r="W99" s="11" cm="1">
        <f t="array" ref="W99">SUM(ABS(B99:E99))+SUM(ABS(G99:U99))</f>
        <v>1622.4899999999998</v>
      </c>
    </row>
    <row r="100" spans="1:23" x14ac:dyDescent="0.3">
      <c r="A100" s="14">
        <v>45782.979166666664</v>
      </c>
      <c r="B100" s="1">
        <v>-669.82</v>
      </c>
      <c r="C100" s="1">
        <v>35.950000000000003</v>
      </c>
      <c r="D100" s="1">
        <v>67</v>
      </c>
      <c r="E100" s="1">
        <v>34.31</v>
      </c>
      <c r="F100" s="1" cm="1">
        <f t="array" ref="F100">SUM(ABS(B100:E100))</f>
        <v>807.08000000000015</v>
      </c>
      <c r="G100" s="1">
        <v>54.22</v>
      </c>
      <c r="H100" s="1">
        <v>272.57</v>
      </c>
      <c r="I100" s="1">
        <v>-55.21</v>
      </c>
      <c r="J100" s="1">
        <v>192.11</v>
      </c>
      <c r="K100" s="1">
        <v>116.43</v>
      </c>
      <c r="L100" s="1">
        <v>-57.5</v>
      </c>
      <c r="M100" s="1">
        <v>0</v>
      </c>
      <c r="N100" s="1">
        <v>-30.96</v>
      </c>
      <c r="O100" s="1">
        <v>10.29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 cm="1">
        <f t="array" ref="V100">SUM(ABS(G100:U100))</f>
        <v>789.29</v>
      </c>
      <c r="W100" s="11" cm="1">
        <f t="array" ref="W100">SUM(ABS(B100:E100))+SUM(ABS(G100:U100))</f>
        <v>1596.3700000000001</v>
      </c>
    </row>
    <row r="101" spans="1:23" x14ac:dyDescent="0.3">
      <c r="A101" s="14">
        <v>45782.989583333336</v>
      </c>
      <c r="B101" s="1">
        <v>-714.21</v>
      </c>
      <c r="C101" s="1">
        <v>35.94</v>
      </c>
      <c r="D101" s="1">
        <v>67</v>
      </c>
      <c r="E101" s="1">
        <v>25.69</v>
      </c>
      <c r="F101" s="1" cm="1">
        <f t="array" ref="F101">SUM(ABS(B101:E101))</f>
        <v>842.84000000000015</v>
      </c>
      <c r="G101" s="1">
        <v>54.23</v>
      </c>
      <c r="H101" s="1">
        <v>272.62</v>
      </c>
      <c r="I101" s="1">
        <v>-55.21</v>
      </c>
      <c r="J101" s="1">
        <v>190.89</v>
      </c>
      <c r="K101" s="1">
        <v>116.31</v>
      </c>
      <c r="L101" s="1">
        <v>-56.99</v>
      </c>
      <c r="M101" s="1">
        <v>0</v>
      </c>
      <c r="N101" s="1">
        <v>-31.01</v>
      </c>
      <c r="O101" s="1">
        <v>10.29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 cm="1">
        <f t="array" ref="V101">SUM(ABS(G101:U101))</f>
        <v>787.55</v>
      </c>
      <c r="W101" s="11" cm="1">
        <f t="array" ref="W101">SUM(ABS(B101:E101))+SUM(ABS(G101:U101))</f>
        <v>1630.39</v>
      </c>
    </row>
    <row r="102" spans="1:23" x14ac:dyDescent="0.3">
      <c r="A102" s="14">
        <v>45813</v>
      </c>
      <c r="B102" s="1">
        <v>-733.97</v>
      </c>
      <c r="C102" s="1">
        <v>35.979999999999997</v>
      </c>
      <c r="D102" s="1">
        <v>65.06</v>
      </c>
      <c r="E102" s="1">
        <v>35.049999999999997</v>
      </c>
      <c r="F102" s="1" cm="1">
        <f t="array" ref="F102">SUM(ABS(B102:E102))</f>
        <v>870.06</v>
      </c>
      <c r="G102" s="1">
        <v>54.23</v>
      </c>
      <c r="H102" s="1">
        <v>272.77999999999997</v>
      </c>
      <c r="I102" s="1">
        <v>-55.21</v>
      </c>
      <c r="J102" s="1">
        <v>192.57</v>
      </c>
      <c r="K102" s="1">
        <v>116.22</v>
      </c>
      <c r="L102" s="1">
        <v>-57.37</v>
      </c>
      <c r="M102" s="1">
        <v>0</v>
      </c>
      <c r="N102" s="1">
        <v>-31.04</v>
      </c>
      <c r="O102" s="1">
        <v>10.28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 cm="1">
        <f t="array" ref="V102">SUM(ABS(G102:U102))</f>
        <v>789.69999999999993</v>
      </c>
      <c r="W102" s="11" cm="1">
        <f t="array" ref="W102">SUM(ABS(B102:E102))+SUM(ABS(G102:U102))</f>
        <v>1659.7599999999998</v>
      </c>
    </row>
    <row r="103" spans="1:23" x14ac:dyDescent="0.3">
      <c r="A103" s="14">
        <v>45813.010416666664</v>
      </c>
      <c r="B103" s="1">
        <v>-728.66</v>
      </c>
      <c r="C103" s="1">
        <v>35.96</v>
      </c>
      <c r="D103" s="1">
        <v>12</v>
      </c>
      <c r="E103" s="1">
        <v>38.130000000000003</v>
      </c>
      <c r="F103" s="1" cm="1">
        <f t="array" ref="F103">SUM(ABS(B103:E103))</f>
        <v>814.75</v>
      </c>
      <c r="G103" s="1">
        <v>54.23</v>
      </c>
      <c r="H103" s="1">
        <v>272.70999999999998</v>
      </c>
      <c r="I103" s="1">
        <v>-55.18</v>
      </c>
      <c r="J103" s="1">
        <v>188.62</v>
      </c>
      <c r="K103" s="1">
        <v>116.07</v>
      </c>
      <c r="L103" s="1">
        <v>-56.77</v>
      </c>
      <c r="M103" s="1">
        <v>0</v>
      </c>
      <c r="N103" s="1">
        <v>-31.04</v>
      </c>
      <c r="O103" s="1">
        <v>10.28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 cm="1">
        <f t="array" ref="V103">SUM(ABS(G103:U103))</f>
        <v>784.89999999999986</v>
      </c>
      <c r="W103" s="11" cm="1">
        <f t="array" ref="W103">SUM(ABS(B103:E103))+SUM(ABS(G103:U103))</f>
        <v>1599.6499999999999</v>
      </c>
    </row>
    <row r="104" spans="1:23" x14ac:dyDescent="0.3">
      <c r="A104" s="14">
        <v>45813.020833333336</v>
      </c>
      <c r="B104" s="1">
        <v>-733.65</v>
      </c>
      <c r="C104" s="1">
        <v>36</v>
      </c>
      <c r="D104" s="1">
        <v>12</v>
      </c>
      <c r="E104" s="1">
        <v>38.159999999999997</v>
      </c>
      <c r="F104" s="1" cm="1">
        <f t="array" ref="F104">SUM(ABS(B104:E104))</f>
        <v>819.81</v>
      </c>
      <c r="G104" s="1">
        <v>54.23</v>
      </c>
      <c r="H104" s="1">
        <v>272.85000000000002</v>
      </c>
      <c r="I104" s="1">
        <v>-55.19</v>
      </c>
      <c r="J104" s="1">
        <v>189.65</v>
      </c>
      <c r="K104" s="1">
        <v>116.01</v>
      </c>
      <c r="L104" s="1">
        <v>-56.82</v>
      </c>
      <c r="M104" s="1">
        <v>0</v>
      </c>
      <c r="N104" s="1">
        <v>-31.04</v>
      </c>
      <c r="O104" s="1">
        <v>10.28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 cm="1">
        <f t="array" ref="V104">SUM(ABS(G104:U104))</f>
        <v>786.07</v>
      </c>
      <c r="W104" s="11" cm="1">
        <f t="array" ref="W104">SUM(ABS(B104:E104))+SUM(ABS(G104:U104))</f>
        <v>1605.88</v>
      </c>
    </row>
    <row r="105" spans="1:23" x14ac:dyDescent="0.3">
      <c r="A105" s="14">
        <v>45813.03125</v>
      </c>
      <c r="B105" s="1">
        <v>-735.04</v>
      </c>
      <c r="C105" s="1">
        <v>36.03</v>
      </c>
      <c r="D105" s="1">
        <v>12</v>
      </c>
      <c r="E105" s="1">
        <v>35.07</v>
      </c>
      <c r="F105" s="1" cm="1">
        <f t="array" ref="F105">SUM(ABS(B105:E105))</f>
        <v>818.14</v>
      </c>
      <c r="G105" s="1">
        <v>54.22</v>
      </c>
      <c r="H105" s="1">
        <v>272.76</v>
      </c>
      <c r="I105" s="1">
        <v>-55.16</v>
      </c>
      <c r="J105" s="1">
        <v>190.66</v>
      </c>
      <c r="K105" s="1">
        <v>115.92</v>
      </c>
      <c r="L105" s="1">
        <v>-56.91</v>
      </c>
      <c r="M105" s="1">
        <v>0</v>
      </c>
      <c r="N105" s="1">
        <v>-31.03</v>
      </c>
      <c r="O105" s="1">
        <v>10.3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 cm="1">
        <f t="array" ref="V105">SUM(ABS(G105:U105))</f>
        <v>786.95999999999981</v>
      </c>
      <c r="W105" s="11" cm="1">
        <f t="array" ref="W105">SUM(ABS(B105:E105))+SUM(ABS(G105:U105))</f>
        <v>1605.1</v>
      </c>
    </row>
    <row r="106" spans="1:23" x14ac:dyDescent="0.3">
      <c r="A106" s="14">
        <v>45813.041666666664</v>
      </c>
      <c r="B106" s="1">
        <v>-731.89</v>
      </c>
      <c r="C106" s="1">
        <v>36.04</v>
      </c>
      <c r="D106" s="1">
        <v>12</v>
      </c>
      <c r="E106" s="1">
        <v>21.41</v>
      </c>
      <c r="F106" s="1" cm="1">
        <f t="array" ref="F106">SUM(ABS(B106:E106))</f>
        <v>801.33999999999992</v>
      </c>
      <c r="G106" s="1">
        <v>54.22</v>
      </c>
      <c r="H106" s="1">
        <v>272.62</v>
      </c>
      <c r="I106" s="1">
        <v>-55.14</v>
      </c>
      <c r="J106" s="1">
        <v>189.21</v>
      </c>
      <c r="K106" s="1">
        <v>115.8</v>
      </c>
      <c r="L106" s="1">
        <v>-56.74</v>
      </c>
      <c r="M106" s="1">
        <v>0</v>
      </c>
      <c r="N106" s="1">
        <v>-31.01</v>
      </c>
      <c r="O106" s="1">
        <v>10.3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 cm="1">
        <f t="array" ref="V106">SUM(ABS(G106:U106))</f>
        <v>785.04</v>
      </c>
      <c r="W106" s="11" cm="1">
        <f t="array" ref="W106">SUM(ABS(B106:E106))+SUM(ABS(G106:U106))</f>
        <v>1586.3799999999999</v>
      </c>
    </row>
    <row r="107" spans="1:23" x14ac:dyDescent="0.3">
      <c r="A107" s="14">
        <v>45813.052083333336</v>
      </c>
      <c r="B107" s="1">
        <v>-733.31</v>
      </c>
      <c r="C107" s="1">
        <v>36.04</v>
      </c>
      <c r="D107" s="1">
        <v>12</v>
      </c>
      <c r="E107" s="1">
        <v>19.170000000000002</v>
      </c>
      <c r="F107" s="1" cm="1">
        <f t="array" ref="F107">SUM(ABS(B107:E107))</f>
        <v>800.51999999999987</v>
      </c>
      <c r="G107" s="1">
        <v>54.22</v>
      </c>
      <c r="H107" s="1">
        <v>272.8</v>
      </c>
      <c r="I107" s="1">
        <v>-55.11</v>
      </c>
      <c r="J107" s="1">
        <v>138.06</v>
      </c>
      <c r="K107" s="1">
        <v>103.23</v>
      </c>
      <c r="L107" s="1">
        <v>-56.64</v>
      </c>
      <c r="M107" s="1">
        <v>0</v>
      </c>
      <c r="N107" s="1">
        <v>-31.02</v>
      </c>
      <c r="O107" s="1">
        <v>10.3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 cm="1">
        <f t="array" ref="V107">SUM(ABS(G107:U107))</f>
        <v>721.38</v>
      </c>
      <c r="W107" s="11" cm="1">
        <f t="array" ref="W107">SUM(ABS(B107:E107))+SUM(ABS(G107:U107))</f>
        <v>1521.8999999999999</v>
      </c>
    </row>
    <row r="108" spans="1:23" x14ac:dyDescent="0.3">
      <c r="A108" s="14">
        <v>45813.0625</v>
      </c>
      <c r="B108" s="1">
        <v>-734.53</v>
      </c>
      <c r="C108" s="1">
        <v>36.04</v>
      </c>
      <c r="D108" s="1">
        <v>12</v>
      </c>
      <c r="E108" s="1">
        <v>19.22</v>
      </c>
      <c r="F108" s="1" cm="1">
        <f t="array" ref="F108">SUM(ABS(B108:E108))</f>
        <v>801.79</v>
      </c>
      <c r="G108" s="1">
        <v>54.22</v>
      </c>
      <c r="H108" s="1">
        <v>272.77999999999997</v>
      </c>
      <c r="I108" s="1">
        <v>-55.14</v>
      </c>
      <c r="J108" s="1">
        <v>78.81</v>
      </c>
      <c r="K108" s="1">
        <v>90.05</v>
      </c>
      <c r="L108" s="1">
        <v>-56.76</v>
      </c>
      <c r="M108" s="1">
        <v>0</v>
      </c>
      <c r="N108" s="1">
        <v>-31.01</v>
      </c>
      <c r="O108" s="1">
        <v>10.3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 cm="1">
        <f t="array" ref="V108">SUM(ABS(G108:U108))</f>
        <v>649.06999999999994</v>
      </c>
      <c r="W108" s="11" cm="1">
        <f t="array" ref="W108">SUM(ABS(B108:E108))+SUM(ABS(G108:U108))</f>
        <v>1450.86</v>
      </c>
    </row>
    <row r="109" spans="1:23" x14ac:dyDescent="0.3">
      <c r="A109" s="14">
        <v>45813.072916666664</v>
      </c>
      <c r="B109" s="1">
        <v>-733.32</v>
      </c>
      <c r="C109" s="1">
        <v>36.04</v>
      </c>
      <c r="D109" s="1">
        <v>12</v>
      </c>
      <c r="E109" s="1">
        <v>19.21</v>
      </c>
      <c r="F109" s="1" cm="1">
        <f t="array" ref="F109">SUM(ABS(B109:E109))</f>
        <v>800.57</v>
      </c>
      <c r="G109" s="1">
        <v>54.22</v>
      </c>
      <c r="H109" s="1">
        <v>272.79000000000002</v>
      </c>
      <c r="I109" s="1">
        <v>-55.15</v>
      </c>
      <c r="J109" s="1">
        <v>65.63</v>
      </c>
      <c r="K109" s="1">
        <v>90.97</v>
      </c>
      <c r="L109" s="1">
        <v>-56.55</v>
      </c>
      <c r="M109" s="1">
        <v>0</v>
      </c>
      <c r="N109" s="1">
        <v>-31.01</v>
      </c>
      <c r="O109" s="1">
        <v>10.3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 cm="1">
        <f t="array" ref="V109">SUM(ABS(G109:U109))</f>
        <v>636.61999999999989</v>
      </c>
      <c r="W109" s="11" cm="1">
        <f t="array" ref="W109">SUM(ABS(B109:E109))+SUM(ABS(G109:U109))</f>
        <v>1437.19</v>
      </c>
    </row>
    <row r="110" spans="1:23" x14ac:dyDescent="0.3">
      <c r="A110" s="14">
        <v>45813.083333333336</v>
      </c>
      <c r="B110" s="1">
        <v>-736.61</v>
      </c>
      <c r="C110" s="1">
        <v>36.07</v>
      </c>
      <c r="D110" s="1">
        <v>12</v>
      </c>
      <c r="E110" s="1">
        <v>19.28</v>
      </c>
      <c r="F110" s="1" cm="1">
        <f t="array" ref="F110">SUM(ABS(B110:E110))</f>
        <v>803.96</v>
      </c>
      <c r="G110" s="1">
        <v>54.23</v>
      </c>
      <c r="H110" s="1">
        <v>272.89999999999998</v>
      </c>
      <c r="I110" s="1">
        <v>-55.16</v>
      </c>
      <c r="J110" s="1">
        <v>44.92</v>
      </c>
      <c r="K110" s="1">
        <v>108.92</v>
      </c>
      <c r="L110" s="1">
        <v>-57.49</v>
      </c>
      <c r="M110" s="1">
        <v>0</v>
      </c>
      <c r="N110" s="1">
        <v>-31.03</v>
      </c>
      <c r="O110" s="1">
        <v>10.3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 cm="1">
        <f t="array" ref="V110">SUM(ABS(G110:U110))</f>
        <v>634.94999999999993</v>
      </c>
      <c r="W110" s="11" cm="1">
        <f t="array" ref="W110">SUM(ABS(B110:E110))+SUM(ABS(G110:U110))</f>
        <v>1438.9099999999999</v>
      </c>
    </row>
    <row r="111" spans="1:23" x14ac:dyDescent="0.3">
      <c r="A111" s="14">
        <v>45813.09375</v>
      </c>
      <c r="B111" s="1">
        <v>-730.36</v>
      </c>
      <c r="C111" s="1">
        <v>36.04</v>
      </c>
      <c r="D111" s="1">
        <v>12</v>
      </c>
      <c r="E111" s="1">
        <v>16.75</v>
      </c>
      <c r="F111" s="1" cm="1">
        <f t="array" ref="F111">SUM(ABS(B111:E111))</f>
        <v>795.15</v>
      </c>
      <c r="G111" s="1">
        <v>54.23</v>
      </c>
      <c r="H111" s="1">
        <v>273.01</v>
      </c>
      <c r="I111" s="1">
        <v>-55.13</v>
      </c>
      <c r="J111" s="1">
        <v>48.88</v>
      </c>
      <c r="K111" s="1">
        <v>47.28</v>
      </c>
      <c r="L111" s="1">
        <v>-56.74</v>
      </c>
      <c r="M111" s="1">
        <v>0</v>
      </c>
      <c r="N111" s="1">
        <v>-30.99</v>
      </c>
      <c r="O111" s="1">
        <v>10.3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 cm="1">
        <f t="array" ref="V111">SUM(ABS(G111:U111))</f>
        <v>576.55999999999995</v>
      </c>
      <c r="W111" s="11" cm="1">
        <f t="array" ref="W111">SUM(ABS(B111:E111))+SUM(ABS(G111:U111))</f>
        <v>1371.71</v>
      </c>
    </row>
    <row r="112" spans="1:23" x14ac:dyDescent="0.3">
      <c r="A112" s="14">
        <v>45813.104166666664</v>
      </c>
      <c r="B112" s="1">
        <v>-683.07</v>
      </c>
      <c r="C112" s="1">
        <v>36.03</v>
      </c>
      <c r="D112" s="1">
        <v>12</v>
      </c>
      <c r="E112" s="1">
        <v>12.87</v>
      </c>
      <c r="F112" s="1" cm="1">
        <f t="array" ref="F112">SUM(ABS(B112:E112))</f>
        <v>743.97</v>
      </c>
      <c r="G112" s="1">
        <v>54.23</v>
      </c>
      <c r="H112" s="1">
        <v>273.17</v>
      </c>
      <c r="I112" s="1">
        <v>-55.12</v>
      </c>
      <c r="J112" s="1">
        <v>2.1800000000000002</v>
      </c>
      <c r="K112" s="1">
        <v>0</v>
      </c>
      <c r="L112" s="1">
        <v>-56.66</v>
      </c>
      <c r="M112" s="1">
        <v>0</v>
      </c>
      <c r="N112" s="1">
        <v>-30.99</v>
      </c>
      <c r="O112" s="1">
        <v>10.3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 cm="1">
        <f t="array" ref="V112">SUM(ABS(G112:U112))</f>
        <v>482.65000000000003</v>
      </c>
      <c r="W112" s="11" cm="1">
        <f t="array" ref="W112">SUM(ABS(B112:E112))+SUM(ABS(G112:U112))</f>
        <v>1226.6200000000001</v>
      </c>
    </row>
    <row r="113" spans="1:23" x14ac:dyDescent="0.3">
      <c r="A113" s="14">
        <v>45813.114583333336</v>
      </c>
      <c r="B113" s="1">
        <v>-662.27</v>
      </c>
      <c r="C113" s="1">
        <v>36.020000000000003</v>
      </c>
      <c r="D113" s="1">
        <v>12</v>
      </c>
      <c r="E113" s="1">
        <v>12.86</v>
      </c>
      <c r="F113" s="1" cm="1">
        <f t="array" ref="F113">SUM(ABS(B113:E113))</f>
        <v>723.15</v>
      </c>
      <c r="G113" s="1">
        <v>54.22</v>
      </c>
      <c r="H113" s="1">
        <v>273.08</v>
      </c>
      <c r="I113" s="1">
        <v>-55.13</v>
      </c>
      <c r="J113" s="1">
        <v>0</v>
      </c>
      <c r="K113" s="1">
        <v>0</v>
      </c>
      <c r="L113" s="1">
        <v>-56.46</v>
      </c>
      <c r="M113" s="1">
        <v>0</v>
      </c>
      <c r="N113" s="1">
        <v>-30.99</v>
      </c>
      <c r="O113" s="1">
        <v>10.29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 cm="1">
        <f t="array" ref="V113">SUM(ABS(G113:U113))</f>
        <v>480.16999999999996</v>
      </c>
      <c r="W113" s="11" cm="1">
        <f t="array" ref="W113">SUM(ABS(B113:E113))+SUM(ABS(G113:U113))</f>
        <v>1203.32</v>
      </c>
    </row>
    <row r="114" spans="1:23" x14ac:dyDescent="0.3">
      <c r="A114" s="14">
        <v>45813.125</v>
      </c>
      <c r="B114" s="1">
        <v>-662.56</v>
      </c>
      <c r="C114" s="1">
        <v>36.06</v>
      </c>
      <c r="D114" s="1">
        <v>12</v>
      </c>
      <c r="E114" s="1">
        <v>12.85</v>
      </c>
      <c r="F114" s="1" cm="1">
        <f t="array" ref="F114">SUM(ABS(B114:E114))</f>
        <v>723.46999999999991</v>
      </c>
      <c r="G114" s="1">
        <v>54.23</v>
      </c>
      <c r="H114" s="1">
        <v>273.18</v>
      </c>
      <c r="I114" s="1">
        <v>-55.08</v>
      </c>
      <c r="J114" s="1">
        <v>0</v>
      </c>
      <c r="K114" s="1">
        <v>0</v>
      </c>
      <c r="L114" s="1">
        <v>-56.56</v>
      </c>
      <c r="M114" s="1">
        <v>0</v>
      </c>
      <c r="N114" s="1">
        <v>-30.98</v>
      </c>
      <c r="O114" s="1">
        <v>10.3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 cm="1">
        <f t="array" ref="V114">SUM(ABS(G114:U114))</f>
        <v>480.33000000000004</v>
      </c>
      <c r="W114" s="11" cm="1">
        <f t="array" ref="W114">SUM(ABS(B114:E114))+SUM(ABS(G114:U114))</f>
        <v>1203.8</v>
      </c>
    </row>
    <row r="115" spans="1:23" x14ac:dyDescent="0.3">
      <c r="A115" s="14">
        <v>45813.135416666664</v>
      </c>
      <c r="B115" s="1">
        <v>-630.41999999999996</v>
      </c>
      <c r="C115" s="1">
        <v>36.06</v>
      </c>
      <c r="D115" s="1">
        <v>12</v>
      </c>
      <c r="E115" s="1">
        <v>12.84</v>
      </c>
      <c r="F115" s="1" cm="1">
        <f t="array" ref="F115">SUM(ABS(B115:E115))</f>
        <v>691.32</v>
      </c>
      <c r="G115" s="1">
        <v>54.23</v>
      </c>
      <c r="H115" s="1">
        <v>273.08999999999997</v>
      </c>
      <c r="I115" s="1">
        <v>-55.07</v>
      </c>
      <c r="J115" s="1">
        <v>0</v>
      </c>
      <c r="K115" s="1">
        <v>0</v>
      </c>
      <c r="L115" s="1">
        <v>-56.34</v>
      </c>
      <c r="M115" s="1">
        <v>0</v>
      </c>
      <c r="N115" s="1">
        <v>-30.97</v>
      </c>
      <c r="O115" s="1">
        <v>10.29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 cm="1">
        <f t="array" ref="V115">SUM(ABS(G115:U115))</f>
        <v>479.99000000000007</v>
      </c>
      <c r="W115" s="11" cm="1">
        <f t="array" ref="W115">SUM(ABS(B115:E115))+SUM(ABS(G115:U115))</f>
        <v>1171.3100000000002</v>
      </c>
    </row>
    <row r="116" spans="1:23" x14ac:dyDescent="0.3">
      <c r="A116" s="14">
        <v>45813.145833333336</v>
      </c>
      <c r="B116" s="1">
        <v>-585.15</v>
      </c>
      <c r="C116" s="1">
        <v>36.07</v>
      </c>
      <c r="D116" s="1">
        <v>12</v>
      </c>
      <c r="E116" s="1">
        <v>12.83</v>
      </c>
      <c r="F116" s="1" cm="1">
        <f t="array" ref="F116">SUM(ABS(B116:E116))</f>
        <v>646.05000000000007</v>
      </c>
      <c r="G116" s="1">
        <v>54.23</v>
      </c>
      <c r="H116" s="1">
        <v>273.19</v>
      </c>
      <c r="I116" s="1">
        <v>-55.11</v>
      </c>
      <c r="J116" s="1">
        <v>0</v>
      </c>
      <c r="K116" s="1">
        <v>0</v>
      </c>
      <c r="L116" s="1">
        <v>-56.57</v>
      </c>
      <c r="M116" s="1">
        <v>0</v>
      </c>
      <c r="N116" s="1">
        <v>-30.99</v>
      </c>
      <c r="O116" s="1">
        <v>10.29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 cm="1">
        <f t="array" ref="V116">SUM(ABS(G116:U116))</f>
        <v>480.38000000000005</v>
      </c>
      <c r="W116" s="11" cm="1">
        <f t="array" ref="W116">SUM(ABS(B116:E116))+SUM(ABS(G116:U116))</f>
        <v>1126.43</v>
      </c>
    </row>
    <row r="117" spans="1:23" x14ac:dyDescent="0.3">
      <c r="A117" s="14">
        <v>45813.15625</v>
      </c>
      <c r="B117" s="1">
        <v>-575.23</v>
      </c>
      <c r="C117" s="1">
        <v>36.06</v>
      </c>
      <c r="D117" s="1">
        <v>12</v>
      </c>
      <c r="E117" s="1">
        <v>12.82</v>
      </c>
      <c r="F117" s="1" cm="1">
        <f t="array" ref="F117">SUM(ABS(B117:E117))</f>
        <v>636.11</v>
      </c>
      <c r="G117" s="1">
        <v>54.22</v>
      </c>
      <c r="H117" s="1">
        <v>272.95</v>
      </c>
      <c r="I117" s="1">
        <v>-55.1</v>
      </c>
      <c r="J117" s="1">
        <v>0</v>
      </c>
      <c r="K117" s="1">
        <v>0</v>
      </c>
      <c r="L117" s="1">
        <v>-56.49</v>
      </c>
      <c r="M117" s="1">
        <v>0</v>
      </c>
      <c r="N117" s="1">
        <v>-30.98</v>
      </c>
      <c r="O117" s="1">
        <v>10.29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 cm="1">
        <f t="array" ref="V117">SUM(ABS(G117:U117))</f>
        <v>480.03000000000003</v>
      </c>
      <c r="W117" s="11" cm="1">
        <f t="array" ref="W117">SUM(ABS(B117:E117))+SUM(ABS(G117:U117))</f>
        <v>1116.1400000000001</v>
      </c>
    </row>
    <row r="118" spans="1:23" x14ac:dyDescent="0.3">
      <c r="A118" s="14">
        <v>45813.166666666664</v>
      </c>
      <c r="B118" s="1">
        <v>-583.51</v>
      </c>
      <c r="C118" s="1">
        <v>36.090000000000003</v>
      </c>
      <c r="D118" s="1">
        <v>12</v>
      </c>
      <c r="E118" s="1">
        <v>12.81</v>
      </c>
      <c r="F118" s="1" cm="1">
        <f t="array" ref="F118">SUM(ABS(B118:E118))</f>
        <v>644.41</v>
      </c>
      <c r="G118" s="1">
        <v>54.24</v>
      </c>
      <c r="H118" s="1">
        <v>272.73</v>
      </c>
      <c r="I118" s="1">
        <v>-55.1</v>
      </c>
      <c r="J118" s="1">
        <v>0</v>
      </c>
      <c r="K118" s="1">
        <v>0</v>
      </c>
      <c r="L118" s="1">
        <v>-56.81</v>
      </c>
      <c r="M118" s="1">
        <v>0</v>
      </c>
      <c r="N118" s="1">
        <v>-30.99</v>
      </c>
      <c r="O118" s="1">
        <v>10.29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 cm="1">
        <f t="array" ref="V118">SUM(ABS(G118:U118))</f>
        <v>480.16000000000008</v>
      </c>
      <c r="W118" s="11" cm="1">
        <f t="array" ref="W118">SUM(ABS(B118:E118))+SUM(ABS(G118:U118))</f>
        <v>1124.5700000000002</v>
      </c>
    </row>
    <row r="119" spans="1:23" x14ac:dyDescent="0.3">
      <c r="A119" s="14">
        <v>45813.177083333336</v>
      </c>
      <c r="B119" s="1">
        <v>-585.28</v>
      </c>
      <c r="C119" s="1">
        <v>36.090000000000003</v>
      </c>
      <c r="D119" s="1">
        <v>12</v>
      </c>
      <c r="E119" s="1">
        <v>12.8</v>
      </c>
      <c r="F119" s="1" cm="1">
        <f t="array" ref="F119">SUM(ABS(B119:E119))</f>
        <v>646.16999999999996</v>
      </c>
      <c r="G119" s="1">
        <v>54.23</v>
      </c>
      <c r="H119" s="1">
        <v>272.85000000000002</v>
      </c>
      <c r="I119" s="1">
        <v>-55.1</v>
      </c>
      <c r="J119" s="1">
        <v>0</v>
      </c>
      <c r="K119" s="1">
        <v>0</v>
      </c>
      <c r="L119" s="1">
        <v>-56.67</v>
      </c>
      <c r="M119" s="1">
        <v>0</v>
      </c>
      <c r="N119" s="1">
        <v>-30.97</v>
      </c>
      <c r="O119" s="1">
        <v>10.29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 cm="1">
        <f t="array" ref="V119">SUM(ABS(G119:U119))</f>
        <v>480.11000000000007</v>
      </c>
      <c r="W119" s="11" cm="1">
        <f t="array" ref="W119">SUM(ABS(B119:E119))+SUM(ABS(G119:U119))</f>
        <v>1126.28</v>
      </c>
    </row>
    <row r="120" spans="1:23" x14ac:dyDescent="0.3">
      <c r="A120" s="14">
        <v>45813.1875</v>
      </c>
      <c r="B120" s="1">
        <v>-562.07000000000005</v>
      </c>
      <c r="C120" s="1">
        <v>36.1</v>
      </c>
      <c r="D120" s="1">
        <v>12</v>
      </c>
      <c r="E120" s="1">
        <v>12.79</v>
      </c>
      <c r="F120" s="1" cm="1">
        <f t="array" ref="F120">SUM(ABS(B120:E120))</f>
        <v>622.96</v>
      </c>
      <c r="G120" s="1">
        <v>54.23</v>
      </c>
      <c r="H120" s="1">
        <v>272.82</v>
      </c>
      <c r="I120" s="1">
        <v>-55.1</v>
      </c>
      <c r="J120" s="1">
        <v>0</v>
      </c>
      <c r="K120" s="1">
        <v>0</v>
      </c>
      <c r="L120" s="1">
        <v>-56.96</v>
      </c>
      <c r="M120" s="1">
        <v>0</v>
      </c>
      <c r="N120" s="1">
        <v>-30.98</v>
      </c>
      <c r="O120" s="1">
        <v>10.29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 cm="1">
        <f t="array" ref="V120">SUM(ABS(G120:U120))</f>
        <v>480.38000000000005</v>
      </c>
      <c r="W120" s="11" cm="1">
        <f t="array" ref="W120">SUM(ABS(B120:E120))+SUM(ABS(G120:U120))</f>
        <v>1103.3400000000001</v>
      </c>
    </row>
    <row r="121" spans="1:23" x14ac:dyDescent="0.3">
      <c r="A121" s="14">
        <v>45813.197916666664</v>
      </c>
      <c r="B121" s="1">
        <v>-536.48</v>
      </c>
      <c r="C121" s="1">
        <v>36.1</v>
      </c>
      <c r="D121" s="1">
        <v>12</v>
      </c>
      <c r="E121" s="1">
        <v>12.78</v>
      </c>
      <c r="F121" s="1" cm="1">
        <f t="array" ref="F121">SUM(ABS(B121:E121))</f>
        <v>597.36</v>
      </c>
      <c r="G121" s="1">
        <v>54.22</v>
      </c>
      <c r="H121" s="1">
        <v>272.19</v>
      </c>
      <c r="I121" s="1">
        <v>-55.07</v>
      </c>
      <c r="J121" s="1">
        <v>0</v>
      </c>
      <c r="K121" s="1">
        <v>0</v>
      </c>
      <c r="L121" s="1">
        <v>-57.12</v>
      </c>
      <c r="M121" s="1">
        <v>0</v>
      </c>
      <c r="N121" s="1">
        <v>-30.96</v>
      </c>
      <c r="O121" s="1">
        <v>10.28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 cm="1">
        <f t="array" ref="V121">SUM(ABS(G121:U121))</f>
        <v>479.83999999999992</v>
      </c>
      <c r="W121" s="11" cm="1">
        <f t="array" ref="W121">SUM(ABS(B121:E121))+SUM(ABS(G121:U121))</f>
        <v>1077.1999999999998</v>
      </c>
    </row>
    <row r="122" spans="1:23" x14ac:dyDescent="0.3">
      <c r="A122" s="14">
        <v>45813.208333333336</v>
      </c>
      <c r="B122" s="1">
        <v>-520.97</v>
      </c>
      <c r="C122" s="1">
        <v>36.1</v>
      </c>
      <c r="D122" s="1">
        <v>12</v>
      </c>
      <c r="E122" s="1">
        <v>12.77</v>
      </c>
      <c r="F122" s="1" cm="1">
        <f t="array" ref="F122">SUM(ABS(B122:E122))</f>
        <v>581.84</v>
      </c>
      <c r="G122" s="1">
        <v>54.23</v>
      </c>
      <c r="H122" s="1">
        <v>270.83999999999997</v>
      </c>
      <c r="I122" s="1">
        <v>-55.05</v>
      </c>
      <c r="J122" s="1">
        <v>0</v>
      </c>
      <c r="K122" s="1">
        <v>0</v>
      </c>
      <c r="L122" s="1">
        <v>-56.77</v>
      </c>
      <c r="M122" s="1">
        <v>0</v>
      </c>
      <c r="N122" s="1">
        <v>-30.98</v>
      </c>
      <c r="O122" s="1">
        <v>10.28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 cm="1">
        <f t="array" ref="V122">SUM(ABS(G122:U122))</f>
        <v>478.15</v>
      </c>
      <c r="W122" s="11" cm="1">
        <f t="array" ref="W122">SUM(ABS(B122:E122))+SUM(ABS(G122:U122))</f>
        <v>1059.99</v>
      </c>
    </row>
    <row r="123" spans="1:23" x14ac:dyDescent="0.3">
      <c r="A123" s="14">
        <v>45813.21875</v>
      </c>
      <c r="B123" s="1">
        <v>-528.73</v>
      </c>
      <c r="C123" s="1">
        <v>36.130000000000003</v>
      </c>
      <c r="D123" s="1">
        <v>12</v>
      </c>
      <c r="E123" s="1">
        <v>12.78</v>
      </c>
      <c r="F123" s="1" cm="1">
        <f t="array" ref="F123">SUM(ABS(B123:E123))</f>
        <v>589.64</v>
      </c>
      <c r="G123" s="1">
        <v>54.24</v>
      </c>
      <c r="H123" s="1">
        <v>272.64999999999998</v>
      </c>
      <c r="I123" s="1">
        <v>-55.08</v>
      </c>
      <c r="J123" s="1">
        <v>0</v>
      </c>
      <c r="K123" s="1">
        <v>0</v>
      </c>
      <c r="L123" s="1">
        <v>-57.2</v>
      </c>
      <c r="M123" s="1">
        <v>0</v>
      </c>
      <c r="N123" s="1">
        <v>-30.97</v>
      </c>
      <c r="O123" s="1">
        <v>10.28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 cm="1">
        <f t="array" ref="V123">SUM(ABS(G123:U123))</f>
        <v>480.41999999999996</v>
      </c>
      <c r="W123" s="11" cm="1">
        <f t="array" ref="W123">SUM(ABS(B123:E123))+SUM(ABS(G123:U123))</f>
        <v>1070.06</v>
      </c>
    </row>
    <row r="124" spans="1:23" x14ac:dyDescent="0.3">
      <c r="A124" s="14">
        <v>45813.229166666664</v>
      </c>
      <c r="B124" s="1">
        <v>-540.35</v>
      </c>
      <c r="C124" s="1">
        <v>36.18</v>
      </c>
      <c r="D124" s="1">
        <v>12</v>
      </c>
      <c r="E124" s="1">
        <v>12.78</v>
      </c>
      <c r="F124" s="1" cm="1">
        <f t="array" ref="F124">SUM(ABS(B124:E124))</f>
        <v>601.30999999999995</v>
      </c>
      <c r="G124" s="1">
        <v>54.23</v>
      </c>
      <c r="H124" s="1">
        <v>272.83999999999997</v>
      </c>
      <c r="I124" s="1">
        <v>-55.1</v>
      </c>
      <c r="J124" s="1">
        <v>0</v>
      </c>
      <c r="K124" s="1">
        <v>0</v>
      </c>
      <c r="L124" s="1">
        <v>-57.69</v>
      </c>
      <c r="M124" s="1">
        <v>0</v>
      </c>
      <c r="N124" s="1">
        <v>-30.98</v>
      </c>
      <c r="O124" s="1">
        <v>10.3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 cm="1">
        <f t="array" ref="V124">SUM(ABS(G124:U124))</f>
        <v>481.14000000000004</v>
      </c>
      <c r="W124" s="11" cm="1">
        <f t="array" ref="W124">SUM(ABS(B124:E124))+SUM(ABS(G124:U124))</f>
        <v>1082.45</v>
      </c>
    </row>
    <row r="125" spans="1:23" x14ac:dyDescent="0.3">
      <c r="A125" s="14">
        <v>45813.239583333336</v>
      </c>
      <c r="B125" s="1">
        <v>-550.30999999999995</v>
      </c>
      <c r="C125" s="1">
        <v>36.21</v>
      </c>
      <c r="D125" s="1">
        <v>12</v>
      </c>
      <c r="E125" s="1">
        <v>12.79</v>
      </c>
      <c r="F125" s="1" cm="1">
        <f t="array" ref="F125">SUM(ABS(B125:E125))</f>
        <v>611.30999999999995</v>
      </c>
      <c r="G125" s="1">
        <v>54.23</v>
      </c>
      <c r="H125" s="1">
        <v>272.91000000000003</v>
      </c>
      <c r="I125" s="1">
        <v>-55.12</v>
      </c>
      <c r="J125" s="1">
        <v>0</v>
      </c>
      <c r="K125" s="1">
        <v>0</v>
      </c>
      <c r="L125" s="1">
        <v>-57.87</v>
      </c>
      <c r="M125" s="1">
        <v>0</v>
      </c>
      <c r="N125" s="1">
        <v>-30.95</v>
      </c>
      <c r="O125" s="1">
        <v>10.3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 cm="1">
        <f t="array" ref="V125">SUM(ABS(G125:U125))</f>
        <v>481.38000000000005</v>
      </c>
      <c r="W125" s="11" cm="1">
        <f t="array" ref="W125">SUM(ABS(B125:E125))+SUM(ABS(G125:U125))</f>
        <v>1092.69</v>
      </c>
    </row>
    <row r="126" spans="1:23" x14ac:dyDescent="0.3">
      <c r="A126" s="14">
        <v>45813.25</v>
      </c>
      <c r="B126" s="1">
        <v>-451.22</v>
      </c>
      <c r="C126" s="1">
        <v>36.21</v>
      </c>
      <c r="D126" s="1">
        <v>12</v>
      </c>
      <c r="E126" s="1">
        <v>12.78</v>
      </c>
      <c r="F126" s="1" cm="1">
        <f t="array" ref="F126">SUM(ABS(B126:E126))</f>
        <v>512.21</v>
      </c>
      <c r="G126" s="1">
        <v>54.23</v>
      </c>
      <c r="H126" s="1">
        <v>272.61</v>
      </c>
      <c r="I126" s="1">
        <v>-55.1</v>
      </c>
      <c r="J126" s="1">
        <v>0</v>
      </c>
      <c r="K126" s="1">
        <v>0</v>
      </c>
      <c r="L126" s="1">
        <v>-57.65</v>
      </c>
      <c r="M126" s="1">
        <v>0</v>
      </c>
      <c r="N126" s="1">
        <v>-30.96</v>
      </c>
      <c r="O126" s="1">
        <v>10.3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 cm="1">
        <f t="array" ref="V126">SUM(ABS(G126:U126))</f>
        <v>480.85</v>
      </c>
      <c r="W126" s="11" cm="1">
        <f t="array" ref="W126">SUM(ABS(B126:E126))+SUM(ABS(G126:U126))</f>
        <v>993.06000000000006</v>
      </c>
    </row>
    <row r="127" spans="1:23" x14ac:dyDescent="0.3">
      <c r="A127" s="14">
        <v>45813.260416666664</v>
      </c>
      <c r="B127" s="1">
        <v>-448.29</v>
      </c>
      <c r="C127" s="1">
        <v>36.22</v>
      </c>
      <c r="D127" s="1">
        <v>12</v>
      </c>
      <c r="E127" s="1">
        <v>12.78</v>
      </c>
      <c r="F127" s="1" cm="1">
        <f t="array" ref="F127">SUM(ABS(B127:E127))</f>
        <v>509.28999999999996</v>
      </c>
      <c r="G127" s="1">
        <v>54.23</v>
      </c>
      <c r="H127" s="1">
        <v>273.02</v>
      </c>
      <c r="I127" s="1">
        <v>-55.07</v>
      </c>
      <c r="J127" s="1">
        <v>0</v>
      </c>
      <c r="K127" s="1">
        <v>0</v>
      </c>
      <c r="L127" s="1">
        <v>-57.51</v>
      </c>
      <c r="M127" s="1">
        <v>0</v>
      </c>
      <c r="N127" s="1">
        <v>-30.93</v>
      </c>
      <c r="O127" s="1">
        <v>10.29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 cm="1">
        <f t="array" ref="V127">SUM(ABS(G127:U127))</f>
        <v>481.05</v>
      </c>
      <c r="W127" s="11" cm="1">
        <f t="array" ref="W127">SUM(ABS(B127:E127))+SUM(ABS(G127:U127))</f>
        <v>990.33999999999992</v>
      </c>
    </row>
    <row r="128" spans="1:23" x14ac:dyDescent="0.3">
      <c r="A128" s="14">
        <v>45813.270833333336</v>
      </c>
      <c r="B128" s="1">
        <v>-442.6</v>
      </c>
      <c r="C128" s="1">
        <v>36.200000000000003</v>
      </c>
      <c r="D128" s="1">
        <v>12</v>
      </c>
      <c r="E128" s="1">
        <v>12.78</v>
      </c>
      <c r="F128" s="1" cm="1">
        <f t="array" ref="F128">SUM(ABS(B128:E128))</f>
        <v>503.58</v>
      </c>
      <c r="G128" s="1">
        <v>54.24</v>
      </c>
      <c r="H128" s="1">
        <v>272.68</v>
      </c>
      <c r="I128" s="1">
        <v>-55.04</v>
      </c>
      <c r="J128" s="1">
        <v>0</v>
      </c>
      <c r="K128" s="1">
        <v>0</v>
      </c>
      <c r="L128" s="1">
        <v>-57.39</v>
      </c>
      <c r="M128" s="1">
        <v>0</v>
      </c>
      <c r="N128" s="1">
        <v>-30.95</v>
      </c>
      <c r="O128" s="1">
        <v>10.28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 cm="1">
        <f t="array" ref="V128">SUM(ABS(G128:U128))</f>
        <v>480.58</v>
      </c>
      <c r="W128" s="11" cm="1">
        <f t="array" ref="W128">SUM(ABS(B128:E128))+SUM(ABS(G128:U128))</f>
        <v>984.16</v>
      </c>
    </row>
    <row r="129" spans="1:23" x14ac:dyDescent="0.3">
      <c r="A129" s="14">
        <v>45813.28125</v>
      </c>
      <c r="B129" s="1">
        <v>-427.28</v>
      </c>
      <c r="C129" s="1">
        <v>36.200000000000003</v>
      </c>
      <c r="D129" s="1">
        <v>12</v>
      </c>
      <c r="E129" s="1">
        <v>12.78</v>
      </c>
      <c r="F129" s="1" cm="1">
        <f t="array" ref="F129">SUM(ABS(B129:E129))</f>
        <v>488.25999999999993</v>
      </c>
      <c r="G129" s="1">
        <v>54.22</v>
      </c>
      <c r="H129" s="1">
        <v>272.48</v>
      </c>
      <c r="I129" s="1">
        <v>-55.02</v>
      </c>
      <c r="J129" s="1">
        <v>0</v>
      </c>
      <c r="K129" s="1">
        <v>0</v>
      </c>
      <c r="L129" s="1">
        <v>-57.3</v>
      </c>
      <c r="M129" s="1">
        <v>0</v>
      </c>
      <c r="N129" s="1">
        <v>-30.94</v>
      </c>
      <c r="O129" s="1">
        <v>10.28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 cm="1">
        <f t="array" ref="V129">SUM(ABS(G129:U129))</f>
        <v>480.24</v>
      </c>
      <c r="W129" s="11" cm="1">
        <f t="array" ref="W129">SUM(ABS(B129:E129))+SUM(ABS(G129:U129))</f>
        <v>968.5</v>
      </c>
    </row>
    <row r="130" spans="1:23" x14ac:dyDescent="0.3">
      <c r="A130" s="14">
        <v>45813.291666666664</v>
      </c>
      <c r="B130" s="1">
        <v>-332.15</v>
      </c>
      <c r="C130" s="1">
        <v>36.24</v>
      </c>
      <c r="D130" s="1">
        <v>12</v>
      </c>
      <c r="E130" s="1">
        <v>12.8</v>
      </c>
      <c r="F130" s="1" cm="1">
        <f t="array" ref="F130">SUM(ABS(B130:E130))</f>
        <v>393.19</v>
      </c>
      <c r="G130" s="1">
        <v>54.22</v>
      </c>
      <c r="H130" s="1">
        <v>273.22000000000003</v>
      </c>
      <c r="I130" s="1">
        <v>-55.04</v>
      </c>
      <c r="J130" s="1">
        <v>0</v>
      </c>
      <c r="K130" s="1">
        <v>0</v>
      </c>
      <c r="L130" s="1">
        <v>-57.44</v>
      </c>
      <c r="M130" s="1">
        <v>0</v>
      </c>
      <c r="N130" s="1">
        <v>-30.95</v>
      </c>
      <c r="O130" s="1">
        <v>10.28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 cm="1">
        <f t="array" ref="V130">SUM(ABS(G130:U130))</f>
        <v>481.15000000000003</v>
      </c>
      <c r="W130" s="11" cm="1">
        <f t="array" ref="W130">SUM(ABS(B130:E130))+SUM(ABS(G130:U130))</f>
        <v>874.34</v>
      </c>
    </row>
    <row r="131" spans="1:23" x14ac:dyDescent="0.3">
      <c r="A131" s="14">
        <v>45813.302083333336</v>
      </c>
      <c r="B131" s="1">
        <v>-282.19</v>
      </c>
      <c r="C131" s="1">
        <v>36.24</v>
      </c>
      <c r="D131" s="1">
        <v>12</v>
      </c>
      <c r="E131" s="1">
        <v>12.79</v>
      </c>
      <c r="F131" s="1" cm="1">
        <f t="array" ref="F131">SUM(ABS(B131:E131))</f>
        <v>343.22</v>
      </c>
      <c r="G131" s="1">
        <v>54.23</v>
      </c>
      <c r="H131" s="1">
        <v>271.39</v>
      </c>
      <c r="I131" s="1">
        <v>-55.02</v>
      </c>
      <c r="J131" s="1">
        <v>0</v>
      </c>
      <c r="K131" s="1">
        <v>0</v>
      </c>
      <c r="L131" s="1">
        <v>-56.8</v>
      </c>
      <c r="M131" s="1">
        <v>0</v>
      </c>
      <c r="N131" s="1">
        <v>-30.94</v>
      </c>
      <c r="O131" s="1">
        <v>10.28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 cm="1">
        <f t="array" ref="V131">SUM(ABS(G131:U131))</f>
        <v>478.65999999999997</v>
      </c>
      <c r="W131" s="11" cm="1">
        <f t="array" ref="W131">SUM(ABS(B131:E131))+SUM(ABS(G131:U131))</f>
        <v>821.88</v>
      </c>
    </row>
    <row r="132" spans="1:23" x14ac:dyDescent="0.3">
      <c r="A132" s="14">
        <v>45813.3125</v>
      </c>
      <c r="B132" s="1">
        <v>-204.5</v>
      </c>
      <c r="C132" s="1">
        <v>36.22</v>
      </c>
      <c r="D132" s="1">
        <v>12</v>
      </c>
      <c r="E132" s="1">
        <v>6.27</v>
      </c>
      <c r="F132" s="1" cm="1">
        <f t="array" ref="F132">SUM(ABS(B132:E132))</f>
        <v>258.99</v>
      </c>
      <c r="G132" s="1">
        <v>54.21</v>
      </c>
      <c r="H132" s="1">
        <v>272.58999999999997</v>
      </c>
      <c r="I132" s="1">
        <v>-55.03</v>
      </c>
      <c r="J132" s="1">
        <v>0</v>
      </c>
      <c r="K132" s="1">
        <v>0</v>
      </c>
      <c r="L132" s="1">
        <v>-56.98</v>
      </c>
      <c r="M132" s="1">
        <v>0</v>
      </c>
      <c r="N132" s="1">
        <v>-30.92</v>
      </c>
      <c r="O132" s="1">
        <v>10.28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 cm="1">
        <f t="array" ref="V132">SUM(ABS(G132:U132))</f>
        <v>480.00999999999993</v>
      </c>
      <c r="W132" s="11" cm="1">
        <f t="array" ref="W132">SUM(ABS(B132:E132))+SUM(ABS(G132:U132))</f>
        <v>739</v>
      </c>
    </row>
    <row r="133" spans="1:23" x14ac:dyDescent="0.3">
      <c r="A133" s="14">
        <v>45813.322916666664</v>
      </c>
      <c r="B133" s="1">
        <v>-135.61000000000001</v>
      </c>
      <c r="C133" s="1">
        <v>36.24</v>
      </c>
      <c r="D133" s="1">
        <v>12</v>
      </c>
      <c r="E133" s="1">
        <v>0</v>
      </c>
      <c r="F133" s="1" cm="1">
        <f t="array" ref="F133">SUM(ABS(B133:E133))</f>
        <v>183.85000000000002</v>
      </c>
      <c r="G133" s="1">
        <v>54.22</v>
      </c>
      <c r="H133" s="1">
        <v>270.10000000000002</v>
      </c>
      <c r="I133" s="1">
        <v>-47.84</v>
      </c>
      <c r="J133" s="1">
        <v>0</v>
      </c>
      <c r="K133" s="1">
        <v>0</v>
      </c>
      <c r="L133" s="1">
        <v>-40.96</v>
      </c>
      <c r="M133" s="1">
        <v>0</v>
      </c>
      <c r="N133" s="1">
        <v>-30.93</v>
      </c>
      <c r="O133" s="1">
        <v>10.28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 cm="1">
        <f t="array" ref="V133">SUM(ABS(G133:U133))</f>
        <v>454.33000000000004</v>
      </c>
      <c r="W133" s="11" cm="1">
        <f t="array" ref="W133">SUM(ABS(B133:E133))+SUM(ABS(G133:U133))</f>
        <v>638.18000000000006</v>
      </c>
    </row>
    <row r="134" spans="1:23" x14ac:dyDescent="0.3">
      <c r="A134" s="14">
        <v>45813.333333333336</v>
      </c>
      <c r="B134" s="1">
        <v>-126.59</v>
      </c>
      <c r="C134" s="1">
        <v>36.28</v>
      </c>
      <c r="D134" s="1">
        <v>12</v>
      </c>
      <c r="E134" s="1">
        <v>0</v>
      </c>
      <c r="F134" s="1" cm="1">
        <f t="array" ref="F134">SUM(ABS(B134:E134))</f>
        <v>174.87</v>
      </c>
      <c r="G134" s="1">
        <v>54.23</v>
      </c>
      <c r="H134" s="1">
        <v>272.74</v>
      </c>
      <c r="I134" s="1">
        <v>-42.13</v>
      </c>
      <c r="J134" s="1">
        <v>0</v>
      </c>
      <c r="K134" s="1">
        <v>0</v>
      </c>
      <c r="L134" s="1">
        <v>-24.15</v>
      </c>
      <c r="M134" s="1">
        <v>0</v>
      </c>
      <c r="N134" s="1">
        <v>-30.95</v>
      </c>
      <c r="O134" s="1">
        <v>10.28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 cm="1">
        <f t="array" ref="V134">SUM(ABS(G134:U134))</f>
        <v>434.47999999999996</v>
      </c>
      <c r="W134" s="11" cm="1">
        <f t="array" ref="W134">SUM(ABS(B134:E134))+SUM(ABS(G134:U134))</f>
        <v>609.34999999999991</v>
      </c>
    </row>
    <row r="135" spans="1:23" x14ac:dyDescent="0.3">
      <c r="A135" s="14">
        <v>45813.34375</v>
      </c>
      <c r="B135" s="1">
        <v>-158.22</v>
      </c>
      <c r="C135" s="1">
        <v>36.31</v>
      </c>
      <c r="D135" s="1">
        <v>12</v>
      </c>
      <c r="E135" s="1">
        <v>0</v>
      </c>
      <c r="F135" s="1" cm="1">
        <f t="array" ref="F135">SUM(ABS(B135:E135))</f>
        <v>206.53</v>
      </c>
      <c r="G135" s="1">
        <v>54.23</v>
      </c>
      <c r="H135" s="1">
        <v>273.95</v>
      </c>
      <c r="I135" s="1">
        <v>-42.14</v>
      </c>
      <c r="J135" s="1">
        <v>0</v>
      </c>
      <c r="K135" s="1">
        <v>0</v>
      </c>
      <c r="L135" s="1">
        <v>-24.46</v>
      </c>
      <c r="M135" s="1">
        <v>0</v>
      </c>
      <c r="N135" s="1">
        <v>-30.94</v>
      </c>
      <c r="O135" s="1">
        <v>10.27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cm="1">
        <f t="array" ref="V135">SUM(ABS(G135:U135))</f>
        <v>435.98999999999995</v>
      </c>
      <c r="W135" s="11" cm="1">
        <f t="array" ref="W135">SUM(ABS(B135:E135))+SUM(ABS(G135:U135))</f>
        <v>642.52</v>
      </c>
    </row>
    <row r="136" spans="1:23" x14ac:dyDescent="0.3">
      <c r="A136" s="14">
        <v>45813.354166666664</v>
      </c>
      <c r="B136" s="1">
        <v>-219.65</v>
      </c>
      <c r="C136" s="1">
        <v>36.32</v>
      </c>
      <c r="D136" s="1">
        <v>12</v>
      </c>
      <c r="E136" s="1">
        <v>0</v>
      </c>
      <c r="F136" s="1" cm="1">
        <f t="array" ref="F136">SUM(ABS(B136:E136))</f>
        <v>267.97000000000003</v>
      </c>
      <c r="G136" s="1">
        <v>54.21</v>
      </c>
      <c r="H136" s="1">
        <v>274.25</v>
      </c>
      <c r="I136" s="1">
        <v>-50.48</v>
      </c>
      <c r="J136" s="1">
        <v>0</v>
      </c>
      <c r="K136" s="1">
        <v>0</v>
      </c>
      <c r="L136" s="1">
        <v>-24.53</v>
      </c>
      <c r="M136" s="1">
        <v>0</v>
      </c>
      <c r="N136" s="1">
        <v>-30.95</v>
      </c>
      <c r="O136" s="1">
        <v>10.27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 cm="1">
        <f t="array" ref="V136">SUM(ABS(G136:U136))</f>
        <v>444.69</v>
      </c>
      <c r="W136" s="11" cm="1">
        <f t="array" ref="W136">SUM(ABS(B136:E136))+SUM(ABS(G136:U136))</f>
        <v>712.66000000000008</v>
      </c>
    </row>
    <row r="137" spans="1:23" x14ac:dyDescent="0.3">
      <c r="A137" s="14">
        <v>45813.364583333336</v>
      </c>
      <c r="B137" s="1">
        <v>-239.49</v>
      </c>
      <c r="C137" s="1">
        <v>36.270000000000003</v>
      </c>
      <c r="D137" s="1">
        <v>12</v>
      </c>
      <c r="E137" s="1">
        <v>0</v>
      </c>
      <c r="F137" s="1" cm="1">
        <f t="array" ref="F137">SUM(ABS(B137:E137))</f>
        <v>287.76</v>
      </c>
      <c r="G137" s="1">
        <v>54.23</v>
      </c>
      <c r="H137" s="1">
        <v>274.01</v>
      </c>
      <c r="I137" s="1">
        <v>-55.04</v>
      </c>
      <c r="J137" s="1">
        <v>0</v>
      </c>
      <c r="K137" s="1">
        <v>0</v>
      </c>
      <c r="L137" s="1">
        <v>-24.38</v>
      </c>
      <c r="M137" s="1">
        <v>0</v>
      </c>
      <c r="N137" s="1">
        <v>-30.95</v>
      </c>
      <c r="O137" s="1">
        <v>10.27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cm="1">
        <f t="array" ref="V137">SUM(ABS(G137:U137))</f>
        <v>448.88</v>
      </c>
      <c r="W137" s="11" cm="1">
        <f t="array" ref="W137">SUM(ABS(B137:E137))+SUM(ABS(G137:U137))</f>
        <v>736.64</v>
      </c>
    </row>
    <row r="138" spans="1:23" x14ac:dyDescent="0.3">
      <c r="A138" s="14">
        <v>45813.375</v>
      </c>
      <c r="B138" s="1">
        <v>-155.49</v>
      </c>
      <c r="C138" s="1">
        <v>36.31</v>
      </c>
      <c r="D138" s="1">
        <v>12</v>
      </c>
      <c r="E138" s="1">
        <v>0</v>
      </c>
      <c r="F138" s="1" cm="1">
        <f t="array" ref="F138">SUM(ABS(B138:E138))</f>
        <v>203.8</v>
      </c>
      <c r="G138" s="1">
        <v>54.22</v>
      </c>
      <c r="H138" s="1">
        <v>273.47000000000003</v>
      </c>
      <c r="I138" s="1">
        <v>-55.02</v>
      </c>
      <c r="J138" s="1">
        <v>0</v>
      </c>
      <c r="K138" s="1">
        <v>0</v>
      </c>
      <c r="L138" s="1">
        <v>-7.93</v>
      </c>
      <c r="M138" s="1">
        <v>0</v>
      </c>
      <c r="N138" s="1">
        <v>-30.9</v>
      </c>
      <c r="O138" s="1">
        <v>10.27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 cm="1">
        <f t="array" ref="V138">SUM(ABS(G138:U138))</f>
        <v>431.81</v>
      </c>
      <c r="W138" s="11" cm="1">
        <f t="array" ref="W138">SUM(ABS(B138:E138))+SUM(ABS(G138:U138))</f>
        <v>635.61</v>
      </c>
    </row>
    <row r="139" spans="1:23" x14ac:dyDescent="0.3">
      <c r="A139" s="14">
        <v>45813.385416666664</v>
      </c>
      <c r="B139" s="1">
        <v>-139.44</v>
      </c>
      <c r="C139" s="1">
        <v>36.28</v>
      </c>
      <c r="D139" s="1">
        <v>12</v>
      </c>
      <c r="E139" s="1">
        <v>0</v>
      </c>
      <c r="F139" s="1" cm="1">
        <f t="array" ref="F139">SUM(ABS(B139:E139))</f>
        <v>187.72</v>
      </c>
      <c r="G139" s="1">
        <v>54.21</v>
      </c>
      <c r="H139" s="1">
        <v>205.6</v>
      </c>
      <c r="I139" s="1">
        <v>-49.79</v>
      </c>
      <c r="J139" s="1">
        <v>0</v>
      </c>
      <c r="K139" s="1">
        <v>0</v>
      </c>
      <c r="L139" s="1">
        <v>0</v>
      </c>
      <c r="M139" s="1">
        <v>0</v>
      </c>
      <c r="N139" s="1">
        <v>-30.82</v>
      </c>
      <c r="O139" s="1">
        <v>10.26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 cm="1">
        <f t="array" ref="V139">SUM(ABS(G139:U139))</f>
        <v>350.68</v>
      </c>
      <c r="W139" s="11" cm="1">
        <f t="array" ref="W139">SUM(ABS(B139:E139))+SUM(ABS(G139:U139))</f>
        <v>538.4</v>
      </c>
    </row>
    <row r="140" spans="1:23" x14ac:dyDescent="0.3">
      <c r="A140" s="14">
        <v>45813.395833333336</v>
      </c>
      <c r="B140" s="1">
        <v>-123.49</v>
      </c>
      <c r="C140" s="1">
        <v>36.25</v>
      </c>
      <c r="D140" s="1">
        <v>12</v>
      </c>
      <c r="E140" s="1">
        <v>0</v>
      </c>
      <c r="F140" s="1" cm="1">
        <f t="array" ref="F140">SUM(ABS(B140:E140))</f>
        <v>171.74</v>
      </c>
      <c r="G140" s="1">
        <v>46.16</v>
      </c>
      <c r="H140" s="1">
        <v>126.39</v>
      </c>
      <c r="I140" s="1">
        <v>-42.02</v>
      </c>
      <c r="J140" s="1">
        <v>0</v>
      </c>
      <c r="K140" s="1">
        <v>0</v>
      </c>
      <c r="L140" s="1">
        <v>0</v>
      </c>
      <c r="M140" s="1">
        <v>0</v>
      </c>
      <c r="N140" s="1">
        <v>-30.88</v>
      </c>
      <c r="O140" s="1">
        <v>10.27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 cm="1">
        <f t="array" ref="V140">SUM(ABS(G140:U140))</f>
        <v>255.72000000000003</v>
      </c>
      <c r="W140" s="11" cm="1">
        <f t="array" ref="W140">SUM(ABS(B140:E140))+SUM(ABS(G140:U140))</f>
        <v>427.46000000000004</v>
      </c>
    </row>
    <row r="141" spans="1:23" x14ac:dyDescent="0.3">
      <c r="A141" s="14">
        <v>45813.40625</v>
      </c>
      <c r="B141" s="1">
        <v>-226.35</v>
      </c>
      <c r="C141" s="1">
        <v>36.159999999999997</v>
      </c>
      <c r="D141" s="1">
        <v>12</v>
      </c>
      <c r="E141" s="1">
        <v>0</v>
      </c>
      <c r="F141" s="1" cm="1">
        <f t="array" ref="F141">SUM(ABS(B141:E141))</f>
        <v>274.51</v>
      </c>
      <c r="G141" s="1">
        <v>30.13</v>
      </c>
      <c r="H141" s="1">
        <v>252.11</v>
      </c>
      <c r="I141" s="1">
        <v>-42</v>
      </c>
      <c r="J141" s="1">
        <v>0</v>
      </c>
      <c r="K141" s="1">
        <v>0</v>
      </c>
      <c r="L141" s="1">
        <v>0</v>
      </c>
      <c r="M141" s="1">
        <v>0</v>
      </c>
      <c r="N141" s="1">
        <v>-30.88</v>
      </c>
      <c r="O141" s="1">
        <v>10.27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 cm="1">
        <f t="array" ref="V141">SUM(ABS(G141:U141))</f>
        <v>365.39</v>
      </c>
      <c r="W141" s="11" cm="1">
        <f t="array" ref="W141">SUM(ABS(B141:E141))+SUM(ABS(G141:U141))</f>
        <v>639.9</v>
      </c>
    </row>
    <row r="142" spans="1:23" x14ac:dyDescent="0.3">
      <c r="A142" s="14">
        <v>45813.416666666664</v>
      </c>
      <c r="B142" s="1">
        <v>-141.58000000000001</v>
      </c>
      <c r="C142" s="1">
        <v>36.17</v>
      </c>
      <c r="D142" s="1">
        <v>12</v>
      </c>
      <c r="E142" s="1">
        <v>0</v>
      </c>
      <c r="F142" s="1" cm="1">
        <f t="array" ref="F142">SUM(ABS(B142:E142))</f>
        <v>189.75</v>
      </c>
      <c r="G142" s="1">
        <v>30.14</v>
      </c>
      <c r="H142" s="1">
        <v>237.76</v>
      </c>
      <c r="I142" s="1">
        <v>-42.05</v>
      </c>
      <c r="J142" s="1">
        <v>0</v>
      </c>
      <c r="K142" s="1">
        <v>0</v>
      </c>
      <c r="L142" s="1">
        <v>0</v>
      </c>
      <c r="M142" s="1">
        <v>0</v>
      </c>
      <c r="N142" s="1">
        <v>-30.87</v>
      </c>
      <c r="O142" s="1">
        <v>10.26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 cm="1">
        <f t="array" ref="V142">SUM(ABS(G142:U142))</f>
        <v>351.08</v>
      </c>
      <c r="W142" s="11" cm="1">
        <f t="array" ref="W142">SUM(ABS(B142:E142))+SUM(ABS(G142:U142))</f>
        <v>540.82999999999993</v>
      </c>
    </row>
    <row r="143" spans="1:23" x14ac:dyDescent="0.3">
      <c r="A143" s="14">
        <v>45813.427083333336</v>
      </c>
      <c r="B143" s="1">
        <v>-120.22</v>
      </c>
      <c r="C143" s="1">
        <v>36.17</v>
      </c>
      <c r="D143" s="1">
        <v>12</v>
      </c>
      <c r="E143" s="1">
        <v>0</v>
      </c>
      <c r="F143" s="1" cm="1">
        <f t="array" ref="F143">SUM(ABS(B143:E143))</f>
        <v>168.39</v>
      </c>
      <c r="G143" s="1">
        <v>30.15</v>
      </c>
      <c r="H143" s="1">
        <v>248.91</v>
      </c>
      <c r="I143" s="1">
        <v>-42.01</v>
      </c>
      <c r="J143" s="1">
        <v>0</v>
      </c>
      <c r="K143" s="1">
        <v>0</v>
      </c>
      <c r="L143" s="1">
        <v>0</v>
      </c>
      <c r="M143" s="1">
        <v>0</v>
      </c>
      <c r="N143" s="1">
        <v>-30.85</v>
      </c>
      <c r="O143" s="1">
        <v>10.26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 cm="1">
        <f t="array" ref="V143">SUM(ABS(G143:U143))</f>
        <v>362.18</v>
      </c>
      <c r="W143" s="11" cm="1">
        <f t="array" ref="W143">SUM(ABS(B143:E143))+SUM(ABS(G143:U143))</f>
        <v>530.56999999999994</v>
      </c>
    </row>
    <row r="144" spans="1:23" x14ac:dyDescent="0.3">
      <c r="A144" s="14">
        <v>45813.4375</v>
      </c>
      <c r="B144" s="1">
        <v>-127.29</v>
      </c>
      <c r="C144" s="1">
        <v>36.159999999999997</v>
      </c>
      <c r="D144" s="1">
        <v>12</v>
      </c>
      <c r="E144" s="1">
        <v>0</v>
      </c>
      <c r="F144" s="1" cm="1">
        <f t="array" ref="F144">SUM(ABS(B144:E144))</f>
        <v>175.45</v>
      </c>
      <c r="G144" s="1">
        <v>30.12</v>
      </c>
      <c r="H144" s="1">
        <v>184.61</v>
      </c>
      <c r="I144" s="1">
        <v>-42.02</v>
      </c>
      <c r="J144" s="1">
        <v>0</v>
      </c>
      <c r="K144" s="1">
        <v>0</v>
      </c>
      <c r="L144" s="1">
        <v>0</v>
      </c>
      <c r="M144" s="1">
        <v>0</v>
      </c>
      <c r="N144" s="1">
        <v>-30.86</v>
      </c>
      <c r="O144" s="1">
        <v>10.26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 cm="1">
        <f t="array" ref="V144">SUM(ABS(G144:U144))</f>
        <v>297.87</v>
      </c>
      <c r="W144" s="11" cm="1">
        <f t="array" ref="W144">SUM(ABS(B144:E144))+SUM(ABS(G144:U144))</f>
        <v>473.32</v>
      </c>
    </row>
    <row r="145" spans="1:23" x14ac:dyDescent="0.3">
      <c r="A145" s="14">
        <v>45813.447916666664</v>
      </c>
      <c r="B145" s="1">
        <v>-121.05</v>
      </c>
      <c r="C145" s="1">
        <v>36.1</v>
      </c>
      <c r="D145" s="1">
        <v>12</v>
      </c>
      <c r="E145" s="1">
        <v>0</v>
      </c>
      <c r="F145" s="1" cm="1">
        <f t="array" ref="F145">SUM(ABS(B145:E145))</f>
        <v>169.15</v>
      </c>
      <c r="G145" s="1">
        <v>30.12</v>
      </c>
      <c r="H145" s="1">
        <v>182.22</v>
      </c>
      <c r="I145" s="1">
        <v>-41.97</v>
      </c>
      <c r="J145" s="1">
        <v>0</v>
      </c>
      <c r="K145" s="1">
        <v>0</v>
      </c>
      <c r="L145" s="1">
        <v>0</v>
      </c>
      <c r="M145" s="1">
        <v>0</v>
      </c>
      <c r="N145" s="1">
        <v>-30.85</v>
      </c>
      <c r="O145" s="1">
        <v>10.27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cm="1">
        <f t="array" ref="V145">SUM(ABS(G145:U145))</f>
        <v>295.43</v>
      </c>
      <c r="W145" s="11" cm="1">
        <f t="array" ref="W145">SUM(ABS(B145:E145))+SUM(ABS(G145:U145))</f>
        <v>464.58000000000004</v>
      </c>
    </row>
    <row r="146" spans="1:23" x14ac:dyDescent="0.3">
      <c r="A146" s="14">
        <v>45813.458333333336</v>
      </c>
      <c r="B146" s="1">
        <v>-120.87</v>
      </c>
      <c r="C146" s="1">
        <v>36.049999999999997</v>
      </c>
      <c r="D146" s="1">
        <v>12</v>
      </c>
      <c r="E146" s="1">
        <v>0</v>
      </c>
      <c r="F146" s="1" cm="1">
        <f t="array" ref="F146">SUM(ABS(B146:E146))</f>
        <v>168.92000000000002</v>
      </c>
      <c r="G146" s="1">
        <v>30.13</v>
      </c>
      <c r="H146" s="1">
        <v>141.49</v>
      </c>
      <c r="I146" s="1">
        <v>-41.98</v>
      </c>
      <c r="J146" s="1">
        <v>0</v>
      </c>
      <c r="K146" s="1">
        <v>0</v>
      </c>
      <c r="L146" s="1">
        <v>0</v>
      </c>
      <c r="M146" s="1">
        <v>0</v>
      </c>
      <c r="N146" s="1">
        <v>-30.86</v>
      </c>
      <c r="O146" s="1">
        <v>10.26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 cm="1">
        <f t="array" ref="V146">SUM(ABS(G146:U146))</f>
        <v>254.71999999999997</v>
      </c>
      <c r="W146" s="11" cm="1">
        <f t="array" ref="W146">SUM(ABS(B146:E146))+SUM(ABS(G146:U146))</f>
        <v>423.64</v>
      </c>
    </row>
    <row r="147" spans="1:23" x14ac:dyDescent="0.3">
      <c r="A147" s="14">
        <v>45813.46875</v>
      </c>
      <c r="B147" s="1">
        <v>-127.48</v>
      </c>
      <c r="C147" s="1">
        <v>35.96</v>
      </c>
      <c r="D147" s="1">
        <v>12</v>
      </c>
      <c r="E147" s="1">
        <v>0</v>
      </c>
      <c r="F147" s="1" cm="1">
        <f t="array" ref="F147">SUM(ABS(B147:E147))</f>
        <v>175.44</v>
      </c>
      <c r="G147" s="1">
        <v>30.13</v>
      </c>
      <c r="H147" s="1">
        <v>126.63</v>
      </c>
      <c r="I147" s="1">
        <v>-41.96</v>
      </c>
      <c r="J147" s="1">
        <v>0</v>
      </c>
      <c r="K147" s="1">
        <v>0</v>
      </c>
      <c r="L147" s="1">
        <v>0</v>
      </c>
      <c r="M147" s="1">
        <v>0</v>
      </c>
      <c r="N147" s="1">
        <v>-30.86</v>
      </c>
      <c r="O147" s="1">
        <v>10.26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 cm="1">
        <f t="array" ref="V147">SUM(ABS(G147:U147))</f>
        <v>239.83999999999997</v>
      </c>
      <c r="W147" s="11" cm="1">
        <f t="array" ref="W147">SUM(ABS(B147:E147))+SUM(ABS(G147:U147))</f>
        <v>415.28</v>
      </c>
    </row>
    <row r="148" spans="1:23" x14ac:dyDescent="0.3">
      <c r="A148" s="14">
        <v>45813.479166666664</v>
      </c>
      <c r="B148" s="1">
        <v>-138.06</v>
      </c>
      <c r="C148" s="1">
        <v>35.880000000000003</v>
      </c>
      <c r="D148" s="1">
        <v>12</v>
      </c>
      <c r="E148" s="1">
        <v>0</v>
      </c>
      <c r="F148" s="1" cm="1">
        <f t="array" ref="F148">SUM(ABS(B148:E148))</f>
        <v>185.94</v>
      </c>
      <c r="G148" s="1">
        <v>30.13</v>
      </c>
      <c r="H148" s="1">
        <v>130.97</v>
      </c>
      <c r="I148" s="1">
        <v>-41.97</v>
      </c>
      <c r="J148" s="1">
        <v>0</v>
      </c>
      <c r="K148" s="1">
        <v>0</v>
      </c>
      <c r="L148" s="1">
        <v>0</v>
      </c>
      <c r="M148" s="1">
        <v>0</v>
      </c>
      <c r="N148" s="1">
        <v>-30.89</v>
      </c>
      <c r="O148" s="1">
        <v>10.26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 cm="1">
        <f t="array" ref="V148">SUM(ABS(G148:U148))</f>
        <v>244.21999999999997</v>
      </c>
      <c r="W148" s="11" cm="1">
        <f t="array" ref="W148">SUM(ABS(B148:E148))+SUM(ABS(G148:U148))</f>
        <v>430.15999999999997</v>
      </c>
    </row>
    <row r="149" spans="1:23" x14ac:dyDescent="0.3">
      <c r="A149" s="14">
        <v>45813.489583333336</v>
      </c>
      <c r="B149" s="1">
        <v>-137.47999999999999</v>
      </c>
      <c r="C149" s="1">
        <v>35.81</v>
      </c>
      <c r="D149" s="1">
        <v>12</v>
      </c>
      <c r="E149" s="1">
        <v>0</v>
      </c>
      <c r="F149" s="1" cm="1">
        <f t="array" ref="F149">SUM(ABS(B149:E149))</f>
        <v>185.29</v>
      </c>
      <c r="G149" s="1">
        <v>30.12</v>
      </c>
      <c r="H149" s="1">
        <v>233.31</v>
      </c>
      <c r="I149" s="1">
        <v>-46.54</v>
      </c>
      <c r="J149" s="1">
        <v>0</v>
      </c>
      <c r="K149" s="1">
        <v>0</v>
      </c>
      <c r="L149" s="1">
        <v>0</v>
      </c>
      <c r="M149" s="1">
        <v>0</v>
      </c>
      <c r="N149" s="1">
        <v>-30.83</v>
      </c>
      <c r="O149" s="1">
        <v>10.26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 cm="1">
        <f t="array" ref="V149">SUM(ABS(G149:U149))</f>
        <v>351.06</v>
      </c>
      <c r="W149" s="11" cm="1">
        <f t="array" ref="W149">SUM(ABS(B149:E149))+SUM(ABS(G149:U149))</f>
        <v>536.35</v>
      </c>
    </row>
    <row r="150" spans="1:23" x14ac:dyDescent="0.3">
      <c r="A150" s="14">
        <v>45813.5</v>
      </c>
      <c r="B150" s="1">
        <v>-128.59</v>
      </c>
      <c r="C150" s="1">
        <v>35.74</v>
      </c>
      <c r="D150" s="1">
        <v>12</v>
      </c>
      <c r="E150" s="1">
        <v>0</v>
      </c>
      <c r="F150" s="1" cm="1">
        <f t="array" ref="F150">SUM(ABS(B150:E150))</f>
        <v>176.33</v>
      </c>
      <c r="G150" s="1">
        <v>30.13</v>
      </c>
      <c r="H150" s="1">
        <v>137.5</v>
      </c>
      <c r="I150" s="1">
        <v>-42.02</v>
      </c>
      <c r="J150" s="1">
        <v>0</v>
      </c>
      <c r="K150" s="1">
        <v>0</v>
      </c>
      <c r="L150" s="1">
        <v>0</v>
      </c>
      <c r="M150" s="1">
        <v>0</v>
      </c>
      <c r="N150" s="1">
        <v>-30.87</v>
      </c>
      <c r="O150" s="1">
        <v>10.26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 cm="1">
        <f t="array" ref="V150">SUM(ABS(G150:U150))</f>
        <v>250.78</v>
      </c>
      <c r="W150" s="11" cm="1">
        <f t="array" ref="W150">SUM(ABS(B150:E150))+SUM(ABS(G150:U150))</f>
        <v>427.11</v>
      </c>
    </row>
    <row r="151" spans="1:23" x14ac:dyDescent="0.3">
      <c r="A151" s="14">
        <v>45813.510416666664</v>
      </c>
      <c r="B151" s="1">
        <v>-141.32</v>
      </c>
      <c r="C151" s="1">
        <v>35.72</v>
      </c>
      <c r="D151" s="1">
        <v>12</v>
      </c>
      <c r="E151" s="1">
        <v>0</v>
      </c>
      <c r="F151" s="1" cm="1">
        <f t="array" ref="F151">SUM(ABS(B151:E151))</f>
        <v>189.04</v>
      </c>
      <c r="G151" s="1">
        <v>30.12</v>
      </c>
      <c r="H151" s="1">
        <v>240.99</v>
      </c>
      <c r="I151" s="1">
        <v>-47.52</v>
      </c>
      <c r="J151" s="1">
        <v>0</v>
      </c>
      <c r="K151" s="1">
        <v>0</v>
      </c>
      <c r="L151" s="1">
        <v>0</v>
      </c>
      <c r="M151" s="1">
        <v>0</v>
      </c>
      <c r="N151" s="1">
        <v>-30.83</v>
      </c>
      <c r="O151" s="1">
        <v>6.51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 cm="1">
        <f t="array" ref="V151">SUM(ABS(G151:U151))</f>
        <v>355.96999999999997</v>
      </c>
      <c r="W151" s="11" cm="1">
        <f t="array" ref="W151">SUM(ABS(B151:E151))+SUM(ABS(G151:U151))</f>
        <v>545.01</v>
      </c>
    </row>
    <row r="152" spans="1:23" x14ac:dyDescent="0.3">
      <c r="A152" s="14">
        <v>45813.520833333336</v>
      </c>
      <c r="B152" s="1">
        <v>-130.63</v>
      </c>
      <c r="C152" s="1">
        <v>35.67</v>
      </c>
      <c r="D152" s="1">
        <v>12</v>
      </c>
      <c r="E152" s="1">
        <v>0</v>
      </c>
      <c r="F152" s="1" cm="1">
        <f t="array" ref="F152">SUM(ABS(B152:E152))</f>
        <v>178.3</v>
      </c>
      <c r="G152" s="1">
        <v>30.13</v>
      </c>
      <c r="H152" s="1">
        <v>230.78</v>
      </c>
      <c r="I152" s="1">
        <v>-55.02</v>
      </c>
      <c r="J152" s="1">
        <v>25.91</v>
      </c>
      <c r="K152" s="1">
        <v>0</v>
      </c>
      <c r="L152" s="1">
        <v>0</v>
      </c>
      <c r="M152" s="1">
        <v>0</v>
      </c>
      <c r="N152" s="1">
        <v>-30.82</v>
      </c>
      <c r="O152" s="1">
        <v>5.55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 cm="1">
        <f t="array" ref="V152">SUM(ABS(G152:U152))</f>
        <v>378.21000000000004</v>
      </c>
      <c r="W152" s="11" cm="1">
        <f t="array" ref="W152">SUM(ABS(B152:E152))+SUM(ABS(G152:U152))</f>
        <v>556.51</v>
      </c>
    </row>
    <row r="153" spans="1:23" x14ac:dyDescent="0.3">
      <c r="A153" s="14">
        <v>45813.53125</v>
      </c>
      <c r="B153" s="1">
        <v>-120.57</v>
      </c>
      <c r="C153" s="1">
        <v>35.590000000000003</v>
      </c>
      <c r="D153" s="1">
        <v>12</v>
      </c>
      <c r="E153" s="1">
        <v>0</v>
      </c>
      <c r="F153" s="1" cm="1">
        <f t="array" ref="F153">SUM(ABS(B153:E153))</f>
        <v>168.16</v>
      </c>
      <c r="G153" s="1">
        <v>30.13</v>
      </c>
      <c r="H153" s="1">
        <v>119.78</v>
      </c>
      <c r="I153" s="1">
        <v>-45.28</v>
      </c>
      <c r="J153" s="1">
        <v>31.81</v>
      </c>
      <c r="K153" s="1">
        <v>0</v>
      </c>
      <c r="L153" s="1">
        <v>0</v>
      </c>
      <c r="M153" s="1">
        <v>0</v>
      </c>
      <c r="N153" s="1">
        <v>-30.78</v>
      </c>
      <c r="O153" s="1">
        <v>5.55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 cm="1">
        <f t="array" ref="V153">SUM(ABS(G153:U153))</f>
        <v>263.33</v>
      </c>
      <c r="W153" s="11" cm="1">
        <f t="array" ref="W153">SUM(ABS(B153:E153))+SUM(ABS(G153:U153))</f>
        <v>431.49</v>
      </c>
    </row>
    <row r="154" spans="1:23" x14ac:dyDescent="0.3">
      <c r="A154" s="14">
        <v>45813.541666666664</v>
      </c>
      <c r="B154" s="1">
        <v>-121.1</v>
      </c>
      <c r="C154" s="1">
        <v>35.46</v>
      </c>
      <c r="D154" s="1">
        <v>12</v>
      </c>
      <c r="E154" s="1">
        <v>0</v>
      </c>
      <c r="F154" s="1" cm="1">
        <f t="array" ref="F154">SUM(ABS(B154:E154))</f>
        <v>168.56</v>
      </c>
      <c r="G154" s="1">
        <v>30.13</v>
      </c>
      <c r="H154" s="1">
        <v>126.09</v>
      </c>
      <c r="I154" s="1">
        <v>-41.93</v>
      </c>
      <c r="J154" s="1">
        <v>22.42</v>
      </c>
      <c r="K154" s="1">
        <v>0</v>
      </c>
      <c r="L154" s="1">
        <v>0</v>
      </c>
      <c r="M154" s="1">
        <v>0</v>
      </c>
      <c r="N154" s="1">
        <v>-30.83</v>
      </c>
      <c r="O154" s="1">
        <v>5.54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 cm="1">
        <f t="array" ref="V154">SUM(ABS(G154:U154))</f>
        <v>256.94</v>
      </c>
      <c r="W154" s="11" cm="1">
        <f t="array" ref="W154">SUM(ABS(B154:E154))+SUM(ABS(G154:U154))</f>
        <v>425.5</v>
      </c>
    </row>
    <row r="155" spans="1:23" x14ac:dyDescent="0.3">
      <c r="A155" s="14">
        <v>45813.552083333336</v>
      </c>
      <c r="B155" s="1">
        <v>-258.17</v>
      </c>
      <c r="C155" s="1">
        <v>35.409999999999997</v>
      </c>
      <c r="D155" s="1">
        <v>12</v>
      </c>
      <c r="E155" s="1">
        <v>0</v>
      </c>
      <c r="F155" s="1" cm="1">
        <f t="array" ref="F155">SUM(ABS(B155:E155))</f>
        <v>305.58000000000004</v>
      </c>
      <c r="G155" s="1">
        <v>41.43</v>
      </c>
      <c r="H155" s="1">
        <v>221.39</v>
      </c>
      <c r="I155" s="1">
        <v>-49.39</v>
      </c>
      <c r="J155" s="1">
        <v>38.68</v>
      </c>
      <c r="K155" s="1">
        <v>0</v>
      </c>
      <c r="L155" s="1">
        <v>0</v>
      </c>
      <c r="M155" s="1">
        <v>0</v>
      </c>
      <c r="N155" s="1">
        <v>-30.88</v>
      </c>
      <c r="O155" s="1">
        <v>5.55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 cm="1">
        <f t="array" ref="V155">SUM(ABS(G155:U155))</f>
        <v>387.32</v>
      </c>
      <c r="W155" s="11" cm="1">
        <f t="array" ref="W155">SUM(ABS(B155:E155))+SUM(ABS(G155:U155))</f>
        <v>692.90000000000009</v>
      </c>
    </row>
    <row r="156" spans="1:23" x14ac:dyDescent="0.3">
      <c r="A156" s="14">
        <v>45813.5625</v>
      </c>
      <c r="B156" s="1">
        <v>-365.94</v>
      </c>
      <c r="C156" s="1">
        <v>35.46</v>
      </c>
      <c r="D156" s="1">
        <v>12</v>
      </c>
      <c r="E156" s="1">
        <v>0</v>
      </c>
      <c r="F156" s="1" cm="1">
        <f t="array" ref="F156">SUM(ABS(B156:E156))</f>
        <v>413.4</v>
      </c>
      <c r="G156" s="1">
        <v>54.25</v>
      </c>
      <c r="H156" s="1">
        <v>274.56</v>
      </c>
      <c r="I156" s="1">
        <v>-55.08</v>
      </c>
      <c r="J156" s="1">
        <v>49.79</v>
      </c>
      <c r="K156" s="1">
        <v>0</v>
      </c>
      <c r="L156" s="1">
        <v>0</v>
      </c>
      <c r="M156" s="1">
        <v>0</v>
      </c>
      <c r="N156" s="1">
        <v>-30.89</v>
      </c>
      <c r="O156" s="1">
        <v>5.55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 cm="1">
        <f t="array" ref="V156">SUM(ABS(G156:U156))</f>
        <v>470.12</v>
      </c>
      <c r="W156" s="11" cm="1">
        <f t="array" ref="W156">SUM(ABS(B156:E156))+SUM(ABS(G156:U156))</f>
        <v>883.52</v>
      </c>
    </row>
    <row r="157" spans="1:23" x14ac:dyDescent="0.3">
      <c r="A157" s="14">
        <v>45813.572916666664</v>
      </c>
      <c r="B157" s="1">
        <v>-324.13</v>
      </c>
      <c r="C157" s="1">
        <v>35.49</v>
      </c>
      <c r="D157" s="1">
        <v>12</v>
      </c>
      <c r="E157" s="1">
        <v>0</v>
      </c>
      <c r="F157" s="1" cm="1">
        <f t="array" ref="F157">SUM(ABS(B157:E157))</f>
        <v>371.62</v>
      </c>
      <c r="G157" s="1">
        <v>54.24</v>
      </c>
      <c r="H157" s="1">
        <v>274.41000000000003</v>
      </c>
      <c r="I157" s="1">
        <v>-55.08</v>
      </c>
      <c r="J157" s="1">
        <v>49.53</v>
      </c>
      <c r="K157" s="1">
        <v>0</v>
      </c>
      <c r="L157" s="1">
        <v>0</v>
      </c>
      <c r="M157" s="1">
        <v>0</v>
      </c>
      <c r="N157" s="1">
        <v>-30.84</v>
      </c>
      <c r="O157" s="1">
        <v>5.56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 cm="1">
        <f t="array" ref="V157">SUM(ABS(G157:U157))</f>
        <v>469.65999999999997</v>
      </c>
      <c r="W157" s="11" cm="1">
        <f t="array" ref="W157">SUM(ABS(B157:E157))+SUM(ABS(G157:U157))</f>
        <v>841.28</v>
      </c>
    </row>
    <row r="158" spans="1:23" x14ac:dyDescent="0.3">
      <c r="A158" s="14">
        <v>45813.583333333336</v>
      </c>
      <c r="B158" s="1">
        <v>-238.88</v>
      </c>
      <c r="C158" s="1">
        <v>35.520000000000003</v>
      </c>
      <c r="D158" s="1">
        <v>12</v>
      </c>
      <c r="E158" s="1">
        <v>0</v>
      </c>
      <c r="F158" s="1" cm="1">
        <f t="array" ref="F158">SUM(ABS(B158:E158))</f>
        <v>286.39999999999998</v>
      </c>
      <c r="G158" s="1">
        <v>54.26</v>
      </c>
      <c r="H158" s="1">
        <v>274.18</v>
      </c>
      <c r="I158" s="1">
        <v>-55.09</v>
      </c>
      <c r="J158" s="1">
        <v>49.3</v>
      </c>
      <c r="K158" s="1">
        <v>0</v>
      </c>
      <c r="L158" s="1">
        <v>0</v>
      </c>
      <c r="M158" s="1">
        <v>0</v>
      </c>
      <c r="N158" s="1">
        <v>-30.86</v>
      </c>
      <c r="O158" s="1">
        <v>5.55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 cm="1">
        <f t="array" ref="V158">SUM(ABS(G158:U158))</f>
        <v>469.24</v>
      </c>
      <c r="W158" s="11" cm="1">
        <f t="array" ref="W158">SUM(ABS(B158:E158))+SUM(ABS(G158:U158))</f>
        <v>755.64</v>
      </c>
    </row>
    <row r="159" spans="1:23" x14ac:dyDescent="0.3">
      <c r="A159" s="14">
        <v>45813.59375</v>
      </c>
      <c r="B159" s="1">
        <v>-307.19</v>
      </c>
      <c r="C159" s="1">
        <v>35.51</v>
      </c>
      <c r="D159" s="1">
        <v>12</v>
      </c>
      <c r="E159" s="1">
        <v>0</v>
      </c>
      <c r="F159" s="1" cm="1">
        <f t="array" ref="F159">SUM(ABS(B159:E159))</f>
        <v>354.7</v>
      </c>
      <c r="G159" s="1">
        <v>54.25</v>
      </c>
      <c r="H159" s="1">
        <v>273.08999999999997</v>
      </c>
      <c r="I159" s="1">
        <v>-55.08</v>
      </c>
      <c r="J159" s="1">
        <v>47.76</v>
      </c>
      <c r="K159" s="1">
        <v>0</v>
      </c>
      <c r="L159" s="1">
        <v>0</v>
      </c>
      <c r="M159" s="1">
        <v>0</v>
      </c>
      <c r="N159" s="1">
        <v>-30.82</v>
      </c>
      <c r="O159" s="1">
        <v>5.55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 cm="1">
        <f t="array" ref="V159">SUM(ABS(G159:U159))</f>
        <v>466.54999999999995</v>
      </c>
      <c r="W159" s="11" cm="1">
        <f t="array" ref="W159">SUM(ABS(B159:E159))+SUM(ABS(G159:U159))</f>
        <v>821.25</v>
      </c>
    </row>
    <row r="160" spans="1:23" x14ac:dyDescent="0.3">
      <c r="A160" s="14">
        <v>45813.604166666664</v>
      </c>
      <c r="B160" s="1">
        <v>-485.84</v>
      </c>
      <c r="C160" s="1">
        <v>35.53</v>
      </c>
      <c r="D160" s="1">
        <v>12</v>
      </c>
      <c r="E160" s="1">
        <v>0</v>
      </c>
      <c r="F160" s="1" cm="1">
        <f t="array" ref="F160">SUM(ABS(B160:E160))</f>
        <v>533.37</v>
      </c>
      <c r="G160" s="1">
        <v>54.26</v>
      </c>
      <c r="H160" s="1">
        <v>271.64999999999998</v>
      </c>
      <c r="I160" s="1">
        <v>-55.06</v>
      </c>
      <c r="J160" s="1">
        <v>59.92</v>
      </c>
      <c r="K160" s="1">
        <v>0</v>
      </c>
      <c r="L160" s="1">
        <v>0</v>
      </c>
      <c r="M160" s="1">
        <v>0</v>
      </c>
      <c r="N160" s="1">
        <v>-30.83</v>
      </c>
      <c r="O160" s="1">
        <v>5.55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 cm="1">
        <f t="array" ref="V160">SUM(ABS(G160:U160))</f>
        <v>477.27</v>
      </c>
      <c r="W160" s="11" cm="1">
        <f t="array" ref="W160">SUM(ABS(B160:E160))+SUM(ABS(G160:U160))</f>
        <v>1010.64</v>
      </c>
    </row>
    <row r="161" spans="1:23" x14ac:dyDescent="0.3">
      <c r="A161" s="14">
        <v>45813.614583333336</v>
      </c>
      <c r="B161" s="1">
        <v>-695.32</v>
      </c>
      <c r="C161" s="1">
        <v>35.51</v>
      </c>
      <c r="D161" s="1">
        <v>12</v>
      </c>
      <c r="E161" s="1">
        <v>0</v>
      </c>
      <c r="F161" s="1" cm="1">
        <f t="array" ref="F161">SUM(ABS(B161:E161))</f>
        <v>742.83</v>
      </c>
      <c r="G161" s="1">
        <v>54.25</v>
      </c>
      <c r="H161" s="1">
        <v>272.45</v>
      </c>
      <c r="I161" s="1">
        <v>-55.07</v>
      </c>
      <c r="J161" s="1">
        <v>94.47</v>
      </c>
      <c r="K161" s="1">
        <v>0</v>
      </c>
      <c r="L161" s="1">
        <v>0</v>
      </c>
      <c r="M161" s="1">
        <v>0</v>
      </c>
      <c r="N161" s="1">
        <v>-30.85</v>
      </c>
      <c r="O161" s="1">
        <v>5.55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 cm="1">
        <f t="array" ref="V161">SUM(ABS(G161:U161))</f>
        <v>512.64</v>
      </c>
      <c r="W161" s="11" cm="1">
        <f t="array" ref="W161">SUM(ABS(B161:E161))+SUM(ABS(G161:U161))</f>
        <v>1255.47</v>
      </c>
    </row>
    <row r="162" spans="1:23" x14ac:dyDescent="0.3">
      <c r="A162" s="14">
        <v>45813.625</v>
      </c>
      <c r="B162" s="1">
        <v>-558.94000000000005</v>
      </c>
      <c r="C162" s="1">
        <v>35.5</v>
      </c>
      <c r="D162" s="1">
        <v>12</v>
      </c>
      <c r="E162" s="1">
        <v>0</v>
      </c>
      <c r="F162" s="1" cm="1">
        <f t="array" ref="F162">SUM(ABS(B162:E162))</f>
        <v>606.44000000000005</v>
      </c>
      <c r="G162" s="1">
        <v>54.25</v>
      </c>
      <c r="H162" s="1">
        <v>255.67</v>
      </c>
      <c r="I162" s="1">
        <v>-54.98</v>
      </c>
      <c r="J162" s="1">
        <v>87.32</v>
      </c>
      <c r="K162" s="1">
        <v>0</v>
      </c>
      <c r="L162" s="1">
        <v>0</v>
      </c>
      <c r="M162" s="1">
        <v>0</v>
      </c>
      <c r="N162" s="1">
        <v>-30.82</v>
      </c>
      <c r="O162" s="1">
        <v>5.54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 cm="1">
        <f t="array" ref="V162">SUM(ABS(G162:U162))</f>
        <v>488.58</v>
      </c>
      <c r="W162" s="11" cm="1">
        <f t="array" ref="W162">SUM(ABS(B162:E162))+SUM(ABS(G162:U162))</f>
        <v>1095.02</v>
      </c>
    </row>
    <row r="163" spans="1:23" x14ac:dyDescent="0.3">
      <c r="A163" s="14">
        <v>45813.635416666664</v>
      </c>
      <c r="B163" s="1">
        <v>-655.99</v>
      </c>
      <c r="C163" s="1">
        <v>35.51</v>
      </c>
      <c r="D163" s="1">
        <v>12</v>
      </c>
      <c r="E163" s="1">
        <v>0</v>
      </c>
      <c r="F163" s="1" cm="1">
        <f t="array" ref="F163">SUM(ABS(B163:E163))</f>
        <v>703.5</v>
      </c>
      <c r="G163" s="1">
        <v>54.26</v>
      </c>
      <c r="H163" s="1">
        <v>265.98</v>
      </c>
      <c r="I163" s="1">
        <v>-54.99</v>
      </c>
      <c r="J163" s="1">
        <v>92.87</v>
      </c>
      <c r="K163" s="1">
        <v>0</v>
      </c>
      <c r="L163" s="1">
        <v>0</v>
      </c>
      <c r="M163" s="1">
        <v>0</v>
      </c>
      <c r="N163" s="1">
        <v>-30.86</v>
      </c>
      <c r="O163" s="1">
        <v>5.54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 cm="1">
        <f t="array" ref="V163">SUM(ABS(G163:U163))</f>
        <v>504.50000000000006</v>
      </c>
      <c r="W163" s="11" cm="1">
        <f t="array" ref="W163">SUM(ABS(B163:E163))+SUM(ABS(G163:U163))</f>
        <v>1208</v>
      </c>
    </row>
    <row r="164" spans="1:23" x14ac:dyDescent="0.3">
      <c r="A164" s="14">
        <v>45813.645833333336</v>
      </c>
      <c r="B164" s="1">
        <v>-719.96</v>
      </c>
      <c r="C164" s="1">
        <v>35.520000000000003</v>
      </c>
      <c r="D164" s="1">
        <v>12</v>
      </c>
      <c r="E164" s="1">
        <v>0</v>
      </c>
      <c r="F164" s="1" cm="1">
        <f t="array" ref="F164">SUM(ABS(B164:E164))</f>
        <v>767.48</v>
      </c>
      <c r="G164" s="1">
        <v>54.26</v>
      </c>
      <c r="H164" s="1">
        <v>269.14</v>
      </c>
      <c r="I164" s="1">
        <v>-55.01</v>
      </c>
      <c r="J164" s="1">
        <v>94.37</v>
      </c>
      <c r="K164" s="1">
        <v>0</v>
      </c>
      <c r="L164" s="1">
        <v>0</v>
      </c>
      <c r="M164" s="1">
        <v>0</v>
      </c>
      <c r="N164" s="1">
        <v>-30.87</v>
      </c>
      <c r="O164" s="1">
        <v>5.55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 cm="1">
        <f t="array" ref="V164">SUM(ABS(G164:U164))</f>
        <v>509.2</v>
      </c>
      <c r="W164" s="11" cm="1">
        <f t="array" ref="W164">SUM(ABS(B164:E164))+SUM(ABS(G164:U164))</f>
        <v>1276.68</v>
      </c>
    </row>
    <row r="165" spans="1:23" x14ac:dyDescent="0.3">
      <c r="A165" s="14">
        <v>45813.65625</v>
      </c>
      <c r="B165" s="1">
        <v>-718.56</v>
      </c>
      <c r="C165" s="1">
        <v>35.54</v>
      </c>
      <c r="D165" s="1">
        <v>12</v>
      </c>
      <c r="E165" s="1">
        <v>0</v>
      </c>
      <c r="F165" s="1" cm="1">
        <f t="array" ref="F165">SUM(ABS(B165:E165))</f>
        <v>766.09999999999991</v>
      </c>
      <c r="G165" s="1">
        <v>54.26</v>
      </c>
      <c r="H165" s="1">
        <v>268.83999999999997</v>
      </c>
      <c r="I165" s="1">
        <v>-55.02</v>
      </c>
      <c r="J165" s="1">
        <v>99.19</v>
      </c>
      <c r="K165" s="1">
        <v>0</v>
      </c>
      <c r="L165" s="1">
        <v>0</v>
      </c>
      <c r="M165" s="1">
        <v>0</v>
      </c>
      <c r="N165" s="1">
        <v>-30.86</v>
      </c>
      <c r="O165" s="1">
        <v>5.54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 cm="1">
        <f t="array" ref="V165">SUM(ABS(G165:U165))</f>
        <v>513.70999999999992</v>
      </c>
      <c r="W165" s="11" cm="1">
        <f t="array" ref="W165">SUM(ABS(B165:E165))+SUM(ABS(G165:U165))</f>
        <v>1279.81</v>
      </c>
    </row>
    <row r="166" spans="1:23" x14ac:dyDescent="0.3">
      <c r="A166" s="14">
        <v>45813.666666666664</v>
      </c>
      <c r="B166" s="1">
        <v>-607.32000000000005</v>
      </c>
      <c r="C166" s="1">
        <v>35.549999999999997</v>
      </c>
      <c r="D166" s="1">
        <v>12</v>
      </c>
      <c r="E166" s="1">
        <v>0</v>
      </c>
      <c r="F166" s="1" cm="1">
        <f t="array" ref="F166">SUM(ABS(B166:E166))</f>
        <v>654.87</v>
      </c>
      <c r="G166" s="1">
        <v>54.25</v>
      </c>
      <c r="H166" s="1">
        <v>271.77999999999997</v>
      </c>
      <c r="I166" s="1">
        <v>-55.01</v>
      </c>
      <c r="J166" s="1">
        <v>122.15</v>
      </c>
      <c r="K166" s="1">
        <v>0</v>
      </c>
      <c r="L166" s="1">
        <v>0</v>
      </c>
      <c r="M166" s="1">
        <v>0</v>
      </c>
      <c r="N166" s="1">
        <v>-30.87</v>
      </c>
      <c r="O166" s="1">
        <v>5.54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 cm="1">
        <f t="array" ref="V166">SUM(ABS(G166:U166))</f>
        <v>539.59999999999991</v>
      </c>
      <c r="W166" s="11" cm="1">
        <f t="array" ref="W166">SUM(ABS(B166:E166))+SUM(ABS(G166:U166))</f>
        <v>1194.4699999999998</v>
      </c>
    </row>
    <row r="167" spans="1:23" x14ac:dyDescent="0.3">
      <c r="A167" s="14">
        <v>45813.677083333336</v>
      </c>
      <c r="B167" s="1">
        <v>-601.12</v>
      </c>
      <c r="C167" s="1">
        <v>35.590000000000003</v>
      </c>
      <c r="D167" s="1">
        <v>12</v>
      </c>
      <c r="E167" s="1">
        <v>0</v>
      </c>
      <c r="F167" s="1" cm="1">
        <f t="array" ref="F167">SUM(ABS(B167:E167))</f>
        <v>648.71</v>
      </c>
      <c r="G167" s="1">
        <v>54.25</v>
      </c>
      <c r="H167" s="1">
        <v>273.86</v>
      </c>
      <c r="I167" s="1">
        <v>-54.98</v>
      </c>
      <c r="J167" s="1">
        <v>124.57</v>
      </c>
      <c r="K167" s="1">
        <v>0</v>
      </c>
      <c r="L167" s="1">
        <v>0</v>
      </c>
      <c r="M167" s="1">
        <v>0</v>
      </c>
      <c r="N167" s="1">
        <v>-30.79</v>
      </c>
      <c r="O167" s="1">
        <v>5.55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 cm="1">
        <f t="array" ref="V167">SUM(ABS(G167:U167))</f>
        <v>544</v>
      </c>
      <c r="W167" s="11" cm="1">
        <f t="array" ref="W167">SUM(ABS(B167:E167))+SUM(ABS(G167:U167))</f>
        <v>1192.71</v>
      </c>
    </row>
    <row r="168" spans="1:23" x14ac:dyDescent="0.3">
      <c r="A168" s="14">
        <v>45813.6875</v>
      </c>
      <c r="B168" s="1">
        <v>-668.07</v>
      </c>
      <c r="C168" s="1">
        <v>35.590000000000003</v>
      </c>
      <c r="D168" s="1">
        <v>12</v>
      </c>
      <c r="E168" s="1">
        <v>0</v>
      </c>
      <c r="F168" s="1" cm="1">
        <f t="array" ref="F168">SUM(ABS(B168:E168))</f>
        <v>715.66000000000008</v>
      </c>
      <c r="G168" s="1">
        <v>54.25</v>
      </c>
      <c r="H168" s="1">
        <v>272.41000000000003</v>
      </c>
      <c r="I168" s="1">
        <v>-54.97</v>
      </c>
      <c r="J168" s="1">
        <v>122.06</v>
      </c>
      <c r="K168" s="1">
        <v>0</v>
      </c>
      <c r="L168" s="1">
        <v>0</v>
      </c>
      <c r="M168" s="1">
        <v>0</v>
      </c>
      <c r="N168" s="1">
        <v>-30.8</v>
      </c>
      <c r="O168" s="1">
        <v>5.54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 cm="1">
        <f t="array" ref="V168">SUM(ABS(G168:U168))</f>
        <v>540.03</v>
      </c>
      <c r="W168" s="11" cm="1">
        <f t="array" ref="W168">SUM(ABS(B168:E168))+SUM(ABS(G168:U168))</f>
        <v>1255.69</v>
      </c>
    </row>
    <row r="169" spans="1:23" x14ac:dyDescent="0.3">
      <c r="A169" s="14">
        <v>45813.697916666664</v>
      </c>
      <c r="B169" s="1">
        <v>-712.6</v>
      </c>
      <c r="C169" s="1">
        <v>35.61</v>
      </c>
      <c r="D169" s="1">
        <v>12</v>
      </c>
      <c r="E169" s="1">
        <v>0</v>
      </c>
      <c r="F169" s="1" cm="1">
        <f t="array" ref="F169">SUM(ABS(B169:E169))</f>
        <v>760.21</v>
      </c>
      <c r="G169" s="1">
        <v>54.26</v>
      </c>
      <c r="H169" s="1">
        <v>273.87</v>
      </c>
      <c r="I169" s="1">
        <v>-54.98</v>
      </c>
      <c r="J169" s="1">
        <v>125.74</v>
      </c>
      <c r="K169" s="1">
        <v>0</v>
      </c>
      <c r="L169" s="1">
        <v>-3.31</v>
      </c>
      <c r="M169" s="1">
        <v>0</v>
      </c>
      <c r="N169" s="1">
        <v>-30.83</v>
      </c>
      <c r="O169" s="1">
        <v>5.55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 cm="1">
        <f t="array" ref="V169">SUM(ABS(G169:U169))</f>
        <v>548.54</v>
      </c>
      <c r="W169" s="11" cm="1">
        <f t="array" ref="W169">SUM(ABS(B169:E169))+SUM(ABS(G169:U169))</f>
        <v>1308.75</v>
      </c>
    </row>
    <row r="170" spans="1:23" x14ac:dyDescent="0.3">
      <c r="A170" s="14">
        <v>45813.708333333336</v>
      </c>
      <c r="B170" s="1">
        <v>-668.79</v>
      </c>
      <c r="C170" s="1">
        <v>35.61</v>
      </c>
      <c r="D170" s="1">
        <v>12</v>
      </c>
      <c r="E170" s="1">
        <v>0</v>
      </c>
      <c r="F170" s="1" cm="1">
        <f t="array" ref="F170">SUM(ABS(B170:E170))</f>
        <v>716.4</v>
      </c>
      <c r="G170" s="1">
        <v>54.24</v>
      </c>
      <c r="H170" s="1">
        <v>273.55</v>
      </c>
      <c r="I170" s="1">
        <v>-55.01</v>
      </c>
      <c r="J170" s="1">
        <v>121.23</v>
      </c>
      <c r="K170" s="1">
        <v>0</v>
      </c>
      <c r="L170" s="1">
        <v>-24.64</v>
      </c>
      <c r="M170" s="1">
        <v>0</v>
      </c>
      <c r="N170" s="1">
        <v>-30.87</v>
      </c>
      <c r="O170" s="1">
        <v>5.54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 cm="1">
        <f t="array" ref="V170">SUM(ABS(G170:U170))</f>
        <v>565.08000000000004</v>
      </c>
      <c r="W170" s="11" cm="1">
        <f t="array" ref="W170">SUM(ABS(B170:E170))+SUM(ABS(G170:U170))</f>
        <v>1281.48</v>
      </c>
    </row>
    <row r="171" spans="1:23" x14ac:dyDescent="0.3">
      <c r="A171" s="14">
        <v>45813.71875</v>
      </c>
      <c r="B171" s="1">
        <v>-591.32000000000005</v>
      </c>
      <c r="C171" s="1">
        <v>35.6</v>
      </c>
      <c r="D171" s="1">
        <v>12</v>
      </c>
      <c r="E171" s="1">
        <v>0</v>
      </c>
      <c r="F171" s="1" cm="1">
        <f t="array" ref="F171">SUM(ABS(B171:E171))</f>
        <v>638.92000000000007</v>
      </c>
      <c r="G171" s="1">
        <v>54.25</v>
      </c>
      <c r="H171" s="1">
        <v>273.88</v>
      </c>
      <c r="I171" s="1">
        <v>-55.06</v>
      </c>
      <c r="J171" s="1">
        <v>122.82</v>
      </c>
      <c r="K171" s="1">
        <v>0</v>
      </c>
      <c r="L171" s="1">
        <v>-39.67</v>
      </c>
      <c r="M171" s="1">
        <v>0</v>
      </c>
      <c r="N171" s="1">
        <v>-30.9</v>
      </c>
      <c r="O171" s="1">
        <v>5.54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 cm="1">
        <f t="array" ref="V171">SUM(ABS(G171:U171))</f>
        <v>582.11999999999989</v>
      </c>
      <c r="W171" s="11" cm="1">
        <f t="array" ref="W171">SUM(ABS(B171:E171))+SUM(ABS(G171:U171))</f>
        <v>1221.04</v>
      </c>
    </row>
    <row r="172" spans="1:23" x14ac:dyDescent="0.3">
      <c r="A172" s="14">
        <v>45813.729166666664</v>
      </c>
      <c r="B172" s="1">
        <v>-637.21</v>
      </c>
      <c r="C172" s="1">
        <v>35.6</v>
      </c>
      <c r="D172" s="1">
        <v>12</v>
      </c>
      <c r="E172" s="1">
        <v>0</v>
      </c>
      <c r="F172" s="1" cm="1">
        <f t="array" ref="F172">SUM(ABS(B172:E172))</f>
        <v>684.81000000000006</v>
      </c>
      <c r="G172" s="1">
        <v>54.26</v>
      </c>
      <c r="H172" s="1">
        <v>273.35000000000002</v>
      </c>
      <c r="I172" s="1">
        <v>-55.06</v>
      </c>
      <c r="J172" s="1">
        <v>124.55</v>
      </c>
      <c r="K172" s="1">
        <v>0</v>
      </c>
      <c r="L172" s="1">
        <v>-51.82</v>
      </c>
      <c r="M172" s="1">
        <v>0</v>
      </c>
      <c r="N172" s="1">
        <v>-30.91</v>
      </c>
      <c r="O172" s="1">
        <v>8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 cm="1">
        <f t="array" ref="V172">SUM(ABS(G172:U172))</f>
        <v>597.95000000000005</v>
      </c>
      <c r="W172" s="11" cm="1">
        <f t="array" ref="W172">SUM(ABS(B172:E172))+SUM(ABS(G172:U172))</f>
        <v>1282.7600000000002</v>
      </c>
    </row>
    <row r="173" spans="1:23" x14ac:dyDescent="0.3">
      <c r="A173" s="14">
        <v>45813.739583333336</v>
      </c>
      <c r="B173" s="1">
        <v>-686.05</v>
      </c>
      <c r="C173" s="1">
        <v>35.700000000000003</v>
      </c>
      <c r="D173" s="1">
        <v>12.2</v>
      </c>
      <c r="E173" s="1">
        <v>1.04</v>
      </c>
      <c r="F173" s="1" cm="1">
        <f t="array" ref="F173">SUM(ABS(B173:E173))</f>
        <v>734.99</v>
      </c>
      <c r="G173" s="1">
        <v>54.25</v>
      </c>
      <c r="H173" s="1">
        <v>273.24</v>
      </c>
      <c r="I173" s="1">
        <v>-55.06</v>
      </c>
      <c r="J173" s="1">
        <v>131.21</v>
      </c>
      <c r="K173" s="1">
        <v>0</v>
      </c>
      <c r="L173" s="1">
        <v>-58.47</v>
      </c>
      <c r="M173" s="1">
        <v>0</v>
      </c>
      <c r="N173" s="1">
        <v>-30.89</v>
      </c>
      <c r="O173" s="1">
        <v>10.220000000000001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 cm="1">
        <f t="array" ref="V173">SUM(ABS(G173:U173))</f>
        <v>613.34</v>
      </c>
      <c r="W173" s="11" cm="1">
        <f t="array" ref="W173">SUM(ABS(B173:E173))+SUM(ABS(G173:U173))</f>
        <v>1348.33</v>
      </c>
    </row>
    <row r="174" spans="1:23" x14ac:dyDescent="0.3">
      <c r="A174" s="14">
        <v>45813.75</v>
      </c>
      <c r="B174" s="1">
        <v>-368.49</v>
      </c>
      <c r="C174" s="1">
        <v>35.64</v>
      </c>
      <c r="D174" s="1">
        <v>29.37</v>
      </c>
      <c r="E174" s="1">
        <v>7.24</v>
      </c>
      <c r="F174" s="1" cm="1">
        <f t="array" ref="F174">SUM(ABS(B174:E174))</f>
        <v>440.74</v>
      </c>
      <c r="G174" s="1">
        <v>54.26</v>
      </c>
      <c r="H174" s="1">
        <v>272.3</v>
      </c>
      <c r="I174" s="1">
        <v>-55.04</v>
      </c>
      <c r="J174" s="1">
        <v>139.24</v>
      </c>
      <c r="K174" s="1">
        <v>0</v>
      </c>
      <c r="L174" s="1">
        <v>-57.48</v>
      </c>
      <c r="M174" s="1">
        <v>0</v>
      </c>
      <c r="N174" s="1">
        <v>-30.92</v>
      </c>
      <c r="O174" s="1">
        <v>10.210000000000001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 cm="1">
        <f t="array" ref="V174">SUM(ABS(G174:U174))</f>
        <v>619.45000000000005</v>
      </c>
      <c r="W174" s="11" cm="1">
        <f t="array" ref="W174">SUM(ABS(B174:E174))+SUM(ABS(G174:U174))</f>
        <v>1060.19</v>
      </c>
    </row>
    <row r="175" spans="1:23" x14ac:dyDescent="0.3">
      <c r="A175" s="14">
        <v>45813.760416666664</v>
      </c>
      <c r="B175" s="1">
        <v>-293.05</v>
      </c>
      <c r="C175" s="1">
        <v>35.659999999999997</v>
      </c>
      <c r="D175" s="1">
        <v>38.659999999999997</v>
      </c>
      <c r="E175" s="1">
        <v>17.420000000000002</v>
      </c>
      <c r="F175" s="1" cm="1">
        <f t="array" ref="F175">SUM(ABS(B175:E175))</f>
        <v>384.79</v>
      </c>
      <c r="G175" s="1">
        <v>54.24</v>
      </c>
      <c r="H175" s="1">
        <v>273.27999999999997</v>
      </c>
      <c r="I175" s="1">
        <v>-55.04</v>
      </c>
      <c r="J175" s="1">
        <v>147.26</v>
      </c>
      <c r="K175" s="1">
        <v>0.28999999999999998</v>
      </c>
      <c r="L175" s="1">
        <v>-57.61</v>
      </c>
      <c r="M175" s="1">
        <v>0</v>
      </c>
      <c r="N175" s="1">
        <v>-30.91</v>
      </c>
      <c r="O175" s="1">
        <v>10.210000000000001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 cm="1">
        <f t="array" ref="V175">SUM(ABS(G175:U175))</f>
        <v>628.83999999999992</v>
      </c>
      <c r="W175" s="11" cm="1">
        <f t="array" ref="W175">SUM(ABS(B175:E175))+SUM(ABS(G175:U175))</f>
        <v>1013.6299999999999</v>
      </c>
    </row>
    <row r="176" spans="1:23" x14ac:dyDescent="0.3">
      <c r="A176" s="14">
        <v>45813.770833333336</v>
      </c>
      <c r="B176" s="1">
        <v>-463.55</v>
      </c>
      <c r="C176" s="1">
        <v>35.71</v>
      </c>
      <c r="D176" s="1">
        <v>43.96</v>
      </c>
      <c r="E176" s="1">
        <v>42.5</v>
      </c>
      <c r="F176" s="1" cm="1">
        <f t="array" ref="F176">SUM(ABS(B176:E176))</f>
        <v>585.72</v>
      </c>
      <c r="G176" s="1">
        <v>54.24</v>
      </c>
      <c r="H176" s="1">
        <v>272.86</v>
      </c>
      <c r="I176" s="1">
        <v>-55.03</v>
      </c>
      <c r="J176" s="1">
        <v>145</v>
      </c>
      <c r="K176" s="1">
        <v>55.88</v>
      </c>
      <c r="L176" s="1">
        <v>-57.37</v>
      </c>
      <c r="M176" s="1">
        <v>0</v>
      </c>
      <c r="N176" s="1">
        <v>-30.98</v>
      </c>
      <c r="O176" s="1">
        <v>10.220000000000001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 cm="1">
        <f t="array" ref="V176">SUM(ABS(G176:U176))</f>
        <v>681.58</v>
      </c>
      <c r="W176" s="11" cm="1">
        <f t="array" ref="W176">SUM(ABS(B176:E176))+SUM(ABS(G176:U176))</f>
        <v>1267.3000000000002</v>
      </c>
    </row>
    <row r="177" spans="1:23" x14ac:dyDescent="0.3">
      <c r="A177" s="14">
        <v>45813.78125</v>
      </c>
      <c r="B177" s="1">
        <v>-599.09</v>
      </c>
      <c r="C177" s="1">
        <v>35.770000000000003</v>
      </c>
      <c r="D177" s="1">
        <v>48.62</v>
      </c>
      <c r="E177" s="1">
        <v>50.66</v>
      </c>
      <c r="F177" s="1" cm="1">
        <f t="array" ref="F177">SUM(ABS(B177:E177))</f>
        <v>734.14</v>
      </c>
      <c r="G177" s="1">
        <v>54.22</v>
      </c>
      <c r="H177" s="1">
        <v>272.29000000000002</v>
      </c>
      <c r="I177" s="1">
        <v>-55.03</v>
      </c>
      <c r="J177" s="1">
        <v>157.29</v>
      </c>
      <c r="K177" s="1">
        <v>96.49</v>
      </c>
      <c r="L177" s="1">
        <v>-57.21</v>
      </c>
      <c r="M177" s="1">
        <v>0</v>
      </c>
      <c r="N177" s="1">
        <v>-30.97</v>
      </c>
      <c r="O177" s="1">
        <v>10.24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 cm="1">
        <f t="array" ref="V177">SUM(ABS(G177:U177))</f>
        <v>733.74</v>
      </c>
      <c r="W177" s="11" cm="1">
        <f t="array" ref="W177">SUM(ABS(B177:E177))+SUM(ABS(G177:U177))</f>
        <v>1467.88</v>
      </c>
    </row>
    <row r="178" spans="1:23" x14ac:dyDescent="0.3">
      <c r="A178" s="14">
        <v>45813.791666666664</v>
      </c>
      <c r="B178" s="1">
        <v>-624.52</v>
      </c>
      <c r="C178" s="1">
        <v>35.83</v>
      </c>
      <c r="D178" s="1">
        <v>48.62</v>
      </c>
      <c r="E178" s="1">
        <v>50.69</v>
      </c>
      <c r="F178" s="1" cm="1">
        <f t="array" ref="F178">SUM(ABS(B178:E178))</f>
        <v>759.66000000000008</v>
      </c>
      <c r="G178" s="1">
        <v>54.22</v>
      </c>
      <c r="H178" s="1">
        <v>272.14999999999998</v>
      </c>
      <c r="I178" s="1">
        <v>-54.99</v>
      </c>
      <c r="J178" s="1">
        <v>188.42</v>
      </c>
      <c r="K178" s="1">
        <v>97.51</v>
      </c>
      <c r="L178" s="1">
        <v>-56.97</v>
      </c>
      <c r="M178" s="1">
        <v>0</v>
      </c>
      <c r="N178" s="1">
        <v>-30.96</v>
      </c>
      <c r="O178" s="1">
        <v>10.24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 cm="1">
        <f t="array" ref="V178">SUM(ABS(G178:U178))</f>
        <v>765.46</v>
      </c>
      <c r="W178" s="11" cm="1">
        <f t="array" ref="W178">SUM(ABS(B178:E178))+SUM(ABS(G178:U178))</f>
        <v>1525.1200000000001</v>
      </c>
    </row>
    <row r="179" spans="1:23" x14ac:dyDescent="0.3">
      <c r="A179" s="14">
        <v>45813.802083333336</v>
      </c>
      <c r="B179" s="1">
        <v>-637.98</v>
      </c>
      <c r="C179" s="1">
        <v>35.869999999999997</v>
      </c>
      <c r="D179" s="1">
        <v>48.59</v>
      </c>
      <c r="E179" s="1">
        <v>50.72</v>
      </c>
      <c r="F179" s="1" cm="1">
        <f t="array" ref="F179">SUM(ABS(B179:E179))</f>
        <v>773.16000000000008</v>
      </c>
      <c r="G179" s="1">
        <v>54.21</v>
      </c>
      <c r="H179" s="1">
        <v>272.10000000000002</v>
      </c>
      <c r="I179" s="1">
        <v>-55</v>
      </c>
      <c r="J179" s="1">
        <v>188.71</v>
      </c>
      <c r="K179" s="1">
        <v>97.43</v>
      </c>
      <c r="L179" s="1">
        <v>-56.86</v>
      </c>
      <c r="M179" s="1">
        <v>0</v>
      </c>
      <c r="N179" s="1">
        <v>-30.97</v>
      </c>
      <c r="O179" s="1">
        <v>10.24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 cm="1">
        <f t="array" ref="V179">SUM(ABS(G179:U179))</f>
        <v>765.5200000000001</v>
      </c>
      <c r="W179" s="11" cm="1">
        <f t="array" ref="W179">SUM(ABS(B179:E179))+SUM(ABS(G179:U179))</f>
        <v>1538.6800000000003</v>
      </c>
    </row>
    <row r="180" spans="1:23" x14ac:dyDescent="0.3">
      <c r="A180" s="14">
        <v>45813.8125</v>
      </c>
      <c r="B180" s="1">
        <v>-711.84</v>
      </c>
      <c r="C180" s="1">
        <v>35.880000000000003</v>
      </c>
      <c r="D180" s="1">
        <v>48.6</v>
      </c>
      <c r="E180" s="1">
        <v>50.72</v>
      </c>
      <c r="F180" s="1" cm="1">
        <f t="array" ref="F180">SUM(ABS(B180:E180))</f>
        <v>847.04000000000008</v>
      </c>
      <c r="G180" s="1">
        <v>54.22</v>
      </c>
      <c r="H180" s="1">
        <v>271.89999999999998</v>
      </c>
      <c r="I180" s="1">
        <v>-54.99</v>
      </c>
      <c r="J180" s="1">
        <v>188.53</v>
      </c>
      <c r="K180" s="1">
        <v>97.34</v>
      </c>
      <c r="L180" s="1">
        <v>-56.84</v>
      </c>
      <c r="M180" s="1">
        <v>0</v>
      </c>
      <c r="N180" s="1">
        <v>-30.98</v>
      </c>
      <c r="O180" s="1">
        <v>10.24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 cm="1">
        <f t="array" ref="V180">SUM(ABS(G180:U180))</f>
        <v>765.04000000000008</v>
      </c>
      <c r="W180" s="11" cm="1">
        <f t="array" ref="W180">SUM(ABS(B180:E180))+SUM(ABS(G180:U180))</f>
        <v>1612.0800000000002</v>
      </c>
    </row>
    <row r="181" spans="1:23" x14ac:dyDescent="0.3">
      <c r="A181" s="14">
        <v>45813.822916666664</v>
      </c>
      <c r="B181" s="1">
        <v>-708.14</v>
      </c>
      <c r="C181" s="1">
        <v>35.89</v>
      </c>
      <c r="D181" s="1">
        <v>48.59</v>
      </c>
      <c r="E181" s="1">
        <v>50.71</v>
      </c>
      <c r="F181" s="1" cm="1">
        <f t="array" ref="F181">SUM(ABS(B181:E181))</f>
        <v>843.33</v>
      </c>
      <c r="G181" s="1">
        <v>54.22</v>
      </c>
      <c r="H181" s="1">
        <v>271.39999999999998</v>
      </c>
      <c r="I181" s="1">
        <v>-54.99</v>
      </c>
      <c r="J181" s="1">
        <v>188.59</v>
      </c>
      <c r="K181" s="1">
        <v>97.29</v>
      </c>
      <c r="L181" s="1">
        <v>-56.87</v>
      </c>
      <c r="M181" s="1">
        <v>0</v>
      </c>
      <c r="N181" s="1">
        <v>-30.97</v>
      </c>
      <c r="O181" s="1">
        <v>10.23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 cm="1">
        <f t="array" ref="V181">SUM(ABS(G181:U181))</f>
        <v>764.56000000000006</v>
      </c>
      <c r="W181" s="11" cm="1">
        <f t="array" ref="W181">SUM(ABS(B181:E181))+SUM(ABS(G181:U181))</f>
        <v>1607.89</v>
      </c>
    </row>
    <row r="182" spans="1:23" x14ac:dyDescent="0.3">
      <c r="A182" s="14">
        <v>45813.833333333336</v>
      </c>
      <c r="B182" s="1">
        <v>-691.16</v>
      </c>
      <c r="C182" s="1">
        <v>35.909999999999997</v>
      </c>
      <c r="D182" s="1">
        <v>48.59</v>
      </c>
      <c r="E182" s="1">
        <v>50.7</v>
      </c>
      <c r="F182" s="1" cm="1">
        <f t="array" ref="F182">SUM(ABS(B182:E182))</f>
        <v>826.36</v>
      </c>
      <c r="G182" s="1">
        <v>54.22</v>
      </c>
      <c r="H182" s="1">
        <v>269.72000000000003</v>
      </c>
      <c r="I182" s="1">
        <v>-54.97</v>
      </c>
      <c r="J182" s="1">
        <v>187.27</v>
      </c>
      <c r="K182" s="1">
        <v>97.19</v>
      </c>
      <c r="L182" s="1">
        <v>-56.82</v>
      </c>
      <c r="M182" s="1">
        <v>0</v>
      </c>
      <c r="N182" s="1">
        <v>-30.97</v>
      </c>
      <c r="O182" s="1">
        <v>10.23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 cm="1">
        <f t="array" ref="V182">SUM(ABS(G182:U182))</f>
        <v>761.39000000000021</v>
      </c>
      <c r="W182" s="11" cm="1">
        <f t="array" ref="W182">SUM(ABS(B182:E182))+SUM(ABS(G182:U182))</f>
        <v>1587.7500000000002</v>
      </c>
    </row>
    <row r="183" spans="1:23" x14ac:dyDescent="0.3">
      <c r="A183" s="14">
        <v>45813.84375</v>
      </c>
      <c r="B183" s="1">
        <v>-664.37</v>
      </c>
      <c r="C183" s="1">
        <v>35.96</v>
      </c>
      <c r="D183" s="1">
        <v>48.61</v>
      </c>
      <c r="E183" s="1">
        <v>50.71</v>
      </c>
      <c r="F183" s="1" cm="1">
        <f t="array" ref="F183">SUM(ABS(B183:E183))</f>
        <v>799.65000000000009</v>
      </c>
      <c r="G183" s="1">
        <v>54.22</v>
      </c>
      <c r="H183" s="1">
        <v>272.77</v>
      </c>
      <c r="I183" s="1">
        <v>-54.98</v>
      </c>
      <c r="J183" s="1">
        <v>190.08</v>
      </c>
      <c r="K183" s="1">
        <v>97.21</v>
      </c>
      <c r="L183" s="1">
        <v>-57.51</v>
      </c>
      <c r="M183" s="1">
        <v>0</v>
      </c>
      <c r="N183" s="1">
        <v>-30.98</v>
      </c>
      <c r="O183" s="1">
        <v>10.23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 cm="1">
        <f t="array" ref="V183">SUM(ABS(G183:U183))</f>
        <v>767.98000000000013</v>
      </c>
      <c r="W183" s="11" cm="1">
        <f t="array" ref="W183">SUM(ABS(B183:E183))+SUM(ABS(G183:U183))</f>
        <v>1567.63</v>
      </c>
    </row>
    <row r="184" spans="1:23" x14ac:dyDescent="0.3">
      <c r="A184" s="14">
        <v>45813.854166666664</v>
      </c>
      <c r="B184" s="1">
        <v>-719.77</v>
      </c>
      <c r="C184" s="1">
        <v>35.99</v>
      </c>
      <c r="D184" s="1">
        <v>63.21</v>
      </c>
      <c r="E184" s="1">
        <v>50.74</v>
      </c>
      <c r="F184" s="1" cm="1">
        <f t="array" ref="F184">SUM(ABS(B184:E184))</f>
        <v>869.71</v>
      </c>
      <c r="G184" s="1">
        <v>54.23</v>
      </c>
      <c r="H184" s="1">
        <v>272.64999999999998</v>
      </c>
      <c r="I184" s="1">
        <v>-55</v>
      </c>
      <c r="J184" s="1">
        <v>192.72</v>
      </c>
      <c r="K184" s="1">
        <v>97.23</v>
      </c>
      <c r="L184" s="1">
        <v>-58.23</v>
      </c>
      <c r="M184" s="1">
        <v>0</v>
      </c>
      <c r="N184" s="1">
        <v>-30.99</v>
      </c>
      <c r="O184" s="1">
        <v>10.23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 cm="1">
        <f t="array" ref="V184">SUM(ABS(G184:U184))</f>
        <v>771.28000000000009</v>
      </c>
      <c r="W184" s="11" cm="1">
        <f t="array" ref="W184">SUM(ABS(B184:E184))+SUM(ABS(G184:U184))</f>
        <v>1640.9900000000002</v>
      </c>
    </row>
    <row r="185" spans="1:23" x14ac:dyDescent="0.3">
      <c r="A185" s="14">
        <v>45813.864583333336</v>
      </c>
      <c r="B185" s="1">
        <v>-735.12</v>
      </c>
      <c r="C185" s="1">
        <v>35.99</v>
      </c>
      <c r="D185" s="1">
        <v>66.400000000000006</v>
      </c>
      <c r="E185" s="1">
        <v>50.73</v>
      </c>
      <c r="F185" s="1" cm="1">
        <f t="array" ref="F185">SUM(ABS(B185:E185))</f>
        <v>888.24</v>
      </c>
      <c r="G185" s="1">
        <v>54.22</v>
      </c>
      <c r="H185" s="1">
        <v>272.72000000000003</v>
      </c>
      <c r="I185" s="1">
        <v>-55</v>
      </c>
      <c r="J185" s="1">
        <v>190.35</v>
      </c>
      <c r="K185" s="1">
        <v>109.93</v>
      </c>
      <c r="L185" s="1">
        <v>-58.07</v>
      </c>
      <c r="M185" s="1">
        <v>0</v>
      </c>
      <c r="N185" s="1">
        <v>-30.98</v>
      </c>
      <c r="O185" s="1">
        <v>10.23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 cm="1">
        <f t="array" ref="V185">SUM(ABS(G185:U185))</f>
        <v>781.50000000000011</v>
      </c>
      <c r="W185" s="11" cm="1">
        <f t="array" ref="W185">SUM(ABS(B185:E185))+SUM(ABS(G185:U185))</f>
        <v>1669.7400000000002</v>
      </c>
    </row>
    <row r="186" spans="1:23" x14ac:dyDescent="0.3">
      <c r="A186" s="14">
        <v>45813.875</v>
      </c>
      <c r="B186" s="1">
        <v>-735.72</v>
      </c>
      <c r="C186" s="1">
        <v>36.020000000000003</v>
      </c>
      <c r="D186" s="1">
        <v>66.37</v>
      </c>
      <c r="E186" s="1">
        <v>50.74</v>
      </c>
      <c r="F186" s="1" cm="1">
        <f t="array" ref="F186">SUM(ABS(B186:E186))</f>
        <v>888.85</v>
      </c>
      <c r="G186" s="1">
        <v>54.22</v>
      </c>
      <c r="H186" s="1">
        <v>272.57</v>
      </c>
      <c r="I186" s="1">
        <v>-55.02</v>
      </c>
      <c r="J186" s="1">
        <v>191.28</v>
      </c>
      <c r="K186" s="1">
        <v>112.83</v>
      </c>
      <c r="L186" s="1">
        <v>-58.18</v>
      </c>
      <c r="M186" s="1">
        <v>0</v>
      </c>
      <c r="N186" s="1">
        <v>-31</v>
      </c>
      <c r="O186" s="1">
        <v>10.23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 cm="1">
        <f t="array" ref="V186">SUM(ABS(G186:U186))</f>
        <v>785.32999999999993</v>
      </c>
      <c r="W186" s="11" cm="1">
        <f t="array" ref="W186">SUM(ABS(B186:E186))+SUM(ABS(G186:U186))</f>
        <v>1674.1799999999998</v>
      </c>
    </row>
    <row r="187" spans="1:23" x14ac:dyDescent="0.3">
      <c r="A187" s="14">
        <v>45813.885416666664</v>
      </c>
      <c r="B187" s="1">
        <v>-730.2</v>
      </c>
      <c r="C187" s="1">
        <v>36.020000000000003</v>
      </c>
      <c r="D187" s="1">
        <v>66.37</v>
      </c>
      <c r="E187" s="1">
        <v>44.42</v>
      </c>
      <c r="F187" s="1" cm="1">
        <f t="array" ref="F187">SUM(ABS(B187:E187))</f>
        <v>877.01</v>
      </c>
      <c r="G187" s="1">
        <v>54.22</v>
      </c>
      <c r="H187" s="1">
        <v>272.22000000000003</v>
      </c>
      <c r="I187" s="1">
        <v>-54.99</v>
      </c>
      <c r="J187" s="1">
        <v>186.23</v>
      </c>
      <c r="K187" s="1">
        <v>112.74</v>
      </c>
      <c r="L187" s="1">
        <v>-57.61</v>
      </c>
      <c r="M187" s="1">
        <v>0</v>
      </c>
      <c r="N187" s="1">
        <v>-30.94</v>
      </c>
      <c r="O187" s="1">
        <v>10.220000000000001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 cm="1">
        <f t="array" ref="V187">SUM(ABS(G187:U187))</f>
        <v>779.17000000000019</v>
      </c>
      <c r="W187" s="11" cm="1">
        <f t="array" ref="W187">SUM(ABS(B187:E187))+SUM(ABS(G187:U187))</f>
        <v>1656.1800000000003</v>
      </c>
    </row>
    <row r="188" spans="1:23" x14ac:dyDescent="0.3">
      <c r="A188" s="14">
        <v>45813.895833333336</v>
      </c>
      <c r="B188" s="1">
        <v>-735.98</v>
      </c>
      <c r="C188" s="1">
        <v>36.04</v>
      </c>
      <c r="D188" s="1">
        <v>66.34</v>
      </c>
      <c r="E188" s="1">
        <v>40.17</v>
      </c>
      <c r="F188" s="1" cm="1">
        <f t="array" ref="F188">SUM(ABS(B188:E188))</f>
        <v>878.53</v>
      </c>
      <c r="G188" s="1">
        <v>54.22</v>
      </c>
      <c r="H188" s="1">
        <v>271.79000000000002</v>
      </c>
      <c r="I188" s="1">
        <v>-54.96</v>
      </c>
      <c r="J188" s="1">
        <v>186.21</v>
      </c>
      <c r="K188" s="1">
        <v>112.6</v>
      </c>
      <c r="L188" s="1">
        <v>-57.42</v>
      </c>
      <c r="M188" s="1">
        <v>0</v>
      </c>
      <c r="N188" s="1">
        <v>-30.96</v>
      </c>
      <c r="O188" s="1">
        <v>10.24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 cm="1">
        <f t="array" ref="V188">SUM(ABS(G188:U188))</f>
        <v>778.4</v>
      </c>
      <c r="W188" s="11" cm="1">
        <f t="array" ref="W188">SUM(ABS(B188:E188))+SUM(ABS(G188:U188))</f>
        <v>1656.9299999999998</v>
      </c>
    </row>
    <row r="189" spans="1:23" x14ac:dyDescent="0.3">
      <c r="A189" s="14">
        <v>45813.90625</v>
      </c>
      <c r="B189" s="1">
        <v>-731.7</v>
      </c>
      <c r="C189" s="1">
        <v>36.06</v>
      </c>
      <c r="D189" s="1">
        <v>66.34</v>
      </c>
      <c r="E189" s="1">
        <v>45.84</v>
      </c>
      <c r="F189" s="1" cm="1">
        <f t="array" ref="F189">SUM(ABS(B189:E189))</f>
        <v>879.94</v>
      </c>
      <c r="G189" s="1">
        <v>54.21</v>
      </c>
      <c r="H189" s="1">
        <v>271.14999999999998</v>
      </c>
      <c r="I189" s="1">
        <v>-54.94</v>
      </c>
      <c r="J189" s="1">
        <v>186.4</v>
      </c>
      <c r="K189" s="1">
        <v>112.57</v>
      </c>
      <c r="L189" s="1">
        <v>-57.29</v>
      </c>
      <c r="M189" s="1">
        <v>0</v>
      </c>
      <c r="N189" s="1">
        <v>-30.96</v>
      </c>
      <c r="O189" s="1">
        <v>10.23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 cm="1">
        <f t="array" ref="V189">SUM(ABS(G189:U189))</f>
        <v>777.75</v>
      </c>
      <c r="W189" s="11" cm="1">
        <f t="array" ref="W189">SUM(ABS(B189:E189))+SUM(ABS(G189:U189))</f>
        <v>1657.69</v>
      </c>
    </row>
    <row r="190" spans="1:23" x14ac:dyDescent="0.3">
      <c r="A190" s="14">
        <v>45813.916666666664</v>
      </c>
      <c r="B190" s="1">
        <v>-733.52</v>
      </c>
      <c r="C190" s="1">
        <v>36.07</v>
      </c>
      <c r="D190" s="1">
        <v>66.349999999999994</v>
      </c>
      <c r="E190" s="1">
        <v>50.57</v>
      </c>
      <c r="F190" s="1" cm="1">
        <f t="array" ref="F190">SUM(ABS(B190:E190))</f>
        <v>886.5100000000001</v>
      </c>
      <c r="G190" s="1">
        <v>54.21</v>
      </c>
      <c r="H190" s="1">
        <v>271.18</v>
      </c>
      <c r="I190" s="1">
        <v>-54.95</v>
      </c>
      <c r="J190" s="1">
        <v>193.91</v>
      </c>
      <c r="K190" s="1">
        <v>112.47</v>
      </c>
      <c r="L190" s="1">
        <v>-57.38</v>
      </c>
      <c r="M190" s="1">
        <v>0</v>
      </c>
      <c r="N190" s="1">
        <v>-30.98</v>
      </c>
      <c r="O190" s="1">
        <v>10.23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 cm="1">
        <f t="array" ref="V190">SUM(ABS(G190:U190))</f>
        <v>785.31000000000006</v>
      </c>
      <c r="W190" s="11" cm="1">
        <f t="array" ref="W190">SUM(ABS(B190:E190))+SUM(ABS(G190:U190))</f>
        <v>1671.8200000000002</v>
      </c>
    </row>
    <row r="191" spans="1:23" x14ac:dyDescent="0.3">
      <c r="A191" s="14">
        <v>45813.927083333336</v>
      </c>
      <c r="B191" s="1">
        <v>-733.44</v>
      </c>
      <c r="C191" s="1">
        <v>36.08</v>
      </c>
      <c r="D191" s="1">
        <v>66.349999999999994</v>
      </c>
      <c r="E191" s="1">
        <v>50.63</v>
      </c>
      <c r="F191" s="1" cm="1">
        <f t="array" ref="F191">SUM(ABS(B191:E191))</f>
        <v>886.50000000000011</v>
      </c>
      <c r="G191" s="1">
        <v>54.21</v>
      </c>
      <c r="H191" s="1">
        <v>271.91000000000003</v>
      </c>
      <c r="I191" s="1">
        <v>-54.91</v>
      </c>
      <c r="J191" s="1">
        <v>194.29</v>
      </c>
      <c r="K191" s="1">
        <v>112.42</v>
      </c>
      <c r="L191" s="1">
        <v>-57.46</v>
      </c>
      <c r="M191" s="1">
        <v>0</v>
      </c>
      <c r="N191" s="1">
        <v>-30.96</v>
      </c>
      <c r="O191" s="1">
        <v>10.220000000000001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 cm="1">
        <f t="array" ref="V191">SUM(ABS(G191:U191))</f>
        <v>786.38</v>
      </c>
      <c r="W191" s="11" cm="1">
        <f t="array" ref="W191">SUM(ABS(B191:E191))+SUM(ABS(G191:U191))</f>
        <v>1672.88</v>
      </c>
    </row>
    <row r="192" spans="1:23" x14ac:dyDescent="0.3">
      <c r="A192" s="14">
        <v>45813.9375</v>
      </c>
      <c r="B192" s="1">
        <v>-735.1</v>
      </c>
      <c r="C192" s="1">
        <v>36.1</v>
      </c>
      <c r="D192" s="1">
        <v>66.36</v>
      </c>
      <c r="E192" s="1">
        <v>43.8</v>
      </c>
      <c r="F192" s="1" cm="1">
        <f t="array" ref="F192">SUM(ABS(B192:E192))</f>
        <v>881.36</v>
      </c>
      <c r="G192" s="1">
        <v>54.22</v>
      </c>
      <c r="H192" s="1">
        <v>272.61</v>
      </c>
      <c r="I192" s="1">
        <v>-54.95</v>
      </c>
      <c r="J192" s="1">
        <v>194.08</v>
      </c>
      <c r="K192" s="1">
        <v>102.45</v>
      </c>
      <c r="L192" s="1">
        <v>-57.64</v>
      </c>
      <c r="M192" s="1">
        <v>0</v>
      </c>
      <c r="N192" s="1">
        <v>-30.97</v>
      </c>
      <c r="O192" s="1">
        <v>10.220000000000001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 cm="1">
        <f t="array" ref="V192">SUM(ABS(G192:U192))</f>
        <v>777.1400000000001</v>
      </c>
      <c r="W192" s="11" cm="1">
        <f t="array" ref="W192">SUM(ABS(B192:E192))+SUM(ABS(G192:U192))</f>
        <v>1658.5</v>
      </c>
    </row>
    <row r="193" spans="1:23" x14ac:dyDescent="0.3">
      <c r="A193" s="14">
        <v>45813.947916666664</v>
      </c>
      <c r="B193" s="1">
        <v>-732.41</v>
      </c>
      <c r="C193" s="1">
        <v>36.06</v>
      </c>
      <c r="D193" s="1">
        <v>66.349999999999994</v>
      </c>
      <c r="E193" s="1">
        <v>38.61</v>
      </c>
      <c r="F193" s="1" cm="1">
        <f t="array" ref="F193">SUM(ABS(B193:E193))</f>
        <v>873.43000000000006</v>
      </c>
      <c r="G193" s="1">
        <v>54.21</v>
      </c>
      <c r="H193" s="1">
        <v>272.08</v>
      </c>
      <c r="I193" s="1">
        <v>-54.97</v>
      </c>
      <c r="J193" s="1">
        <v>193.53</v>
      </c>
      <c r="K193" s="1">
        <v>91.54</v>
      </c>
      <c r="L193" s="1">
        <v>-57.48</v>
      </c>
      <c r="M193" s="1">
        <v>0</v>
      </c>
      <c r="N193" s="1">
        <v>-30.97</v>
      </c>
      <c r="O193" s="1">
        <v>10.220000000000001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 cm="1">
        <f t="array" ref="V193">SUM(ABS(G193:U193))</f>
        <v>765</v>
      </c>
      <c r="W193" s="11" cm="1">
        <f t="array" ref="W193">SUM(ABS(B193:E193))+SUM(ABS(G193:U193))</f>
        <v>1638.43</v>
      </c>
    </row>
    <row r="194" spans="1:23" x14ac:dyDescent="0.3">
      <c r="A194" s="14">
        <v>45813.958333333336</v>
      </c>
      <c r="B194" s="1">
        <v>-690.56</v>
      </c>
      <c r="C194" s="1">
        <v>36.08</v>
      </c>
      <c r="D194" s="1">
        <v>66.349999999999994</v>
      </c>
      <c r="E194" s="1">
        <v>28.77</v>
      </c>
      <c r="F194" s="1" cm="1">
        <f t="array" ref="F194">SUM(ABS(B194:E194))</f>
        <v>821.76</v>
      </c>
      <c r="G194" s="1">
        <v>54.21</v>
      </c>
      <c r="H194" s="1">
        <v>272.05</v>
      </c>
      <c r="I194" s="1">
        <v>-55.02</v>
      </c>
      <c r="J194" s="1">
        <v>193.21</v>
      </c>
      <c r="K194" s="1">
        <v>91.66</v>
      </c>
      <c r="L194" s="1">
        <v>-57.44</v>
      </c>
      <c r="M194" s="1">
        <v>0</v>
      </c>
      <c r="N194" s="1">
        <v>-30.96</v>
      </c>
      <c r="O194" s="1">
        <v>10.210000000000001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 cm="1">
        <f t="array" ref="V194">SUM(ABS(G194:U194))</f>
        <v>764.76</v>
      </c>
      <c r="W194" s="11" cm="1">
        <f t="array" ref="W194">SUM(ABS(B194:E194))+SUM(ABS(G194:U194))</f>
        <v>1586.52</v>
      </c>
    </row>
    <row r="195" spans="1:23" x14ac:dyDescent="0.3">
      <c r="A195" s="14">
        <v>45813.96875</v>
      </c>
      <c r="B195" s="1">
        <v>-664.11</v>
      </c>
      <c r="C195" s="1">
        <v>36.06</v>
      </c>
      <c r="D195" s="1">
        <v>66.349999999999994</v>
      </c>
      <c r="E195" s="1">
        <v>25.79</v>
      </c>
      <c r="F195" s="1" cm="1">
        <f t="array" ref="F195">SUM(ABS(B195:E195))</f>
        <v>792.31000000000006</v>
      </c>
      <c r="G195" s="1">
        <v>54.21</v>
      </c>
      <c r="H195" s="1">
        <v>272.10000000000002</v>
      </c>
      <c r="I195" s="1">
        <v>-55</v>
      </c>
      <c r="J195" s="1">
        <v>193.02</v>
      </c>
      <c r="K195" s="1">
        <v>91.63</v>
      </c>
      <c r="L195" s="1">
        <v>-57.49</v>
      </c>
      <c r="M195" s="1">
        <v>0</v>
      </c>
      <c r="N195" s="1">
        <v>-30.94</v>
      </c>
      <c r="O195" s="1">
        <v>10.210000000000001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 cm="1">
        <f t="array" ref="V195">SUM(ABS(G195:U195))</f>
        <v>764.60000000000014</v>
      </c>
      <c r="W195" s="11" cm="1">
        <f t="array" ref="W195">SUM(ABS(B195:E195))+SUM(ABS(G195:U195))</f>
        <v>1556.9100000000003</v>
      </c>
    </row>
    <row r="196" spans="1:23" x14ac:dyDescent="0.3">
      <c r="A196" s="14">
        <v>45813.979166666664</v>
      </c>
      <c r="B196" s="1">
        <v>-715.75</v>
      </c>
      <c r="C196" s="1">
        <v>36.11</v>
      </c>
      <c r="D196" s="1">
        <v>66.349999999999994</v>
      </c>
      <c r="E196" s="1">
        <v>25.79</v>
      </c>
      <c r="F196" s="1" cm="1">
        <f t="array" ref="F196">SUM(ABS(B196:E196))</f>
        <v>844</v>
      </c>
      <c r="G196" s="1">
        <v>54.21</v>
      </c>
      <c r="H196" s="1">
        <v>271.85000000000002</v>
      </c>
      <c r="I196" s="1">
        <v>-54.97</v>
      </c>
      <c r="J196" s="1">
        <v>193.28</v>
      </c>
      <c r="K196" s="1">
        <v>91.59</v>
      </c>
      <c r="L196" s="1">
        <v>-57.42</v>
      </c>
      <c r="M196" s="1">
        <v>0</v>
      </c>
      <c r="N196" s="1">
        <v>-30.94</v>
      </c>
      <c r="O196" s="1">
        <v>10.220000000000001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 cm="1">
        <f t="array" ref="V196">SUM(ABS(G196:U196))</f>
        <v>764.48</v>
      </c>
      <c r="W196" s="11" cm="1">
        <f t="array" ref="W196">SUM(ABS(B196:E196))+SUM(ABS(G196:U196))</f>
        <v>1608.48</v>
      </c>
    </row>
    <row r="197" spans="1:23" x14ac:dyDescent="0.3">
      <c r="A197" s="14">
        <v>45813.989583333336</v>
      </c>
      <c r="B197" s="1">
        <v>-730</v>
      </c>
      <c r="C197" s="1">
        <v>36.14</v>
      </c>
      <c r="D197" s="1">
        <v>66.349999999999994</v>
      </c>
      <c r="E197" s="1">
        <v>25.79</v>
      </c>
      <c r="F197" s="1" cm="1">
        <f t="array" ref="F197">SUM(ABS(B197:E197))</f>
        <v>858.28</v>
      </c>
      <c r="G197" s="1">
        <v>54.22</v>
      </c>
      <c r="H197" s="1">
        <v>271.82</v>
      </c>
      <c r="I197" s="1">
        <v>-54.92</v>
      </c>
      <c r="J197" s="1">
        <v>193.47</v>
      </c>
      <c r="K197" s="1">
        <v>91.52</v>
      </c>
      <c r="L197" s="1">
        <v>-57.44</v>
      </c>
      <c r="M197" s="1">
        <v>0</v>
      </c>
      <c r="N197" s="1">
        <v>-30.96</v>
      </c>
      <c r="O197" s="1">
        <v>10.220000000000001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 cm="1">
        <f t="array" ref="V197">SUM(ABS(G197:U197))</f>
        <v>764.56999999999994</v>
      </c>
      <c r="W197" s="11" cm="1">
        <f t="array" ref="W197">SUM(ABS(B197:E197))+SUM(ABS(G197:U197))</f>
        <v>1622.85</v>
      </c>
    </row>
    <row r="198" spans="1:23" x14ac:dyDescent="0.3">
      <c r="A198" s="14">
        <v>45843</v>
      </c>
      <c r="B198" s="1">
        <v>-733.11</v>
      </c>
      <c r="C198" s="1">
        <v>36.130000000000003</v>
      </c>
      <c r="D198" s="1">
        <v>55.21</v>
      </c>
      <c r="E198" s="1">
        <v>25.83</v>
      </c>
      <c r="F198" s="1" cm="1">
        <f t="array" ref="F198">SUM(ABS(B198:E198))</f>
        <v>850.28000000000009</v>
      </c>
      <c r="G198" s="1">
        <v>54.21</v>
      </c>
      <c r="H198" s="1">
        <v>272.39</v>
      </c>
      <c r="I198" s="1">
        <v>-54.96</v>
      </c>
      <c r="J198" s="1">
        <v>194.02</v>
      </c>
      <c r="K198" s="1">
        <v>91.56</v>
      </c>
      <c r="L198" s="1">
        <v>-58.1</v>
      </c>
      <c r="M198" s="1">
        <v>0</v>
      </c>
      <c r="N198" s="1">
        <v>-30.95</v>
      </c>
      <c r="O198" s="1">
        <v>10.220000000000001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 cm="1">
        <f t="array" ref="V198">SUM(ABS(G198:U198))</f>
        <v>766.41</v>
      </c>
      <c r="W198" s="11" cm="1">
        <f t="array" ref="W198">SUM(ABS(B198:E198))+SUM(ABS(G198:U198))</f>
        <v>1616.69</v>
      </c>
    </row>
    <row r="199" spans="1:23" x14ac:dyDescent="0.3">
      <c r="A199" s="14">
        <v>45843.010416666664</v>
      </c>
      <c r="B199" s="1">
        <v>-731.47</v>
      </c>
      <c r="C199" s="1">
        <v>36.11</v>
      </c>
      <c r="D199" s="1">
        <v>27.04</v>
      </c>
      <c r="E199" s="1">
        <v>25.83</v>
      </c>
      <c r="F199" s="1" cm="1">
        <f t="array" ref="F199">SUM(ABS(B199:E199))</f>
        <v>820.45</v>
      </c>
      <c r="G199" s="1">
        <v>54.23</v>
      </c>
      <c r="H199" s="1">
        <v>271.87</v>
      </c>
      <c r="I199" s="1">
        <v>-54.95</v>
      </c>
      <c r="J199" s="1">
        <v>189.87</v>
      </c>
      <c r="K199" s="1">
        <v>62.14</v>
      </c>
      <c r="L199" s="1">
        <v>-57.61</v>
      </c>
      <c r="M199" s="1">
        <v>0</v>
      </c>
      <c r="N199" s="1">
        <v>-30.97</v>
      </c>
      <c r="O199" s="1">
        <v>10.210000000000001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 cm="1">
        <f t="array" ref="V199">SUM(ABS(G199:U199))</f>
        <v>731.85000000000014</v>
      </c>
      <c r="W199" s="11" cm="1">
        <f t="array" ref="W199">SUM(ABS(B199:E199))+SUM(ABS(G199:U199))</f>
        <v>1552.3000000000002</v>
      </c>
    </row>
    <row r="200" spans="1:23" x14ac:dyDescent="0.3">
      <c r="A200" s="14">
        <v>45843.020833333336</v>
      </c>
      <c r="B200" s="1">
        <v>-734.9</v>
      </c>
      <c r="C200" s="1">
        <v>36.159999999999997</v>
      </c>
      <c r="D200" s="1">
        <v>24</v>
      </c>
      <c r="E200" s="1">
        <v>25.87</v>
      </c>
      <c r="F200" s="1" cm="1">
        <f t="array" ref="F200">SUM(ABS(B200:E200))</f>
        <v>820.93</v>
      </c>
      <c r="G200" s="1">
        <v>54.22</v>
      </c>
      <c r="H200" s="1">
        <v>272.62</v>
      </c>
      <c r="I200" s="1">
        <v>-54.97</v>
      </c>
      <c r="J200" s="1">
        <v>193.02</v>
      </c>
      <c r="K200" s="1">
        <v>47.56</v>
      </c>
      <c r="L200" s="1">
        <v>-58.16</v>
      </c>
      <c r="M200" s="1">
        <v>0</v>
      </c>
      <c r="N200" s="1">
        <v>-30.97</v>
      </c>
      <c r="O200" s="1">
        <v>10.210000000000001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 cm="1">
        <f t="array" ref="V200">SUM(ABS(G200:U200))</f>
        <v>721.73000000000013</v>
      </c>
      <c r="W200" s="11" cm="1">
        <f t="array" ref="W200">SUM(ABS(B200:E200))+SUM(ABS(G200:U200))</f>
        <v>1542.66</v>
      </c>
    </row>
    <row r="201" spans="1:23" x14ac:dyDescent="0.3">
      <c r="A201" s="14">
        <v>45843.03125</v>
      </c>
      <c r="B201" s="1">
        <v>-734.68</v>
      </c>
      <c r="C201" s="1">
        <v>36.17</v>
      </c>
      <c r="D201" s="1">
        <v>24</v>
      </c>
      <c r="E201" s="1">
        <v>25.78</v>
      </c>
      <c r="F201" s="1" cm="1">
        <f t="array" ref="F201">SUM(ABS(B201:E201))</f>
        <v>820.62999999999988</v>
      </c>
      <c r="G201" s="1">
        <v>54.22</v>
      </c>
      <c r="H201" s="1">
        <v>272.57</v>
      </c>
      <c r="I201" s="1">
        <v>-54.97</v>
      </c>
      <c r="J201" s="1">
        <v>193.4</v>
      </c>
      <c r="K201" s="1">
        <v>47.75</v>
      </c>
      <c r="L201" s="1">
        <v>-58.14</v>
      </c>
      <c r="M201" s="1">
        <v>0</v>
      </c>
      <c r="N201" s="1">
        <v>-30.95</v>
      </c>
      <c r="O201" s="1">
        <v>10.210000000000001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 cm="1">
        <f t="array" ref="V201">SUM(ABS(G201:U201))</f>
        <v>722.21</v>
      </c>
      <c r="W201" s="11" cm="1">
        <f t="array" ref="W201">SUM(ABS(B201:E201))+SUM(ABS(G201:U201))</f>
        <v>1542.84</v>
      </c>
    </row>
    <row r="202" spans="1:23" x14ac:dyDescent="0.3">
      <c r="A202" s="14">
        <v>45843.041666666664</v>
      </c>
      <c r="B202" s="1">
        <v>-728.05</v>
      </c>
      <c r="C202" s="1">
        <v>36.17</v>
      </c>
      <c r="D202" s="1">
        <v>13.47</v>
      </c>
      <c r="E202" s="1">
        <v>25.77</v>
      </c>
      <c r="F202" s="1" cm="1">
        <f t="array" ref="F202">SUM(ABS(B202:E202))</f>
        <v>803.45999999999992</v>
      </c>
      <c r="G202" s="1">
        <v>54.22</v>
      </c>
      <c r="H202" s="1">
        <v>272.62</v>
      </c>
      <c r="I202" s="1">
        <v>-54.97</v>
      </c>
      <c r="J202" s="1">
        <v>160.97999999999999</v>
      </c>
      <c r="K202" s="1">
        <v>47.62</v>
      </c>
      <c r="L202" s="1">
        <v>-57.93</v>
      </c>
      <c r="M202" s="1">
        <v>0</v>
      </c>
      <c r="N202" s="1">
        <v>-30.97</v>
      </c>
      <c r="O202" s="1">
        <v>10.199999999999999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 cm="1">
        <f t="array" ref="V202">SUM(ABS(G202:U202))</f>
        <v>689.5100000000001</v>
      </c>
      <c r="W202" s="11" cm="1">
        <f t="array" ref="W202">SUM(ABS(B202:E202))+SUM(ABS(G202:U202))</f>
        <v>1492.97</v>
      </c>
    </row>
    <row r="203" spans="1:23" x14ac:dyDescent="0.3">
      <c r="A203" s="14">
        <v>45843.052083333336</v>
      </c>
      <c r="B203" s="1">
        <v>-725.25</v>
      </c>
      <c r="C203" s="1">
        <v>36.18</v>
      </c>
      <c r="D203" s="1">
        <v>12</v>
      </c>
      <c r="E203" s="1">
        <v>25.76</v>
      </c>
      <c r="F203" s="1" cm="1">
        <f t="array" ref="F203">SUM(ABS(B203:E203))</f>
        <v>799.18999999999994</v>
      </c>
      <c r="G203" s="1">
        <v>54.23</v>
      </c>
      <c r="H203" s="1">
        <v>272.52999999999997</v>
      </c>
      <c r="I203" s="1">
        <v>-54.95</v>
      </c>
      <c r="J203" s="1">
        <v>147.88</v>
      </c>
      <c r="K203" s="1">
        <v>23.18</v>
      </c>
      <c r="L203" s="1">
        <v>-57.82</v>
      </c>
      <c r="M203" s="1">
        <v>0</v>
      </c>
      <c r="N203" s="1">
        <v>-30.97</v>
      </c>
      <c r="O203" s="1">
        <v>10.199999999999999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 cm="1">
        <f t="array" ref="V203">SUM(ABS(G203:U203))</f>
        <v>651.76</v>
      </c>
      <c r="W203" s="11" cm="1">
        <f t="array" ref="W203">SUM(ABS(B203:E203))+SUM(ABS(G203:U203))</f>
        <v>1450.9499999999998</v>
      </c>
    </row>
    <row r="204" spans="1:23" x14ac:dyDescent="0.3">
      <c r="A204" s="14">
        <v>45843.0625</v>
      </c>
      <c r="B204" s="1">
        <v>-727.16</v>
      </c>
      <c r="C204" s="1">
        <v>36.18</v>
      </c>
      <c r="D204" s="1">
        <v>12</v>
      </c>
      <c r="E204" s="1">
        <v>25.77</v>
      </c>
      <c r="F204" s="1" cm="1">
        <f t="array" ref="F204">SUM(ABS(B204:E204))</f>
        <v>801.1099999999999</v>
      </c>
      <c r="G204" s="1">
        <v>54.23</v>
      </c>
      <c r="H204" s="1">
        <v>272.72000000000003</v>
      </c>
      <c r="I204" s="1">
        <v>-54.94</v>
      </c>
      <c r="J204" s="1">
        <v>132.83000000000001</v>
      </c>
      <c r="K204" s="1">
        <v>0</v>
      </c>
      <c r="L204" s="1">
        <v>-57.78</v>
      </c>
      <c r="M204" s="1">
        <v>0</v>
      </c>
      <c r="N204" s="1">
        <v>-30.96</v>
      </c>
      <c r="O204" s="1">
        <v>10.199999999999999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 cm="1">
        <f t="array" ref="V204">SUM(ABS(G204:U204))</f>
        <v>613.66000000000008</v>
      </c>
      <c r="W204" s="11" cm="1">
        <f t="array" ref="W204">SUM(ABS(B204:E204))+SUM(ABS(G204:U204))</f>
        <v>1414.77</v>
      </c>
    </row>
    <row r="205" spans="1:23" x14ac:dyDescent="0.3">
      <c r="A205" s="14">
        <v>45843.072916666664</v>
      </c>
      <c r="B205" s="1">
        <v>-726.74</v>
      </c>
      <c r="C205" s="1">
        <v>36.21</v>
      </c>
      <c r="D205" s="1">
        <v>12</v>
      </c>
      <c r="E205" s="1">
        <v>20.440000000000001</v>
      </c>
      <c r="F205" s="1" cm="1">
        <f t="array" ref="F205">SUM(ABS(B205:E205))</f>
        <v>795.3900000000001</v>
      </c>
      <c r="G205" s="1">
        <v>54.22</v>
      </c>
      <c r="H205" s="1">
        <v>272.58</v>
      </c>
      <c r="I205" s="1">
        <v>-54.94</v>
      </c>
      <c r="J205" s="1">
        <v>103.5</v>
      </c>
      <c r="K205" s="1">
        <v>0</v>
      </c>
      <c r="L205" s="1">
        <v>-57.73</v>
      </c>
      <c r="M205" s="1">
        <v>0</v>
      </c>
      <c r="N205" s="1">
        <v>-30.97</v>
      </c>
      <c r="O205" s="1">
        <v>10.199999999999999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 cm="1">
        <f t="array" ref="V205">SUM(ABS(G205:U205))</f>
        <v>584.14</v>
      </c>
      <c r="W205" s="11" cm="1">
        <f t="array" ref="W205">SUM(ABS(B205:E205))+SUM(ABS(G205:U205))</f>
        <v>1379.5300000000002</v>
      </c>
    </row>
    <row r="206" spans="1:23" x14ac:dyDescent="0.3">
      <c r="A206" s="14">
        <v>45843.083333333336</v>
      </c>
      <c r="B206" s="1">
        <v>-730.89</v>
      </c>
      <c r="C206" s="1">
        <v>36.21</v>
      </c>
      <c r="D206" s="1">
        <v>12</v>
      </c>
      <c r="E206" s="1">
        <v>19.149999999999999</v>
      </c>
      <c r="F206" s="1" cm="1">
        <f t="array" ref="F206">SUM(ABS(B206:E206))</f>
        <v>798.25</v>
      </c>
      <c r="G206" s="1">
        <v>54.23</v>
      </c>
      <c r="H206" s="1">
        <v>272.66000000000003</v>
      </c>
      <c r="I206" s="1">
        <v>-54.94</v>
      </c>
      <c r="J206" s="1">
        <v>98.11</v>
      </c>
      <c r="K206" s="1">
        <v>0</v>
      </c>
      <c r="L206" s="1">
        <v>-57.76</v>
      </c>
      <c r="M206" s="1">
        <v>0</v>
      </c>
      <c r="N206" s="1">
        <v>-30.98</v>
      </c>
      <c r="O206" s="1">
        <v>10.199999999999999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 cm="1">
        <f t="array" ref="V206">SUM(ABS(G206:U206))</f>
        <v>578.88000000000011</v>
      </c>
      <c r="W206" s="11" cm="1">
        <f t="array" ref="W206">SUM(ABS(B206:E206))+SUM(ABS(G206:U206))</f>
        <v>1377.13</v>
      </c>
    </row>
    <row r="207" spans="1:23" x14ac:dyDescent="0.3">
      <c r="A207" s="14">
        <v>45843.09375</v>
      </c>
      <c r="B207" s="1">
        <v>-731.8</v>
      </c>
      <c r="C207" s="1">
        <v>36.229999999999997</v>
      </c>
      <c r="D207" s="1">
        <v>12</v>
      </c>
      <c r="E207" s="1">
        <v>16.91</v>
      </c>
      <c r="F207" s="1" cm="1">
        <f t="array" ref="F207">SUM(ABS(B207:E207))</f>
        <v>796.93999999999994</v>
      </c>
      <c r="G207" s="1">
        <v>54.22</v>
      </c>
      <c r="H207" s="1">
        <v>272.62</v>
      </c>
      <c r="I207" s="1">
        <v>-54.91</v>
      </c>
      <c r="J207" s="1">
        <v>48.6</v>
      </c>
      <c r="K207" s="1">
        <v>0</v>
      </c>
      <c r="L207" s="1">
        <v>-57.97</v>
      </c>
      <c r="M207" s="1">
        <v>0</v>
      </c>
      <c r="N207" s="1">
        <v>-30.96</v>
      </c>
      <c r="O207" s="1">
        <v>10.19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 cm="1">
        <f t="array" ref="V207">SUM(ABS(G207:U207))</f>
        <v>529.47000000000014</v>
      </c>
      <c r="W207" s="11" cm="1">
        <f t="array" ref="W207">SUM(ABS(B207:E207))+SUM(ABS(G207:U207))</f>
        <v>1326.41</v>
      </c>
    </row>
    <row r="208" spans="1:23" x14ac:dyDescent="0.3">
      <c r="A208" s="14">
        <v>45843.104166666664</v>
      </c>
      <c r="B208" s="1">
        <v>-730.07</v>
      </c>
      <c r="C208" s="1">
        <v>36.25</v>
      </c>
      <c r="D208" s="1">
        <v>12</v>
      </c>
      <c r="E208" s="1">
        <v>12.83</v>
      </c>
      <c r="F208" s="1" cm="1">
        <f t="array" ref="F208">SUM(ABS(B208:E208))</f>
        <v>791.15000000000009</v>
      </c>
      <c r="G208" s="1">
        <v>54.23</v>
      </c>
      <c r="H208" s="1">
        <v>272.67</v>
      </c>
      <c r="I208" s="1">
        <v>-54.93</v>
      </c>
      <c r="J208" s="1">
        <v>12.23</v>
      </c>
      <c r="K208" s="1">
        <v>0</v>
      </c>
      <c r="L208" s="1">
        <v>-58.19</v>
      </c>
      <c r="M208" s="1">
        <v>0</v>
      </c>
      <c r="N208" s="1">
        <v>-30.97</v>
      </c>
      <c r="O208" s="1">
        <v>10.19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 cm="1">
        <f t="array" ref="V208">SUM(ABS(G208:U208))</f>
        <v>493.41</v>
      </c>
      <c r="W208" s="11" cm="1">
        <f t="array" ref="W208">SUM(ABS(B208:E208))+SUM(ABS(G208:U208))</f>
        <v>1284.5600000000002</v>
      </c>
    </row>
    <row r="209" spans="1:23" x14ac:dyDescent="0.3">
      <c r="A209" s="14">
        <v>45843.114583333336</v>
      </c>
      <c r="B209" s="1">
        <v>-684.17</v>
      </c>
      <c r="C209" s="1">
        <v>36.26</v>
      </c>
      <c r="D209" s="1">
        <v>12</v>
      </c>
      <c r="E209" s="1">
        <v>12.83</v>
      </c>
      <c r="F209" s="1" cm="1">
        <f t="array" ref="F209">SUM(ABS(B209:E209))</f>
        <v>745.26</v>
      </c>
      <c r="G209" s="1">
        <v>54.23</v>
      </c>
      <c r="H209" s="1">
        <v>272.75</v>
      </c>
      <c r="I209" s="1">
        <v>-54.9</v>
      </c>
      <c r="J209" s="1">
        <v>0</v>
      </c>
      <c r="K209" s="1">
        <v>0</v>
      </c>
      <c r="L209" s="1">
        <v>-57.71</v>
      </c>
      <c r="M209" s="1">
        <v>0</v>
      </c>
      <c r="N209" s="1">
        <v>-30.96</v>
      </c>
      <c r="O209" s="1">
        <v>10.19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 cm="1">
        <f t="array" ref="V209">SUM(ABS(G209:U209))</f>
        <v>480.73999999999995</v>
      </c>
      <c r="W209" s="11" cm="1">
        <f t="array" ref="W209">SUM(ABS(B209:E209))+SUM(ABS(G209:U209))</f>
        <v>1226</v>
      </c>
    </row>
    <row r="210" spans="1:23" x14ac:dyDescent="0.3">
      <c r="A210" s="14">
        <v>45843.125</v>
      </c>
      <c r="B210" s="1">
        <v>-689.7</v>
      </c>
      <c r="C210" s="1">
        <v>36.28</v>
      </c>
      <c r="D210" s="1">
        <v>12</v>
      </c>
      <c r="E210" s="1">
        <v>12.82</v>
      </c>
      <c r="F210" s="1" cm="1">
        <f t="array" ref="F210">SUM(ABS(B210:E210))</f>
        <v>750.80000000000007</v>
      </c>
      <c r="G210" s="1">
        <v>54.23</v>
      </c>
      <c r="H210" s="1">
        <v>273</v>
      </c>
      <c r="I210" s="1">
        <v>-54.92</v>
      </c>
      <c r="J210" s="1">
        <v>0</v>
      </c>
      <c r="K210" s="1">
        <v>0</v>
      </c>
      <c r="L210" s="1">
        <v>-58.05</v>
      </c>
      <c r="M210" s="1">
        <v>0</v>
      </c>
      <c r="N210" s="1">
        <v>-30.97</v>
      </c>
      <c r="O210" s="1">
        <v>10.19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 cm="1">
        <f t="array" ref="V210">SUM(ABS(G210:U210))</f>
        <v>481.36000000000007</v>
      </c>
      <c r="W210" s="11" cm="1">
        <f t="array" ref="W210">SUM(ABS(B210:E210))+SUM(ABS(G210:U210))</f>
        <v>1232.1600000000001</v>
      </c>
    </row>
    <row r="211" spans="1:23" x14ac:dyDescent="0.3">
      <c r="A211" s="14">
        <v>45843.135416666664</v>
      </c>
      <c r="B211" s="1">
        <v>-670.53</v>
      </c>
      <c r="C211" s="1">
        <v>36.29</v>
      </c>
      <c r="D211" s="1">
        <v>12</v>
      </c>
      <c r="E211" s="1">
        <v>12.82</v>
      </c>
      <c r="F211" s="1" cm="1">
        <f t="array" ref="F211">SUM(ABS(B211:E211))</f>
        <v>731.64</v>
      </c>
      <c r="G211" s="1">
        <v>35.96</v>
      </c>
      <c r="H211" s="1">
        <v>272.7</v>
      </c>
      <c r="I211" s="1">
        <v>-54.87</v>
      </c>
      <c r="J211" s="1">
        <v>0</v>
      </c>
      <c r="K211" s="1">
        <v>0</v>
      </c>
      <c r="L211" s="1">
        <v>-57.7</v>
      </c>
      <c r="M211" s="1">
        <v>0</v>
      </c>
      <c r="N211" s="1">
        <v>-30.96</v>
      </c>
      <c r="O211" s="1">
        <v>10.19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 cm="1">
        <f t="array" ref="V211">SUM(ABS(G211:U211))</f>
        <v>462.37999999999994</v>
      </c>
      <c r="W211" s="11" cm="1">
        <f t="array" ref="W211">SUM(ABS(B211:E211))+SUM(ABS(G211:U211))</f>
        <v>1194.02</v>
      </c>
    </row>
    <row r="212" spans="1:23" x14ac:dyDescent="0.3">
      <c r="A212" s="14">
        <v>45843.145833333336</v>
      </c>
      <c r="B212" s="1">
        <v>-645.88</v>
      </c>
      <c r="C212" s="1">
        <v>36.28</v>
      </c>
      <c r="D212" s="1">
        <v>12</v>
      </c>
      <c r="E212" s="1">
        <v>12.84</v>
      </c>
      <c r="F212" s="1" cm="1">
        <f t="array" ref="F212">SUM(ABS(B212:E212))</f>
        <v>707</v>
      </c>
      <c r="G212" s="1">
        <v>30.12</v>
      </c>
      <c r="H212" s="1">
        <v>272.73</v>
      </c>
      <c r="I212" s="1">
        <v>-54.87</v>
      </c>
      <c r="J212" s="1">
        <v>0</v>
      </c>
      <c r="K212" s="1">
        <v>0</v>
      </c>
      <c r="L212" s="1">
        <v>-57.69</v>
      </c>
      <c r="M212" s="1">
        <v>0</v>
      </c>
      <c r="N212" s="1">
        <v>-30.96</v>
      </c>
      <c r="O212" s="1">
        <v>10.19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 cm="1">
        <f t="array" ref="V212">SUM(ABS(G212:U212))</f>
        <v>456.56</v>
      </c>
      <c r="W212" s="11" cm="1">
        <f t="array" ref="W212">SUM(ABS(B212:E212))+SUM(ABS(G212:U212))</f>
        <v>1163.56</v>
      </c>
    </row>
    <row r="213" spans="1:23" x14ac:dyDescent="0.3">
      <c r="A213" s="14">
        <v>45843.15625</v>
      </c>
      <c r="B213" s="1">
        <v>-595.44000000000005</v>
      </c>
      <c r="C213" s="1">
        <v>36.29</v>
      </c>
      <c r="D213" s="1">
        <v>12</v>
      </c>
      <c r="E213" s="1">
        <v>12.82</v>
      </c>
      <c r="F213" s="1" cm="1">
        <f t="array" ref="F213">SUM(ABS(B213:E213))</f>
        <v>656.55000000000007</v>
      </c>
      <c r="G213" s="1">
        <v>30.12</v>
      </c>
      <c r="H213" s="1">
        <v>272.69</v>
      </c>
      <c r="I213" s="1">
        <v>-54.83</v>
      </c>
      <c r="J213" s="1">
        <v>0</v>
      </c>
      <c r="K213" s="1">
        <v>0</v>
      </c>
      <c r="L213" s="1">
        <v>-57.58</v>
      </c>
      <c r="M213" s="1">
        <v>0</v>
      </c>
      <c r="N213" s="1">
        <v>-30.96</v>
      </c>
      <c r="O213" s="1">
        <v>10.19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 cm="1">
        <f t="array" ref="V213">SUM(ABS(G213:U213))</f>
        <v>456.36999999999995</v>
      </c>
      <c r="W213" s="11" cm="1">
        <f t="array" ref="W213">SUM(ABS(B213:E213))+SUM(ABS(G213:U213))</f>
        <v>1112.92</v>
      </c>
    </row>
    <row r="214" spans="1:23" x14ac:dyDescent="0.3">
      <c r="A214" s="14">
        <v>45843.166666666664</v>
      </c>
      <c r="B214" s="1">
        <v>-591.91999999999996</v>
      </c>
      <c r="C214" s="1">
        <v>36.31</v>
      </c>
      <c r="D214" s="1">
        <v>12</v>
      </c>
      <c r="E214" s="1">
        <v>12.79</v>
      </c>
      <c r="F214" s="1" cm="1">
        <f t="array" ref="F214">SUM(ABS(B214:E214))</f>
        <v>653.02</v>
      </c>
      <c r="G214" s="1">
        <v>30.13</v>
      </c>
      <c r="H214" s="1">
        <v>272.64999999999998</v>
      </c>
      <c r="I214" s="1">
        <v>-54.85</v>
      </c>
      <c r="J214" s="1">
        <v>0</v>
      </c>
      <c r="K214" s="1">
        <v>0</v>
      </c>
      <c r="L214" s="1">
        <v>-57.86</v>
      </c>
      <c r="M214" s="1">
        <v>0</v>
      </c>
      <c r="N214" s="1">
        <v>-30.96</v>
      </c>
      <c r="O214" s="1">
        <v>10.199999999999999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 cm="1">
        <f t="array" ref="V214">SUM(ABS(G214:U214))</f>
        <v>456.65</v>
      </c>
      <c r="W214" s="11" cm="1">
        <f t="array" ref="W214">SUM(ABS(B214:E214))+SUM(ABS(G214:U214))</f>
        <v>1109.67</v>
      </c>
    </row>
    <row r="215" spans="1:23" x14ac:dyDescent="0.3">
      <c r="A215" s="14">
        <v>45843.177083333336</v>
      </c>
      <c r="B215" s="1">
        <v>-574.34</v>
      </c>
      <c r="C215" s="1">
        <v>36.31</v>
      </c>
      <c r="D215" s="1">
        <v>12</v>
      </c>
      <c r="E215" s="1">
        <v>12.78</v>
      </c>
      <c r="F215" s="1" cm="1">
        <f t="array" ref="F215">SUM(ABS(B215:E215))</f>
        <v>635.43000000000006</v>
      </c>
      <c r="G215" s="1">
        <v>30.1</v>
      </c>
      <c r="H215" s="1">
        <v>272.62</v>
      </c>
      <c r="I215" s="1">
        <v>-54.85</v>
      </c>
      <c r="J215" s="1">
        <v>0</v>
      </c>
      <c r="K215" s="1">
        <v>0</v>
      </c>
      <c r="L215" s="1">
        <v>-57.86</v>
      </c>
      <c r="M215" s="1">
        <v>0</v>
      </c>
      <c r="N215" s="1">
        <v>-30.94</v>
      </c>
      <c r="O215" s="1">
        <v>10.19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 cm="1">
        <f t="array" ref="V215">SUM(ABS(G215:U215))</f>
        <v>456.56000000000006</v>
      </c>
      <c r="W215" s="11" cm="1">
        <f t="array" ref="W215">SUM(ABS(B215:E215))+SUM(ABS(G215:U215))</f>
        <v>1091.9900000000002</v>
      </c>
    </row>
    <row r="216" spans="1:23" x14ac:dyDescent="0.3">
      <c r="A216" s="14">
        <v>45843.1875</v>
      </c>
      <c r="B216" s="1">
        <v>-568.46</v>
      </c>
      <c r="C216" s="1">
        <v>36.35</v>
      </c>
      <c r="D216" s="1">
        <v>12</v>
      </c>
      <c r="E216" s="1">
        <v>12.78</v>
      </c>
      <c r="F216" s="1" cm="1">
        <f t="array" ref="F216">SUM(ABS(B216:E216))</f>
        <v>629.59</v>
      </c>
      <c r="G216" s="1">
        <v>30.11</v>
      </c>
      <c r="H216" s="1">
        <v>272.20999999999998</v>
      </c>
      <c r="I216" s="1">
        <v>-54.88</v>
      </c>
      <c r="J216" s="1">
        <v>0</v>
      </c>
      <c r="K216" s="1">
        <v>0</v>
      </c>
      <c r="L216" s="1">
        <v>-57.89</v>
      </c>
      <c r="M216" s="1">
        <v>0</v>
      </c>
      <c r="N216" s="1">
        <v>-30.96</v>
      </c>
      <c r="O216" s="1">
        <v>10.19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 cm="1">
        <f t="array" ref="V216">SUM(ABS(G216:U216))</f>
        <v>456.23999999999995</v>
      </c>
      <c r="W216" s="11" cm="1">
        <f t="array" ref="W216">SUM(ABS(B216:E216))+SUM(ABS(G216:U216))</f>
        <v>1085.83</v>
      </c>
    </row>
    <row r="217" spans="1:23" x14ac:dyDescent="0.3">
      <c r="A217" s="14">
        <v>45843.197916666664</v>
      </c>
      <c r="B217" s="1">
        <v>-551.84</v>
      </c>
      <c r="C217" s="1">
        <v>36.33</v>
      </c>
      <c r="D217" s="1">
        <v>12</v>
      </c>
      <c r="E217" s="1">
        <v>12.78</v>
      </c>
      <c r="F217" s="1" cm="1">
        <f t="array" ref="F217">SUM(ABS(B217:E217))</f>
        <v>612.95000000000005</v>
      </c>
      <c r="G217" s="1">
        <v>30.11</v>
      </c>
      <c r="H217" s="1">
        <v>272.49</v>
      </c>
      <c r="I217" s="1">
        <v>-54.88</v>
      </c>
      <c r="J217" s="1">
        <v>0</v>
      </c>
      <c r="K217" s="1">
        <v>0</v>
      </c>
      <c r="L217" s="1">
        <v>-57.99</v>
      </c>
      <c r="M217" s="1">
        <v>0</v>
      </c>
      <c r="N217" s="1">
        <v>-30.93</v>
      </c>
      <c r="O217" s="1">
        <v>10.199999999999999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 cm="1">
        <f t="array" ref="V217">SUM(ABS(G217:U217))</f>
        <v>456.6</v>
      </c>
      <c r="W217" s="11" cm="1">
        <f t="array" ref="W217">SUM(ABS(B217:E217))+SUM(ABS(G217:U217))</f>
        <v>1069.5500000000002</v>
      </c>
    </row>
    <row r="218" spans="1:23" x14ac:dyDescent="0.3">
      <c r="A218" s="14">
        <v>45843.208333333336</v>
      </c>
      <c r="B218" s="1">
        <v>-540.6</v>
      </c>
      <c r="C218" s="1">
        <v>36.35</v>
      </c>
      <c r="D218" s="1">
        <v>12</v>
      </c>
      <c r="E218" s="1">
        <v>12.77</v>
      </c>
      <c r="F218" s="1" cm="1">
        <f t="array" ref="F218">SUM(ABS(B218:E218))</f>
        <v>601.72</v>
      </c>
      <c r="G218" s="1">
        <v>30.12</v>
      </c>
      <c r="H218" s="1">
        <v>272.62</v>
      </c>
      <c r="I218" s="1">
        <v>-54.86</v>
      </c>
      <c r="J218" s="1">
        <v>0</v>
      </c>
      <c r="K218" s="1">
        <v>0</v>
      </c>
      <c r="L218" s="1">
        <v>-57.67</v>
      </c>
      <c r="M218" s="1">
        <v>0</v>
      </c>
      <c r="N218" s="1">
        <v>-30.94</v>
      </c>
      <c r="O218" s="1">
        <v>10.19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 cm="1">
        <f t="array" ref="V218">SUM(ABS(G218:U218))</f>
        <v>456.40000000000003</v>
      </c>
      <c r="W218" s="11" cm="1">
        <f t="array" ref="W218">SUM(ABS(B218:E218))+SUM(ABS(G218:U218))</f>
        <v>1058.1200000000001</v>
      </c>
    </row>
    <row r="219" spans="1:23" x14ac:dyDescent="0.3">
      <c r="A219" s="14">
        <v>45843.21875</v>
      </c>
      <c r="B219" s="1">
        <v>-546.28</v>
      </c>
      <c r="C219" s="1">
        <v>36.369999999999997</v>
      </c>
      <c r="D219" s="1">
        <v>12</v>
      </c>
      <c r="E219" s="1">
        <v>12.78</v>
      </c>
      <c r="F219" s="1" cm="1">
        <f t="array" ref="F219">SUM(ABS(B219:E219))</f>
        <v>607.42999999999995</v>
      </c>
      <c r="G219" s="1">
        <v>30.12</v>
      </c>
      <c r="H219" s="1">
        <v>272.39999999999998</v>
      </c>
      <c r="I219" s="1">
        <v>-54.89</v>
      </c>
      <c r="J219" s="1">
        <v>0</v>
      </c>
      <c r="K219" s="1">
        <v>0</v>
      </c>
      <c r="L219" s="1">
        <v>-57.83</v>
      </c>
      <c r="M219" s="1">
        <v>0</v>
      </c>
      <c r="N219" s="1">
        <v>-30.93</v>
      </c>
      <c r="O219" s="1">
        <v>10.18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 cm="1">
        <f t="array" ref="V219">SUM(ABS(G219:U219))</f>
        <v>456.34999999999997</v>
      </c>
      <c r="W219" s="11" cm="1">
        <f t="array" ref="W219">SUM(ABS(B219:E219))+SUM(ABS(G219:U219))</f>
        <v>1063.78</v>
      </c>
    </row>
    <row r="220" spans="1:23" x14ac:dyDescent="0.3">
      <c r="A220" s="14">
        <v>45843.229166666664</v>
      </c>
      <c r="B220" s="1">
        <v>-567.55999999999995</v>
      </c>
      <c r="C220" s="1">
        <v>36.42</v>
      </c>
      <c r="D220" s="1">
        <v>12</v>
      </c>
      <c r="E220" s="1">
        <v>12.77</v>
      </c>
      <c r="F220" s="1" cm="1">
        <f t="array" ref="F220">SUM(ABS(B220:E220))</f>
        <v>628.74999999999989</v>
      </c>
      <c r="G220" s="1">
        <v>30.13</v>
      </c>
      <c r="H220" s="1">
        <v>272.56</v>
      </c>
      <c r="I220" s="1">
        <v>-54.93</v>
      </c>
      <c r="J220" s="1">
        <v>0</v>
      </c>
      <c r="K220" s="1">
        <v>0</v>
      </c>
      <c r="L220" s="1">
        <v>-58.3</v>
      </c>
      <c r="M220" s="1">
        <v>0</v>
      </c>
      <c r="N220" s="1">
        <v>-30.95</v>
      </c>
      <c r="O220" s="1">
        <v>10.19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 cm="1">
        <f t="array" ref="V220">SUM(ABS(G220:U220))</f>
        <v>457.06</v>
      </c>
      <c r="W220" s="11" cm="1">
        <f t="array" ref="W220">SUM(ABS(B220:E220))+SUM(ABS(G220:U220))</f>
        <v>1085.81</v>
      </c>
    </row>
    <row r="221" spans="1:23" x14ac:dyDescent="0.3">
      <c r="A221" s="14">
        <v>45843.239583333336</v>
      </c>
      <c r="B221" s="1">
        <v>-578.54</v>
      </c>
      <c r="C221" s="1">
        <v>36.450000000000003</v>
      </c>
      <c r="D221" s="1">
        <v>12</v>
      </c>
      <c r="E221" s="1">
        <v>12.78</v>
      </c>
      <c r="F221" s="1" cm="1">
        <f t="array" ref="F221">SUM(ABS(B221:E221))</f>
        <v>639.77</v>
      </c>
      <c r="G221" s="1">
        <v>30.11</v>
      </c>
      <c r="H221" s="1">
        <v>272.67</v>
      </c>
      <c r="I221" s="1">
        <v>-54.91</v>
      </c>
      <c r="J221" s="1">
        <v>0</v>
      </c>
      <c r="K221" s="1">
        <v>0</v>
      </c>
      <c r="L221" s="1">
        <v>-58.52</v>
      </c>
      <c r="M221" s="1">
        <v>0</v>
      </c>
      <c r="N221" s="1">
        <v>-30.9</v>
      </c>
      <c r="O221" s="1">
        <v>10.19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 cm="1">
        <f t="array" ref="V221">SUM(ABS(G221:U221))</f>
        <v>457.3</v>
      </c>
      <c r="W221" s="11" cm="1">
        <f t="array" ref="W221">SUM(ABS(B221:E221))+SUM(ABS(G221:U221))</f>
        <v>1097.07</v>
      </c>
    </row>
    <row r="222" spans="1:23" x14ac:dyDescent="0.3">
      <c r="A222" s="14">
        <v>45843.25</v>
      </c>
      <c r="B222" s="1">
        <v>-537.87</v>
      </c>
      <c r="C222" s="1">
        <v>36.43</v>
      </c>
      <c r="D222" s="1">
        <v>12</v>
      </c>
      <c r="E222" s="1">
        <v>12.8</v>
      </c>
      <c r="F222" s="1" cm="1">
        <f t="array" ref="F222">SUM(ABS(B222:E222))</f>
        <v>599.09999999999991</v>
      </c>
      <c r="G222" s="1">
        <v>30.11</v>
      </c>
      <c r="H222" s="1">
        <v>271.52999999999997</v>
      </c>
      <c r="I222" s="1">
        <v>-54.89</v>
      </c>
      <c r="J222" s="1">
        <v>0</v>
      </c>
      <c r="K222" s="1">
        <v>0</v>
      </c>
      <c r="L222" s="1">
        <v>-57.77</v>
      </c>
      <c r="M222" s="1">
        <v>0</v>
      </c>
      <c r="N222" s="1">
        <v>-30.93</v>
      </c>
      <c r="O222" s="1">
        <v>10.18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 cm="1">
        <f t="array" ref="V222">SUM(ABS(G222:U222))</f>
        <v>455.40999999999997</v>
      </c>
      <c r="W222" s="11" cm="1">
        <f t="array" ref="W222">SUM(ABS(B222:E222))+SUM(ABS(G222:U222))</f>
        <v>1054.5099999999998</v>
      </c>
    </row>
    <row r="223" spans="1:23" x14ac:dyDescent="0.3">
      <c r="A223" s="14">
        <v>45843.260416666664</v>
      </c>
      <c r="B223" s="1">
        <v>-531.82000000000005</v>
      </c>
      <c r="C223" s="1">
        <v>36.47</v>
      </c>
      <c r="D223" s="1">
        <v>12</v>
      </c>
      <c r="E223" s="1">
        <v>12.8</v>
      </c>
      <c r="F223" s="1" cm="1">
        <f t="array" ref="F223">SUM(ABS(B223:E223))</f>
        <v>593.09</v>
      </c>
      <c r="G223" s="1">
        <v>30.12</v>
      </c>
      <c r="H223" s="1">
        <v>272.79000000000002</v>
      </c>
      <c r="I223" s="1">
        <v>-54.86</v>
      </c>
      <c r="J223" s="1">
        <v>0</v>
      </c>
      <c r="K223" s="1">
        <v>0</v>
      </c>
      <c r="L223" s="1">
        <v>-57.82</v>
      </c>
      <c r="M223" s="1">
        <v>0</v>
      </c>
      <c r="N223" s="1">
        <v>-30.9</v>
      </c>
      <c r="O223" s="1">
        <v>10.18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 cm="1">
        <f t="array" ref="V223">SUM(ABS(G223:U223))</f>
        <v>456.67</v>
      </c>
      <c r="W223" s="11" cm="1">
        <f t="array" ref="W223">SUM(ABS(B223:E223))+SUM(ABS(G223:U223))</f>
        <v>1049.76</v>
      </c>
    </row>
    <row r="224" spans="1:23" x14ac:dyDescent="0.3">
      <c r="A224" s="14">
        <v>45843.270833333336</v>
      </c>
      <c r="B224" s="1">
        <v>-574.25</v>
      </c>
      <c r="C224" s="1">
        <v>36.44</v>
      </c>
      <c r="D224" s="1">
        <v>12</v>
      </c>
      <c r="E224" s="1">
        <v>12.82</v>
      </c>
      <c r="F224" s="1" cm="1">
        <f t="array" ref="F224">SUM(ABS(B224:E224))</f>
        <v>635.5100000000001</v>
      </c>
      <c r="G224" s="1">
        <v>30.11</v>
      </c>
      <c r="H224" s="1">
        <v>272.73</v>
      </c>
      <c r="I224" s="1">
        <v>-54.87</v>
      </c>
      <c r="J224" s="1">
        <v>0</v>
      </c>
      <c r="K224" s="1">
        <v>0</v>
      </c>
      <c r="L224" s="1">
        <v>-57.7</v>
      </c>
      <c r="M224" s="1">
        <v>0</v>
      </c>
      <c r="N224" s="1">
        <v>-30.94</v>
      </c>
      <c r="O224" s="1">
        <v>10.18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 cm="1">
        <f t="array" ref="V224">SUM(ABS(G224:U224))</f>
        <v>456.53000000000003</v>
      </c>
      <c r="W224" s="11" cm="1">
        <f t="array" ref="W224">SUM(ABS(B224:E224))+SUM(ABS(G224:U224))</f>
        <v>1092.0400000000002</v>
      </c>
    </row>
    <row r="225" spans="1:23" x14ac:dyDescent="0.3">
      <c r="A225" s="14">
        <v>45843.28125</v>
      </c>
      <c r="B225" s="1">
        <v>-543.13</v>
      </c>
      <c r="C225" s="1">
        <v>36.47</v>
      </c>
      <c r="D225" s="1">
        <v>12</v>
      </c>
      <c r="E225" s="1">
        <v>12.81</v>
      </c>
      <c r="F225" s="1" cm="1">
        <f t="array" ref="F225">SUM(ABS(B225:E225))</f>
        <v>604.41</v>
      </c>
      <c r="G225" s="1">
        <v>30.13</v>
      </c>
      <c r="H225" s="1">
        <v>272.74</v>
      </c>
      <c r="I225" s="1">
        <v>-54.89</v>
      </c>
      <c r="J225" s="1">
        <v>0</v>
      </c>
      <c r="K225" s="1">
        <v>0</v>
      </c>
      <c r="L225" s="1">
        <v>-19.559999999999999</v>
      </c>
      <c r="M225" s="1">
        <v>0</v>
      </c>
      <c r="N225" s="1">
        <v>-30.9</v>
      </c>
      <c r="O225" s="1">
        <v>10.18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 cm="1">
        <f t="array" ref="V225">SUM(ABS(G225:U225))</f>
        <v>418.4</v>
      </c>
      <c r="W225" s="11" cm="1">
        <f t="array" ref="W225">SUM(ABS(B225:E225))+SUM(ABS(G225:U225))</f>
        <v>1022.81</v>
      </c>
    </row>
    <row r="226" spans="1:23" x14ac:dyDescent="0.3">
      <c r="A226" s="14">
        <v>45843.291666666664</v>
      </c>
      <c r="B226" s="1">
        <v>-374.2</v>
      </c>
      <c r="C226" s="1">
        <v>36.49</v>
      </c>
      <c r="D226" s="1">
        <v>12</v>
      </c>
      <c r="E226" s="1">
        <v>12.82</v>
      </c>
      <c r="F226" s="1" cm="1">
        <f t="array" ref="F226">SUM(ABS(B226:E226))</f>
        <v>435.51</v>
      </c>
      <c r="G226" s="1">
        <v>30.11</v>
      </c>
      <c r="H226" s="1">
        <v>273.05</v>
      </c>
      <c r="I226" s="1">
        <v>-54.88</v>
      </c>
      <c r="J226" s="1">
        <v>0</v>
      </c>
      <c r="K226" s="1">
        <v>0</v>
      </c>
      <c r="L226" s="1">
        <v>0</v>
      </c>
      <c r="M226" s="1">
        <v>0</v>
      </c>
      <c r="N226" s="1">
        <v>-30.86</v>
      </c>
      <c r="O226" s="1">
        <v>10.16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 cm="1">
        <f t="array" ref="V226">SUM(ABS(G226:U226))</f>
        <v>399.06000000000006</v>
      </c>
      <c r="W226" s="11" cm="1">
        <f t="array" ref="W226">SUM(ABS(B226:E226))+SUM(ABS(G226:U226))</f>
        <v>834.57</v>
      </c>
    </row>
    <row r="227" spans="1:23" x14ac:dyDescent="0.3">
      <c r="A227" s="14">
        <v>45843.302083333336</v>
      </c>
      <c r="B227" s="1">
        <v>-309.45</v>
      </c>
      <c r="C227" s="1">
        <v>36.51</v>
      </c>
      <c r="D227" s="1">
        <v>12</v>
      </c>
      <c r="E227" s="1">
        <v>12.9</v>
      </c>
      <c r="F227" s="1" cm="1">
        <f t="array" ref="F227">SUM(ABS(B227:E227))</f>
        <v>370.85999999999996</v>
      </c>
      <c r="G227" s="1">
        <v>30.1</v>
      </c>
      <c r="H227" s="1">
        <v>273.10000000000002</v>
      </c>
      <c r="I227" s="1">
        <v>-54.97</v>
      </c>
      <c r="J227" s="1">
        <v>0</v>
      </c>
      <c r="K227" s="1">
        <v>0</v>
      </c>
      <c r="L227" s="1">
        <v>0</v>
      </c>
      <c r="M227" s="1">
        <v>0</v>
      </c>
      <c r="N227" s="1">
        <v>-30.86</v>
      </c>
      <c r="O227" s="1">
        <v>10.15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 cm="1">
        <f t="array" ref="V227">SUM(ABS(G227:U227))</f>
        <v>399.18000000000006</v>
      </c>
      <c r="W227" s="11" cm="1">
        <f t="array" ref="W227">SUM(ABS(B227:E227))+SUM(ABS(G227:U227))</f>
        <v>770.04</v>
      </c>
    </row>
    <row r="228" spans="1:23" x14ac:dyDescent="0.3">
      <c r="A228" s="14">
        <v>45843.3125</v>
      </c>
      <c r="B228" s="1">
        <v>-251.7</v>
      </c>
      <c r="C228" s="1">
        <v>36.520000000000003</v>
      </c>
      <c r="D228" s="1">
        <v>12</v>
      </c>
      <c r="E228" s="1">
        <v>12.89</v>
      </c>
      <c r="F228" s="1" cm="1">
        <f t="array" ref="F228">SUM(ABS(B228:E228))</f>
        <v>313.10999999999996</v>
      </c>
      <c r="G228" s="1">
        <v>30.11</v>
      </c>
      <c r="H228" s="1">
        <v>273.2</v>
      </c>
      <c r="I228" s="1">
        <v>-55.01</v>
      </c>
      <c r="J228" s="1">
        <v>0</v>
      </c>
      <c r="K228" s="1">
        <v>0</v>
      </c>
      <c r="L228" s="1">
        <v>0</v>
      </c>
      <c r="M228" s="1">
        <v>0</v>
      </c>
      <c r="N228" s="1">
        <v>-30.88</v>
      </c>
      <c r="O228" s="1">
        <v>10.15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 cm="1">
        <f t="array" ref="V228">SUM(ABS(G228:U228))</f>
        <v>399.34999999999997</v>
      </c>
      <c r="W228" s="11" cm="1">
        <f t="array" ref="W228">SUM(ABS(B228:E228))+SUM(ABS(G228:U228))</f>
        <v>712.45999999999992</v>
      </c>
    </row>
    <row r="229" spans="1:23" x14ac:dyDescent="0.3">
      <c r="A229" s="14">
        <v>45843.322916666664</v>
      </c>
      <c r="B229" s="1">
        <v>-161.25</v>
      </c>
      <c r="C229" s="1">
        <v>36.520000000000003</v>
      </c>
      <c r="D229" s="1">
        <v>12</v>
      </c>
      <c r="E229" s="1">
        <v>12.9</v>
      </c>
      <c r="F229" s="1" cm="1">
        <f t="array" ref="F229">SUM(ABS(B229:E229))</f>
        <v>222.67000000000002</v>
      </c>
      <c r="G229" s="1">
        <v>30.11</v>
      </c>
      <c r="H229" s="1">
        <v>273.2</v>
      </c>
      <c r="I229" s="1">
        <v>-55</v>
      </c>
      <c r="J229" s="1">
        <v>0</v>
      </c>
      <c r="K229" s="1">
        <v>0</v>
      </c>
      <c r="L229" s="1">
        <v>0</v>
      </c>
      <c r="M229" s="1">
        <v>0</v>
      </c>
      <c r="N229" s="1">
        <v>-30.87</v>
      </c>
      <c r="O229" s="1">
        <v>10.15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 cm="1">
        <f t="array" ref="V229">SUM(ABS(G229:U229))</f>
        <v>399.33</v>
      </c>
      <c r="W229" s="11" cm="1">
        <f t="array" ref="W229">SUM(ABS(B229:E229))+SUM(ABS(G229:U229))</f>
        <v>622</v>
      </c>
    </row>
    <row r="230" spans="1:23" x14ac:dyDescent="0.3">
      <c r="A230" s="14">
        <v>45843.333333333336</v>
      </c>
      <c r="B230" s="1">
        <v>-138.74</v>
      </c>
      <c r="C230" s="1">
        <v>36.53</v>
      </c>
      <c r="D230" s="1">
        <v>12</v>
      </c>
      <c r="E230" s="1">
        <v>12.92</v>
      </c>
      <c r="F230" s="1" cm="1">
        <f t="array" ref="F230">SUM(ABS(B230:E230))</f>
        <v>200.19</v>
      </c>
      <c r="G230" s="1">
        <v>30.12</v>
      </c>
      <c r="H230" s="1">
        <v>273.01</v>
      </c>
      <c r="I230" s="1">
        <v>-54.97</v>
      </c>
      <c r="J230" s="1">
        <v>0</v>
      </c>
      <c r="K230" s="1">
        <v>0</v>
      </c>
      <c r="L230" s="1">
        <v>0</v>
      </c>
      <c r="M230" s="1">
        <v>0</v>
      </c>
      <c r="N230" s="1">
        <v>-30.87</v>
      </c>
      <c r="O230" s="1">
        <v>10.15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 cm="1">
        <f t="array" ref="V230">SUM(ABS(G230:U230))</f>
        <v>399.12</v>
      </c>
      <c r="W230" s="11" cm="1">
        <f t="array" ref="W230">SUM(ABS(B230:E230))+SUM(ABS(G230:U230))</f>
        <v>599.30999999999995</v>
      </c>
    </row>
    <row r="231" spans="1:23" x14ac:dyDescent="0.3">
      <c r="A231" s="14">
        <v>45843.34375</v>
      </c>
      <c r="B231" s="1">
        <v>-120.78</v>
      </c>
      <c r="C231" s="1">
        <v>36.54</v>
      </c>
      <c r="D231" s="1">
        <v>12</v>
      </c>
      <c r="E231" s="1">
        <v>12.84</v>
      </c>
      <c r="F231" s="1" cm="1">
        <f t="array" ref="F231">SUM(ABS(B231:E231))</f>
        <v>182.16</v>
      </c>
      <c r="G231" s="1">
        <v>30.12</v>
      </c>
      <c r="H231" s="1">
        <v>232.29</v>
      </c>
      <c r="I231" s="1">
        <v>-35.57</v>
      </c>
      <c r="J231" s="1">
        <v>0</v>
      </c>
      <c r="K231" s="1">
        <v>0</v>
      </c>
      <c r="L231" s="1">
        <v>0</v>
      </c>
      <c r="M231" s="1">
        <v>0</v>
      </c>
      <c r="N231" s="1">
        <v>-30.87</v>
      </c>
      <c r="O231" s="1">
        <v>10.15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 cm="1">
        <f t="array" ref="V231">SUM(ABS(G231:U231))</f>
        <v>338.99999999999994</v>
      </c>
      <c r="W231" s="11" cm="1">
        <f t="array" ref="W231">SUM(ABS(B231:E231))+SUM(ABS(G231:U231))</f>
        <v>521.16</v>
      </c>
    </row>
    <row r="232" spans="1:23" x14ac:dyDescent="0.3">
      <c r="A232" s="14">
        <v>45843.354166666664</v>
      </c>
      <c r="B232" s="1">
        <v>-109.58</v>
      </c>
      <c r="C232" s="1">
        <v>36.49</v>
      </c>
      <c r="D232" s="1">
        <v>12</v>
      </c>
      <c r="E232" s="1">
        <v>12.83</v>
      </c>
      <c r="F232" s="1" cm="1">
        <f t="array" ref="F232">SUM(ABS(B232:E232))</f>
        <v>170.9</v>
      </c>
      <c r="G232" s="1">
        <v>30.11</v>
      </c>
      <c r="H232" s="1">
        <v>214.68</v>
      </c>
      <c r="I232" s="1">
        <v>-20.27</v>
      </c>
      <c r="J232" s="1">
        <v>0</v>
      </c>
      <c r="K232" s="1">
        <v>0</v>
      </c>
      <c r="L232" s="1">
        <v>0</v>
      </c>
      <c r="M232" s="1">
        <v>0</v>
      </c>
      <c r="N232" s="1">
        <v>-19.75</v>
      </c>
      <c r="O232" s="1">
        <v>6.94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 cm="1">
        <f t="array" ref="V232">SUM(ABS(G232:U232))</f>
        <v>291.75</v>
      </c>
      <c r="W232" s="11" cm="1">
        <f t="array" ref="W232">SUM(ABS(B232:E232))+SUM(ABS(G232:U232))</f>
        <v>462.65</v>
      </c>
    </row>
    <row r="233" spans="1:23" x14ac:dyDescent="0.3">
      <c r="A233" s="14">
        <v>45843.364583333336</v>
      </c>
      <c r="B233" s="1">
        <v>-101.23</v>
      </c>
      <c r="C233" s="1">
        <v>36.450000000000003</v>
      </c>
      <c r="D233" s="1">
        <v>12</v>
      </c>
      <c r="E233" s="1">
        <v>9.2799999999999994</v>
      </c>
      <c r="F233" s="1" cm="1">
        <f t="array" ref="F233">SUM(ABS(B233:E233))</f>
        <v>158.96</v>
      </c>
      <c r="G233" s="1">
        <v>30.12</v>
      </c>
      <c r="H233" s="1">
        <v>213.98</v>
      </c>
      <c r="I233" s="1">
        <v>-20.22</v>
      </c>
      <c r="J233" s="1">
        <v>0</v>
      </c>
      <c r="K233" s="1">
        <v>0</v>
      </c>
      <c r="L233" s="1">
        <v>0</v>
      </c>
      <c r="M233" s="1">
        <v>0</v>
      </c>
      <c r="N233" s="1">
        <v>-15.64</v>
      </c>
      <c r="O233" s="1">
        <v>5.48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 cm="1">
        <f t="array" ref="V233">SUM(ABS(G233:U233))</f>
        <v>285.44</v>
      </c>
      <c r="W233" s="11" cm="1">
        <f t="array" ref="W233">SUM(ABS(B233:E233))+SUM(ABS(G233:U233))</f>
        <v>444.4</v>
      </c>
    </row>
    <row r="234" spans="1:23" x14ac:dyDescent="0.3">
      <c r="A234" s="14">
        <v>45843.375</v>
      </c>
      <c r="B234" s="1">
        <v>-270.89</v>
      </c>
      <c r="C234" s="1">
        <v>36.44</v>
      </c>
      <c r="D234" s="1">
        <v>12</v>
      </c>
      <c r="E234" s="1">
        <v>6.32</v>
      </c>
      <c r="F234" s="1" cm="1">
        <f t="array" ref="F234">SUM(ABS(B234:E234))</f>
        <v>325.64999999999998</v>
      </c>
      <c r="G234" s="1">
        <v>26.3</v>
      </c>
      <c r="H234" s="1">
        <v>262.14</v>
      </c>
      <c r="I234" s="1">
        <v>-20.29</v>
      </c>
      <c r="J234" s="1">
        <v>0</v>
      </c>
      <c r="K234" s="1">
        <v>0</v>
      </c>
      <c r="L234" s="1">
        <v>0</v>
      </c>
      <c r="M234" s="1">
        <v>0</v>
      </c>
      <c r="N234" s="1">
        <v>-15.66</v>
      </c>
      <c r="O234" s="1">
        <v>5.48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 cm="1">
        <f t="array" ref="V234">SUM(ABS(G234:U234))</f>
        <v>329.87000000000006</v>
      </c>
      <c r="W234" s="11" cm="1">
        <f t="array" ref="W234">SUM(ABS(B234:E234))+SUM(ABS(G234:U234))</f>
        <v>655.52</v>
      </c>
    </row>
    <row r="235" spans="1:23" x14ac:dyDescent="0.3">
      <c r="A235" s="14">
        <v>45843.385416666664</v>
      </c>
      <c r="B235" s="1">
        <v>-379.27</v>
      </c>
      <c r="C235" s="1">
        <v>36.450000000000003</v>
      </c>
      <c r="D235" s="1">
        <v>12</v>
      </c>
      <c r="E235" s="1">
        <v>6.33</v>
      </c>
      <c r="F235" s="1" cm="1">
        <f t="array" ref="F235">SUM(ABS(B235:E235))</f>
        <v>434.04999999999995</v>
      </c>
      <c r="G235" s="1">
        <v>20.059999999999999</v>
      </c>
      <c r="H235" s="1">
        <v>232.26</v>
      </c>
      <c r="I235" s="1">
        <v>-20.260000000000002</v>
      </c>
      <c r="J235" s="1">
        <v>0</v>
      </c>
      <c r="K235" s="1">
        <v>0</v>
      </c>
      <c r="L235" s="1">
        <v>0</v>
      </c>
      <c r="M235" s="1">
        <v>0</v>
      </c>
      <c r="N235" s="1">
        <v>-15.67</v>
      </c>
      <c r="O235" s="1">
        <v>5.48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 cm="1">
        <f t="array" ref="V235">SUM(ABS(G235:U235))</f>
        <v>293.73</v>
      </c>
      <c r="W235" s="11" cm="1">
        <f t="array" ref="W235">SUM(ABS(B235:E235))+SUM(ABS(G235:U235))</f>
        <v>727.78</v>
      </c>
    </row>
    <row r="236" spans="1:23" x14ac:dyDescent="0.3">
      <c r="A236" s="14">
        <v>45843.395833333336</v>
      </c>
      <c r="B236" s="1">
        <v>-355.34</v>
      </c>
      <c r="C236" s="1">
        <v>36.42</v>
      </c>
      <c r="D236" s="1">
        <v>12</v>
      </c>
      <c r="E236" s="1">
        <v>6.34</v>
      </c>
      <c r="F236" s="1" cm="1">
        <f t="array" ref="F236">SUM(ABS(B236:E236))</f>
        <v>410.09999999999997</v>
      </c>
      <c r="G236" s="1">
        <v>20.07</v>
      </c>
      <c r="H236" s="1">
        <v>215.88</v>
      </c>
      <c r="I236" s="1">
        <v>-20.260000000000002</v>
      </c>
      <c r="J236" s="1">
        <v>0</v>
      </c>
      <c r="K236" s="1">
        <v>0</v>
      </c>
      <c r="L236" s="1">
        <v>0</v>
      </c>
      <c r="M236" s="1">
        <v>0</v>
      </c>
      <c r="N236" s="1">
        <v>-15.66</v>
      </c>
      <c r="O236" s="1">
        <v>5.48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 cm="1">
        <f t="array" ref="V236">SUM(ABS(G236:U236))</f>
        <v>277.35000000000002</v>
      </c>
      <c r="W236" s="11" cm="1">
        <f t="array" ref="W236">SUM(ABS(B236:E236))+SUM(ABS(G236:U236))</f>
        <v>687.45</v>
      </c>
    </row>
    <row r="237" spans="1:23" x14ac:dyDescent="0.3">
      <c r="A237" s="14">
        <v>45843.40625</v>
      </c>
      <c r="B237" s="1">
        <v>-341.11</v>
      </c>
      <c r="C237" s="1">
        <v>36.380000000000003</v>
      </c>
      <c r="D237" s="1">
        <v>12</v>
      </c>
      <c r="E237" s="1">
        <v>6.34</v>
      </c>
      <c r="F237" s="1" cm="1">
        <f t="array" ref="F237">SUM(ABS(B237:E237))</f>
        <v>395.83</v>
      </c>
      <c r="G237" s="1">
        <v>20.059999999999999</v>
      </c>
      <c r="H237" s="1">
        <v>215.19</v>
      </c>
      <c r="I237" s="1">
        <v>-20.25</v>
      </c>
      <c r="J237" s="1">
        <v>0</v>
      </c>
      <c r="K237" s="1">
        <v>0</v>
      </c>
      <c r="L237" s="1">
        <v>0</v>
      </c>
      <c r="M237" s="1">
        <v>0</v>
      </c>
      <c r="N237" s="1">
        <v>-15.54</v>
      </c>
      <c r="O237" s="1">
        <v>5.48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 cm="1">
        <f t="array" ref="V237">SUM(ABS(G237:U237))</f>
        <v>276.52000000000004</v>
      </c>
      <c r="W237" s="11" cm="1">
        <f t="array" ref="W237">SUM(ABS(B237:E237))+SUM(ABS(G237:U237))</f>
        <v>672.35</v>
      </c>
    </row>
    <row r="238" spans="1:23" x14ac:dyDescent="0.3">
      <c r="A238" s="14">
        <v>45843.416666666664</v>
      </c>
      <c r="B238" s="1">
        <v>-335.67</v>
      </c>
      <c r="C238" s="1">
        <v>36.39</v>
      </c>
      <c r="D238" s="1">
        <v>12</v>
      </c>
      <c r="E238" s="1">
        <v>6.33</v>
      </c>
      <c r="F238" s="1" cm="1">
        <f t="array" ref="F238">SUM(ABS(B238:E238))</f>
        <v>390.39</v>
      </c>
      <c r="G238" s="1">
        <v>20.07</v>
      </c>
      <c r="H238" s="1">
        <v>214.78</v>
      </c>
      <c r="I238" s="1">
        <v>-20.23</v>
      </c>
      <c r="J238" s="1">
        <v>0</v>
      </c>
      <c r="K238" s="1">
        <v>0</v>
      </c>
      <c r="L238" s="1">
        <v>0</v>
      </c>
      <c r="M238" s="1">
        <v>0</v>
      </c>
      <c r="N238" s="1">
        <v>-5.44</v>
      </c>
      <c r="O238" s="1">
        <v>5.48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 cm="1">
        <f t="array" ref="V238">SUM(ABS(G238:U238))</f>
        <v>266</v>
      </c>
      <c r="W238" s="11" cm="1">
        <f t="array" ref="W238">SUM(ABS(B238:E238))+SUM(ABS(G238:U238))</f>
        <v>656.39</v>
      </c>
    </row>
    <row r="239" spans="1:23" x14ac:dyDescent="0.3">
      <c r="A239" s="14">
        <v>45843.427083333336</v>
      </c>
      <c r="B239" s="1">
        <v>-331.78</v>
      </c>
      <c r="C239" s="1">
        <v>36.340000000000003</v>
      </c>
      <c r="D239" s="1">
        <v>12</v>
      </c>
      <c r="E239" s="1">
        <v>6.37</v>
      </c>
      <c r="F239" s="1" cm="1">
        <f t="array" ref="F239">SUM(ABS(B239:E239))</f>
        <v>386.49</v>
      </c>
      <c r="G239" s="1">
        <v>20.059999999999999</v>
      </c>
      <c r="H239" s="1">
        <v>222.07</v>
      </c>
      <c r="I239" s="1">
        <v>-20.239999999999998</v>
      </c>
      <c r="J239" s="1">
        <v>0</v>
      </c>
      <c r="K239" s="1">
        <v>0</v>
      </c>
      <c r="L239" s="1">
        <v>0</v>
      </c>
      <c r="M239" s="1">
        <v>0</v>
      </c>
      <c r="N239" s="1">
        <v>0.14000000000000001</v>
      </c>
      <c r="O239" s="1">
        <v>5.47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 cm="1">
        <f t="array" ref="V239">SUM(ABS(G239:U239))</f>
        <v>267.98</v>
      </c>
      <c r="W239" s="11" cm="1">
        <f t="array" ref="W239">SUM(ABS(B239:E239))+SUM(ABS(G239:U239))</f>
        <v>654.47</v>
      </c>
    </row>
    <row r="240" spans="1:23" x14ac:dyDescent="0.3">
      <c r="A240" s="14">
        <v>45843.4375</v>
      </c>
      <c r="B240" s="1">
        <v>-304.7</v>
      </c>
      <c r="C240" s="1">
        <v>36.33</v>
      </c>
      <c r="D240" s="1">
        <v>12</v>
      </c>
      <c r="E240" s="1">
        <v>6.37</v>
      </c>
      <c r="F240" s="1" cm="1">
        <f t="array" ref="F240">SUM(ABS(B240:E240))</f>
        <v>359.4</v>
      </c>
      <c r="G240" s="1">
        <v>20.07</v>
      </c>
      <c r="H240" s="1">
        <v>273.52999999999997</v>
      </c>
      <c r="I240" s="1">
        <v>-20.25</v>
      </c>
      <c r="J240" s="1">
        <v>0</v>
      </c>
      <c r="K240" s="1">
        <v>0</v>
      </c>
      <c r="L240" s="1">
        <v>0</v>
      </c>
      <c r="M240" s="1">
        <v>0</v>
      </c>
      <c r="N240" s="1">
        <v>0.12</v>
      </c>
      <c r="O240" s="1">
        <v>5.48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 cm="1">
        <f t="array" ref="V240">SUM(ABS(G240:U240))</f>
        <v>319.45</v>
      </c>
      <c r="W240" s="11" cm="1">
        <f t="array" ref="W240">SUM(ABS(B240:E240))+SUM(ABS(G240:U240))</f>
        <v>678.84999999999991</v>
      </c>
    </row>
    <row r="241" spans="1:23" x14ac:dyDescent="0.3">
      <c r="A241" s="14">
        <v>45843.447916666664</v>
      </c>
      <c r="B241" s="1">
        <v>-293.7</v>
      </c>
      <c r="C241" s="1">
        <v>36.32</v>
      </c>
      <c r="D241" s="1">
        <v>12</v>
      </c>
      <c r="E241" s="1">
        <v>6.38</v>
      </c>
      <c r="F241" s="1" cm="1">
        <f t="array" ref="F241">SUM(ABS(B241:E241))</f>
        <v>348.4</v>
      </c>
      <c r="G241" s="1">
        <v>20.059999999999999</v>
      </c>
      <c r="H241" s="1">
        <v>273.85000000000002</v>
      </c>
      <c r="I241" s="1">
        <v>-20.23</v>
      </c>
      <c r="J241" s="1">
        <v>0</v>
      </c>
      <c r="K241" s="1">
        <v>0</v>
      </c>
      <c r="L241" s="1">
        <v>0</v>
      </c>
      <c r="M241" s="1">
        <v>0</v>
      </c>
      <c r="N241" s="1">
        <v>0.12</v>
      </c>
      <c r="O241" s="1">
        <v>5.47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 cm="1">
        <f t="array" ref="V241">SUM(ABS(G241:U241))</f>
        <v>319.73000000000008</v>
      </c>
      <c r="W241" s="11" cm="1">
        <f t="array" ref="W241">SUM(ABS(B241:E241))+SUM(ABS(G241:U241))</f>
        <v>668.13000000000011</v>
      </c>
    </row>
    <row r="242" spans="1:23" x14ac:dyDescent="0.3">
      <c r="A242" s="14">
        <v>45843.458333333336</v>
      </c>
      <c r="B242" s="1">
        <v>-245.38</v>
      </c>
      <c r="C242" s="1">
        <v>36.33</v>
      </c>
      <c r="D242" s="1">
        <v>12</v>
      </c>
      <c r="E242" s="1">
        <v>6.38</v>
      </c>
      <c r="F242" s="1" cm="1">
        <f t="array" ref="F242">SUM(ABS(B242:E242))</f>
        <v>300.08999999999997</v>
      </c>
      <c r="G242" s="1">
        <v>20.059999999999999</v>
      </c>
      <c r="H242" s="1">
        <v>272</v>
      </c>
      <c r="I242" s="1">
        <v>-20.23</v>
      </c>
      <c r="J242" s="1">
        <v>0</v>
      </c>
      <c r="K242" s="1">
        <v>0</v>
      </c>
      <c r="L242" s="1">
        <v>0</v>
      </c>
      <c r="M242" s="1">
        <v>0</v>
      </c>
      <c r="N242" s="1">
        <v>0.12</v>
      </c>
      <c r="O242" s="1">
        <v>5.48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 cm="1">
        <f t="array" ref="V242">SUM(ABS(G242:U242))</f>
        <v>317.89000000000004</v>
      </c>
      <c r="W242" s="11" cm="1">
        <f t="array" ref="W242">SUM(ABS(B242:E242))+SUM(ABS(G242:U242))</f>
        <v>617.98</v>
      </c>
    </row>
    <row r="243" spans="1:23" x14ac:dyDescent="0.3">
      <c r="A243" s="14">
        <v>45843.46875</v>
      </c>
      <c r="B243" s="1">
        <v>-230.33</v>
      </c>
      <c r="C243" s="1">
        <v>36.35</v>
      </c>
      <c r="D243" s="1">
        <v>12</v>
      </c>
      <c r="E243" s="1">
        <v>6.38</v>
      </c>
      <c r="F243" s="1" cm="1">
        <f t="array" ref="F243">SUM(ABS(B243:E243))</f>
        <v>285.06</v>
      </c>
      <c r="G243" s="1">
        <v>20.059999999999999</v>
      </c>
      <c r="H243" s="1">
        <v>274.05</v>
      </c>
      <c r="I243" s="1">
        <v>-20.23</v>
      </c>
      <c r="J243" s="1">
        <v>0</v>
      </c>
      <c r="K243" s="1">
        <v>0</v>
      </c>
      <c r="L243" s="1">
        <v>0</v>
      </c>
      <c r="M243" s="1">
        <v>0</v>
      </c>
      <c r="N243" s="1">
        <v>0.13</v>
      </c>
      <c r="O243" s="1">
        <v>5.47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 cm="1">
        <f t="array" ref="V243">SUM(ABS(G243:U243))</f>
        <v>319.94000000000005</v>
      </c>
      <c r="W243" s="11" cm="1">
        <f t="array" ref="W243">SUM(ABS(B243:E243))+SUM(ABS(G243:U243))</f>
        <v>605</v>
      </c>
    </row>
    <row r="244" spans="1:23" x14ac:dyDescent="0.3">
      <c r="A244" s="14">
        <v>45843.479166666664</v>
      </c>
      <c r="B244" s="1">
        <v>-229.79</v>
      </c>
      <c r="C244" s="1">
        <v>36.340000000000003</v>
      </c>
      <c r="D244" s="1">
        <v>12</v>
      </c>
      <c r="E244" s="1">
        <v>6.41</v>
      </c>
      <c r="F244" s="1" cm="1">
        <f t="array" ref="F244">SUM(ABS(B244:E244))</f>
        <v>284.54000000000002</v>
      </c>
      <c r="G244" s="1">
        <v>20.07</v>
      </c>
      <c r="H244" s="1">
        <v>273.39</v>
      </c>
      <c r="I244" s="1">
        <v>-20.239999999999998</v>
      </c>
      <c r="J244" s="1">
        <v>0</v>
      </c>
      <c r="K244" s="1">
        <v>0</v>
      </c>
      <c r="L244" s="1">
        <v>0</v>
      </c>
      <c r="M244" s="1">
        <v>0</v>
      </c>
      <c r="N244" s="1">
        <v>0.14000000000000001</v>
      </c>
      <c r="O244" s="1">
        <v>5.47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 cm="1">
        <f t="array" ref="V244">SUM(ABS(G244:U244))</f>
        <v>319.31</v>
      </c>
      <c r="W244" s="11" cm="1">
        <f t="array" ref="W244">SUM(ABS(B244:E244))+SUM(ABS(G244:U244))</f>
        <v>603.85</v>
      </c>
    </row>
    <row r="245" spans="1:23" x14ac:dyDescent="0.3">
      <c r="A245" s="14">
        <v>45843.489583333336</v>
      </c>
      <c r="B245" s="1">
        <v>-229.79</v>
      </c>
      <c r="C245" s="1">
        <v>36.35</v>
      </c>
      <c r="D245" s="1">
        <v>12</v>
      </c>
      <c r="E245" s="1">
        <v>6.41</v>
      </c>
      <c r="F245" s="1" cm="1">
        <f t="array" ref="F245">SUM(ABS(B245:E245))</f>
        <v>284.55</v>
      </c>
      <c r="G245" s="1">
        <v>20.05</v>
      </c>
      <c r="H245" s="1">
        <v>273.23</v>
      </c>
      <c r="I245" s="1">
        <v>-20.25</v>
      </c>
      <c r="J245" s="1">
        <v>0</v>
      </c>
      <c r="K245" s="1">
        <v>0</v>
      </c>
      <c r="L245" s="1">
        <v>0</v>
      </c>
      <c r="M245" s="1">
        <v>0</v>
      </c>
      <c r="N245" s="1">
        <v>0.14000000000000001</v>
      </c>
      <c r="O245" s="1">
        <v>5.47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 cm="1">
        <f t="array" ref="V245">SUM(ABS(G245:U245))</f>
        <v>319.14000000000004</v>
      </c>
      <c r="W245" s="11" cm="1">
        <f t="array" ref="W245">SUM(ABS(B245:E245))+SUM(ABS(G245:U245))</f>
        <v>603.69000000000005</v>
      </c>
    </row>
    <row r="246" spans="1:23" x14ac:dyDescent="0.3">
      <c r="A246" s="14">
        <v>45843.5</v>
      </c>
      <c r="B246" s="1">
        <v>-163.62</v>
      </c>
      <c r="C246" s="1">
        <v>36.35</v>
      </c>
      <c r="D246" s="1">
        <v>12</v>
      </c>
      <c r="E246" s="1">
        <v>6.4</v>
      </c>
      <c r="F246" s="1" cm="1">
        <f t="array" ref="F246">SUM(ABS(B246:E246))</f>
        <v>218.37</v>
      </c>
      <c r="G246" s="1">
        <v>20.059999999999999</v>
      </c>
      <c r="H246" s="1">
        <v>269.48</v>
      </c>
      <c r="I246" s="1">
        <v>-20.21</v>
      </c>
      <c r="J246" s="1">
        <v>0</v>
      </c>
      <c r="K246" s="1">
        <v>0</v>
      </c>
      <c r="L246" s="1">
        <v>0</v>
      </c>
      <c r="M246" s="1">
        <v>0</v>
      </c>
      <c r="N246" s="1">
        <v>0.15</v>
      </c>
      <c r="O246" s="1">
        <v>5.47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 cm="1">
        <f t="array" ref="V246">SUM(ABS(G246:U246))</f>
        <v>315.37</v>
      </c>
      <c r="W246" s="11" cm="1">
        <f t="array" ref="W246">SUM(ABS(B246:E246))+SUM(ABS(G246:U246))</f>
        <v>533.74</v>
      </c>
    </row>
    <row r="247" spans="1:23" x14ac:dyDescent="0.3">
      <c r="A247" s="14">
        <v>45843.510416666664</v>
      </c>
      <c r="B247" s="1">
        <v>-117.72</v>
      </c>
      <c r="C247" s="1">
        <v>36.369999999999997</v>
      </c>
      <c r="D247" s="1">
        <v>12</v>
      </c>
      <c r="E247" s="1">
        <v>6.4</v>
      </c>
      <c r="F247" s="1" cm="1">
        <f t="array" ref="F247">SUM(ABS(B247:E247))</f>
        <v>172.49</v>
      </c>
      <c r="G247" s="1">
        <v>20.059999999999999</v>
      </c>
      <c r="H247" s="1">
        <v>272.8</v>
      </c>
      <c r="I247" s="1">
        <v>-20.23</v>
      </c>
      <c r="J247" s="1">
        <v>0</v>
      </c>
      <c r="K247" s="1">
        <v>0</v>
      </c>
      <c r="L247" s="1">
        <v>0</v>
      </c>
      <c r="M247" s="1">
        <v>0</v>
      </c>
      <c r="N247" s="1">
        <v>0.15</v>
      </c>
      <c r="O247" s="1">
        <v>5.47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 cm="1">
        <f t="array" ref="V247">SUM(ABS(G247:U247))</f>
        <v>318.71000000000004</v>
      </c>
      <c r="W247" s="11" cm="1">
        <f t="array" ref="W247">SUM(ABS(B247:E247))+SUM(ABS(G247:U247))</f>
        <v>491.20000000000005</v>
      </c>
    </row>
    <row r="248" spans="1:23" x14ac:dyDescent="0.3">
      <c r="A248" s="14">
        <v>45843.520833333336</v>
      </c>
      <c r="B248" s="1">
        <v>-163.54</v>
      </c>
      <c r="C248" s="1">
        <v>36.43</v>
      </c>
      <c r="D248" s="1">
        <v>12.52</v>
      </c>
      <c r="E248" s="1">
        <v>6.42</v>
      </c>
      <c r="F248" s="1" cm="1">
        <f t="array" ref="F248">SUM(ABS(B248:E248))</f>
        <v>218.91</v>
      </c>
      <c r="G248" s="1">
        <v>20.059999999999999</v>
      </c>
      <c r="H248" s="1">
        <v>273.17</v>
      </c>
      <c r="I248" s="1">
        <v>-20.260000000000002</v>
      </c>
      <c r="J248" s="1">
        <v>0</v>
      </c>
      <c r="K248" s="1">
        <v>0</v>
      </c>
      <c r="L248" s="1">
        <v>0</v>
      </c>
      <c r="M248" s="1">
        <v>0</v>
      </c>
      <c r="N248" s="1">
        <v>0.15</v>
      </c>
      <c r="O248" s="1">
        <v>5.47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 cm="1">
        <f t="array" ref="V248">SUM(ABS(G248:U248))</f>
        <v>319.11</v>
      </c>
      <c r="W248" s="11" cm="1">
        <f t="array" ref="W248">SUM(ABS(B248:E248))+SUM(ABS(G248:U248))</f>
        <v>538.02</v>
      </c>
    </row>
    <row r="249" spans="1:23" x14ac:dyDescent="0.3">
      <c r="A249" s="14">
        <v>45843.53125</v>
      </c>
      <c r="B249" s="1">
        <v>-165.52</v>
      </c>
      <c r="C249" s="1">
        <v>36.42</v>
      </c>
      <c r="D249" s="1">
        <v>15.24</v>
      </c>
      <c r="E249" s="1">
        <v>6.32</v>
      </c>
      <c r="F249" s="1" cm="1">
        <f t="array" ref="F249">SUM(ABS(B249:E249))</f>
        <v>223.5</v>
      </c>
      <c r="G249" s="1">
        <v>20.059999999999999</v>
      </c>
      <c r="H249" s="1">
        <v>273.62</v>
      </c>
      <c r="I249" s="1">
        <v>-20.239999999999998</v>
      </c>
      <c r="J249" s="1">
        <v>0</v>
      </c>
      <c r="K249" s="1">
        <v>0</v>
      </c>
      <c r="L249" s="1">
        <v>0</v>
      </c>
      <c r="M249" s="1">
        <v>0</v>
      </c>
      <c r="N249" s="1">
        <v>0.14000000000000001</v>
      </c>
      <c r="O249" s="1">
        <v>5.47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 cm="1">
        <f t="array" ref="V249">SUM(ABS(G249:U249))</f>
        <v>319.53000000000003</v>
      </c>
      <c r="W249" s="11" cm="1">
        <f t="array" ref="W249">SUM(ABS(B249:E249))+SUM(ABS(G249:U249))</f>
        <v>543.03</v>
      </c>
    </row>
    <row r="250" spans="1:23" x14ac:dyDescent="0.3">
      <c r="A250" s="14">
        <v>45843.541666666664</v>
      </c>
      <c r="B250" s="1">
        <v>-179.46</v>
      </c>
      <c r="C250" s="1">
        <v>36.35</v>
      </c>
      <c r="D250" s="1">
        <v>12</v>
      </c>
      <c r="E250" s="1">
        <v>6.32</v>
      </c>
      <c r="F250" s="1" cm="1">
        <f t="array" ref="F250">SUM(ABS(B250:E250))</f>
        <v>234.13</v>
      </c>
      <c r="G250" s="1">
        <v>20.059999999999999</v>
      </c>
      <c r="H250" s="1">
        <v>266.05</v>
      </c>
      <c r="I250" s="1">
        <v>-20.16</v>
      </c>
      <c r="J250" s="1">
        <v>0</v>
      </c>
      <c r="K250" s="1">
        <v>0</v>
      </c>
      <c r="L250" s="1">
        <v>0</v>
      </c>
      <c r="M250" s="1">
        <v>0</v>
      </c>
      <c r="N250" s="1">
        <v>0.14000000000000001</v>
      </c>
      <c r="O250" s="1">
        <v>5.47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 cm="1">
        <f t="array" ref="V250">SUM(ABS(G250:U250))</f>
        <v>311.88000000000005</v>
      </c>
      <c r="W250" s="11" cm="1">
        <f t="array" ref="W250">SUM(ABS(B250:E250))+SUM(ABS(G250:U250))</f>
        <v>546.01</v>
      </c>
    </row>
    <row r="251" spans="1:23" x14ac:dyDescent="0.3">
      <c r="A251" s="14">
        <v>45843.552083333336</v>
      </c>
      <c r="B251" s="1">
        <v>-259.87</v>
      </c>
      <c r="C251" s="1">
        <v>36.36</v>
      </c>
      <c r="D251" s="1">
        <v>12</v>
      </c>
      <c r="E251" s="1">
        <v>6.31</v>
      </c>
      <c r="F251" s="1" cm="1">
        <f t="array" ref="F251">SUM(ABS(B251:E251))</f>
        <v>314.54000000000002</v>
      </c>
      <c r="G251" s="1">
        <v>20.059999999999999</v>
      </c>
      <c r="H251" s="1">
        <v>271.83</v>
      </c>
      <c r="I251" s="1">
        <v>-20.18</v>
      </c>
      <c r="J251" s="1">
        <v>0</v>
      </c>
      <c r="K251" s="1">
        <v>0</v>
      </c>
      <c r="L251" s="1">
        <v>0</v>
      </c>
      <c r="M251" s="1">
        <v>0</v>
      </c>
      <c r="N251" s="1">
        <v>0.11</v>
      </c>
      <c r="O251" s="1">
        <v>5.47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 cm="1">
        <f t="array" ref="V251">SUM(ABS(G251:U251))</f>
        <v>317.65000000000003</v>
      </c>
      <c r="W251" s="11" cm="1">
        <f t="array" ref="W251">SUM(ABS(B251:E251))+SUM(ABS(G251:U251))</f>
        <v>632.19000000000005</v>
      </c>
    </row>
    <row r="252" spans="1:23" x14ac:dyDescent="0.3">
      <c r="A252" s="14">
        <v>45843.5625</v>
      </c>
      <c r="B252" s="1">
        <v>-268.56</v>
      </c>
      <c r="C252" s="1">
        <v>36.4</v>
      </c>
      <c r="D252" s="1">
        <v>12</v>
      </c>
      <c r="E252" s="1">
        <v>6.3</v>
      </c>
      <c r="F252" s="1" cm="1">
        <f t="array" ref="F252">SUM(ABS(B252:E252))</f>
        <v>323.26</v>
      </c>
      <c r="G252" s="1">
        <v>20.07</v>
      </c>
      <c r="H252" s="1">
        <v>273.58999999999997</v>
      </c>
      <c r="I252" s="1">
        <v>-20.2</v>
      </c>
      <c r="J252" s="1">
        <v>0</v>
      </c>
      <c r="K252" s="1">
        <v>0</v>
      </c>
      <c r="L252" s="1">
        <v>0</v>
      </c>
      <c r="M252" s="1">
        <v>0</v>
      </c>
      <c r="N252" s="1">
        <v>0.11</v>
      </c>
      <c r="O252" s="1">
        <v>5.47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 cm="1">
        <f t="array" ref="V252">SUM(ABS(G252:U252))</f>
        <v>319.44</v>
      </c>
      <c r="W252" s="11" cm="1">
        <f t="array" ref="W252">SUM(ABS(B252:E252))+SUM(ABS(G252:U252))</f>
        <v>642.70000000000005</v>
      </c>
    </row>
    <row r="253" spans="1:23" x14ac:dyDescent="0.3">
      <c r="A253" s="14">
        <v>45843.572916666664</v>
      </c>
      <c r="B253" s="1">
        <v>-291.76</v>
      </c>
      <c r="C253" s="1">
        <v>36.369999999999997</v>
      </c>
      <c r="D253" s="1">
        <v>12.01</v>
      </c>
      <c r="E253" s="1">
        <v>6.3</v>
      </c>
      <c r="F253" s="1" cm="1">
        <f t="array" ref="F253">SUM(ABS(B253:E253))</f>
        <v>346.44</v>
      </c>
      <c r="G253" s="1">
        <v>20.059999999999999</v>
      </c>
      <c r="H253" s="1">
        <v>274.01</v>
      </c>
      <c r="I253" s="1">
        <v>-20.2</v>
      </c>
      <c r="J253" s="1">
        <v>0</v>
      </c>
      <c r="K253" s="1">
        <v>0</v>
      </c>
      <c r="L253" s="1">
        <v>0</v>
      </c>
      <c r="M253" s="1">
        <v>0</v>
      </c>
      <c r="N253" s="1">
        <v>0.11</v>
      </c>
      <c r="O253" s="1">
        <v>5.47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 cm="1">
        <f t="array" ref="V253">SUM(ABS(G253:U253))</f>
        <v>319.85000000000002</v>
      </c>
      <c r="W253" s="11" cm="1">
        <f t="array" ref="W253">SUM(ABS(B253:E253))+SUM(ABS(G253:U253))</f>
        <v>666.29</v>
      </c>
    </row>
    <row r="254" spans="1:23" x14ac:dyDescent="0.3">
      <c r="A254" s="14">
        <v>45843.583333333336</v>
      </c>
      <c r="B254" s="1">
        <v>-417.55</v>
      </c>
      <c r="C254" s="1">
        <v>36.39</v>
      </c>
      <c r="D254" s="1">
        <v>12</v>
      </c>
      <c r="E254" s="1">
        <v>6.31</v>
      </c>
      <c r="F254" s="1" cm="1">
        <f t="array" ref="F254">SUM(ABS(B254:E254))</f>
        <v>472.25</v>
      </c>
      <c r="G254" s="1">
        <v>20.059999999999999</v>
      </c>
      <c r="H254" s="1">
        <v>273.79000000000002</v>
      </c>
      <c r="I254" s="1">
        <v>-20.22</v>
      </c>
      <c r="J254" s="1">
        <v>0</v>
      </c>
      <c r="K254" s="1">
        <v>0</v>
      </c>
      <c r="L254" s="1">
        <v>0</v>
      </c>
      <c r="M254" s="1">
        <v>0</v>
      </c>
      <c r="N254" s="1">
        <v>0.11</v>
      </c>
      <c r="O254" s="1">
        <v>5.47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 cm="1">
        <f t="array" ref="V254">SUM(ABS(G254:U254))</f>
        <v>319.65000000000009</v>
      </c>
      <c r="W254" s="11" cm="1">
        <f t="array" ref="W254">SUM(ABS(B254:E254))+SUM(ABS(G254:U254))</f>
        <v>791.90000000000009</v>
      </c>
    </row>
    <row r="255" spans="1:23" x14ac:dyDescent="0.3">
      <c r="A255" s="14">
        <v>45843.59375</v>
      </c>
      <c r="B255" s="1">
        <v>-495.39</v>
      </c>
      <c r="C255" s="1">
        <v>36.42</v>
      </c>
      <c r="D255" s="1">
        <v>12</v>
      </c>
      <c r="E255" s="1">
        <v>6.39</v>
      </c>
      <c r="F255" s="1" cm="1">
        <f t="array" ref="F255">SUM(ABS(B255:E255))</f>
        <v>550.19999999999993</v>
      </c>
      <c r="G255" s="1">
        <v>25.35</v>
      </c>
      <c r="H255" s="1">
        <v>273.33</v>
      </c>
      <c r="I255" s="1">
        <v>-24.83</v>
      </c>
      <c r="J255" s="1">
        <v>0</v>
      </c>
      <c r="K255" s="1">
        <v>0</v>
      </c>
      <c r="L255" s="1">
        <v>0</v>
      </c>
      <c r="M255" s="1">
        <v>0</v>
      </c>
      <c r="N255" s="1">
        <v>0.09</v>
      </c>
      <c r="O255" s="1">
        <v>5.47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 cm="1">
        <f t="array" ref="V255">SUM(ABS(G255:U255))</f>
        <v>329.07</v>
      </c>
      <c r="W255" s="11" cm="1">
        <f t="array" ref="W255">SUM(ABS(B255:E255))+SUM(ABS(G255:U255))</f>
        <v>879.27</v>
      </c>
    </row>
    <row r="256" spans="1:23" x14ac:dyDescent="0.3">
      <c r="A256" s="14">
        <v>45843.604166666664</v>
      </c>
      <c r="B256" s="1">
        <v>-599.08000000000004</v>
      </c>
      <c r="C256" s="1">
        <v>36.43</v>
      </c>
      <c r="D256" s="1">
        <v>12.68</v>
      </c>
      <c r="E256" s="1">
        <v>11</v>
      </c>
      <c r="F256" s="1" cm="1">
        <f t="array" ref="F256">SUM(ABS(B256:E256))</f>
        <v>659.18999999999994</v>
      </c>
      <c r="G256" s="1">
        <v>36.119999999999997</v>
      </c>
      <c r="H256" s="1">
        <v>272.42</v>
      </c>
      <c r="I256" s="1">
        <v>-30.28</v>
      </c>
      <c r="J256" s="1">
        <v>13.25</v>
      </c>
      <c r="K256" s="1">
        <v>0</v>
      </c>
      <c r="L256" s="1">
        <v>0</v>
      </c>
      <c r="M256" s="1">
        <v>0</v>
      </c>
      <c r="N256" s="1">
        <v>7.0000000000000007E-2</v>
      </c>
      <c r="O256" s="1">
        <v>5.46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 cm="1">
        <f t="array" ref="V256">SUM(ABS(G256:U256))</f>
        <v>357.6</v>
      </c>
      <c r="W256" s="11" cm="1">
        <f t="array" ref="W256">SUM(ABS(B256:E256))+SUM(ABS(G256:U256))</f>
        <v>1016.79</v>
      </c>
    </row>
    <row r="257" spans="1:23" x14ac:dyDescent="0.3">
      <c r="A257" s="14">
        <v>45843.614583333336</v>
      </c>
      <c r="B257" s="1">
        <v>-622.94000000000005</v>
      </c>
      <c r="C257" s="1">
        <v>36.44</v>
      </c>
      <c r="D257" s="1">
        <v>24</v>
      </c>
      <c r="E257" s="1">
        <v>19.03</v>
      </c>
      <c r="F257" s="1" cm="1">
        <f t="array" ref="F257">SUM(ABS(B257:E257))</f>
        <v>702.41000000000008</v>
      </c>
      <c r="G257" s="1">
        <v>36.130000000000003</v>
      </c>
      <c r="H257" s="1">
        <v>273.38</v>
      </c>
      <c r="I257" s="1">
        <v>-30.29</v>
      </c>
      <c r="J257" s="1">
        <v>48.38</v>
      </c>
      <c r="K257" s="1">
        <v>0</v>
      </c>
      <c r="L257" s="1">
        <v>0</v>
      </c>
      <c r="M257" s="1">
        <v>0</v>
      </c>
      <c r="N257" s="1">
        <v>0.05</v>
      </c>
      <c r="O257" s="1">
        <v>5.47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 cm="1">
        <f t="array" ref="V257">SUM(ABS(G257:U257))</f>
        <v>393.70000000000005</v>
      </c>
      <c r="W257" s="11" cm="1">
        <f t="array" ref="W257">SUM(ABS(B257:E257))+SUM(ABS(G257:U257))</f>
        <v>1096.1100000000001</v>
      </c>
    </row>
    <row r="258" spans="1:23" x14ac:dyDescent="0.3">
      <c r="A258" s="14">
        <v>45843.625</v>
      </c>
      <c r="B258" s="1">
        <v>-619.34</v>
      </c>
      <c r="C258" s="1">
        <v>36.78</v>
      </c>
      <c r="D258" s="1">
        <v>24</v>
      </c>
      <c r="E258" s="1">
        <v>29.42</v>
      </c>
      <c r="F258" s="1" cm="1">
        <f t="array" ref="F258">SUM(ABS(B258:E258))</f>
        <v>709.54</v>
      </c>
      <c r="G258" s="1">
        <v>36.130000000000003</v>
      </c>
      <c r="H258" s="1">
        <v>273.70999999999998</v>
      </c>
      <c r="I258" s="1">
        <v>-37.119999999999997</v>
      </c>
      <c r="J258" s="1">
        <v>48.66</v>
      </c>
      <c r="K258" s="1">
        <v>0</v>
      </c>
      <c r="L258" s="1">
        <v>0</v>
      </c>
      <c r="M258" s="1">
        <v>0</v>
      </c>
      <c r="N258" s="1">
        <v>0.03</v>
      </c>
      <c r="O258" s="1">
        <v>5.47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 cm="1">
        <f t="array" ref="V258">SUM(ABS(G258:U258))</f>
        <v>401.12</v>
      </c>
      <c r="W258" s="11" cm="1">
        <f t="array" ref="W258">SUM(ABS(B258:E258))+SUM(ABS(G258:U258))</f>
        <v>1110.6599999999999</v>
      </c>
    </row>
    <row r="259" spans="1:23" x14ac:dyDescent="0.3">
      <c r="A259" s="14">
        <v>45843.635416666664</v>
      </c>
      <c r="B259" s="1">
        <v>-616.24</v>
      </c>
      <c r="C259" s="1">
        <v>36.75</v>
      </c>
      <c r="D259" s="1">
        <v>24</v>
      </c>
      <c r="E259" s="1">
        <v>37.979999999999997</v>
      </c>
      <c r="F259" s="1" cm="1">
        <f t="array" ref="F259">SUM(ABS(B259:E259))</f>
        <v>714.97</v>
      </c>
      <c r="G259" s="1">
        <v>36.119999999999997</v>
      </c>
      <c r="H259" s="1">
        <v>272.95999999999998</v>
      </c>
      <c r="I259" s="1">
        <v>-54.9</v>
      </c>
      <c r="J259" s="1">
        <v>48.17</v>
      </c>
      <c r="K259" s="1">
        <v>5.18</v>
      </c>
      <c r="L259" s="1">
        <v>0</v>
      </c>
      <c r="M259" s="1">
        <v>0</v>
      </c>
      <c r="N259" s="1">
        <v>0.08</v>
      </c>
      <c r="O259" s="1">
        <v>5.47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 cm="1">
        <f t="array" ref="V259">SUM(ABS(G259:U259))</f>
        <v>422.88</v>
      </c>
      <c r="W259" s="11" cm="1">
        <f t="array" ref="W259">SUM(ABS(B259:E259))+SUM(ABS(G259:U259))</f>
        <v>1137.8499999999999</v>
      </c>
    </row>
    <row r="260" spans="1:23" x14ac:dyDescent="0.3">
      <c r="A260" s="14">
        <v>45843.645833333336</v>
      </c>
      <c r="B260" s="1">
        <v>-688.33</v>
      </c>
      <c r="C260" s="1">
        <v>36.74</v>
      </c>
      <c r="D260" s="1">
        <v>24</v>
      </c>
      <c r="E260" s="1">
        <v>37.97</v>
      </c>
      <c r="F260" s="1" cm="1">
        <f t="array" ref="F260">SUM(ABS(B260:E260))</f>
        <v>787.04000000000008</v>
      </c>
      <c r="G260" s="1">
        <v>36.119999999999997</v>
      </c>
      <c r="H260" s="1">
        <v>269.24</v>
      </c>
      <c r="I260" s="1">
        <v>-54.96</v>
      </c>
      <c r="J260" s="1">
        <v>64.42</v>
      </c>
      <c r="K260" s="1">
        <v>55.33</v>
      </c>
      <c r="L260" s="1">
        <v>-22.5</v>
      </c>
      <c r="M260" s="1">
        <v>0</v>
      </c>
      <c r="N260" s="1">
        <v>0</v>
      </c>
      <c r="O260" s="1">
        <v>5.46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 cm="1">
        <f t="array" ref="V260">SUM(ABS(G260:U260))</f>
        <v>508.03</v>
      </c>
      <c r="W260" s="11" cm="1">
        <f t="array" ref="W260">SUM(ABS(B260:E260))+SUM(ABS(G260:U260))</f>
        <v>1295.0700000000002</v>
      </c>
    </row>
    <row r="261" spans="1:23" x14ac:dyDescent="0.3">
      <c r="A261" s="14">
        <v>45843.65625</v>
      </c>
      <c r="B261" s="1">
        <v>-688.29</v>
      </c>
      <c r="C261" s="1">
        <v>36.659999999999997</v>
      </c>
      <c r="D261" s="1">
        <v>24</v>
      </c>
      <c r="E261" s="1">
        <v>37.950000000000003</v>
      </c>
      <c r="F261" s="1" cm="1">
        <f t="array" ref="F261">SUM(ABS(B261:E261))</f>
        <v>786.9</v>
      </c>
      <c r="G261" s="1">
        <v>36.119999999999997</v>
      </c>
      <c r="H261" s="1">
        <v>259.51</v>
      </c>
      <c r="I261" s="1">
        <v>-54.92</v>
      </c>
      <c r="J261" s="1">
        <v>90.54</v>
      </c>
      <c r="K261" s="1">
        <v>55.35</v>
      </c>
      <c r="L261" s="1">
        <v>-22.7</v>
      </c>
      <c r="M261" s="1">
        <v>0</v>
      </c>
      <c r="N261" s="1">
        <v>-13.63</v>
      </c>
      <c r="O261" s="1">
        <v>5.46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 cm="1">
        <f t="array" ref="V261">SUM(ABS(G261:U261))</f>
        <v>538.23000000000013</v>
      </c>
      <c r="W261" s="11" cm="1">
        <f t="array" ref="W261">SUM(ABS(B261:E261))+SUM(ABS(G261:U261))</f>
        <v>1325.13</v>
      </c>
    </row>
    <row r="262" spans="1:23" x14ac:dyDescent="0.3">
      <c r="A262" s="14">
        <v>45843.666666666664</v>
      </c>
      <c r="B262" s="1">
        <v>-367.08</v>
      </c>
      <c r="C262" s="1">
        <v>36.67</v>
      </c>
      <c r="D262" s="1">
        <v>24</v>
      </c>
      <c r="E262" s="1">
        <v>33.51</v>
      </c>
      <c r="F262" s="1" cm="1">
        <f t="array" ref="F262">SUM(ABS(B262:E262))</f>
        <v>461.26</v>
      </c>
      <c r="G262" s="1">
        <v>36.15</v>
      </c>
      <c r="H262" s="1">
        <v>264.25</v>
      </c>
      <c r="I262" s="1">
        <v>-44.25</v>
      </c>
      <c r="J262" s="1">
        <v>80.25</v>
      </c>
      <c r="K262" s="1">
        <v>47.8</v>
      </c>
      <c r="L262" s="1">
        <v>-24.47</v>
      </c>
      <c r="M262" s="1">
        <v>0</v>
      </c>
      <c r="N262" s="1">
        <v>-15.53</v>
      </c>
      <c r="O262" s="1">
        <v>5.46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 cm="1">
        <f t="array" ref="V262">SUM(ABS(G262:U262))</f>
        <v>518.16</v>
      </c>
      <c r="W262" s="11" cm="1">
        <f t="array" ref="W262">SUM(ABS(B262:E262))+SUM(ABS(G262:U262))</f>
        <v>979.42</v>
      </c>
    </row>
    <row r="263" spans="1:23" x14ac:dyDescent="0.3">
      <c r="A263" s="14">
        <v>45843.677083333336</v>
      </c>
      <c r="B263" s="1">
        <v>-574.54999999999995</v>
      </c>
      <c r="C263" s="1">
        <v>36.700000000000003</v>
      </c>
      <c r="D263" s="1">
        <v>24</v>
      </c>
      <c r="E263" s="1">
        <v>25.25</v>
      </c>
      <c r="F263" s="1" cm="1">
        <f t="array" ref="F263">SUM(ABS(B263:E263))</f>
        <v>660.5</v>
      </c>
      <c r="G263" s="1">
        <v>36.14</v>
      </c>
      <c r="H263" s="1">
        <v>272.36</v>
      </c>
      <c r="I263" s="1">
        <v>-40.32</v>
      </c>
      <c r="J263" s="1">
        <v>80.55</v>
      </c>
      <c r="K263" s="1">
        <v>46.26</v>
      </c>
      <c r="L263" s="1">
        <v>-24.71</v>
      </c>
      <c r="M263" s="1">
        <v>0</v>
      </c>
      <c r="N263" s="1">
        <v>-15.65</v>
      </c>
      <c r="O263" s="1">
        <v>5.47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 cm="1">
        <f t="array" ref="V263">SUM(ABS(G263:U263))</f>
        <v>521.46</v>
      </c>
      <c r="W263" s="11" cm="1">
        <f t="array" ref="W263">SUM(ABS(B263:E263))+SUM(ABS(G263:U263))</f>
        <v>1181.96</v>
      </c>
    </row>
    <row r="264" spans="1:23" x14ac:dyDescent="0.3">
      <c r="A264" s="14">
        <v>45843.6875</v>
      </c>
      <c r="B264" s="1">
        <v>-456.35</v>
      </c>
      <c r="C264" s="1">
        <v>36.74</v>
      </c>
      <c r="D264" s="1">
        <v>24</v>
      </c>
      <c r="E264" s="1">
        <v>25.34</v>
      </c>
      <c r="F264" s="1" cm="1">
        <f t="array" ref="F264">SUM(ABS(B264:E264))</f>
        <v>542.43000000000006</v>
      </c>
      <c r="G264" s="1">
        <v>36.130000000000003</v>
      </c>
      <c r="H264" s="1">
        <v>272.82</v>
      </c>
      <c r="I264" s="1">
        <v>-40.32</v>
      </c>
      <c r="J264" s="1">
        <v>81.680000000000007</v>
      </c>
      <c r="K264" s="1">
        <v>46.23</v>
      </c>
      <c r="L264" s="1">
        <v>-24.72</v>
      </c>
      <c r="M264" s="1">
        <v>0</v>
      </c>
      <c r="N264" s="1">
        <v>-15.63</v>
      </c>
      <c r="O264" s="1">
        <v>5.47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 cm="1">
        <f t="array" ref="V264">SUM(ABS(G264:U264))</f>
        <v>523</v>
      </c>
      <c r="W264" s="11" cm="1">
        <f t="array" ref="W264">SUM(ABS(B264:E264))+SUM(ABS(G264:U264))</f>
        <v>1065.43</v>
      </c>
    </row>
    <row r="265" spans="1:23" x14ac:dyDescent="0.3">
      <c r="A265" s="14">
        <v>45843.697916666664</v>
      </c>
      <c r="B265" s="1">
        <v>-404.6</v>
      </c>
      <c r="C265" s="1">
        <v>36.72</v>
      </c>
      <c r="D265" s="1">
        <v>24</v>
      </c>
      <c r="E265" s="1">
        <v>31.48</v>
      </c>
      <c r="F265" s="1" cm="1">
        <f t="array" ref="F265">SUM(ABS(B265:E265))</f>
        <v>496.80000000000007</v>
      </c>
      <c r="G265" s="1">
        <v>36.130000000000003</v>
      </c>
      <c r="H265" s="1">
        <v>272.60000000000002</v>
      </c>
      <c r="I265" s="1">
        <v>-40.29</v>
      </c>
      <c r="J265" s="1">
        <v>94.41</v>
      </c>
      <c r="K265" s="1">
        <v>46.21</v>
      </c>
      <c r="L265" s="1">
        <v>-24.7</v>
      </c>
      <c r="M265" s="1">
        <v>0</v>
      </c>
      <c r="N265" s="1">
        <v>-15.64</v>
      </c>
      <c r="O265" s="1">
        <v>5.46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 cm="1">
        <f t="array" ref="V265">SUM(ABS(G265:U265))</f>
        <v>535.44000000000005</v>
      </c>
      <c r="W265" s="11" cm="1">
        <f t="array" ref="W265">SUM(ABS(B265:E265))+SUM(ABS(G265:U265))</f>
        <v>1032.2400000000002</v>
      </c>
    </row>
    <row r="266" spans="1:23" x14ac:dyDescent="0.3">
      <c r="A266" s="14">
        <v>45843.708333333336</v>
      </c>
      <c r="B266" s="1">
        <v>-392.4</v>
      </c>
      <c r="C266" s="1">
        <v>36.729999999999997</v>
      </c>
      <c r="D266" s="1">
        <v>21.61</v>
      </c>
      <c r="E266" s="1">
        <v>31.69</v>
      </c>
      <c r="F266" s="1" cm="1">
        <f t="array" ref="F266">SUM(ABS(B266:E266))</f>
        <v>482.43</v>
      </c>
      <c r="G266" s="1">
        <v>36.14</v>
      </c>
      <c r="H266" s="1">
        <v>231.05</v>
      </c>
      <c r="I266" s="1">
        <v>-40.299999999999997</v>
      </c>
      <c r="J266" s="1">
        <v>99.1</v>
      </c>
      <c r="K266" s="1">
        <v>46.16</v>
      </c>
      <c r="L266" s="1">
        <v>-24.54</v>
      </c>
      <c r="M266" s="1">
        <v>0</v>
      </c>
      <c r="N266" s="1">
        <v>-15.65</v>
      </c>
      <c r="O266" s="1">
        <v>5.46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 cm="1">
        <f t="array" ref="V266">SUM(ABS(G266:U266))</f>
        <v>498.4</v>
      </c>
      <c r="W266" s="11" cm="1">
        <f t="array" ref="W266">SUM(ABS(B266:E266))+SUM(ABS(G266:U266))</f>
        <v>980.82999999999993</v>
      </c>
    </row>
    <row r="267" spans="1:23" x14ac:dyDescent="0.3">
      <c r="A267" s="14">
        <v>45843.71875</v>
      </c>
      <c r="B267" s="1">
        <v>-441.18</v>
      </c>
      <c r="C267" s="1">
        <v>36.92</v>
      </c>
      <c r="D267" s="1">
        <v>12</v>
      </c>
      <c r="E267" s="1">
        <v>33.26</v>
      </c>
      <c r="F267" s="1" cm="1">
        <f t="array" ref="F267">SUM(ABS(B267:E267))</f>
        <v>523.36</v>
      </c>
      <c r="G267" s="1">
        <v>36.130000000000003</v>
      </c>
      <c r="H267" s="1">
        <v>182.28</v>
      </c>
      <c r="I267" s="1">
        <v>-40.299999999999997</v>
      </c>
      <c r="J267" s="1">
        <v>101.56</v>
      </c>
      <c r="K267" s="1">
        <v>46.17</v>
      </c>
      <c r="L267" s="1">
        <v>-24.38</v>
      </c>
      <c r="M267" s="1">
        <v>0</v>
      </c>
      <c r="N267" s="1">
        <v>-15.64</v>
      </c>
      <c r="O267" s="1">
        <v>5.46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 cm="1">
        <f t="array" ref="V267">SUM(ABS(G267:U267))</f>
        <v>451.91999999999996</v>
      </c>
      <c r="W267" s="11" cm="1">
        <f t="array" ref="W267">SUM(ABS(B267:E267))+SUM(ABS(G267:U267))</f>
        <v>975.28</v>
      </c>
    </row>
    <row r="268" spans="1:23" x14ac:dyDescent="0.3">
      <c r="A268" s="14">
        <v>45843.729166666664</v>
      </c>
      <c r="B268" s="1">
        <v>-590.29999999999995</v>
      </c>
      <c r="C268" s="1">
        <v>36.96</v>
      </c>
      <c r="D268" s="1">
        <v>12</v>
      </c>
      <c r="E268" s="1">
        <v>29.82</v>
      </c>
      <c r="F268" s="1" cm="1">
        <f t="array" ref="F268">SUM(ABS(B268:E268))</f>
        <v>669.08</v>
      </c>
      <c r="G268" s="1">
        <v>36.14</v>
      </c>
      <c r="H268" s="1">
        <v>180.02</v>
      </c>
      <c r="I268" s="1">
        <v>-40.28</v>
      </c>
      <c r="J268" s="1">
        <v>99.54</v>
      </c>
      <c r="K268" s="1">
        <v>46.16</v>
      </c>
      <c r="L268" s="1">
        <v>-24.65</v>
      </c>
      <c r="M268" s="1">
        <v>0</v>
      </c>
      <c r="N268" s="1">
        <v>-15.68</v>
      </c>
      <c r="O268" s="1">
        <v>7.95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 cm="1">
        <f t="array" ref="V268">SUM(ABS(G268:U268))</f>
        <v>450.42000000000007</v>
      </c>
      <c r="W268" s="11" cm="1">
        <f t="array" ref="W268">SUM(ABS(B268:E268))+SUM(ABS(G268:U268))</f>
        <v>1119.5</v>
      </c>
    </row>
    <row r="269" spans="1:23" x14ac:dyDescent="0.3">
      <c r="A269" s="14">
        <v>45843.739583333336</v>
      </c>
      <c r="B269" s="1">
        <v>-595.72</v>
      </c>
      <c r="C269" s="1">
        <v>36.909999999999997</v>
      </c>
      <c r="D269" s="1">
        <v>12</v>
      </c>
      <c r="E269" s="1">
        <v>38.51</v>
      </c>
      <c r="F269" s="1" cm="1">
        <f t="array" ref="F269">SUM(ABS(B269:E269))</f>
        <v>683.14</v>
      </c>
      <c r="G269" s="1">
        <v>35.83</v>
      </c>
      <c r="H269" s="1">
        <v>181.71</v>
      </c>
      <c r="I269" s="1">
        <v>-40.299999999999997</v>
      </c>
      <c r="J269" s="1">
        <v>100.75</v>
      </c>
      <c r="K269" s="1">
        <v>46.14</v>
      </c>
      <c r="L269" s="1">
        <v>-35.24</v>
      </c>
      <c r="M269" s="1">
        <v>0</v>
      </c>
      <c r="N269" s="1">
        <v>-15.61</v>
      </c>
      <c r="O269" s="1">
        <v>10.09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 cm="1">
        <f t="array" ref="V269">SUM(ABS(G269:U269))</f>
        <v>465.67</v>
      </c>
      <c r="W269" s="11" cm="1">
        <f t="array" ref="W269">SUM(ABS(B269:E269))+SUM(ABS(G269:U269))</f>
        <v>1148.81</v>
      </c>
    </row>
    <row r="270" spans="1:23" x14ac:dyDescent="0.3">
      <c r="A270" s="14">
        <v>45843.75</v>
      </c>
      <c r="B270" s="1">
        <v>-346.18</v>
      </c>
      <c r="C270" s="1">
        <v>36.5</v>
      </c>
      <c r="D270" s="1">
        <v>12.01</v>
      </c>
      <c r="E270" s="1">
        <v>48.49</v>
      </c>
      <c r="F270" s="1" cm="1">
        <f t="array" ref="F270">SUM(ABS(B270:E270))</f>
        <v>443.18</v>
      </c>
      <c r="G270" s="1">
        <v>36.67</v>
      </c>
      <c r="H270" s="1">
        <v>178.97</v>
      </c>
      <c r="I270" s="1">
        <v>-40.36</v>
      </c>
      <c r="J270" s="1">
        <v>100.95</v>
      </c>
      <c r="K270" s="1">
        <v>46.16</v>
      </c>
      <c r="L270" s="1">
        <v>-55.37</v>
      </c>
      <c r="M270" s="1">
        <v>0</v>
      </c>
      <c r="N270" s="1">
        <v>-20.100000000000001</v>
      </c>
      <c r="O270" s="1">
        <v>10.09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 cm="1">
        <f t="array" ref="V270">SUM(ABS(G270:U270))</f>
        <v>488.67</v>
      </c>
      <c r="W270" s="11" cm="1">
        <f t="array" ref="W270">SUM(ABS(B270:E270))+SUM(ABS(G270:U270))</f>
        <v>931.85</v>
      </c>
    </row>
    <row r="271" spans="1:23" x14ac:dyDescent="0.3">
      <c r="A271" s="14">
        <v>45843.760416666664</v>
      </c>
      <c r="B271" s="1">
        <v>-315.39</v>
      </c>
      <c r="C271" s="1">
        <v>36.450000000000003</v>
      </c>
      <c r="D271" s="1">
        <v>29.19</v>
      </c>
      <c r="E271" s="1">
        <v>50.47</v>
      </c>
      <c r="F271" s="1" cm="1">
        <f t="array" ref="F271">SUM(ABS(B271:E271))</f>
        <v>431.5</v>
      </c>
      <c r="G271" s="1">
        <v>52.64</v>
      </c>
      <c r="H271" s="1">
        <v>180.76</v>
      </c>
      <c r="I271" s="1">
        <v>-40.79</v>
      </c>
      <c r="J271" s="1">
        <v>113.08</v>
      </c>
      <c r="K271" s="1">
        <v>52.47</v>
      </c>
      <c r="L271" s="1">
        <v>-58.09</v>
      </c>
      <c r="M271" s="1">
        <v>0</v>
      </c>
      <c r="N271" s="1">
        <v>-30.92</v>
      </c>
      <c r="O271" s="1">
        <v>10.08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 cm="1">
        <f t="array" ref="V271">SUM(ABS(G271:U271))</f>
        <v>538.83000000000004</v>
      </c>
      <c r="W271" s="11" cm="1">
        <f t="array" ref="W271">SUM(ABS(B271:E271))+SUM(ABS(G271:U271))</f>
        <v>970.33</v>
      </c>
    </row>
    <row r="272" spans="1:23" x14ac:dyDescent="0.3">
      <c r="A272" s="14">
        <v>45843.770833333336</v>
      </c>
      <c r="B272" s="1">
        <v>-450.09</v>
      </c>
      <c r="C272" s="1">
        <v>36.36</v>
      </c>
      <c r="D272" s="1">
        <v>48.61</v>
      </c>
      <c r="E272" s="1">
        <v>50.46</v>
      </c>
      <c r="F272" s="1" cm="1">
        <f t="array" ref="F272">SUM(ABS(B272:E272))</f>
        <v>585.52</v>
      </c>
      <c r="G272" s="1">
        <v>54.25</v>
      </c>
      <c r="H272" s="1">
        <v>192.41</v>
      </c>
      <c r="I272" s="1">
        <v>-44.91</v>
      </c>
      <c r="J272" s="1">
        <v>110.27</v>
      </c>
      <c r="K272" s="1">
        <v>96.44</v>
      </c>
      <c r="L272" s="1">
        <v>-57.82</v>
      </c>
      <c r="M272" s="1">
        <v>0</v>
      </c>
      <c r="N272" s="1">
        <v>-30.92</v>
      </c>
      <c r="O272" s="1">
        <v>10.09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 cm="1">
        <f t="array" ref="V272">SUM(ABS(G272:U272))</f>
        <v>597.11</v>
      </c>
      <c r="W272" s="11" cm="1">
        <f t="array" ref="W272">SUM(ABS(B272:E272))+SUM(ABS(G272:U272))</f>
        <v>1182.6300000000001</v>
      </c>
    </row>
    <row r="273" spans="1:23" x14ac:dyDescent="0.3">
      <c r="A273" s="14">
        <v>45843.78125</v>
      </c>
      <c r="B273" s="1">
        <v>-642.83000000000004</v>
      </c>
      <c r="C273" s="1">
        <v>36.35</v>
      </c>
      <c r="D273" s="1">
        <v>48.62</v>
      </c>
      <c r="E273" s="1">
        <v>50.47</v>
      </c>
      <c r="F273" s="1" cm="1">
        <f t="array" ref="F273">SUM(ABS(B273:E273))</f>
        <v>778.2700000000001</v>
      </c>
      <c r="G273" s="1">
        <v>54.25</v>
      </c>
      <c r="H273" s="1">
        <v>271.07</v>
      </c>
      <c r="I273" s="1">
        <v>-54.97</v>
      </c>
      <c r="J273" s="1">
        <v>138.84</v>
      </c>
      <c r="K273" s="1">
        <v>97.34</v>
      </c>
      <c r="L273" s="1">
        <v>-58.05</v>
      </c>
      <c r="M273" s="1">
        <v>0</v>
      </c>
      <c r="N273" s="1">
        <v>-30.94</v>
      </c>
      <c r="O273" s="1">
        <v>10.1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 cm="1">
        <f t="array" ref="V273">SUM(ABS(G273:U273))</f>
        <v>715.56000000000006</v>
      </c>
      <c r="W273" s="11" cm="1">
        <f t="array" ref="W273">SUM(ABS(B273:E273))+SUM(ABS(G273:U273))</f>
        <v>1493.8300000000002</v>
      </c>
    </row>
    <row r="274" spans="1:23" x14ac:dyDescent="0.3">
      <c r="A274" s="14">
        <v>45843.791666666664</v>
      </c>
      <c r="B274" s="1">
        <v>-657.49</v>
      </c>
      <c r="C274" s="1">
        <v>36.39</v>
      </c>
      <c r="D274" s="1">
        <v>48.64</v>
      </c>
      <c r="E274" s="1">
        <v>50.55</v>
      </c>
      <c r="F274" s="1" cm="1">
        <f t="array" ref="F274">SUM(ABS(B274:E274))</f>
        <v>793.06999999999994</v>
      </c>
      <c r="G274" s="1">
        <v>54.25</v>
      </c>
      <c r="H274" s="1">
        <v>272.61</v>
      </c>
      <c r="I274" s="1">
        <v>-55</v>
      </c>
      <c r="J274" s="1">
        <v>141.35</v>
      </c>
      <c r="K274" s="1">
        <v>97.35</v>
      </c>
      <c r="L274" s="1">
        <v>-58.51</v>
      </c>
      <c r="M274" s="1">
        <v>0</v>
      </c>
      <c r="N274" s="1">
        <v>-30.93</v>
      </c>
      <c r="O274" s="1">
        <v>10.1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 cm="1">
        <f t="array" ref="V274">SUM(ABS(G274:U274))</f>
        <v>720.1</v>
      </c>
      <c r="W274" s="11" cm="1">
        <f t="array" ref="W274">SUM(ABS(B274:E274))+SUM(ABS(G274:U274))</f>
        <v>1513.17</v>
      </c>
    </row>
    <row r="275" spans="1:23" x14ac:dyDescent="0.3">
      <c r="A275" s="14">
        <v>45843.802083333336</v>
      </c>
      <c r="B275" s="1">
        <v>-722.21</v>
      </c>
      <c r="C275" s="1">
        <v>36.39</v>
      </c>
      <c r="D275" s="1">
        <v>48.62</v>
      </c>
      <c r="E275" s="1">
        <v>50.66</v>
      </c>
      <c r="F275" s="1" cm="1">
        <f t="array" ref="F275">SUM(ABS(B275:E275))</f>
        <v>857.88</v>
      </c>
      <c r="G275" s="1">
        <v>54.23</v>
      </c>
      <c r="H275" s="1">
        <v>272.58999999999997</v>
      </c>
      <c r="I275" s="1">
        <v>-55</v>
      </c>
      <c r="J275" s="1">
        <v>142.07</v>
      </c>
      <c r="K275" s="1">
        <v>109.23</v>
      </c>
      <c r="L275" s="1">
        <v>-54.8</v>
      </c>
      <c r="M275" s="1">
        <v>0</v>
      </c>
      <c r="N275" s="1">
        <v>-30.89</v>
      </c>
      <c r="O275" s="1">
        <v>10.1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 cm="1">
        <f t="array" ref="V275">SUM(ABS(G275:U275))</f>
        <v>728.91</v>
      </c>
      <c r="W275" s="11" cm="1">
        <f t="array" ref="W275">SUM(ABS(B275:E275))+SUM(ABS(G275:U275))</f>
        <v>1586.79</v>
      </c>
    </row>
    <row r="276" spans="1:23" x14ac:dyDescent="0.3">
      <c r="A276" s="14">
        <v>45843.8125</v>
      </c>
      <c r="B276" s="1">
        <v>-715.34</v>
      </c>
      <c r="C276" s="1">
        <v>36.4</v>
      </c>
      <c r="D276" s="1">
        <v>48.6</v>
      </c>
      <c r="E276" s="1">
        <v>50.64</v>
      </c>
      <c r="F276" s="1" cm="1">
        <f t="array" ref="F276">SUM(ABS(B276:E276))</f>
        <v>850.98</v>
      </c>
      <c r="G276" s="1">
        <v>54.25</v>
      </c>
      <c r="H276" s="1">
        <v>271.99</v>
      </c>
      <c r="I276" s="1">
        <v>-54.98</v>
      </c>
      <c r="J276" s="1">
        <v>139.27000000000001</v>
      </c>
      <c r="K276" s="1">
        <v>112.98</v>
      </c>
      <c r="L276" s="1">
        <v>-57.55</v>
      </c>
      <c r="M276" s="1">
        <v>0</v>
      </c>
      <c r="N276" s="1">
        <v>-30.93</v>
      </c>
      <c r="O276" s="1">
        <v>10.08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 cm="1">
        <f t="array" ref="V276">SUM(ABS(G276:U276))</f>
        <v>732.03</v>
      </c>
      <c r="W276" s="11" cm="1">
        <f t="array" ref="W276">SUM(ABS(B276:E276))+SUM(ABS(G276:U276))</f>
        <v>1583.01</v>
      </c>
    </row>
    <row r="277" spans="1:23" x14ac:dyDescent="0.3">
      <c r="A277" s="14">
        <v>45843.822916666664</v>
      </c>
      <c r="B277" s="1">
        <v>-722.05</v>
      </c>
      <c r="C277" s="1">
        <v>36.39</v>
      </c>
      <c r="D277" s="1">
        <v>48.58</v>
      </c>
      <c r="E277" s="1">
        <v>50.64</v>
      </c>
      <c r="F277" s="1" cm="1">
        <f t="array" ref="F277">SUM(ABS(B277:E277))</f>
        <v>857.66</v>
      </c>
      <c r="G277" s="1">
        <v>54.23</v>
      </c>
      <c r="H277" s="1">
        <v>270.02</v>
      </c>
      <c r="I277" s="1">
        <v>-54.97</v>
      </c>
      <c r="J277" s="1">
        <v>138.44</v>
      </c>
      <c r="K277" s="1">
        <v>112.94</v>
      </c>
      <c r="L277" s="1">
        <v>-57.91</v>
      </c>
      <c r="M277" s="1">
        <v>0</v>
      </c>
      <c r="N277" s="1">
        <v>-30.91</v>
      </c>
      <c r="O277" s="1">
        <v>10.09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 cm="1">
        <f t="array" ref="V277">SUM(ABS(G277:U277))</f>
        <v>729.5100000000001</v>
      </c>
      <c r="W277" s="11" cm="1">
        <f t="array" ref="W277">SUM(ABS(B277:E277))+SUM(ABS(G277:U277))</f>
        <v>1587.17</v>
      </c>
    </row>
    <row r="278" spans="1:23" x14ac:dyDescent="0.3">
      <c r="A278" s="14">
        <v>45843.833333333336</v>
      </c>
      <c r="B278" s="1">
        <v>-564.84</v>
      </c>
      <c r="C278" s="1">
        <v>36.39</v>
      </c>
      <c r="D278" s="1">
        <v>48.59</v>
      </c>
      <c r="E278" s="1">
        <v>50.6</v>
      </c>
      <c r="F278" s="1" cm="1">
        <f t="array" ref="F278">SUM(ABS(B278:E278))</f>
        <v>700.42000000000007</v>
      </c>
      <c r="G278" s="1">
        <v>54.24</v>
      </c>
      <c r="H278" s="1">
        <v>270.37</v>
      </c>
      <c r="I278" s="1">
        <v>-54.99</v>
      </c>
      <c r="J278" s="1">
        <v>139.38</v>
      </c>
      <c r="K278" s="1">
        <v>112.91</v>
      </c>
      <c r="L278" s="1">
        <v>-57.95</v>
      </c>
      <c r="M278" s="1">
        <v>0</v>
      </c>
      <c r="N278" s="1">
        <v>-30.93</v>
      </c>
      <c r="O278" s="1">
        <v>10.09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 cm="1">
        <f t="array" ref="V278">SUM(ABS(G278:U278))</f>
        <v>730.86</v>
      </c>
      <c r="W278" s="11" cm="1">
        <f t="array" ref="W278">SUM(ABS(B278:E278))+SUM(ABS(G278:U278))</f>
        <v>1431.2800000000002</v>
      </c>
    </row>
    <row r="279" spans="1:23" x14ac:dyDescent="0.3">
      <c r="A279" s="14">
        <v>45843.84375</v>
      </c>
      <c r="B279" s="1">
        <v>-596.77</v>
      </c>
      <c r="C279" s="1">
        <v>36.4</v>
      </c>
      <c r="D279" s="1">
        <v>48.59</v>
      </c>
      <c r="E279" s="1">
        <v>50.63</v>
      </c>
      <c r="F279" s="1" cm="1">
        <f t="array" ref="F279">SUM(ABS(B279:E279))</f>
        <v>732.39</v>
      </c>
      <c r="G279" s="1">
        <v>54.24</v>
      </c>
      <c r="H279" s="1">
        <v>272.14999999999998</v>
      </c>
      <c r="I279" s="1">
        <v>-54.97</v>
      </c>
      <c r="J279" s="1">
        <v>142.08000000000001</v>
      </c>
      <c r="K279" s="1">
        <v>112.84</v>
      </c>
      <c r="L279" s="1">
        <v>-58.36</v>
      </c>
      <c r="M279" s="1">
        <v>0</v>
      </c>
      <c r="N279" s="1">
        <v>-30.89</v>
      </c>
      <c r="O279" s="1">
        <v>10.09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 cm="1">
        <f t="array" ref="V279">SUM(ABS(G279:U279))</f>
        <v>735.62000000000012</v>
      </c>
      <c r="W279" s="11" cm="1">
        <f t="array" ref="W279">SUM(ABS(B279:E279))+SUM(ABS(G279:U279))</f>
        <v>1468.0100000000002</v>
      </c>
    </row>
    <row r="280" spans="1:23" x14ac:dyDescent="0.3">
      <c r="A280" s="14">
        <v>45843.854166666664</v>
      </c>
      <c r="B280" s="1">
        <v>-708.83</v>
      </c>
      <c r="C280" s="1">
        <v>36.43</v>
      </c>
      <c r="D280" s="1">
        <v>48.6</v>
      </c>
      <c r="E280" s="1">
        <v>50.67</v>
      </c>
      <c r="F280" s="1" cm="1">
        <f t="array" ref="F280">SUM(ABS(B280:E280))</f>
        <v>844.53</v>
      </c>
      <c r="G280" s="1">
        <v>54.24</v>
      </c>
      <c r="H280" s="1">
        <v>272.52</v>
      </c>
      <c r="I280" s="1">
        <v>-54.98</v>
      </c>
      <c r="J280" s="1">
        <v>143.57</v>
      </c>
      <c r="K280" s="1">
        <v>112.77</v>
      </c>
      <c r="L280" s="1">
        <v>-58.58</v>
      </c>
      <c r="M280" s="1">
        <v>0</v>
      </c>
      <c r="N280" s="1">
        <v>-30.95</v>
      </c>
      <c r="O280" s="1">
        <v>10.09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 cm="1">
        <f t="array" ref="V280">SUM(ABS(G280:U280))</f>
        <v>737.7</v>
      </c>
      <c r="W280" s="11" cm="1">
        <f t="array" ref="W280">SUM(ABS(B280:E280))+SUM(ABS(G280:U280))</f>
        <v>1582.23</v>
      </c>
    </row>
    <row r="281" spans="1:23" x14ac:dyDescent="0.3">
      <c r="A281" s="14">
        <v>45843.864583333336</v>
      </c>
      <c r="B281" s="1">
        <v>-719.95</v>
      </c>
      <c r="C281" s="1">
        <v>36.43</v>
      </c>
      <c r="D281" s="1">
        <v>48.59</v>
      </c>
      <c r="E281" s="1">
        <v>50.67</v>
      </c>
      <c r="F281" s="1" cm="1">
        <f t="array" ref="F281">SUM(ABS(B281:E281))</f>
        <v>855.64</v>
      </c>
      <c r="G281" s="1">
        <v>54.23</v>
      </c>
      <c r="H281" s="1">
        <v>272.47000000000003</v>
      </c>
      <c r="I281" s="1">
        <v>-54.98</v>
      </c>
      <c r="J281" s="1">
        <v>142.5</v>
      </c>
      <c r="K281" s="1">
        <v>112.7</v>
      </c>
      <c r="L281" s="1">
        <v>-58.56</v>
      </c>
      <c r="M281" s="1">
        <v>0</v>
      </c>
      <c r="N281" s="1">
        <v>-30.91</v>
      </c>
      <c r="O281" s="1">
        <v>10.09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 cm="1">
        <f t="array" ref="V281">SUM(ABS(G281:U281))</f>
        <v>736.44</v>
      </c>
      <c r="W281" s="11" cm="1">
        <f t="array" ref="W281">SUM(ABS(B281:E281))+SUM(ABS(G281:U281))</f>
        <v>1592.08</v>
      </c>
    </row>
    <row r="282" spans="1:23" x14ac:dyDescent="0.3">
      <c r="A282" s="14">
        <v>45843.875</v>
      </c>
      <c r="B282" s="1">
        <v>-709.11</v>
      </c>
      <c r="C282" s="1">
        <v>36.4</v>
      </c>
      <c r="D282" s="1">
        <v>48.62</v>
      </c>
      <c r="E282" s="1">
        <v>50.69</v>
      </c>
      <c r="F282" s="1" cm="1">
        <f t="array" ref="F282">SUM(ABS(B282:E282))</f>
        <v>844.81999999999994</v>
      </c>
      <c r="G282" s="1">
        <v>54.23</v>
      </c>
      <c r="H282" s="1">
        <v>271.82</v>
      </c>
      <c r="I282" s="1">
        <v>-54.99</v>
      </c>
      <c r="J282" s="1">
        <v>141.28</v>
      </c>
      <c r="K282" s="1">
        <v>112.65</v>
      </c>
      <c r="L282" s="1">
        <v>-58.33</v>
      </c>
      <c r="M282" s="1">
        <v>0</v>
      </c>
      <c r="N282" s="1">
        <v>-30.93</v>
      </c>
      <c r="O282" s="1">
        <v>10.1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 cm="1">
        <f t="array" ref="V282">SUM(ABS(G282:U282))</f>
        <v>734.33</v>
      </c>
      <c r="W282" s="11" cm="1">
        <f t="array" ref="W282">SUM(ABS(B282:E282))+SUM(ABS(G282:U282))</f>
        <v>1579.15</v>
      </c>
    </row>
    <row r="283" spans="1:23" x14ac:dyDescent="0.3">
      <c r="A283" s="14">
        <v>45843.885416666664</v>
      </c>
      <c r="B283" s="1">
        <v>-702.44</v>
      </c>
      <c r="C283" s="1">
        <v>36.369999999999997</v>
      </c>
      <c r="D283" s="1">
        <v>48.6</v>
      </c>
      <c r="E283" s="1">
        <v>50.68</v>
      </c>
      <c r="F283" s="1" cm="1">
        <f t="array" ref="F283">SUM(ABS(B283:E283))</f>
        <v>838.09</v>
      </c>
      <c r="G283" s="1">
        <v>54.23</v>
      </c>
      <c r="H283" s="1">
        <v>272.60000000000002</v>
      </c>
      <c r="I283" s="1">
        <v>-54.97</v>
      </c>
      <c r="J283" s="1">
        <v>140.25</v>
      </c>
      <c r="K283" s="1">
        <v>112.53</v>
      </c>
      <c r="L283" s="1">
        <v>-58.16</v>
      </c>
      <c r="M283" s="1">
        <v>0</v>
      </c>
      <c r="N283" s="1">
        <v>-30.9</v>
      </c>
      <c r="O283" s="1">
        <v>10.07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 cm="1">
        <f t="array" ref="V283">SUM(ABS(G283:U283))</f>
        <v>733.71</v>
      </c>
      <c r="W283" s="11" cm="1">
        <f t="array" ref="W283">SUM(ABS(B283:E283))+SUM(ABS(G283:U283))</f>
        <v>1571.8000000000002</v>
      </c>
    </row>
    <row r="284" spans="1:23" x14ac:dyDescent="0.3">
      <c r="A284" s="14">
        <v>45843.895833333336</v>
      </c>
      <c r="B284" s="1">
        <v>-666.45</v>
      </c>
      <c r="C284" s="1">
        <v>36.380000000000003</v>
      </c>
      <c r="D284" s="1">
        <v>48.6</v>
      </c>
      <c r="E284" s="1">
        <v>50.67</v>
      </c>
      <c r="F284" s="1" cm="1">
        <f t="array" ref="F284">SUM(ABS(B284:E284))</f>
        <v>802.1</v>
      </c>
      <c r="G284" s="1">
        <v>54.24</v>
      </c>
      <c r="H284" s="1">
        <v>272.83999999999997</v>
      </c>
      <c r="I284" s="1">
        <v>-54.95</v>
      </c>
      <c r="J284" s="1">
        <v>140.84</v>
      </c>
      <c r="K284" s="1">
        <v>112.5</v>
      </c>
      <c r="L284" s="1">
        <v>-57.88</v>
      </c>
      <c r="M284" s="1">
        <v>0</v>
      </c>
      <c r="N284" s="1">
        <v>-30.92</v>
      </c>
      <c r="O284" s="1">
        <v>10.07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 cm="1">
        <f t="array" ref="V284">SUM(ABS(G284:U284))</f>
        <v>734.24</v>
      </c>
      <c r="W284" s="11" cm="1">
        <f t="array" ref="W284">SUM(ABS(B284:E284))+SUM(ABS(G284:U284))</f>
        <v>1536.3400000000001</v>
      </c>
    </row>
    <row r="285" spans="1:23" x14ac:dyDescent="0.3">
      <c r="A285" s="14">
        <v>45843.90625</v>
      </c>
      <c r="B285" s="1">
        <v>-693.6</v>
      </c>
      <c r="C285" s="1">
        <v>36.380000000000003</v>
      </c>
      <c r="D285" s="1">
        <v>48.58</v>
      </c>
      <c r="E285" s="1">
        <v>50.7</v>
      </c>
      <c r="F285" s="1" cm="1">
        <f t="array" ref="F285">SUM(ABS(B285:E285))</f>
        <v>829.2600000000001</v>
      </c>
      <c r="G285" s="1">
        <v>54.22</v>
      </c>
      <c r="H285" s="1">
        <v>272.43</v>
      </c>
      <c r="I285" s="1">
        <v>-54.94</v>
      </c>
      <c r="J285" s="1">
        <v>140.02000000000001</v>
      </c>
      <c r="K285" s="1">
        <v>112.41</v>
      </c>
      <c r="L285" s="1">
        <v>-57.57</v>
      </c>
      <c r="M285" s="1">
        <v>0</v>
      </c>
      <c r="N285" s="1">
        <v>-30.9</v>
      </c>
      <c r="O285" s="1">
        <v>10.07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 cm="1">
        <f t="array" ref="V285">SUM(ABS(G285:U285))</f>
        <v>732.56000000000006</v>
      </c>
      <c r="W285" s="11" cm="1">
        <f t="array" ref="W285">SUM(ABS(B285:E285))+SUM(ABS(G285:U285))</f>
        <v>1561.8200000000002</v>
      </c>
    </row>
    <row r="286" spans="1:23" x14ac:dyDescent="0.3">
      <c r="A286" s="14">
        <v>45843.916666666664</v>
      </c>
      <c r="B286" s="1">
        <v>-682.63</v>
      </c>
      <c r="C286" s="1">
        <v>36.42</v>
      </c>
      <c r="D286" s="1">
        <v>48.62</v>
      </c>
      <c r="E286" s="1">
        <v>50.67</v>
      </c>
      <c r="F286" s="1" cm="1">
        <f t="array" ref="F286">SUM(ABS(B286:E286))</f>
        <v>818.33999999999992</v>
      </c>
      <c r="G286" s="1">
        <v>54.22</v>
      </c>
      <c r="H286" s="1">
        <v>272.3</v>
      </c>
      <c r="I286" s="1">
        <v>-54.97</v>
      </c>
      <c r="J286" s="1">
        <v>142.31</v>
      </c>
      <c r="K286" s="1">
        <v>112.35</v>
      </c>
      <c r="L286" s="1">
        <v>-58.08</v>
      </c>
      <c r="M286" s="1">
        <v>0</v>
      </c>
      <c r="N286" s="1">
        <v>-30.82</v>
      </c>
      <c r="O286" s="1">
        <v>10.08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 cm="1">
        <f t="array" ref="V286">SUM(ABS(G286:U286))</f>
        <v>735.13000000000011</v>
      </c>
      <c r="W286" s="11" cm="1">
        <f t="array" ref="W286">SUM(ABS(B286:E286))+SUM(ABS(G286:U286))</f>
        <v>1553.47</v>
      </c>
    </row>
    <row r="287" spans="1:23" x14ac:dyDescent="0.3">
      <c r="A287" s="14">
        <v>45843.927083333336</v>
      </c>
      <c r="B287" s="1">
        <v>-573.96</v>
      </c>
      <c r="C287" s="1">
        <v>36.42</v>
      </c>
      <c r="D287" s="1">
        <v>48.58</v>
      </c>
      <c r="E287" s="1">
        <v>50.67</v>
      </c>
      <c r="F287" s="1" cm="1">
        <f t="array" ref="F287">SUM(ABS(B287:E287))</f>
        <v>709.63</v>
      </c>
      <c r="G287" s="1">
        <v>54.19</v>
      </c>
      <c r="H287" s="1">
        <v>263.61</v>
      </c>
      <c r="I287" s="1">
        <v>-54.94</v>
      </c>
      <c r="J287" s="1">
        <v>99.51</v>
      </c>
      <c r="K287" s="1">
        <v>112.27</v>
      </c>
      <c r="L287" s="1">
        <v>-57.65</v>
      </c>
      <c r="M287" s="1">
        <v>0</v>
      </c>
      <c r="N287" s="1">
        <v>-30.79</v>
      </c>
      <c r="O287" s="1">
        <v>10.08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 cm="1">
        <f t="array" ref="V287">SUM(ABS(G287:U287))</f>
        <v>683.04</v>
      </c>
      <c r="W287" s="11" cm="1">
        <f t="array" ref="W287">SUM(ABS(B287:E287))+SUM(ABS(G287:U287))</f>
        <v>1392.67</v>
      </c>
    </row>
    <row r="288" spans="1:23" x14ac:dyDescent="0.3">
      <c r="A288" s="14">
        <v>45843.9375</v>
      </c>
      <c r="B288" s="1">
        <v>-231.31</v>
      </c>
      <c r="C288" s="1">
        <v>36.36</v>
      </c>
      <c r="D288" s="1">
        <v>48.56</v>
      </c>
      <c r="E288" s="1">
        <v>50.62</v>
      </c>
      <c r="F288" s="1" cm="1">
        <f t="array" ref="F288">SUM(ABS(B288:E288))</f>
        <v>366.85</v>
      </c>
      <c r="G288" s="1">
        <v>53.96</v>
      </c>
      <c r="H288" s="1">
        <v>131.33000000000001</v>
      </c>
      <c r="I288" s="1">
        <v>-54.94</v>
      </c>
      <c r="J288" s="1">
        <v>0</v>
      </c>
      <c r="K288" s="1">
        <v>112.15</v>
      </c>
      <c r="L288" s="1">
        <v>-57.54</v>
      </c>
      <c r="M288" s="1">
        <v>0</v>
      </c>
      <c r="N288" s="1">
        <v>-30.81</v>
      </c>
      <c r="O288" s="1">
        <v>10.06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 cm="1">
        <f t="array" ref="V288">SUM(ABS(G288:U288))</f>
        <v>450.79</v>
      </c>
      <c r="W288" s="11" cm="1">
        <f t="array" ref="W288">SUM(ABS(B288:E288))+SUM(ABS(G288:U288))</f>
        <v>817.6400000000001</v>
      </c>
    </row>
    <row r="289" spans="1:23" x14ac:dyDescent="0.3">
      <c r="A289" s="14">
        <v>45843.947916666664</v>
      </c>
      <c r="B289" s="1">
        <v>-231.4</v>
      </c>
      <c r="C289" s="1">
        <v>36.270000000000003</v>
      </c>
      <c r="D289" s="1">
        <v>48.58</v>
      </c>
      <c r="E289" s="1">
        <v>50.28</v>
      </c>
      <c r="F289" s="1" cm="1">
        <f t="array" ref="F289">SUM(ABS(B289:E289))</f>
        <v>366.53</v>
      </c>
      <c r="G289" s="1">
        <v>31.05</v>
      </c>
      <c r="H289" s="1">
        <v>131.19999999999999</v>
      </c>
      <c r="I289" s="1">
        <v>-53.07</v>
      </c>
      <c r="J289" s="1">
        <v>0</v>
      </c>
      <c r="K289" s="1">
        <v>112.11</v>
      </c>
      <c r="L289" s="1">
        <v>-57.49</v>
      </c>
      <c r="M289" s="1">
        <v>0</v>
      </c>
      <c r="N289" s="1">
        <v>-30.8</v>
      </c>
      <c r="O289" s="1">
        <v>10.07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 cm="1">
        <f t="array" ref="V289">SUM(ABS(G289:U289))</f>
        <v>425.79</v>
      </c>
      <c r="W289" s="11" cm="1">
        <f t="array" ref="W289">SUM(ABS(B289:E289))+SUM(ABS(G289:U289))</f>
        <v>792.31999999999994</v>
      </c>
    </row>
    <row r="290" spans="1:23" x14ac:dyDescent="0.3">
      <c r="A290" s="14">
        <v>45843.958333333336</v>
      </c>
      <c r="B290" s="1">
        <v>-202.76</v>
      </c>
      <c r="C290" s="1">
        <v>36.200000000000003</v>
      </c>
      <c r="D290" s="1">
        <v>48.59</v>
      </c>
      <c r="E290" s="1">
        <v>25.68</v>
      </c>
      <c r="F290" s="1" cm="1">
        <f t="array" ref="F290">SUM(ABS(B290:E290))</f>
        <v>313.22999999999996</v>
      </c>
      <c r="G290" s="1">
        <v>30.11</v>
      </c>
      <c r="H290" s="1">
        <v>131.41</v>
      </c>
      <c r="I290" s="1">
        <v>-41.25</v>
      </c>
      <c r="J290" s="1">
        <v>0</v>
      </c>
      <c r="K290" s="1">
        <v>95.94</v>
      </c>
      <c r="L290" s="1">
        <v>-57.64</v>
      </c>
      <c r="M290" s="1">
        <v>0</v>
      </c>
      <c r="N290" s="1">
        <v>-30.77</v>
      </c>
      <c r="O290" s="1">
        <v>10.06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 cm="1">
        <f t="array" ref="V290">SUM(ABS(G290:U290))</f>
        <v>397.17999999999995</v>
      </c>
      <c r="W290" s="11" cm="1">
        <f t="array" ref="W290">SUM(ABS(B290:E290))+SUM(ABS(G290:U290))</f>
        <v>710.40999999999985</v>
      </c>
    </row>
    <row r="291" spans="1:23" x14ac:dyDescent="0.3">
      <c r="A291" s="14">
        <v>45843.96875</v>
      </c>
      <c r="B291" s="1">
        <v>-200.03</v>
      </c>
      <c r="C291" s="1">
        <v>36.14</v>
      </c>
      <c r="D291" s="1">
        <v>48.58</v>
      </c>
      <c r="E291" s="1">
        <v>25.8</v>
      </c>
      <c r="F291" s="1" cm="1">
        <f t="array" ref="F291">SUM(ABS(B291:E291))</f>
        <v>310.55</v>
      </c>
      <c r="G291" s="1">
        <v>30.12</v>
      </c>
      <c r="H291" s="1">
        <v>131.72999999999999</v>
      </c>
      <c r="I291" s="1">
        <v>-41.36</v>
      </c>
      <c r="J291" s="1">
        <v>18.010000000000002</v>
      </c>
      <c r="K291" s="1">
        <v>89.89</v>
      </c>
      <c r="L291" s="1">
        <v>-57.71</v>
      </c>
      <c r="M291" s="1">
        <v>0</v>
      </c>
      <c r="N291" s="1">
        <v>-30.78</v>
      </c>
      <c r="O291" s="1">
        <v>10.06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 cm="1">
        <f t="array" ref="V291">SUM(ABS(G291:U291))</f>
        <v>409.65999999999991</v>
      </c>
      <c r="W291" s="11" cm="1">
        <f t="array" ref="W291">SUM(ABS(B291:E291))+SUM(ABS(G291:U291))</f>
        <v>720.20999999999992</v>
      </c>
    </row>
    <row r="292" spans="1:23" x14ac:dyDescent="0.3">
      <c r="A292" s="14">
        <v>45843.979166666664</v>
      </c>
      <c r="B292" s="1">
        <v>-350.19</v>
      </c>
      <c r="C292" s="1">
        <v>36.1</v>
      </c>
      <c r="D292" s="1">
        <v>48.59</v>
      </c>
      <c r="E292" s="1">
        <v>25.88</v>
      </c>
      <c r="F292" s="1" cm="1">
        <f t="array" ref="F292">SUM(ABS(B292:E292))</f>
        <v>460.76</v>
      </c>
      <c r="G292" s="1">
        <v>30.12</v>
      </c>
      <c r="H292" s="1">
        <v>212.85</v>
      </c>
      <c r="I292" s="1">
        <v>-41.38</v>
      </c>
      <c r="J292" s="1">
        <v>50.47</v>
      </c>
      <c r="K292" s="1">
        <v>89.91</v>
      </c>
      <c r="L292" s="1">
        <v>-58.32</v>
      </c>
      <c r="M292" s="1">
        <v>0</v>
      </c>
      <c r="N292" s="1">
        <v>-30.79</v>
      </c>
      <c r="O292" s="1">
        <v>10.050000000000001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 cm="1">
        <f t="array" ref="V292">SUM(ABS(G292:U292))</f>
        <v>523.89</v>
      </c>
      <c r="W292" s="11" cm="1">
        <f t="array" ref="W292">SUM(ABS(B292:E292))+SUM(ABS(G292:U292))</f>
        <v>984.65</v>
      </c>
    </row>
    <row r="293" spans="1:23" x14ac:dyDescent="0.3">
      <c r="A293" s="14">
        <v>45843.989583333336</v>
      </c>
      <c r="B293" s="1">
        <v>-655.71</v>
      </c>
      <c r="C293" s="1">
        <v>36.090000000000003</v>
      </c>
      <c r="D293" s="1">
        <v>48.97</v>
      </c>
      <c r="E293" s="1">
        <v>37.31</v>
      </c>
      <c r="F293" s="1" cm="1">
        <f t="array" ref="F293">SUM(ABS(B293:E293))</f>
        <v>778.08000000000015</v>
      </c>
      <c r="G293" s="1">
        <v>40.89</v>
      </c>
      <c r="H293" s="1">
        <v>272.3</v>
      </c>
      <c r="I293" s="1">
        <v>-46.73</v>
      </c>
      <c r="J293" s="1">
        <v>69.44</v>
      </c>
      <c r="K293" s="1">
        <v>109.15</v>
      </c>
      <c r="L293" s="1">
        <v>-57.93</v>
      </c>
      <c r="M293" s="1">
        <v>0</v>
      </c>
      <c r="N293" s="1">
        <v>-30.81</v>
      </c>
      <c r="O293" s="1">
        <v>10.050000000000001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 cm="1">
        <f t="array" ref="V293">SUM(ABS(G293:U293))</f>
        <v>637.29999999999984</v>
      </c>
      <c r="W293" s="11" cm="1">
        <f t="array" ref="W293">SUM(ABS(B293:E293))+SUM(ABS(G293:U293))</f>
        <v>1415.38</v>
      </c>
    </row>
    <row r="294" spans="1:23" x14ac:dyDescent="0.3">
      <c r="A294" s="14">
        <v>45874</v>
      </c>
      <c r="B294" s="1">
        <v>-731.87</v>
      </c>
      <c r="C294" s="1">
        <v>36.090000000000003</v>
      </c>
      <c r="D294" s="1">
        <v>64.23</v>
      </c>
      <c r="E294" s="1">
        <v>50.68</v>
      </c>
      <c r="F294" s="1" cm="1">
        <f t="array" ref="F294">SUM(ABS(B294:E294))</f>
        <v>882.87</v>
      </c>
      <c r="G294" s="1">
        <v>54.21</v>
      </c>
      <c r="H294" s="1">
        <v>272.39999999999998</v>
      </c>
      <c r="I294" s="1">
        <v>-54.93</v>
      </c>
      <c r="J294" s="1">
        <v>69.47</v>
      </c>
      <c r="K294" s="1">
        <v>116.24</v>
      </c>
      <c r="L294" s="1">
        <v>-57.97</v>
      </c>
      <c r="M294" s="1">
        <v>0</v>
      </c>
      <c r="N294" s="1">
        <v>-30.87</v>
      </c>
      <c r="O294" s="1">
        <v>10.07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 cm="1">
        <f t="array" ref="V294">SUM(ABS(G294:U294))</f>
        <v>666.16000000000008</v>
      </c>
      <c r="W294" s="11" cm="1">
        <f t="array" ref="W294">SUM(ABS(B294:E294))+SUM(ABS(G294:U294))</f>
        <v>1549.0300000000002</v>
      </c>
    </row>
    <row r="295" spans="1:23" x14ac:dyDescent="0.3">
      <c r="A295" s="14">
        <v>45874.010416666664</v>
      </c>
      <c r="B295" s="1">
        <v>-730.09</v>
      </c>
      <c r="C295" s="1">
        <v>36.06</v>
      </c>
      <c r="D295" s="1">
        <v>66.349999999999994</v>
      </c>
      <c r="E295" s="1">
        <v>50.62</v>
      </c>
      <c r="F295" s="1" cm="1">
        <f t="array" ref="F295">SUM(ABS(B295:E295))</f>
        <v>883.12000000000012</v>
      </c>
      <c r="G295" s="1">
        <v>54.22</v>
      </c>
      <c r="H295" s="1">
        <v>272.12</v>
      </c>
      <c r="I295" s="1">
        <v>-54.91</v>
      </c>
      <c r="J295" s="1">
        <v>82.91</v>
      </c>
      <c r="K295" s="1">
        <v>116.13</v>
      </c>
      <c r="L295" s="1">
        <v>-57.55</v>
      </c>
      <c r="M295" s="1">
        <v>0</v>
      </c>
      <c r="N295" s="1">
        <v>-30.87</v>
      </c>
      <c r="O295" s="1">
        <v>10.06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 cm="1">
        <f t="array" ref="V295">SUM(ABS(G295:U295))</f>
        <v>678.76999999999987</v>
      </c>
      <c r="W295" s="11" cm="1">
        <f t="array" ref="W295">SUM(ABS(B295:E295))+SUM(ABS(G295:U295))</f>
        <v>1561.8899999999999</v>
      </c>
    </row>
    <row r="296" spans="1:23" x14ac:dyDescent="0.3">
      <c r="A296" s="14">
        <v>45874.020833333336</v>
      </c>
      <c r="B296" s="1">
        <v>-644.55999999999995</v>
      </c>
      <c r="C296" s="1">
        <v>36.08</v>
      </c>
      <c r="D296" s="1">
        <v>66.349999999999994</v>
      </c>
      <c r="E296" s="1">
        <v>50.62</v>
      </c>
      <c r="F296" s="1" cm="1">
        <f t="array" ref="F296">SUM(ABS(B296:E296))</f>
        <v>797.61</v>
      </c>
      <c r="G296" s="1">
        <v>54.22</v>
      </c>
      <c r="H296" s="1">
        <v>272.3</v>
      </c>
      <c r="I296" s="1">
        <v>-54.93</v>
      </c>
      <c r="J296" s="1">
        <v>116.23</v>
      </c>
      <c r="K296" s="1">
        <v>116.04</v>
      </c>
      <c r="L296" s="1">
        <v>-57.56</v>
      </c>
      <c r="M296" s="1">
        <v>0</v>
      </c>
      <c r="N296" s="1">
        <v>-30.87</v>
      </c>
      <c r="O296" s="1">
        <v>10.06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 cm="1">
        <f t="array" ref="V296">SUM(ABS(G296:U296))</f>
        <v>712.20999999999992</v>
      </c>
      <c r="W296" s="11" cm="1">
        <f t="array" ref="W296">SUM(ABS(B296:E296))+SUM(ABS(G296:U296))</f>
        <v>1509.82</v>
      </c>
    </row>
    <row r="297" spans="1:23" x14ac:dyDescent="0.3">
      <c r="A297" s="14">
        <v>45874.03125</v>
      </c>
      <c r="B297" s="1">
        <v>-636.63</v>
      </c>
      <c r="C297" s="1">
        <v>36.08</v>
      </c>
      <c r="D297" s="1">
        <v>31.77</v>
      </c>
      <c r="E297" s="1">
        <v>50.68</v>
      </c>
      <c r="F297" s="1" cm="1">
        <f t="array" ref="F297">SUM(ABS(B297:E297))</f>
        <v>755.16</v>
      </c>
      <c r="G297" s="1">
        <v>54.2</v>
      </c>
      <c r="H297" s="1">
        <v>272.01</v>
      </c>
      <c r="I297" s="1">
        <v>-54.93</v>
      </c>
      <c r="J297" s="1">
        <v>115.74</v>
      </c>
      <c r="K297" s="1">
        <v>115.95</v>
      </c>
      <c r="L297" s="1">
        <v>-57.49</v>
      </c>
      <c r="M297" s="1">
        <v>0</v>
      </c>
      <c r="N297" s="1">
        <v>-30.86</v>
      </c>
      <c r="O297" s="1">
        <v>10.06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 cm="1">
        <f t="array" ref="V297">SUM(ABS(G297:U297))</f>
        <v>711.24</v>
      </c>
      <c r="W297" s="11" cm="1">
        <f t="array" ref="W297">SUM(ABS(B297:E297))+SUM(ABS(G297:U297))</f>
        <v>1466.4</v>
      </c>
    </row>
    <row r="298" spans="1:23" x14ac:dyDescent="0.3">
      <c r="A298" s="14">
        <v>45874.041666666664</v>
      </c>
      <c r="B298" s="1">
        <v>-711.09</v>
      </c>
      <c r="C298" s="1">
        <v>36.11</v>
      </c>
      <c r="D298" s="1">
        <v>12</v>
      </c>
      <c r="E298" s="1">
        <v>50.67</v>
      </c>
      <c r="F298" s="1" cm="1">
        <f t="array" ref="F298">SUM(ABS(B298:E298))</f>
        <v>809.87</v>
      </c>
      <c r="G298" s="1">
        <v>54.22</v>
      </c>
      <c r="H298" s="1">
        <v>272.04000000000002</v>
      </c>
      <c r="I298" s="1">
        <v>-54.93</v>
      </c>
      <c r="J298" s="1">
        <v>116.09</v>
      </c>
      <c r="K298" s="1">
        <v>67.94</v>
      </c>
      <c r="L298" s="1">
        <v>-57.59</v>
      </c>
      <c r="M298" s="1">
        <v>0</v>
      </c>
      <c r="N298" s="1">
        <v>-30.88</v>
      </c>
      <c r="O298" s="1">
        <v>10.06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 cm="1">
        <f t="array" ref="V298">SUM(ABS(G298:U298))</f>
        <v>663.75</v>
      </c>
      <c r="W298" s="11" cm="1">
        <f t="array" ref="W298">SUM(ABS(B298:E298))+SUM(ABS(G298:U298))</f>
        <v>1473.62</v>
      </c>
    </row>
    <row r="299" spans="1:23" x14ac:dyDescent="0.3">
      <c r="A299" s="14">
        <v>45874.052083333336</v>
      </c>
      <c r="B299" s="1">
        <v>-736.47</v>
      </c>
      <c r="C299" s="1">
        <v>36.14</v>
      </c>
      <c r="D299" s="1">
        <v>12</v>
      </c>
      <c r="E299" s="1">
        <v>50.65</v>
      </c>
      <c r="F299" s="1" cm="1">
        <f t="array" ref="F299">SUM(ABS(B299:E299))</f>
        <v>835.26</v>
      </c>
      <c r="G299" s="1">
        <v>54.22</v>
      </c>
      <c r="H299" s="1">
        <v>272.88</v>
      </c>
      <c r="I299" s="1">
        <v>-54.95</v>
      </c>
      <c r="J299" s="1">
        <v>117.86</v>
      </c>
      <c r="K299" s="1">
        <v>44.22</v>
      </c>
      <c r="L299" s="1">
        <v>-57.93</v>
      </c>
      <c r="M299" s="1">
        <v>0</v>
      </c>
      <c r="N299" s="1">
        <v>-30.87</v>
      </c>
      <c r="O299" s="1">
        <v>10.06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 cm="1">
        <f t="array" ref="V299">SUM(ABS(G299:U299))</f>
        <v>642.9899999999999</v>
      </c>
      <c r="W299" s="11" cm="1">
        <f t="array" ref="W299">SUM(ABS(B299:E299))+SUM(ABS(G299:U299))</f>
        <v>1478.25</v>
      </c>
    </row>
    <row r="300" spans="1:23" x14ac:dyDescent="0.3">
      <c r="A300" s="14">
        <v>45874.0625</v>
      </c>
      <c r="B300" s="1">
        <v>-637.98</v>
      </c>
      <c r="C300" s="1">
        <v>36.130000000000003</v>
      </c>
      <c r="D300" s="1">
        <v>12</v>
      </c>
      <c r="E300" s="1">
        <v>50.65</v>
      </c>
      <c r="F300" s="1" cm="1">
        <f t="array" ref="F300">SUM(ABS(B300:E300))</f>
        <v>736.76</v>
      </c>
      <c r="G300" s="1">
        <v>54.22</v>
      </c>
      <c r="H300" s="1">
        <v>272.91000000000003</v>
      </c>
      <c r="I300" s="1">
        <v>-54.92</v>
      </c>
      <c r="J300" s="1">
        <v>117.22</v>
      </c>
      <c r="K300" s="1">
        <v>16.14</v>
      </c>
      <c r="L300" s="1">
        <v>-57.82</v>
      </c>
      <c r="M300" s="1">
        <v>0</v>
      </c>
      <c r="N300" s="1">
        <v>-30.87</v>
      </c>
      <c r="O300" s="1">
        <v>10.050000000000001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 cm="1">
        <f t="array" ref="V300">SUM(ABS(G300:U300))</f>
        <v>614.15</v>
      </c>
      <c r="W300" s="11" cm="1">
        <f t="array" ref="W300">SUM(ABS(B300:E300))+SUM(ABS(G300:U300))</f>
        <v>1350.9099999999999</v>
      </c>
    </row>
    <row r="301" spans="1:23" x14ac:dyDescent="0.3">
      <c r="A301" s="14">
        <v>45874.072916666664</v>
      </c>
      <c r="B301" s="1">
        <v>-646.91999999999996</v>
      </c>
      <c r="C301" s="1">
        <v>36.15</v>
      </c>
      <c r="D301" s="1">
        <v>12</v>
      </c>
      <c r="E301" s="1">
        <v>50.65</v>
      </c>
      <c r="F301" s="1" cm="1">
        <f t="array" ref="F301">SUM(ABS(B301:E301))</f>
        <v>745.71999999999991</v>
      </c>
      <c r="G301" s="1">
        <v>54.22</v>
      </c>
      <c r="H301" s="1">
        <v>272.58</v>
      </c>
      <c r="I301" s="1">
        <v>-54.91</v>
      </c>
      <c r="J301" s="1">
        <v>124.09</v>
      </c>
      <c r="K301" s="1">
        <v>0</v>
      </c>
      <c r="L301" s="1">
        <v>-57.83</v>
      </c>
      <c r="M301" s="1">
        <v>0</v>
      </c>
      <c r="N301" s="1">
        <v>-30.86</v>
      </c>
      <c r="O301" s="1">
        <v>10.050000000000001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 cm="1">
        <f t="array" ref="V301">SUM(ABS(G301:U301))</f>
        <v>604.54</v>
      </c>
      <c r="W301" s="11" cm="1">
        <f t="array" ref="W301">SUM(ABS(B301:E301))+SUM(ABS(G301:U301))</f>
        <v>1350.2599999999998</v>
      </c>
    </row>
    <row r="302" spans="1:23" x14ac:dyDescent="0.3">
      <c r="A302" s="14">
        <v>45874.083333333336</v>
      </c>
      <c r="B302" s="1">
        <v>-641.51</v>
      </c>
      <c r="C302" s="1">
        <v>36.15</v>
      </c>
      <c r="D302" s="1">
        <v>12</v>
      </c>
      <c r="E302" s="1">
        <v>50.6</v>
      </c>
      <c r="F302" s="1" cm="1">
        <f t="array" ref="F302">SUM(ABS(B302:E302))</f>
        <v>740.26</v>
      </c>
      <c r="G302" s="1">
        <v>54.23</v>
      </c>
      <c r="H302" s="1">
        <v>272.08</v>
      </c>
      <c r="I302" s="1">
        <v>-54.91</v>
      </c>
      <c r="J302" s="1">
        <v>133.21</v>
      </c>
      <c r="K302" s="1">
        <v>0</v>
      </c>
      <c r="L302" s="1">
        <v>-57.58</v>
      </c>
      <c r="M302" s="1">
        <v>0</v>
      </c>
      <c r="N302" s="1">
        <v>-30.86</v>
      </c>
      <c r="O302" s="1">
        <v>10.08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 cm="1">
        <f t="array" ref="V302">SUM(ABS(G302:U302))</f>
        <v>612.95000000000016</v>
      </c>
      <c r="W302" s="11" cm="1">
        <f t="array" ref="W302">SUM(ABS(B302:E302))+SUM(ABS(G302:U302))</f>
        <v>1353.21</v>
      </c>
    </row>
    <row r="303" spans="1:23" x14ac:dyDescent="0.3">
      <c r="A303" s="14">
        <v>45874.09375</v>
      </c>
      <c r="B303" s="1">
        <v>-687.9</v>
      </c>
      <c r="C303" s="1">
        <v>36.17</v>
      </c>
      <c r="D303" s="1">
        <v>12</v>
      </c>
      <c r="E303" s="1">
        <v>50.58</v>
      </c>
      <c r="F303" s="1" cm="1">
        <f t="array" ref="F303">SUM(ABS(B303:E303))</f>
        <v>786.65</v>
      </c>
      <c r="G303" s="1">
        <v>54.24</v>
      </c>
      <c r="H303" s="1">
        <v>271.76</v>
      </c>
      <c r="I303" s="1">
        <v>-54.89</v>
      </c>
      <c r="J303" s="1">
        <v>96.48</v>
      </c>
      <c r="K303" s="1">
        <v>0</v>
      </c>
      <c r="L303" s="1">
        <v>-57.56</v>
      </c>
      <c r="M303" s="1">
        <v>0</v>
      </c>
      <c r="N303" s="1">
        <v>-30.87</v>
      </c>
      <c r="O303" s="1">
        <v>10.08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 cm="1">
        <f t="array" ref="V303">SUM(ABS(G303:U303))</f>
        <v>575.88000000000011</v>
      </c>
      <c r="W303" s="11" cm="1">
        <f t="array" ref="W303">SUM(ABS(B303:E303))+SUM(ABS(G303:U303))</f>
        <v>1362.5300000000002</v>
      </c>
    </row>
    <row r="304" spans="1:23" x14ac:dyDescent="0.3">
      <c r="A304" s="14">
        <v>45874.104166666664</v>
      </c>
      <c r="B304" s="1">
        <v>-724.33</v>
      </c>
      <c r="C304" s="1">
        <v>36.200000000000003</v>
      </c>
      <c r="D304" s="1">
        <v>12</v>
      </c>
      <c r="E304" s="1">
        <v>50.59</v>
      </c>
      <c r="F304" s="1" cm="1">
        <f t="array" ref="F304">SUM(ABS(B304:E304))</f>
        <v>823.12000000000012</v>
      </c>
      <c r="G304" s="1">
        <v>54.24</v>
      </c>
      <c r="H304" s="1">
        <v>272.58</v>
      </c>
      <c r="I304" s="1">
        <v>-54.9</v>
      </c>
      <c r="J304" s="1">
        <v>69.150000000000006</v>
      </c>
      <c r="K304" s="1">
        <v>0</v>
      </c>
      <c r="L304" s="1">
        <v>-57.93</v>
      </c>
      <c r="M304" s="1">
        <v>0</v>
      </c>
      <c r="N304" s="1">
        <v>-30.88</v>
      </c>
      <c r="O304" s="1">
        <v>10.08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 cm="1">
        <f t="array" ref="V304">SUM(ABS(G304:U304))</f>
        <v>549.7600000000001</v>
      </c>
      <c r="W304" s="11" cm="1">
        <f t="array" ref="W304">SUM(ABS(B304:E304))+SUM(ABS(G304:U304))</f>
        <v>1372.88</v>
      </c>
    </row>
    <row r="305" spans="1:23" x14ac:dyDescent="0.3">
      <c r="A305" s="14">
        <v>45874.114583333336</v>
      </c>
      <c r="B305" s="1">
        <v>-735.34</v>
      </c>
      <c r="C305" s="1">
        <v>36.21</v>
      </c>
      <c r="D305" s="1">
        <v>12</v>
      </c>
      <c r="E305" s="1">
        <v>50.62</v>
      </c>
      <c r="F305" s="1" cm="1">
        <f t="array" ref="F305">SUM(ABS(B305:E305))</f>
        <v>834.17000000000007</v>
      </c>
      <c r="G305" s="1">
        <v>54.22</v>
      </c>
      <c r="H305" s="1">
        <v>273</v>
      </c>
      <c r="I305" s="1">
        <v>-54.9</v>
      </c>
      <c r="J305" s="1">
        <v>72.22</v>
      </c>
      <c r="K305" s="1">
        <v>0</v>
      </c>
      <c r="L305" s="1">
        <v>-58.08</v>
      </c>
      <c r="M305" s="1">
        <v>0</v>
      </c>
      <c r="N305" s="1">
        <v>-30.87</v>
      </c>
      <c r="O305" s="1">
        <v>10.07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 cm="1">
        <f t="array" ref="V305">SUM(ABS(G305:U305))</f>
        <v>553.36000000000013</v>
      </c>
      <c r="W305" s="11" cm="1">
        <f t="array" ref="W305">SUM(ABS(B305:E305))+SUM(ABS(G305:U305))</f>
        <v>1387.5300000000002</v>
      </c>
    </row>
    <row r="306" spans="1:23" x14ac:dyDescent="0.3">
      <c r="A306" s="14">
        <v>45874.125</v>
      </c>
      <c r="B306" s="1">
        <v>-736.19</v>
      </c>
      <c r="C306" s="1">
        <v>36.229999999999997</v>
      </c>
      <c r="D306" s="1">
        <v>12</v>
      </c>
      <c r="E306" s="1">
        <v>50.61</v>
      </c>
      <c r="F306" s="1" cm="1">
        <f t="array" ref="F306">SUM(ABS(B306:E306))</f>
        <v>835.03000000000009</v>
      </c>
      <c r="G306" s="1">
        <v>54.23</v>
      </c>
      <c r="H306" s="1">
        <v>272.95999999999998</v>
      </c>
      <c r="I306" s="1">
        <v>-54.9</v>
      </c>
      <c r="J306" s="1">
        <v>71.7</v>
      </c>
      <c r="K306" s="1">
        <v>0</v>
      </c>
      <c r="L306" s="1">
        <v>-58.05</v>
      </c>
      <c r="M306" s="1">
        <v>0</v>
      </c>
      <c r="N306" s="1">
        <v>-30.87</v>
      </c>
      <c r="O306" s="1">
        <v>10.07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 cm="1">
        <f t="array" ref="V306">SUM(ABS(G306:U306))</f>
        <v>552.78</v>
      </c>
      <c r="W306" s="11" cm="1">
        <f t="array" ref="W306">SUM(ABS(B306:E306))+SUM(ABS(G306:U306))</f>
        <v>1387.81</v>
      </c>
    </row>
    <row r="307" spans="1:23" x14ac:dyDescent="0.3">
      <c r="A307" s="14">
        <v>45874.135416666664</v>
      </c>
      <c r="B307" s="1">
        <v>-737.57</v>
      </c>
      <c r="C307" s="1">
        <v>36.229999999999997</v>
      </c>
      <c r="D307" s="1">
        <v>12</v>
      </c>
      <c r="E307" s="1">
        <v>50.61</v>
      </c>
      <c r="F307" s="1" cm="1">
        <f t="array" ref="F307">SUM(ABS(B307:E307))</f>
        <v>836.41000000000008</v>
      </c>
      <c r="G307" s="1">
        <v>54.23</v>
      </c>
      <c r="H307" s="1">
        <v>272.92</v>
      </c>
      <c r="I307" s="1">
        <v>-54.87</v>
      </c>
      <c r="J307" s="1">
        <v>71.95</v>
      </c>
      <c r="K307" s="1">
        <v>0</v>
      </c>
      <c r="L307" s="1">
        <v>-58.06</v>
      </c>
      <c r="M307" s="1">
        <v>0</v>
      </c>
      <c r="N307" s="1">
        <v>-30.87</v>
      </c>
      <c r="O307" s="1">
        <v>10.07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 cm="1">
        <f t="array" ref="V307">SUM(ABS(G307:U307))</f>
        <v>552.97</v>
      </c>
      <c r="W307" s="11" cm="1">
        <f t="array" ref="W307">SUM(ABS(B307:E307))+SUM(ABS(G307:U307))</f>
        <v>1389.38</v>
      </c>
    </row>
    <row r="308" spans="1:23" x14ac:dyDescent="0.3">
      <c r="A308" s="14">
        <v>45874.145833333336</v>
      </c>
      <c r="B308" s="1">
        <v>-678.09</v>
      </c>
      <c r="C308" s="1">
        <v>36.25</v>
      </c>
      <c r="D308" s="1">
        <v>12</v>
      </c>
      <c r="E308" s="1">
        <v>33.159999999999997</v>
      </c>
      <c r="F308" s="1" cm="1">
        <f t="array" ref="F308">SUM(ABS(B308:E308))</f>
        <v>759.5</v>
      </c>
      <c r="G308" s="1">
        <v>54.23</v>
      </c>
      <c r="H308" s="1">
        <v>272.85000000000002</v>
      </c>
      <c r="I308" s="1">
        <v>-54.88</v>
      </c>
      <c r="J308" s="1">
        <v>7.34</v>
      </c>
      <c r="K308" s="1">
        <v>0</v>
      </c>
      <c r="L308" s="1">
        <v>-58.2</v>
      </c>
      <c r="M308" s="1">
        <v>0</v>
      </c>
      <c r="N308" s="1">
        <v>-30.84</v>
      </c>
      <c r="O308" s="1">
        <v>10.07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 cm="1">
        <f t="array" ref="V308">SUM(ABS(G308:U308))</f>
        <v>488.40999999999997</v>
      </c>
      <c r="W308" s="11" cm="1">
        <f t="array" ref="W308">SUM(ABS(B308:E308))+SUM(ABS(G308:U308))</f>
        <v>1247.9099999999999</v>
      </c>
    </row>
    <row r="309" spans="1:23" x14ac:dyDescent="0.3">
      <c r="A309" s="14">
        <v>45874.15625</v>
      </c>
      <c r="B309" s="1">
        <v>-684.06</v>
      </c>
      <c r="C309" s="1">
        <v>36.26</v>
      </c>
      <c r="D309" s="1">
        <v>12</v>
      </c>
      <c r="E309" s="1">
        <v>12.74</v>
      </c>
      <c r="F309" s="1" cm="1">
        <f t="array" ref="F309">SUM(ABS(B309:E309))</f>
        <v>745.06</v>
      </c>
      <c r="G309" s="1">
        <v>54.23</v>
      </c>
      <c r="H309" s="1">
        <v>272.77</v>
      </c>
      <c r="I309" s="1">
        <v>-54.88</v>
      </c>
      <c r="J309" s="1">
        <v>0</v>
      </c>
      <c r="K309" s="1">
        <v>0</v>
      </c>
      <c r="L309" s="1">
        <v>-58.11</v>
      </c>
      <c r="M309" s="1">
        <v>0</v>
      </c>
      <c r="N309" s="1">
        <v>-30.8</v>
      </c>
      <c r="O309" s="1">
        <v>10.06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 cm="1">
        <f t="array" ref="V309">SUM(ABS(G309:U309))</f>
        <v>480.85</v>
      </c>
      <c r="W309" s="11" cm="1">
        <f t="array" ref="W309">SUM(ABS(B309:E309))+SUM(ABS(G309:U309))</f>
        <v>1225.9099999999999</v>
      </c>
    </row>
    <row r="310" spans="1:23" x14ac:dyDescent="0.3">
      <c r="A310" s="14">
        <v>45874.166666666664</v>
      </c>
      <c r="B310" s="1">
        <v>-715.11</v>
      </c>
      <c r="C310" s="1">
        <v>36.29</v>
      </c>
      <c r="D310" s="1">
        <v>12</v>
      </c>
      <c r="E310" s="1">
        <v>12.77</v>
      </c>
      <c r="F310" s="1" cm="1">
        <f t="array" ref="F310">SUM(ABS(B310:E310))</f>
        <v>776.17</v>
      </c>
      <c r="G310" s="1">
        <v>54.24</v>
      </c>
      <c r="H310" s="1">
        <v>272.82</v>
      </c>
      <c r="I310" s="1">
        <v>-54.88</v>
      </c>
      <c r="J310" s="1">
        <v>0</v>
      </c>
      <c r="K310" s="1">
        <v>0</v>
      </c>
      <c r="L310" s="1">
        <v>-58.02</v>
      </c>
      <c r="M310" s="1">
        <v>0</v>
      </c>
      <c r="N310" s="1">
        <v>-30.81</v>
      </c>
      <c r="O310" s="1">
        <v>10.06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 cm="1">
        <f t="array" ref="V310">SUM(ABS(G310:U310))</f>
        <v>480.83</v>
      </c>
      <c r="W310" s="11" cm="1">
        <f t="array" ref="W310">SUM(ABS(B310:E310))+SUM(ABS(G310:U310))</f>
        <v>1257</v>
      </c>
    </row>
    <row r="311" spans="1:23" x14ac:dyDescent="0.3">
      <c r="A311" s="14">
        <v>45874.177083333336</v>
      </c>
      <c r="B311" s="1">
        <v>-734.49</v>
      </c>
      <c r="C311" s="1">
        <v>36.299999999999997</v>
      </c>
      <c r="D311" s="1">
        <v>12</v>
      </c>
      <c r="E311" s="1">
        <v>12.83</v>
      </c>
      <c r="F311" s="1" cm="1">
        <f t="array" ref="F311">SUM(ABS(B311:E311))</f>
        <v>795.62</v>
      </c>
      <c r="G311" s="1">
        <v>54.23</v>
      </c>
      <c r="H311" s="1">
        <v>272.91000000000003</v>
      </c>
      <c r="I311" s="1">
        <v>-54.87</v>
      </c>
      <c r="J311" s="1">
        <v>0</v>
      </c>
      <c r="K311" s="1">
        <v>0</v>
      </c>
      <c r="L311" s="1">
        <v>-58.13</v>
      </c>
      <c r="M311" s="1">
        <v>0</v>
      </c>
      <c r="N311" s="1">
        <v>-30.79</v>
      </c>
      <c r="O311" s="1">
        <v>10.07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 cm="1">
        <f t="array" ref="V311">SUM(ABS(G311:U311))</f>
        <v>481.00000000000006</v>
      </c>
      <c r="W311" s="11" cm="1">
        <f t="array" ref="W311">SUM(ABS(B311:E311))+SUM(ABS(G311:U311))</f>
        <v>1276.6200000000001</v>
      </c>
    </row>
    <row r="312" spans="1:23" x14ac:dyDescent="0.3">
      <c r="A312" s="14">
        <v>45874.1875</v>
      </c>
      <c r="B312" s="1">
        <v>-736.92</v>
      </c>
      <c r="C312" s="1">
        <v>36.31</v>
      </c>
      <c r="D312" s="1">
        <v>12</v>
      </c>
      <c r="E312" s="1">
        <v>12.84</v>
      </c>
      <c r="F312" s="1" cm="1">
        <f t="array" ref="F312">SUM(ABS(B312:E312))</f>
        <v>798.07</v>
      </c>
      <c r="G312" s="1">
        <v>54.24</v>
      </c>
      <c r="H312" s="1">
        <v>272.43</v>
      </c>
      <c r="I312" s="1">
        <v>-54.86</v>
      </c>
      <c r="J312" s="1">
        <v>0</v>
      </c>
      <c r="K312" s="1">
        <v>0</v>
      </c>
      <c r="L312" s="1">
        <v>-58.31</v>
      </c>
      <c r="M312" s="1">
        <v>0</v>
      </c>
      <c r="N312" s="1">
        <v>-30.83</v>
      </c>
      <c r="O312" s="1">
        <v>10.06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 cm="1">
        <f t="array" ref="V312">SUM(ABS(G312:U312))</f>
        <v>480.73</v>
      </c>
      <c r="W312" s="11" cm="1">
        <f t="array" ref="W312">SUM(ABS(B312:E312))+SUM(ABS(G312:U312))</f>
        <v>1278.8000000000002</v>
      </c>
    </row>
    <row r="313" spans="1:23" x14ac:dyDescent="0.3">
      <c r="A313" s="14">
        <v>45874.197916666664</v>
      </c>
      <c r="B313" s="1">
        <v>-734.7</v>
      </c>
      <c r="C313" s="1">
        <v>36.32</v>
      </c>
      <c r="D313" s="1">
        <v>12</v>
      </c>
      <c r="E313" s="1">
        <v>12.8</v>
      </c>
      <c r="F313" s="1" cm="1">
        <f t="array" ref="F313">SUM(ABS(B313:E313))</f>
        <v>795.82</v>
      </c>
      <c r="G313" s="1">
        <v>54.23</v>
      </c>
      <c r="H313" s="1">
        <v>272.63</v>
      </c>
      <c r="I313" s="1">
        <v>-54.85</v>
      </c>
      <c r="J313" s="1">
        <v>0</v>
      </c>
      <c r="K313" s="1">
        <v>0</v>
      </c>
      <c r="L313" s="1">
        <v>-58.34</v>
      </c>
      <c r="M313" s="1">
        <v>0</v>
      </c>
      <c r="N313" s="1">
        <v>-30.77</v>
      </c>
      <c r="O313" s="1">
        <v>10.06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 cm="1">
        <f t="array" ref="V313">SUM(ABS(G313:U313))</f>
        <v>480.88000000000005</v>
      </c>
      <c r="W313" s="11" cm="1">
        <f t="array" ref="W313">SUM(ABS(B313:E313))+SUM(ABS(G313:U313))</f>
        <v>1276.7</v>
      </c>
    </row>
    <row r="314" spans="1:23" x14ac:dyDescent="0.3">
      <c r="A314" s="14">
        <v>45874.208333333336</v>
      </c>
      <c r="B314" s="1">
        <v>-728.48</v>
      </c>
      <c r="C314" s="1">
        <v>36.35</v>
      </c>
      <c r="D314" s="1">
        <v>12</v>
      </c>
      <c r="E314" s="1">
        <v>12.83</v>
      </c>
      <c r="F314" s="1" cm="1">
        <f t="array" ref="F314">SUM(ABS(B314:E314))</f>
        <v>789.66000000000008</v>
      </c>
      <c r="G314" s="1">
        <v>54.24</v>
      </c>
      <c r="H314" s="1">
        <v>272.94</v>
      </c>
      <c r="I314" s="1">
        <v>-54.84</v>
      </c>
      <c r="J314" s="1">
        <v>0</v>
      </c>
      <c r="K314" s="1">
        <v>0</v>
      </c>
      <c r="L314" s="1">
        <v>-57.98</v>
      </c>
      <c r="M314" s="1">
        <v>0</v>
      </c>
      <c r="N314" s="1">
        <v>-30.81</v>
      </c>
      <c r="O314" s="1">
        <v>10.07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 cm="1">
        <f t="array" ref="V314">SUM(ABS(G314:U314))</f>
        <v>480.88</v>
      </c>
      <c r="W314" s="11" cm="1">
        <f t="array" ref="W314">SUM(ABS(B314:E314))+SUM(ABS(G314:U314))</f>
        <v>1270.54</v>
      </c>
    </row>
    <row r="315" spans="1:23" x14ac:dyDescent="0.3">
      <c r="A315" s="14">
        <v>45874.21875</v>
      </c>
      <c r="B315" s="1">
        <v>-715.19</v>
      </c>
      <c r="C315" s="1">
        <v>36.369999999999997</v>
      </c>
      <c r="D315" s="1">
        <v>12</v>
      </c>
      <c r="E315" s="1">
        <v>12.85</v>
      </c>
      <c r="F315" s="1" cm="1">
        <f t="array" ref="F315">SUM(ABS(B315:E315))</f>
        <v>776.41000000000008</v>
      </c>
      <c r="G315" s="1">
        <v>54.24</v>
      </c>
      <c r="H315" s="1">
        <v>272.93</v>
      </c>
      <c r="I315" s="1">
        <v>-54.84</v>
      </c>
      <c r="J315" s="1">
        <v>0</v>
      </c>
      <c r="K315" s="1">
        <v>0</v>
      </c>
      <c r="L315" s="1">
        <v>-57.85</v>
      </c>
      <c r="M315" s="1">
        <v>0</v>
      </c>
      <c r="N315" s="1">
        <v>-30.79</v>
      </c>
      <c r="O315" s="1">
        <v>10.07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 cm="1">
        <f t="array" ref="V315">SUM(ABS(G315:U315))</f>
        <v>480.72</v>
      </c>
      <c r="W315" s="11" cm="1">
        <f t="array" ref="W315">SUM(ABS(B315:E315))+SUM(ABS(G315:U315))</f>
        <v>1257.1300000000001</v>
      </c>
    </row>
    <row r="316" spans="1:23" x14ac:dyDescent="0.3">
      <c r="A316" s="14">
        <v>45874.229166666664</v>
      </c>
      <c r="B316" s="1">
        <v>-680.43</v>
      </c>
      <c r="C316" s="1">
        <v>36.4</v>
      </c>
      <c r="D316" s="1">
        <v>12</v>
      </c>
      <c r="E316" s="1">
        <v>12.84</v>
      </c>
      <c r="F316" s="1" cm="1">
        <f t="array" ref="F316">SUM(ABS(B316:E316))</f>
        <v>741.67</v>
      </c>
      <c r="G316" s="1">
        <v>54.23</v>
      </c>
      <c r="H316" s="1">
        <v>271.41000000000003</v>
      </c>
      <c r="I316" s="1">
        <v>-54.85</v>
      </c>
      <c r="J316" s="1">
        <v>0</v>
      </c>
      <c r="K316" s="1">
        <v>0</v>
      </c>
      <c r="L316" s="1">
        <v>-57.5</v>
      </c>
      <c r="M316" s="1">
        <v>0</v>
      </c>
      <c r="N316" s="1">
        <v>-30.78</v>
      </c>
      <c r="O316" s="1">
        <v>10.06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 cm="1">
        <f t="array" ref="V316">SUM(ABS(G316:U316))</f>
        <v>478.8300000000001</v>
      </c>
      <c r="W316" s="11" cm="1">
        <f t="array" ref="W316">SUM(ABS(B316:E316))+SUM(ABS(G316:U316))</f>
        <v>1220.5</v>
      </c>
    </row>
    <row r="317" spans="1:23" x14ac:dyDescent="0.3">
      <c r="A317" s="14">
        <v>45874.239583333336</v>
      </c>
      <c r="B317" s="1">
        <v>-689.14</v>
      </c>
      <c r="C317" s="1">
        <v>36.409999999999997</v>
      </c>
      <c r="D317" s="1">
        <v>12</v>
      </c>
      <c r="E317" s="1">
        <v>12.86</v>
      </c>
      <c r="F317" s="1" cm="1">
        <f t="array" ref="F317">SUM(ABS(B317:E317))</f>
        <v>750.41</v>
      </c>
      <c r="G317" s="1">
        <v>54.23</v>
      </c>
      <c r="H317" s="1">
        <v>271.55</v>
      </c>
      <c r="I317" s="1">
        <v>-54.85</v>
      </c>
      <c r="J317" s="1">
        <v>0</v>
      </c>
      <c r="K317" s="1">
        <v>0</v>
      </c>
      <c r="L317" s="1">
        <v>-43.12</v>
      </c>
      <c r="M317" s="1">
        <v>0</v>
      </c>
      <c r="N317" s="1">
        <v>-30.79</v>
      </c>
      <c r="O317" s="1">
        <v>10.06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 cm="1">
        <f t="array" ref="V317">SUM(ABS(G317:U317))</f>
        <v>464.60000000000008</v>
      </c>
      <c r="W317" s="11" cm="1">
        <f t="array" ref="W317">SUM(ABS(B317:E317))+SUM(ABS(G317:U317))</f>
        <v>1215.01</v>
      </c>
    </row>
    <row r="318" spans="1:23" x14ac:dyDescent="0.3">
      <c r="A318" s="14">
        <v>45874.25</v>
      </c>
      <c r="B318" s="1">
        <v>-640.52</v>
      </c>
      <c r="C318" s="1">
        <v>36.44</v>
      </c>
      <c r="D318" s="1">
        <v>12</v>
      </c>
      <c r="E318" s="1">
        <v>12.88</v>
      </c>
      <c r="F318" s="1" cm="1">
        <f t="array" ref="F318">SUM(ABS(B318:E318))</f>
        <v>701.84</v>
      </c>
      <c r="G318" s="1">
        <v>54.23</v>
      </c>
      <c r="H318" s="1">
        <v>270.81</v>
      </c>
      <c r="I318" s="1">
        <v>-54.86</v>
      </c>
      <c r="J318" s="1">
        <v>0</v>
      </c>
      <c r="K318" s="1">
        <v>0</v>
      </c>
      <c r="L318" s="1">
        <v>-24.45</v>
      </c>
      <c r="M318" s="1">
        <v>0</v>
      </c>
      <c r="N318" s="1">
        <v>-30.79</v>
      </c>
      <c r="O318" s="1">
        <v>10.06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 cm="1">
        <f t="array" ref="V318">SUM(ABS(G318:U318))</f>
        <v>445.20000000000005</v>
      </c>
      <c r="W318" s="11" cm="1">
        <f t="array" ref="W318">SUM(ABS(B318:E318))+SUM(ABS(G318:U318))</f>
        <v>1147.04</v>
      </c>
    </row>
    <row r="319" spans="1:23" x14ac:dyDescent="0.3">
      <c r="A319" s="14">
        <v>45874.260416666664</v>
      </c>
      <c r="B319" s="1">
        <v>-669.29</v>
      </c>
      <c r="C319" s="1">
        <v>36.44</v>
      </c>
      <c r="D319" s="1">
        <v>12</v>
      </c>
      <c r="E319" s="1">
        <v>12.88</v>
      </c>
      <c r="F319" s="1" cm="1">
        <f t="array" ref="F319">SUM(ABS(B319:E319))</f>
        <v>730.61</v>
      </c>
      <c r="G319" s="1">
        <v>54.22</v>
      </c>
      <c r="H319" s="1">
        <v>272.39999999999998</v>
      </c>
      <c r="I319" s="1">
        <v>-54.84</v>
      </c>
      <c r="J319" s="1">
        <v>0</v>
      </c>
      <c r="K319" s="1">
        <v>0</v>
      </c>
      <c r="L319" s="1">
        <v>-24.47</v>
      </c>
      <c r="M319" s="1">
        <v>0</v>
      </c>
      <c r="N319" s="1">
        <v>-30.77</v>
      </c>
      <c r="O319" s="1">
        <v>10.06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 cm="1">
        <f t="array" ref="V319">SUM(ABS(G319:U319))</f>
        <v>446.76000000000005</v>
      </c>
      <c r="W319" s="11" cm="1">
        <f t="array" ref="W319">SUM(ABS(B319:E319))+SUM(ABS(G319:U319))</f>
        <v>1177.3700000000001</v>
      </c>
    </row>
    <row r="320" spans="1:23" x14ac:dyDescent="0.3">
      <c r="A320" s="14">
        <v>45874.270833333336</v>
      </c>
      <c r="B320" s="1">
        <v>-728</v>
      </c>
      <c r="C320" s="1">
        <v>36.450000000000003</v>
      </c>
      <c r="D320" s="1">
        <v>12</v>
      </c>
      <c r="E320" s="1">
        <v>12.87</v>
      </c>
      <c r="F320" s="1" cm="1">
        <f t="array" ref="F320">SUM(ABS(B320:E320))</f>
        <v>789.32</v>
      </c>
      <c r="G320" s="1">
        <v>54.22</v>
      </c>
      <c r="H320" s="1">
        <v>272.91000000000003</v>
      </c>
      <c r="I320" s="1">
        <v>-54.85</v>
      </c>
      <c r="J320" s="1">
        <v>0</v>
      </c>
      <c r="K320" s="1">
        <v>0</v>
      </c>
      <c r="L320" s="1">
        <v>-24.49</v>
      </c>
      <c r="M320" s="1">
        <v>0</v>
      </c>
      <c r="N320" s="1">
        <v>-30.79</v>
      </c>
      <c r="O320" s="1">
        <v>10.07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 cm="1">
        <f t="array" ref="V320">SUM(ABS(G320:U320))</f>
        <v>447.33000000000004</v>
      </c>
      <c r="W320" s="11" cm="1">
        <f t="array" ref="W320">SUM(ABS(B320:E320))+SUM(ABS(G320:U320))</f>
        <v>1236.6500000000001</v>
      </c>
    </row>
    <row r="321" spans="1:23" x14ac:dyDescent="0.3">
      <c r="A321" s="14">
        <v>45874.28125</v>
      </c>
      <c r="B321" s="1">
        <v>-691.59</v>
      </c>
      <c r="C321" s="1">
        <v>36.46</v>
      </c>
      <c r="D321" s="1">
        <v>12</v>
      </c>
      <c r="E321" s="1">
        <v>12.88</v>
      </c>
      <c r="F321" s="1" cm="1">
        <f t="array" ref="F321">SUM(ABS(B321:E321))</f>
        <v>752.93000000000006</v>
      </c>
      <c r="G321" s="1">
        <v>51.21</v>
      </c>
      <c r="H321" s="1">
        <v>272.89</v>
      </c>
      <c r="I321" s="1">
        <v>-54.85</v>
      </c>
      <c r="J321" s="1">
        <v>0</v>
      </c>
      <c r="K321" s="1">
        <v>0</v>
      </c>
      <c r="L321" s="1">
        <v>-24.48</v>
      </c>
      <c r="M321" s="1">
        <v>0</v>
      </c>
      <c r="N321" s="1">
        <v>-30.78</v>
      </c>
      <c r="O321" s="1">
        <v>10.07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 cm="1">
        <f t="array" ref="V321">SUM(ABS(G321:U321))</f>
        <v>444.28000000000003</v>
      </c>
      <c r="W321" s="11" cm="1">
        <f t="array" ref="W321">SUM(ABS(B321:E321))+SUM(ABS(G321:U321))</f>
        <v>1197.21</v>
      </c>
    </row>
    <row r="322" spans="1:23" x14ac:dyDescent="0.3">
      <c r="A322" s="14">
        <v>45874.291666666664</v>
      </c>
      <c r="B322" s="1">
        <v>-603.33000000000004</v>
      </c>
      <c r="C322" s="1">
        <v>36.450000000000003</v>
      </c>
      <c r="D322" s="1">
        <v>12</v>
      </c>
      <c r="E322" s="1">
        <v>12.88</v>
      </c>
      <c r="F322" s="1" cm="1">
        <f t="array" ref="F322">SUM(ABS(B322:E322))</f>
        <v>664.66000000000008</v>
      </c>
      <c r="G322" s="1">
        <v>46.2</v>
      </c>
      <c r="H322" s="1">
        <v>273.07</v>
      </c>
      <c r="I322" s="1">
        <v>-54.83</v>
      </c>
      <c r="J322" s="1">
        <v>0</v>
      </c>
      <c r="K322" s="1">
        <v>0</v>
      </c>
      <c r="L322" s="1">
        <v>-24.46</v>
      </c>
      <c r="M322" s="1">
        <v>0</v>
      </c>
      <c r="N322" s="1">
        <v>-30.77</v>
      </c>
      <c r="O322" s="1">
        <v>10.06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 cm="1">
        <f t="array" ref="V322">SUM(ABS(G322:U322))</f>
        <v>439.38999999999993</v>
      </c>
      <c r="W322" s="11" cm="1">
        <f t="array" ref="W322">SUM(ABS(B322:E322))+SUM(ABS(G322:U322))</f>
        <v>1104.05</v>
      </c>
    </row>
    <row r="323" spans="1:23" x14ac:dyDescent="0.3">
      <c r="A323" s="14">
        <v>45874.302083333336</v>
      </c>
      <c r="B323" s="1">
        <v>-306.12</v>
      </c>
      <c r="C323" s="1">
        <v>36.47</v>
      </c>
      <c r="D323" s="1">
        <v>12</v>
      </c>
      <c r="E323" s="1">
        <v>12.89</v>
      </c>
      <c r="F323" s="1" cm="1">
        <f t="array" ref="F323">SUM(ABS(B323:E323))</f>
        <v>367.48</v>
      </c>
      <c r="G323" s="1">
        <v>46.19</v>
      </c>
      <c r="H323" s="1">
        <v>272.48</v>
      </c>
      <c r="I323" s="1">
        <v>-54.84</v>
      </c>
      <c r="J323" s="1">
        <v>0</v>
      </c>
      <c r="K323" s="1">
        <v>0</v>
      </c>
      <c r="L323" s="1">
        <v>-24.46</v>
      </c>
      <c r="M323" s="1">
        <v>0</v>
      </c>
      <c r="N323" s="1">
        <v>-30.75</v>
      </c>
      <c r="O323" s="1">
        <v>10.06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 cm="1">
        <f t="array" ref="V323">SUM(ABS(G323:U323))</f>
        <v>438.78</v>
      </c>
      <c r="W323" s="11" cm="1">
        <f t="array" ref="W323">SUM(ABS(B323:E323))+SUM(ABS(G323:U323))</f>
        <v>806.26</v>
      </c>
    </row>
    <row r="324" spans="1:23" x14ac:dyDescent="0.3">
      <c r="A324" s="14">
        <v>45874.3125</v>
      </c>
      <c r="B324" s="1">
        <v>-336.07</v>
      </c>
      <c r="C324" s="1">
        <v>36.49</v>
      </c>
      <c r="D324" s="1">
        <v>12</v>
      </c>
      <c r="E324" s="1">
        <v>12.88</v>
      </c>
      <c r="F324" s="1" cm="1">
        <f t="array" ref="F324">SUM(ABS(B324:E324))</f>
        <v>397.44</v>
      </c>
      <c r="G324" s="1">
        <v>46.2</v>
      </c>
      <c r="H324" s="1">
        <v>272.83</v>
      </c>
      <c r="I324" s="1">
        <v>-54.83</v>
      </c>
      <c r="J324" s="1">
        <v>0</v>
      </c>
      <c r="K324" s="1">
        <v>0</v>
      </c>
      <c r="L324" s="1">
        <v>-24.48</v>
      </c>
      <c r="M324" s="1">
        <v>0</v>
      </c>
      <c r="N324" s="1">
        <v>-30.74</v>
      </c>
      <c r="O324" s="1">
        <v>10.06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 cm="1">
        <f t="array" ref="V324">SUM(ABS(G324:U324))</f>
        <v>439.14</v>
      </c>
      <c r="W324" s="11" cm="1">
        <f t="array" ref="W324">SUM(ABS(B324:E324))+SUM(ABS(G324:U324))</f>
        <v>836.57999999999993</v>
      </c>
    </row>
    <row r="325" spans="1:23" x14ac:dyDescent="0.3">
      <c r="A325" s="14">
        <v>45874.322916666664</v>
      </c>
      <c r="B325" s="1">
        <v>-243.1</v>
      </c>
      <c r="C325" s="1">
        <v>36.479999999999997</v>
      </c>
      <c r="D325" s="1">
        <v>12</v>
      </c>
      <c r="E325" s="1">
        <v>12.88</v>
      </c>
      <c r="F325" s="1" cm="1">
        <f t="array" ref="F325">SUM(ABS(B325:E325))</f>
        <v>304.45999999999998</v>
      </c>
      <c r="G325" s="1">
        <v>46.18</v>
      </c>
      <c r="H325" s="1">
        <v>222.65</v>
      </c>
      <c r="I325" s="1">
        <v>-54.83</v>
      </c>
      <c r="J325" s="1">
        <v>0</v>
      </c>
      <c r="K325" s="1">
        <v>0</v>
      </c>
      <c r="L325" s="1">
        <v>-7.99</v>
      </c>
      <c r="M325" s="1">
        <v>0</v>
      </c>
      <c r="N325" s="1">
        <v>-24.9</v>
      </c>
      <c r="O325" s="1">
        <v>10.050000000000001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 cm="1">
        <f t="array" ref="V325">SUM(ABS(G325:U325))</f>
        <v>366.59999999999997</v>
      </c>
      <c r="W325" s="11" cm="1">
        <f t="array" ref="W325">SUM(ABS(B325:E325))+SUM(ABS(G325:U325))</f>
        <v>671.06</v>
      </c>
    </row>
    <row r="326" spans="1:23" x14ac:dyDescent="0.3">
      <c r="A326" s="14">
        <v>45874.333333333336</v>
      </c>
      <c r="B326" s="1">
        <v>-315.68</v>
      </c>
      <c r="C326" s="1">
        <v>36.47</v>
      </c>
      <c r="D326" s="1">
        <v>12</v>
      </c>
      <c r="E326" s="1">
        <v>12.86</v>
      </c>
      <c r="F326" s="1" cm="1">
        <f t="array" ref="F326">SUM(ABS(B326:E326))</f>
        <v>377.01</v>
      </c>
      <c r="G326" s="1">
        <v>46.2</v>
      </c>
      <c r="H326" s="1">
        <v>210.89</v>
      </c>
      <c r="I326" s="1">
        <v>-54.83</v>
      </c>
      <c r="J326" s="1">
        <v>0</v>
      </c>
      <c r="K326" s="1">
        <v>0</v>
      </c>
      <c r="L326" s="1">
        <v>0</v>
      </c>
      <c r="M326" s="1">
        <v>0</v>
      </c>
      <c r="N326" s="1">
        <v>-15.27</v>
      </c>
      <c r="O326" s="1">
        <v>10.06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 cm="1">
        <f t="array" ref="V326">SUM(ABS(G326:U326))</f>
        <v>337.24999999999994</v>
      </c>
      <c r="W326" s="11" cm="1">
        <f t="array" ref="W326">SUM(ABS(B326:E326))+SUM(ABS(G326:U326))</f>
        <v>714.26</v>
      </c>
    </row>
    <row r="327" spans="1:23" x14ac:dyDescent="0.3">
      <c r="A327" s="14">
        <v>45874.34375</v>
      </c>
      <c r="B327" s="1">
        <v>-327.43</v>
      </c>
      <c r="C327" s="1">
        <v>36.44</v>
      </c>
      <c r="D327" s="1">
        <v>12</v>
      </c>
      <c r="E327" s="1">
        <v>12.84</v>
      </c>
      <c r="F327" s="1" cm="1">
        <f t="array" ref="F327">SUM(ABS(B327:E327))</f>
        <v>388.71</v>
      </c>
      <c r="G327" s="1">
        <v>46.2</v>
      </c>
      <c r="H327" s="1">
        <v>211.01</v>
      </c>
      <c r="I327" s="1">
        <v>-54.81</v>
      </c>
      <c r="J327" s="1">
        <v>0</v>
      </c>
      <c r="K327" s="1">
        <v>0</v>
      </c>
      <c r="L327" s="1">
        <v>0</v>
      </c>
      <c r="M327" s="1">
        <v>0</v>
      </c>
      <c r="N327" s="1">
        <v>-15.26</v>
      </c>
      <c r="O327" s="1">
        <v>10.06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 cm="1">
        <f t="array" ref="V327">SUM(ABS(G327:U327))</f>
        <v>337.34</v>
      </c>
      <c r="W327" s="11" cm="1">
        <f t="array" ref="W327">SUM(ABS(B327:E327))+SUM(ABS(G327:U327))</f>
        <v>726.05</v>
      </c>
    </row>
    <row r="328" spans="1:23" x14ac:dyDescent="0.3">
      <c r="A328" s="14">
        <v>45874.354166666664</v>
      </c>
      <c r="B328" s="1">
        <v>-281.75</v>
      </c>
      <c r="C328" s="1">
        <v>36.44</v>
      </c>
      <c r="D328" s="1">
        <v>12</v>
      </c>
      <c r="E328" s="1">
        <v>11.68</v>
      </c>
      <c r="F328" s="1" cm="1">
        <f t="array" ref="F328">SUM(ABS(B328:E328))</f>
        <v>341.87</v>
      </c>
      <c r="G328" s="1">
        <v>39.78</v>
      </c>
      <c r="H328" s="1">
        <v>214.34</v>
      </c>
      <c r="I328" s="1">
        <v>-49.75</v>
      </c>
      <c r="J328" s="1">
        <v>0</v>
      </c>
      <c r="K328" s="1">
        <v>0</v>
      </c>
      <c r="L328" s="1">
        <v>0</v>
      </c>
      <c r="M328" s="1">
        <v>0</v>
      </c>
      <c r="N328" s="1">
        <v>-8.09</v>
      </c>
      <c r="O328" s="1">
        <v>7.62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 cm="1">
        <f t="array" ref="V328">SUM(ABS(G328:U328))</f>
        <v>319.58</v>
      </c>
      <c r="W328" s="11" cm="1">
        <f t="array" ref="W328">SUM(ABS(B328:E328))+SUM(ABS(G328:U328))</f>
        <v>661.45</v>
      </c>
    </row>
    <row r="329" spans="1:23" x14ac:dyDescent="0.3">
      <c r="A329" s="14">
        <v>45874.364583333336</v>
      </c>
      <c r="B329" s="1">
        <v>-243.95</v>
      </c>
      <c r="C329" s="1">
        <v>36.409999999999997</v>
      </c>
      <c r="D329" s="1">
        <v>12</v>
      </c>
      <c r="E329" s="1">
        <v>6.4</v>
      </c>
      <c r="F329" s="1" cm="1">
        <f t="array" ref="F329">SUM(ABS(B329:E329))</f>
        <v>298.76</v>
      </c>
      <c r="G329" s="1">
        <v>20.16</v>
      </c>
      <c r="H329" s="1">
        <v>211.46</v>
      </c>
      <c r="I329" s="1">
        <v>-42.49</v>
      </c>
      <c r="J329" s="1">
        <v>0</v>
      </c>
      <c r="K329" s="1">
        <v>0</v>
      </c>
      <c r="L329" s="1">
        <v>0</v>
      </c>
      <c r="M329" s="1">
        <v>0</v>
      </c>
      <c r="N329" s="1">
        <v>0.19</v>
      </c>
      <c r="O329" s="1">
        <v>5.42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 cm="1">
        <f t="array" ref="V329">SUM(ABS(G329:U329))</f>
        <v>279.72000000000003</v>
      </c>
      <c r="W329" s="11" cm="1">
        <f t="array" ref="W329">SUM(ABS(B329:E329))+SUM(ABS(G329:U329))</f>
        <v>578.48</v>
      </c>
    </row>
    <row r="330" spans="1:23" x14ac:dyDescent="0.3">
      <c r="A330" s="14">
        <v>45874.375</v>
      </c>
      <c r="B330" s="1">
        <v>-247.27</v>
      </c>
      <c r="C330" s="1">
        <v>36.450000000000003</v>
      </c>
      <c r="D330" s="1">
        <v>12</v>
      </c>
      <c r="E330" s="1">
        <v>6.37</v>
      </c>
      <c r="F330" s="1" cm="1">
        <f t="array" ref="F330">SUM(ABS(B330:E330))</f>
        <v>302.09000000000003</v>
      </c>
      <c r="G330" s="1">
        <v>20.07</v>
      </c>
      <c r="H330" s="1">
        <v>242.18</v>
      </c>
      <c r="I330" s="1">
        <v>-41.76</v>
      </c>
      <c r="J330" s="1">
        <v>0</v>
      </c>
      <c r="K330" s="1">
        <v>0</v>
      </c>
      <c r="L330" s="1">
        <v>0</v>
      </c>
      <c r="M330" s="1">
        <v>0</v>
      </c>
      <c r="N330" s="1">
        <v>0.11</v>
      </c>
      <c r="O330" s="1">
        <v>5.43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 cm="1">
        <f t="array" ref="V330">SUM(ABS(G330:U330))</f>
        <v>309.55</v>
      </c>
      <c r="W330" s="11" cm="1">
        <f t="array" ref="W330">SUM(ABS(B330:E330))+SUM(ABS(G330:U330))</f>
        <v>611.6400000000001</v>
      </c>
    </row>
    <row r="331" spans="1:23" x14ac:dyDescent="0.3">
      <c r="A331" s="14">
        <v>45874.385416666664</v>
      </c>
      <c r="B331" s="1">
        <v>-364.15</v>
      </c>
      <c r="C331" s="1">
        <v>36.43</v>
      </c>
      <c r="D331" s="1">
        <v>12</v>
      </c>
      <c r="E331" s="1">
        <v>6.37</v>
      </c>
      <c r="F331" s="1" cm="1">
        <f t="array" ref="F331">SUM(ABS(B331:E331))</f>
        <v>418.95</v>
      </c>
      <c r="G331" s="1">
        <v>20.059999999999999</v>
      </c>
      <c r="H331" s="1">
        <v>273.08999999999997</v>
      </c>
      <c r="I331" s="1">
        <v>-41.6</v>
      </c>
      <c r="J331" s="1">
        <v>0</v>
      </c>
      <c r="K331" s="1">
        <v>0</v>
      </c>
      <c r="L331" s="1">
        <v>0</v>
      </c>
      <c r="M331" s="1">
        <v>0</v>
      </c>
      <c r="N331" s="1">
        <v>0.08</v>
      </c>
      <c r="O331" s="1">
        <v>5.43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 cm="1">
        <f t="array" ref="V331">SUM(ABS(G331:U331))</f>
        <v>340.26</v>
      </c>
      <c r="W331" s="11" cm="1">
        <f t="array" ref="W331">SUM(ABS(B331:E331))+SUM(ABS(G331:U331))</f>
        <v>759.21</v>
      </c>
    </row>
    <row r="332" spans="1:23" x14ac:dyDescent="0.3">
      <c r="A332" s="14">
        <v>45874.395833333336</v>
      </c>
      <c r="B332" s="1">
        <v>-366.98</v>
      </c>
      <c r="C332" s="1">
        <v>36.450000000000003</v>
      </c>
      <c r="D332" s="1">
        <v>12</v>
      </c>
      <c r="E332" s="1">
        <v>6.36</v>
      </c>
      <c r="F332" s="1" cm="1">
        <f t="array" ref="F332">SUM(ABS(B332:E332))</f>
        <v>421.79</v>
      </c>
      <c r="G332" s="1">
        <v>20.07</v>
      </c>
      <c r="H332" s="1">
        <v>273.64999999999998</v>
      </c>
      <c r="I332" s="1">
        <v>-26.39</v>
      </c>
      <c r="J332" s="1">
        <v>0</v>
      </c>
      <c r="K332" s="1">
        <v>0</v>
      </c>
      <c r="L332" s="1">
        <v>0</v>
      </c>
      <c r="M332" s="1">
        <v>0</v>
      </c>
      <c r="N332" s="1">
        <v>0.09</v>
      </c>
      <c r="O332" s="1">
        <v>5.43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 cm="1">
        <f t="array" ref="V332">SUM(ABS(G332:U332))</f>
        <v>325.62999999999994</v>
      </c>
      <c r="W332" s="11" cm="1">
        <f t="array" ref="W332">SUM(ABS(B332:E332))+SUM(ABS(G332:U332))</f>
        <v>747.42</v>
      </c>
    </row>
    <row r="333" spans="1:23" x14ac:dyDescent="0.3">
      <c r="A333" s="14">
        <v>45874.40625</v>
      </c>
      <c r="B333" s="1">
        <v>-333.91</v>
      </c>
      <c r="C333" s="1">
        <v>36.44</v>
      </c>
      <c r="D333" s="1">
        <v>12</v>
      </c>
      <c r="E333" s="1">
        <v>6.35</v>
      </c>
      <c r="F333" s="1" cm="1">
        <f t="array" ref="F333">SUM(ABS(B333:E333))</f>
        <v>388.70000000000005</v>
      </c>
      <c r="G333" s="1">
        <v>20.07</v>
      </c>
      <c r="H333" s="1">
        <v>272.24</v>
      </c>
      <c r="I333" s="1">
        <v>-20.62</v>
      </c>
      <c r="J333" s="1">
        <v>0</v>
      </c>
      <c r="K333" s="1">
        <v>0</v>
      </c>
      <c r="L333" s="1">
        <v>0</v>
      </c>
      <c r="M333" s="1">
        <v>0</v>
      </c>
      <c r="N333" s="1">
        <v>0.1</v>
      </c>
      <c r="O333" s="1">
        <v>5.43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 cm="1">
        <f t="array" ref="V333">SUM(ABS(G333:U333))</f>
        <v>318.46000000000004</v>
      </c>
      <c r="W333" s="11" cm="1">
        <f t="array" ref="W333">SUM(ABS(B333:E333))+SUM(ABS(G333:U333))</f>
        <v>707.16000000000008</v>
      </c>
    </row>
    <row r="334" spans="1:23" x14ac:dyDescent="0.3">
      <c r="A334" s="14">
        <v>45874.416666666664</v>
      </c>
      <c r="B334" s="1">
        <v>-344.6</v>
      </c>
      <c r="C334" s="1">
        <v>36.47</v>
      </c>
      <c r="D334" s="1">
        <v>12</v>
      </c>
      <c r="E334" s="1">
        <v>6.34</v>
      </c>
      <c r="F334" s="1" cm="1">
        <f t="array" ref="F334">SUM(ABS(B334:E334))</f>
        <v>399.41</v>
      </c>
      <c r="G334" s="1">
        <v>20.07</v>
      </c>
      <c r="H334" s="1">
        <v>230.05</v>
      </c>
      <c r="I334" s="1">
        <v>-20.67</v>
      </c>
      <c r="J334" s="1">
        <v>0</v>
      </c>
      <c r="K334" s="1">
        <v>0</v>
      </c>
      <c r="L334" s="1">
        <v>0</v>
      </c>
      <c r="M334" s="1">
        <v>0</v>
      </c>
      <c r="N334" s="1">
        <v>0.09</v>
      </c>
      <c r="O334" s="1">
        <v>5.43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 cm="1">
        <f t="array" ref="V334">SUM(ABS(G334:U334))</f>
        <v>276.31</v>
      </c>
      <c r="W334" s="11" cm="1">
        <f t="array" ref="W334">SUM(ABS(B334:E334))+SUM(ABS(G334:U334))</f>
        <v>675.72</v>
      </c>
    </row>
    <row r="335" spans="1:23" x14ac:dyDescent="0.3">
      <c r="A335" s="14">
        <v>45874.427083333336</v>
      </c>
      <c r="B335" s="1">
        <v>-366.64</v>
      </c>
      <c r="C335" s="1">
        <v>36.46</v>
      </c>
      <c r="D335" s="1">
        <v>12</v>
      </c>
      <c r="E335" s="1">
        <v>6.34</v>
      </c>
      <c r="F335" s="1" cm="1">
        <f t="array" ref="F335">SUM(ABS(B335:E335))</f>
        <v>421.43999999999994</v>
      </c>
      <c r="G335" s="1">
        <v>20.07</v>
      </c>
      <c r="H335" s="1">
        <v>242.75</v>
      </c>
      <c r="I335" s="1">
        <v>-20.69</v>
      </c>
      <c r="J335" s="1">
        <v>0</v>
      </c>
      <c r="K335" s="1">
        <v>0</v>
      </c>
      <c r="L335" s="1">
        <v>0</v>
      </c>
      <c r="M335" s="1">
        <v>0</v>
      </c>
      <c r="N335" s="1">
        <v>0.09</v>
      </c>
      <c r="O335" s="1">
        <v>5.43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 cm="1">
        <f t="array" ref="V335">SUM(ABS(G335:U335))</f>
        <v>289.02999999999997</v>
      </c>
      <c r="W335" s="11" cm="1">
        <f t="array" ref="W335">SUM(ABS(B335:E335))+SUM(ABS(G335:U335))</f>
        <v>710.46999999999991</v>
      </c>
    </row>
    <row r="336" spans="1:23" x14ac:dyDescent="0.3">
      <c r="A336" s="14">
        <v>45874.4375</v>
      </c>
      <c r="B336" s="1">
        <v>-441.36</v>
      </c>
      <c r="C336" s="1">
        <v>36.450000000000003</v>
      </c>
      <c r="D336" s="1">
        <v>12</v>
      </c>
      <c r="E336" s="1">
        <v>6.34</v>
      </c>
      <c r="F336" s="1" cm="1">
        <f t="array" ref="F336">SUM(ABS(B336:E336))</f>
        <v>496.15</v>
      </c>
      <c r="G336" s="1">
        <v>20.09</v>
      </c>
      <c r="H336" s="1">
        <v>191.42</v>
      </c>
      <c r="I336" s="1">
        <v>-20.69</v>
      </c>
      <c r="J336" s="1">
        <v>0</v>
      </c>
      <c r="K336" s="1">
        <v>0</v>
      </c>
      <c r="L336" s="1">
        <v>0</v>
      </c>
      <c r="M336" s="1">
        <v>0</v>
      </c>
      <c r="N336" s="1">
        <v>0.08</v>
      </c>
      <c r="O336" s="1">
        <v>5.43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 cm="1">
        <f t="array" ref="V336">SUM(ABS(G336:U336))</f>
        <v>237.71</v>
      </c>
      <c r="W336" s="11" cm="1">
        <f t="array" ref="W336">SUM(ABS(B336:E336))+SUM(ABS(G336:U336))</f>
        <v>733.86</v>
      </c>
    </row>
    <row r="337" spans="1:23" x14ac:dyDescent="0.3">
      <c r="A337" s="14">
        <v>45874.447916666664</v>
      </c>
      <c r="B337" s="1">
        <v>-414.48</v>
      </c>
      <c r="C337" s="1">
        <v>36.369999999999997</v>
      </c>
      <c r="D337" s="1">
        <v>12</v>
      </c>
      <c r="E337" s="1">
        <v>6.34</v>
      </c>
      <c r="F337" s="1" cm="1">
        <f t="array" ref="F337">SUM(ABS(B337:E337))</f>
        <v>469.19</v>
      </c>
      <c r="G337" s="1">
        <v>20.079999999999998</v>
      </c>
      <c r="H337" s="1">
        <v>181.81</v>
      </c>
      <c r="I337" s="1">
        <v>-20.65</v>
      </c>
      <c r="J337" s="1">
        <v>0</v>
      </c>
      <c r="K337" s="1">
        <v>0</v>
      </c>
      <c r="L337" s="1">
        <v>0</v>
      </c>
      <c r="M337" s="1">
        <v>0</v>
      </c>
      <c r="N337" s="1">
        <v>0.09</v>
      </c>
      <c r="O337" s="1">
        <v>5.43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 cm="1">
        <f t="array" ref="V337">SUM(ABS(G337:U337))</f>
        <v>228.06</v>
      </c>
      <c r="W337" s="11" cm="1">
        <f t="array" ref="W337">SUM(ABS(B337:E337))+SUM(ABS(G337:U337))</f>
        <v>697.25</v>
      </c>
    </row>
    <row r="338" spans="1:23" x14ac:dyDescent="0.3">
      <c r="A338" s="14">
        <v>45874.458333333336</v>
      </c>
      <c r="B338" s="1">
        <v>-249.73</v>
      </c>
      <c r="C338" s="1">
        <v>36.33</v>
      </c>
      <c r="D338" s="1">
        <v>12</v>
      </c>
      <c r="E338" s="1">
        <v>6.34</v>
      </c>
      <c r="F338" s="1" cm="1">
        <f t="array" ref="F338">SUM(ABS(B338:E338))</f>
        <v>304.39999999999998</v>
      </c>
      <c r="G338" s="1">
        <v>20.079999999999998</v>
      </c>
      <c r="H338" s="1">
        <v>176.33</v>
      </c>
      <c r="I338" s="1">
        <v>-20.64</v>
      </c>
      <c r="J338" s="1">
        <v>0</v>
      </c>
      <c r="K338" s="1">
        <v>0</v>
      </c>
      <c r="L338" s="1">
        <v>0</v>
      </c>
      <c r="M338" s="1">
        <v>0</v>
      </c>
      <c r="N338" s="1">
        <v>0.11</v>
      </c>
      <c r="O338" s="1">
        <v>5.43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 cm="1">
        <f t="array" ref="V338">SUM(ABS(G338:U338))</f>
        <v>222.59000000000003</v>
      </c>
      <c r="W338" s="11" cm="1">
        <f t="array" ref="W338">SUM(ABS(B338:E338))+SUM(ABS(G338:U338))</f>
        <v>526.99</v>
      </c>
    </row>
    <row r="339" spans="1:23" x14ac:dyDescent="0.3">
      <c r="A339" s="14">
        <v>45874.46875</v>
      </c>
      <c r="B339" s="1">
        <v>-223.34</v>
      </c>
      <c r="C339" s="1">
        <v>36.28</v>
      </c>
      <c r="D339" s="1">
        <v>12</v>
      </c>
      <c r="E339" s="1">
        <v>6.33</v>
      </c>
      <c r="F339" s="1" cm="1">
        <f t="array" ref="F339">SUM(ABS(B339:E339))</f>
        <v>277.95</v>
      </c>
      <c r="G339" s="1">
        <v>20.09</v>
      </c>
      <c r="H339" s="1">
        <v>184.47</v>
      </c>
      <c r="I339" s="1">
        <v>-20.63</v>
      </c>
      <c r="J339" s="1">
        <v>0</v>
      </c>
      <c r="K339" s="1">
        <v>0</v>
      </c>
      <c r="L339" s="1">
        <v>0</v>
      </c>
      <c r="M339" s="1">
        <v>0</v>
      </c>
      <c r="N339" s="1">
        <v>0.11</v>
      </c>
      <c r="O339" s="1">
        <v>5.42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 cm="1">
        <f t="array" ref="V339">SUM(ABS(G339:U339))</f>
        <v>230.72</v>
      </c>
      <c r="W339" s="11" cm="1">
        <f t="array" ref="W339">SUM(ABS(B339:E339))+SUM(ABS(G339:U339))</f>
        <v>508.66999999999996</v>
      </c>
    </row>
    <row r="340" spans="1:23" x14ac:dyDescent="0.3">
      <c r="A340" s="14">
        <v>45874.479166666664</v>
      </c>
      <c r="B340" s="1">
        <v>-194.71</v>
      </c>
      <c r="C340" s="1">
        <v>36.229999999999997</v>
      </c>
      <c r="D340" s="1">
        <v>12</v>
      </c>
      <c r="E340" s="1">
        <v>6.36</v>
      </c>
      <c r="F340" s="1" cm="1">
        <f t="array" ref="F340">SUM(ABS(B340:E340))</f>
        <v>249.3</v>
      </c>
      <c r="G340" s="1">
        <v>20.100000000000001</v>
      </c>
      <c r="H340" s="1">
        <v>208.68</v>
      </c>
      <c r="I340" s="1">
        <v>-20.63</v>
      </c>
      <c r="J340" s="1">
        <v>0</v>
      </c>
      <c r="K340" s="1">
        <v>0</v>
      </c>
      <c r="L340" s="1">
        <v>0</v>
      </c>
      <c r="M340" s="1">
        <v>0</v>
      </c>
      <c r="N340" s="1">
        <v>0.11</v>
      </c>
      <c r="O340" s="1">
        <v>5.42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 cm="1">
        <f t="array" ref="V340">SUM(ABS(G340:U340))</f>
        <v>254.94</v>
      </c>
      <c r="W340" s="11" cm="1">
        <f t="array" ref="W340">SUM(ABS(B340:E340))+SUM(ABS(G340:U340))</f>
        <v>504.24</v>
      </c>
    </row>
    <row r="341" spans="1:23" x14ac:dyDescent="0.3">
      <c r="A341" s="14">
        <v>45874.489583333336</v>
      </c>
      <c r="B341" s="1">
        <v>-180.6</v>
      </c>
      <c r="C341" s="1">
        <v>36.19</v>
      </c>
      <c r="D341" s="1">
        <v>12</v>
      </c>
      <c r="E341" s="1">
        <v>6.37</v>
      </c>
      <c r="F341" s="1" cm="1">
        <f t="array" ref="F341">SUM(ABS(B341:E341))</f>
        <v>235.16</v>
      </c>
      <c r="G341" s="1">
        <v>20.079999999999998</v>
      </c>
      <c r="H341" s="1">
        <v>214</v>
      </c>
      <c r="I341" s="1">
        <v>-20.61</v>
      </c>
      <c r="J341" s="1">
        <v>0</v>
      </c>
      <c r="K341" s="1">
        <v>0</v>
      </c>
      <c r="L341" s="1">
        <v>0</v>
      </c>
      <c r="M341" s="1">
        <v>0</v>
      </c>
      <c r="N341" s="1">
        <v>0.12</v>
      </c>
      <c r="O341" s="1">
        <v>5.43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 cm="1">
        <f t="array" ref="V341">SUM(ABS(G341:U341))</f>
        <v>260.24</v>
      </c>
      <c r="W341" s="11" cm="1">
        <f t="array" ref="W341">SUM(ABS(B341:E341))+SUM(ABS(G341:U341))</f>
        <v>495.4</v>
      </c>
    </row>
    <row r="342" spans="1:23" x14ac:dyDescent="0.3">
      <c r="A342" s="14">
        <v>45874.5</v>
      </c>
      <c r="B342" s="1">
        <v>-187.94</v>
      </c>
      <c r="C342" s="1">
        <v>36.18</v>
      </c>
      <c r="D342" s="1">
        <v>12</v>
      </c>
      <c r="E342" s="1">
        <v>6.37</v>
      </c>
      <c r="F342" s="1" cm="1">
        <f t="array" ref="F342">SUM(ABS(B342:E342))</f>
        <v>242.49</v>
      </c>
      <c r="G342" s="1">
        <v>20.09</v>
      </c>
      <c r="H342" s="1">
        <v>212.22</v>
      </c>
      <c r="I342" s="1">
        <v>-20.59</v>
      </c>
      <c r="J342" s="1">
        <v>0</v>
      </c>
      <c r="K342" s="1">
        <v>0</v>
      </c>
      <c r="L342" s="1">
        <v>0</v>
      </c>
      <c r="M342" s="1">
        <v>0</v>
      </c>
      <c r="N342" s="1">
        <v>0.12</v>
      </c>
      <c r="O342" s="1">
        <v>5.42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 cm="1">
        <f t="array" ref="V342">SUM(ABS(G342:U342))</f>
        <v>258.44</v>
      </c>
      <c r="W342" s="11" cm="1">
        <f t="array" ref="W342">SUM(ABS(B342:E342))+SUM(ABS(G342:U342))</f>
        <v>500.93</v>
      </c>
    </row>
    <row r="343" spans="1:23" x14ac:dyDescent="0.3">
      <c r="A343" s="14">
        <v>45874.510416666664</v>
      </c>
      <c r="B343" s="1">
        <v>-210.38</v>
      </c>
      <c r="C343" s="1">
        <v>36.15</v>
      </c>
      <c r="D343" s="1">
        <v>12</v>
      </c>
      <c r="E343" s="1">
        <v>6.38</v>
      </c>
      <c r="F343" s="1" cm="1">
        <f t="array" ref="F343">SUM(ABS(B343:E343))</f>
        <v>264.90999999999997</v>
      </c>
      <c r="G343" s="1">
        <v>20.09</v>
      </c>
      <c r="H343" s="1">
        <v>266.35000000000002</v>
      </c>
      <c r="I343" s="1">
        <v>-20.63</v>
      </c>
      <c r="J343" s="1">
        <v>0</v>
      </c>
      <c r="K343" s="1">
        <v>0</v>
      </c>
      <c r="L343" s="1">
        <v>0</v>
      </c>
      <c r="M343" s="1">
        <v>0</v>
      </c>
      <c r="N343" s="1">
        <v>0.1</v>
      </c>
      <c r="O343" s="1">
        <v>5.42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 cm="1">
        <f t="array" ref="V343">SUM(ABS(G343:U343))</f>
        <v>312.59000000000003</v>
      </c>
      <c r="W343" s="11" cm="1">
        <f t="array" ref="W343">SUM(ABS(B343:E343))+SUM(ABS(G343:U343))</f>
        <v>577.5</v>
      </c>
    </row>
    <row r="344" spans="1:23" x14ac:dyDescent="0.3">
      <c r="A344" s="14">
        <v>45874.520833333336</v>
      </c>
      <c r="B344" s="1">
        <v>-231.33</v>
      </c>
      <c r="C344" s="1">
        <v>36.17</v>
      </c>
      <c r="D344" s="1">
        <v>12</v>
      </c>
      <c r="E344" s="1">
        <v>6.38</v>
      </c>
      <c r="F344" s="1" cm="1">
        <f t="array" ref="F344">SUM(ABS(B344:E344))</f>
        <v>285.88</v>
      </c>
      <c r="G344" s="1">
        <v>20.09</v>
      </c>
      <c r="H344" s="1">
        <v>274.13</v>
      </c>
      <c r="I344" s="1">
        <v>-20.61</v>
      </c>
      <c r="J344" s="1">
        <v>0</v>
      </c>
      <c r="K344" s="1">
        <v>0</v>
      </c>
      <c r="L344" s="1">
        <v>0</v>
      </c>
      <c r="M344" s="1">
        <v>0</v>
      </c>
      <c r="N344" s="1">
        <v>0.09</v>
      </c>
      <c r="O344" s="1">
        <v>5.43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 cm="1">
        <f t="array" ref="V344">SUM(ABS(G344:U344))</f>
        <v>320.34999999999997</v>
      </c>
      <c r="W344" s="11" cm="1">
        <f t="array" ref="W344">SUM(ABS(B344:E344))+SUM(ABS(G344:U344))</f>
        <v>606.23</v>
      </c>
    </row>
    <row r="345" spans="1:23" x14ac:dyDescent="0.3">
      <c r="A345" s="14">
        <v>45874.53125</v>
      </c>
      <c r="B345" s="1">
        <v>-307.35000000000002</v>
      </c>
      <c r="C345" s="1">
        <v>36.200000000000003</v>
      </c>
      <c r="D345" s="1">
        <v>12</v>
      </c>
      <c r="E345" s="1">
        <v>6.39</v>
      </c>
      <c r="F345" s="1" cm="1">
        <f t="array" ref="F345">SUM(ABS(B345:E345))</f>
        <v>361.94</v>
      </c>
      <c r="G345" s="1">
        <v>20.079999999999998</v>
      </c>
      <c r="H345" s="1">
        <v>262.44</v>
      </c>
      <c r="I345" s="1">
        <v>-20.6</v>
      </c>
      <c r="J345" s="1">
        <v>0</v>
      </c>
      <c r="K345" s="1">
        <v>0</v>
      </c>
      <c r="L345" s="1">
        <v>0</v>
      </c>
      <c r="M345" s="1">
        <v>0</v>
      </c>
      <c r="N345" s="1">
        <v>0.1</v>
      </c>
      <c r="O345" s="1">
        <v>5.42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 cm="1">
        <f t="array" ref="V345">SUM(ABS(G345:U345))</f>
        <v>308.64000000000004</v>
      </c>
      <c r="W345" s="11" cm="1">
        <f t="array" ref="W345">SUM(ABS(B345:E345))+SUM(ABS(G345:U345))</f>
        <v>670.58</v>
      </c>
    </row>
    <row r="346" spans="1:23" x14ac:dyDescent="0.3">
      <c r="A346" s="14">
        <v>45874.541666666664</v>
      </c>
      <c r="B346" s="1">
        <v>-288.63</v>
      </c>
      <c r="C346" s="1">
        <v>36.19</v>
      </c>
      <c r="D346" s="1">
        <v>12</v>
      </c>
      <c r="E346" s="1">
        <v>6.4</v>
      </c>
      <c r="F346" s="1" cm="1">
        <f t="array" ref="F346">SUM(ABS(B346:E346))</f>
        <v>343.21999999999997</v>
      </c>
      <c r="G346" s="1">
        <v>20.079999999999998</v>
      </c>
      <c r="H346" s="1">
        <v>214.14</v>
      </c>
      <c r="I346" s="1">
        <v>-20.64</v>
      </c>
      <c r="J346" s="1">
        <v>0</v>
      </c>
      <c r="K346" s="1">
        <v>0</v>
      </c>
      <c r="L346" s="1">
        <v>0</v>
      </c>
      <c r="M346" s="1">
        <v>0</v>
      </c>
      <c r="N346" s="1">
        <v>0.11</v>
      </c>
      <c r="O346" s="1">
        <v>5.42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 cm="1">
        <f t="array" ref="V346">SUM(ABS(G346:U346))</f>
        <v>260.39</v>
      </c>
      <c r="W346" s="11" cm="1">
        <f t="array" ref="W346">SUM(ABS(B346:E346))+SUM(ABS(G346:U346))</f>
        <v>603.6099999999999</v>
      </c>
    </row>
    <row r="347" spans="1:23" x14ac:dyDescent="0.3">
      <c r="A347" s="14">
        <v>45874.552083333336</v>
      </c>
      <c r="B347" s="1">
        <v>-247.45</v>
      </c>
      <c r="C347" s="1">
        <v>36.17</v>
      </c>
      <c r="D347" s="1">
        <v>12</v>
      </c>
      <c r="E347" s="1">
        <v>6.39</v>
      </c>
      <c r="F347" s="1" cm="1">
        <f t="array" ref="F347">SUM(ABS(B347:E347))</f>
        <v>302.01</v>
      </c>
      <c r="G347" s="1">
        <v>20.07</v>
      </c>
      <c r="H347" s="1">
        <v>215.95</v>
      </c>
      <c r="I347" s="1">
        <v>-20.67</v>
      </c>
      <c r="J347" s="1">
        <v>0</v>
      </c>
      <c r="K347" s="1">
        <v>0</v>
      </c>
      <c r="L347" s="1">
        <v>0</v>
      </c>
      <c r="M347" s="1">
        <v>0</v>
      </c>
      <c r="N347" s="1">
        <v>0.11</v>
      </c>
      <c r="O347" s="1">
        <v>5.42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 cm="1">
        <f t="array" ref="V347">SUM(ABS(G347:U347))</f>
        <v>262.22000000000003</v>
      </c>
      <c r="W347" s="11" cm="1">
        <f t="array" ref="W347">SUM(ABS(B347:E347))+SUM(ABS(G347:U347))</f>
        <v>564.23</v>
      </c>
    </row>
    <row r="348" spans="1:23" x14ac:dyDescent="0.3">
      <c r="A348" s="14">
        <v>45874.5625</v>
      </c>
      <c r="B348" s="1">
        <v>-284.87</v>
      </c>
      <c r="C348" s="1">
        <v>36.130000000000003</v>
      </c>
      <c r="D348" s="1">
        <v>12</v>
      </c>
      <c r="E348" s="1">
        <v>6.38</v>
      </c>
      <c r="F348" s="1" cm="1">
        <f t="array" ref="F348">SUM(ABS(B348:E348))</f>
        <v>339.38</v>
      </c>
      <c r="G348" s="1">
        <v>20.09</v>
      </c>
      <c r="H348" s="1">
        <v>216.35</v>
      </c>
      <c r="I348" s="1">
        <v>-20.66</v>
      </c>
      <c r="J348" s="1">
        <v>0</v>
      </c>
      <c r="K348" s="1">
        <v>0</v>
      </c>
      <c r="L348" s="1">
        <v>0</v>
      </c>
      <c r="M348" s="1">
        <v>0</v>
      </c>
      <c r="N348" s="1">
        <v>0.11</v>
      </c>
      <c r="O348" s="1">
        <v>5.42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 cm="1">
        <f t="array" ref="V348">SUM(ABS(G348:U348))</f>
        <v>262.63000000000005</v>
      </c>
      <c r="W348" s="11" cm="1">
        <f t="array" ref="W348">SUM(ABS(B348:E348))+SUM(ABS(G348:U348))</f>
        <v>602.01</v>
      </c>
    </row>
    <row r="349" spans="1:23" x14ac:dyDescent="0.3">
      <c r="A349" s="14">
        <v>45874.572916666664</v>
      </c>
      <c r="B349" s="1">
        <v>-445.16</v>
      </c>
      <c r="C349" s="1">
        <v>36.11</v>
      </c>
      <c r="D349" s="1">
        <v>12</v>
      </c>
      <c r="E349" s="1">
        <v>6.39</v>
      </c>
      <c r="F349" s="1" cm="1">
        <f t="array" ref="F349">SUM(ABS(B349:E349))</f>
        <v>499.66</v>
      </c>
      <c r="G349" s="1">
        <v>20.09</v>
      </c>
      <c r="H349" s="1">
        <v>215.83</v>
      </c>
      <c r="I349" s="1">
        <v>-20.66</v>
      </c>
      <c r="J349" s="1">
        <v>0</v>
      </c>
      <c r="K349" s="1">
        <v>0</v>
      </c>
      <c r="L349" s="1">
        <v>0</v>
      </c>
      <c r="M349" s="1">
        <v>0</v>
      </c>
      <c r="N349" s="1">
        <v>0.1</v>
      </c>
      <c r="O349" s="1">
        <v>5.42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 cm="1">
        <f t="array" ref="V349">SUM(ABS(G349:U349))</f>
        <v>262.10000000000008</v>
      </c>
      <c r="W349" s="11" cm="1">
        <f t="array" ref="W349">SUM(ABS(B349:E349))+SUM(ABS(G349:U349))</f>
        <v>761.7600000000001</v>
      </c>
    </row>
    <row r="350" spans="1:23" x14ac:dyDescent="0.3">
      <c r="A350" s="14">
        <v>45874.583333333336</v>
      </c>
      <c r="B350" s="1">
        <v>-447.52</v>
      </c>
      <c r="C350" s="1">
        <v>36.08</v>
      </c>
      <c r="D350" s="1">
        <v>12</v>
      </c>
      <c r="E350" s="1">
        <v>6.4</v>
      </c>
      <c r="F350" s="1" cm="1">
        <f t="array" ref="F350">SUM(ABS(B350:E350))</f>
        <v>501.99999999999994</v>
      </c>
      <c r="G350" s="1">
        <v>20.09</v>
      </c>
      <c r="H350" s="1">
        <v>212.92</v>
      </c>
      <c r="I350" s="1">
        <v>-20.64</v>
      </c>
      <c r="J350" s="1">
        <v>21.49</v>
      </c>
      <c r="K350" s="1">
        <v>0</v>
      </c>
      <c r="L350" s="1">
        <v>0</v>
      </c>
      <c r="M350" s="1">
        <v>0</v>
      </c>
      <c r="N350" s="1">
        <v>0.11</v>
      </c>
      <c r="O350" s="1">
        <v>5.42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 cm="1">
        <f t="array" ref="V350">SUM(ABS(G350:U350))</f>
        <v>280.67</v>
      </c>
      <c r="W350" s="11" cm="1">
        <f t="array" ref="W350">SUM(ABS(B350:E350))+SUM(ABS(G350:U350))</f>
        <v>782.67</v>
      </c>
    </row>
    <row r="351" spans="1:23" x14ac:dyDescent="0.3">
      <c r="A351" s="14">
        <v>45874.59375</v>
      </c>
      <c r="B351" s="1">
        <v>-469.71</v>
      </c>
      <c r="C351" s="1">
        <v>36.08</v>
      </c>
      <c r="D351" s="1">
        <v>12</v>
      </c>
      <c r="E351" s="1">
        <v>6.39</v>
      </c>
      <c r="F351" s="1" cm="1">
        <f t="array" ref="F351">SUM(ABS(B351:E351))</f>
        <v>524.17999999999995</v>
      </c>
      <c r="G351" s="1">
        <v>20.09</v>
      </c>
      <c r="H351" s="1">
        <v>213.54</v>
      </c>
      <c r="I351" s="1">
        <v>-20.63</v>
      </c>
      <c r="J351" s="1">
        <v>51.31</v>
      </c>
      <c r="K351" s="1">
        <v>0</v>
      </c>
      <c r="L351" s="1">
        <v>0</v>
      </c>
      <c r="M351" s="1">
        <v>0</v>
      </c>
      <c r="N351" s="1">
        <v>0.12</v>
      </c>
      <c r="O351" s="1">
        <v>5.42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 cm="1">
        <f t="array" ref="V351">SUM(ABS(G351:U351))</f>
        <v>311.11</v>
      </c>
      <c r="W351" s="11" cm="1">
        <f t="array" ref="W351">SUM(ABS(B351:E351))+SUM(ABS(G351:U351))</f>
        <v>835.29</v>
      </c>
    </row>
    <row r="352" spans="1:23" x14ac:dyDescent="0.3">
      <c r="A352" s="14">
        <v>45874.604166666664</v>
      </c>
      <c r="B352" s="1">
        <v>-438.22</v>
      </c>
      <c r="C352" s="1">
        <v>35.979999999999997</v>
      </c>
      <c r="D352" s="1">
        <v>12</v>
      </c>
      <c r="E352" s="1">
        <v>6.38</v>
      </c>
      <c r="F352" s="1" cm="1">
        <f t="array" ref="F352">SUM(ABS(B352:E352))</f>
        <v>492.58000000000004</v>
      </c>
      <c r="G352" s="1">
        <v>20.09</v>
      </c>
      <c r="H352" s="1">
        <v>200.68</v>
      </c>
      <c r="I352" s="1">
        <v>-20.6</v>
      </c>
      <c r="J352" s="1">
        <v>47.95</v>
      </c>
      <c r="K352" s="1">
        <v>0</v>
      </c>
      <c r="L352" s="1">
        <v>-6.13</v>
      </c>
      <c r="M352" s="1">
        <v>0</v>
      </c>
      <c r="N352" s="1">
        <v>0.11</v>
      </c>
      <c r="O352" s="1">
        <v>5.41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 cm="1">
        <f t="array" ref="V352">SUM(ABS(G352:U352))</f>
        <v>300.97000000000003</v>
      </c>
      <c r="W352" s="11" cm="1">
        <f t="array" ref="W352">SUM(ABS(B352:E352))+SUM(ABS(G352:U352))</f>
        <v>793.55000000000007</v>
      </c>
    </row>
    <row r="353" spans="1:23" x14ac:dyDescent="0.3">
      <c r="A353" s="14">
        <v>45874.614583333336</v>
      </c>
      <c r="B353" s="1">
        <v>-468.53</v>
      </c>
      <c r="C353" s="1">
        <v>35.99</v>
      </c>
      <c r="D353" s="1">
        <v>12</v>
      </c>
      <c r="E353" s="1">
        <v>6.38</v>
      </c>
      <c r="F353" s="1" cm="1">
        <f t="array" ref="F353">SUM(ABS(B353:E353))</f>
        <v>522.9</v>
      </c>
      <c r="G353" s="1">
        <v>20.079999999999998</v>
      </c>
      <c r="H353" s="1">
        <v>211.73</v>
      </c>
      <c r="I353" s="1">
        <v>-20.62</v>
      </c>
      <c r="J353" s="1">
        <v>52.52</v>
      </c>
      <c r="K353" s="1">
        <v>0</v>
      </c>
      <c r="L353" s="1">
        <v>-22.11</v>
      </c>
      <c r="M353" s="1">
        <v>0</v>
      </c>
      <c r="N353" s="1">
        <v>0.1</v>
      </c>
      <c r="O353" s="1">
        <v>5.42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 cm="1">
        <f t="array" ref="V353">SUM(ABS(G353:U353))</f>
        <v>332.58000000000004</v>
      </c>
      <c r="W353" s="11" cm="1">
        <f t="array" ref="W353">SUM(ABS(B353:E353))+SUM(ABS(G353:U353))</f>
        <v>855.48</v>
      </c>
    </row>
    <row r="354" spans="1:23" x14ac:dyDescent="0.3">
      <c r="A354" s="14">
        <v>45874.625</v>
      </c>
      <c r="B354" s="1">
        <v>-562.35</v>
      </c>
      <c r="C354" s="1">
        <v>35.950000000000003</v>
      </c>
      <c r="D354" s="1">
        <v>12</v>
      </c>
      <c r="E354" s="1">
        <v>6.37</v>
      </c>
      <c r="F354" s="1" cm="1">
        <f t="array" ref="F354">SUM(ABS(B354:E354))</f>
        <v>616.67000000000007</v>
      </c>
      <c r="G354" s="1">
        <v>20.079999999999998</v>
      </c>
      <c r="H354" s="1">
        <v>209.27</v>
      </c>
      <c r="I354" s="1">
        <v>-30.43</v>
      </c>
      <c r="J354" s="1">
        <v>50.87</v>
      </c>
      <c r="K354" s="1">
        <v>0</v>
      </c>
      <c r="L354" s="1">
        <v>-23.76</v>
      </c>
      <c r="M354" s="1">
        <v>0</v>
      </c>
      <c r="N354" s="1">
        <v>0.09</v>
      </c>
      <c r="O354" s="1">
        <v>5.42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 cm="1">
        <f t="array" ref="V354">SUM(ABS(G354:U354))</f>
        <v>339.92</v>
      </c>
      <c r="W354" s="11" cm="1">
        <f t="array" ref="W354">SUM(ABS(B354:E354))+SUM(ABS(G354:U354))</f>
        <v>956.59000000000015</v>
      </c>
    </row>
    <row r="355" spans="1:23" x14ac:dyDescent="0.3">
      <c r="A355" s="14">
        <v>45874.635416666664</v>
      </c>
      <c r="B355" s="1">
        <v>-601.79</v>
      </c>
      <c r="C355" s="1">
        <v>35.92</v>
      </c>
      <c r="D355" s="1">
        <v>12</v>
      </c>
      <c r="E355" s="1">
        <v>6.37</v>
      </c>
      <c r="F355" s="1" cm="1">
        <f t="array" ref="F355">SUM(ABS(B355:E355))</f>
        <v>656.07999999999993</v>
      </c>
      <c r="G355" s="1">
        <v>20.09</v>
      </c>
      <c r="H355" s="1">
        <v>214.22</v>
      </c>
      <c r="I355" s="1">
        <v>-40.409999999999997</v>
      </c>
      <c r="J355" s="1">
        <v>53.14</v>
      </c>
      <c r="K355" s="1">
        <v>0</v>
      </c>
      <c r="L355" s="1">
        <v>-24</v>
      </c>
      <c r="M355" s="1">
        <v>0</v>
      </c>
      <c r="N355" s="1">
        <v>0.09</v>
      </c>
      <c r="O355" s="1">
        <v>5.42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 cm="1">
        <f t="array" ref="V355">SUM(ABS(G355:U355))</f>
        <v>357.37</v>
      </c>
      <c r="W355" s="11" cm="1">
        <f t="array" ref="W355">SUM(ABS(B355:E355))+SUM(ABS(G355:U355))</f>
        <v>1013.4499999999999</v>
      </c>
    </row>
    <row r="356" spans="1:23" x14ac:dyDescent="0.3">
      <c r="A356" s="14">
        <v>45874.645833333336</v>
      </c>
      <c r="B356" s="1">
        <v>-626.33000000000004</v>
      </c>
      <c r="C356" s="1">
        <v>35.89</v>
      </c>
      <c r="D356" s="1">
        <v>12</v>
      </c>
      <c r="E356" s="1">
        <v>6.37</v>
      </c>
      <c r="F356" s="1" cm="1">
        <f t="array" ref="F356">SUM(ABS(B356:E356))</f>
        <v>680.59</v>
      </c>
      <c r="G356" s="1">
        <v>20.079999999999998</v>
      </c>
      <c r="H356" s="1">
        <v>214.03</v>
      </c>
      <c r="I356" s="1">
        <v>-40.43</v>
      </c>
      <c r="J356" s="1">
        <v>57.04</v>
      </c>
      <c r="K356" s="1">
        <v>0</v>
      </c>
      <c r="L356" s="1">
        <v>-24.02</v>
      </c>
      <c r="M356" s="1">
        <v>0</v>
      </c>
      <c r="N356" s="1">
        <v>0.09</v>
      </c>
      <c r="O356" s="1">
        <v>5.42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 cm="1">
        <f t="array" ref="V356">SUM(ABS(G356:U356))</f>
        <v>361.11</v>
      </c>
      <c r="W356" s="11" cm="1">
        <f t="array" ref="W356">SUM(ABS(B356:E356))+SUM(ABS(G356:U356))</f>
        <v>1041.7</v>
      </c>
    </row>
    <row r="357" spans="1:23" x14ac:dyDescent="0.3">
      <c r="A357" s="14">
        <v>45874.65625</v>
      </c>
      <c r="B357" s="1">
        <v>-638.13</v>
      </c>
      <c r="C357" s="1">
        <v>35.86</v>
      </c>
      <c r="D357" s="1">
        <v>12</v>
      </c>
      <c r="E357" s="1">
        <v>6.38</v>
      </c>
      <c r="F357" s="1" cm="1">
        <f t="array" ref="F357">SUM(ABS(B357:E357))</f>
        <v>692.37</v>
      </c>
      <c r="G357" s="1">
        <v>20.09</v>
      </c>
      <c r="H357" s="1">
        <v>212.83</v>
      </c>
      <c r="I357" s="1">
        <v>-40.42</v>
      </c>
      <c r="J357" s="1">
        <v>75.08</v>
      </c>
      <c r="K357" s="1">
        <v>0</v>
      </c>
      <c r="L357" s="1">
        <v>-24.93</v>
      </c>
      <c r="M357" s="1">
        <v>0</v>
      </c>
      <c r="N357" s="1">
        <v>0.09</v>
      </c>
      <c r="O357" s="1">
        <v>5.42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 cm="1">
        <f t="array" ref="V357">SUM(ABS(G357:U357))</f>
        <v>378.86</v>
      </c>
      <c r="W357" s="11" cm="1">
        <f t="array" ref="W357">SUM(ABS(B357:E357))+SUM(ABS(G357:U357))</f>
        <v>1071.23</v>
      </c>
    </row>
    <row r="358" spans="1:23" x14ac:dyDescent="0.3">
      <c r="A358" s="14">
        <v>45874.666666666664</v>
      </c>
      <c r="B358" s="1">
        <v>-598.96</v>
      </c>
      <c r="C358" s="1">
        <v>35.81</v>
      </c>
      <c r="D358" s="1">
        <v>12</v>
      </c>
      <c r="E358" s="1">
        <v>6.38</v>
      </c>
      <c r="F358" s="1" cm="1">
        <f t="array" ref="F358">SUM(ABS(B358:E358))</f>
        <v>653.15</v>
      </c>
      <c r="G358" s="1">
        <v>20.079999999999998</v>
      </c>
      <c r="H358" s="1">
        <v>214.63</v>
      </c>
      <c r="I358" s="1">
        <v>-40.42</v>
      </c>
      <c r="J358" s="1">
        <v>82.95</v>
      </c>
      <c r="K358" s="1">
        <v>0</v>
      </c>
      <c r="L358" s="1">
        <v>-27.26</v>
      </c>
      <c r="M358" s="1">
        <v>0</v>
      </c>
      <c r="N358" s="1">
        <v>0.09</v>
      </c>
      <c r="O358" s="1">
        <v>5.42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 cm="1">
        <f t="array" ref="V358">SUM(ABS(G358:U358))</f>
        <v>390.84999999999997</v>
      </c>
      <c r="W358" s="11" cm="1">
        <f t="array" ref="W358">SUM(ABS(B358:E358))+SUM(ABS(G358:U358))</f>
        <v>1044</v>
      </c>
    </row>
    <row r="359" spans="1:23" x14ac:dyDescent="0.3">
      <c r="A359" s="14">
        <v>45874.677083333336</v>
      </c>
      <c r="B359" s="1">
        <v>-530.49</v>
      </c>
      <c r="C359" s="1">
        <v>35.75</v>
      </c>
      <c r="D359" s="1">
        <v>12</v>
      </c>
      <c r="E359" s="1">
        <v>6.39</v>
      </c>
      <c r="F359" s="1" cm="1">
        <f t="array" ref="F359">SUM(ABS(B359:E359))</f>
        <v>584.63</v>
      </c>
      <c r="G359" s="1">
        <v>20.09</v>
      </c>
      <c r="H359" s="1">
        <v>214.18</v>
      </c>
      <c r="I359" s="1">
        <v>-40.43</v>
      </c>
      <c r="J359" s="1">
        <v>113.85</v>
      </c>
      <c r="K359" s="1">
        <v>0</v>
      </c>
      <c r="L359" s="1">
        <v>-28.24</v>
      </c>
      <c r="M359" s="1">
        <v>0</v>
      </c>
      <c r="N359" s="1">
        <v>0.1</v>
      </c>
      <c r="O359" s="1">
        <v>5.42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 cm="1">
        <f t="array" ref="V359">SUM(ABS(G359:U359))</f>
        <v>422.31</v>
      </c>
      <c r="W359" s="11" cm="1">
        <f t="array" ref="W359">SUM(ABS(B359:E359))+SUM(ABS(G359:U359))</f>
        <v>1006.94</v>
      </c>
    </row>
    <row r="360" spans="1:23" x14ac:dyDescent="0.3">
      <c r="A360" s="14">
        <v>45874.6875</v>
      </c>
      <c r="B360" s="1">
        <v>-410.87</v>
      </c>
      <c r="C360" s="1">
        <v>35.74</v>
      </c>
      <c r="D360" s="1">
        <v>12</v>
      </c>
      <c r="E360" s="1">
        <v>6.39</v>
      </c>
      <c r="F360" s="1" cm="1">
        <f t="array" ref="F360">SUM(ABS(B360:E360))</f>
        <v>465</v>
      </c>
      <c r="G360" s="1">
        <v>20.09</v>
      </c>
      <c r="H360" s="1">
        <v>209.47</v>
      </c>
      <c r="I360" s="1">
        <v>-40.369999999999997</v>
      </c>
      <c r="J360" s="1">
        <v>124.9</v>
      </c>
      <c r="K360" s="1">
        <v>0</v>
      </c>
      <c r="L360" s="1">
        <v>-27.86</v>
      </c>
      <c r="M360" s="1">
        <v>0</v>
      </c>
      <c r="N360" s="1">
        <v>0.11</v>
      </c>
      <c r="O360" s="1">
        <v>5.42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 cm="1">
        <f t="array" ref="V360">SUM(ABS(G360:U360))</f>
        <v>428.22000000000008</v>
      </c>
      <c r="W360" s="11" cm="1">
        <f t="array" ref="W360">SUM(ABS(B360:E360))+SUM(ABS(G360:U360))</f>
        <v>893.22</v>
      </c>
    </row>
    <row r="361" spans="1:23" x14ac:dyDescent="0.3">
      <c r="A361" s="14">
        <v>45874.697916666664</v>
      </c>
      <c r="B361" s="1">
        <v>-539.33000000000004</v>
      </c>
      <c r="C361" s="1">
        <v>35.700000000000003</v>
      </c>
      <c r="D361" s="1">
        <v>12</v>
      </c>
      <c r="E361" s="1">
        <v>6.38</v>
      </c>
      <c r="F361" s="1" cm="1">
        <f t="array" ref="F361">SUM(ABS(B361:E361))</f>
        <v>593.41000000000008</v>
      </c>
      <c r="G361" s="1">
        <v>20.079999999999998</v>
      </c>
      <c r="H361" s="1">
        <v>214</v>
      </c>
      <c r="I361" s="1">
        <v>-40.36</v>
      </c>
      <c r="J361" s="1">
        <v>125.13</v>
      </c>
      <c r="K361" s="1">
        <v>0</v>
      </c>
      <c r="L361" s="1">
        <v>-27.07</v>
      </c>
      <c r="M361" s="1">
        <v>0</v>
      </c>
      <c r="N361" s="1">
        <v>0.09</v>
      </c>
      <c r="O361" s="1">
        <v>5.42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 cm="1">
        <f t="array" ref="V361">SUM(ABS(G361:U361))</f>
        <v>432.15</v>
      </c>
      <c r="W361" s="11" cm="1">
        <f t="array" ref="W361">SUM(ABS(B361:E361))+SUM(ABS(G361:U361))</f>
        <v>1025.56</v>
      </c>
    </row>
    <row r="362" spans="1:23" x14ac:dyDescent="0.3">
      <c r="A362" s="14">
        <v>45874.708333333336</v>
      </c>
      <c r="B362" s="1">
        <v>-549.47</v>
      </c>
      <c r="C362" s="1">
        <v>35.67</v>
      </c>
      <c r="D362" s="1">
        <v>12</v>
      </c>
      <c r="E362" s="1">
        <v>6.38</v>
      </c>
      <c r="F362" s="1" cm="1">
        <f t="array" ref="F362">SUM(ABS(B362:E362))</f>
        <v>603.52</v>
      </c>
      <c r="G362" s="1">
        <v>20.100000000000001</v>
      </c>
      <c r="H362" s="1">
        <v>208.48</v>
      </c>
      <c r="I362" s="1">
        <v>-40.340000000000003</v>
      </c>
      <c r="J362" s="1">
        <v>105.17</v>
      </c>
      <c r="K362" s="1">
        <v>0</v>
      </c>
      <c r="L362" s="1">
        <v>-27.74</v>
      </c>
      <c r="M362" s="1">
        <v>0</v>
      </c>
      <c r="N362" s="1">
        <v>0.09</v>
      </c>
      <c r="O362" s="1">
        <v>5.42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 cm="1">
        <f t="array" ref="V362">SUM(ABS(G362:U362))</f>
        <v>407.34</v>
      </c>
      <c r="W362" s="11" cm="1">
        <f t="array" ref="W362">SUM(ABS(B362:E362))+SUM(ABS(G362:U362))</f>
        <v>1010.8599999999999</v>
      </c>
    </row>
    <row r="363" spans="1:23" x14ac:dyDescent="0.3">
      <c r="A363" s="14">
        <v>45874.71875</v>
      </c>
      <c r="B363" s="1">
        <v>-692.09</v>
      </c>
      <c r="C363" s="1">
        <v>35.69</v>
      </c>
      <c r="D363" s="1">
        <v>12</v>
      </c>
      <c r="E363" s="1">
        <v>6.4</v>
      </c>
      <c r="F363" s="1" cm="1">
        <f t="array" ref="F363">SUM(ABS(B363:E363))</f>
        <v>746.18</v>
      </c>
      <c r="G363" s="1">
        <v>20.09</v>
      </c>
      <c r="H363" s="1">
        <v>222.74</v>
      </c>
      <c r="I363" s="1">
        <v>-40.479999999999997</v>
      </c>
      <c r="J363" s="1">
        <v>109.29</v>
      </c>
      <c r="K363" s="1">
        <v>0</v>
      </c>
      <c r="L363" s="1">
        <v>-29.35</v>
      </c>
      <c r="M363" s="1">
        <v>0</v>
      </c>
      <c r="N363" s="1">
        <v>7.0000000000000007E-2</v>
      </c>
      <c r="O363" s="1">
        <v>5.43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 cm="1">
        <f t="array" ref="V363">SUM(ABS(G363:U363))</f>
        <v>427.45000000000005</v>
      </c>
      <c r="W363" s="11" cm="1">
        <f t="array" ref="W363">SUM(ABS(B363:E363))+SUM(ABS(G363:U363))</f>
        <v>1173.6300000000001</v>
      </c>
    </row>
    <row r="364" spans="1:23" x14ac:dyDescent="0.3">
      <c r="A364" s="14">
        <v>45874.729166666664</v>
      </c>
      <c r="B364" s="1">
        <v>-736.77</v>
      </c>
      <c r="C364" s="1">
        <v>35.68</v>
      </c>
      <c r="D364" s="1">
        <v>12</v>
      </c>
      <c r="E364" s="1">
        <v>6.4</v>
      </c>
      <c r="F364" s="1" cm="1">
        <f t="array" ref="F364">SUM(ABS(B364:E364))</f>
        <v>790.84999999999991</v>
      </c>
      <c r="G364" s="1">
        <v>20.079999999999998</v>
      </c>
      <c r="H364" s="1">
        <v>252.81</v>
      </c>
      <c r="I364" s="1">
        <v>-48.25</v>
      </c>
      <c r="J364" s="1">
        <v>113.39</v>
      </c>
      <c r="K364" s="1">
        <v>0</v>
      </c>
      <c r="L364" s="1">
        <v>-29.55</v>
      </c>
      <c r="M364" s="1">
        <v>0</v>
      </c>
      <c r="N364" s="1">
        <v>7.0000000000000007E-2</v>
      </c>
      <c r="O364" s="1">
        <v>5.88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 cm="1">
        <f t="array" ref="V364">SUM(ABS(G364:U364))</f>
        <v>470.03</v>
      </c>
      <c r="W364" s="11" cm="1">
        <f t="array" ref="W364">SUM(ABS(B364:E364))+SUM(ABS(G364:U364))</f>
        <v>1260.8799999999999</v>
      </c>
    </row>
    <row r="365" spans="1:23" x14ac:dyDescent="0.3">
      <c r="A365" s="14">
        <v>45874.739583333336</v>
      </c>
      <c r="B365" s="1">
        <v>-723.48</v>
      </c>
      <c r="C365" s="1">
        <v>35.619999999999997</v>
      </c>
      <c r="D365" s="1">
        <v>12</v>
      </c>
      <c r="E365" s="1">
        <v>6.39</v>
      </c>
      <c r="F365" s="1" cm="1">
        <f t="array" ref="F365">SUM(ABS(B365:E365))</f>
        <v>777.49</v>
      </c>
      <c r="G365" s="1">
        <v>20.079999999999998</v>
      </c>
      <c r="H365" s="1">
        <v>272.95999999999998</v>
      </c>
      <c r="I365" s="1">
        <v>-54.73</v>
      </c>
      <c r="J365" s="1">
        <v>103.17</v>
      </c>
      <c r="K365" s="1">
        <v>0</v>
      </c>
      <c r="L365" s="1">
        <v>-28.15</v>
      </c>
      <c r="M365" s="1">
        <v>0</v>
      </c>
      <c r="N365" s="1">
        <v>7.0000000000000007E-2</v>
      </c>
      <c r="O365" s="1">
        <v>10.01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 cm="1">
        <f t="array" ref="V365">SUM(ABS(G365:U365))</f>
        <v>489.16999999999996</v>
      </c>
      <c r="W365" s="11" cm="1">
        <f t="array" ref="W365">SUM(ABS(B365:E365))+SUM(ABS(G365:U365))</f>
        <v>1266.6599999999999</v>
      </c>
    </row>
    <row r="366" spans="1:23" x14ac:dyDescent="0.3">
      <c r="A366" s="14">
        <v>45874.75</v>
      </c>
      <c r="B366" s="1">
        <v>-661.29</v>
      </c>
      <c r="C366" s="1">
        <v>35.64</v>
      </c>
      <c r="D366" s="1">
        <v>12</v>
      </c>
      <c r="E366" s="1">
        <v>6.39</v>
      </c>
      <c r="F366" s="1" cm="1">
        <f t="array" ref="F366">SUM(ABS(B366:E366))</f>
        <v>715.31999999999994</v>
      </c>
      <c r="G366" s="1">
        <v>20.09</v>
      </c>
      <c r="H366" s="1">
        <v>268.18</v>
      </c>
      <c r="I366" s="1">
        <v>-54.72</v>
      </c>
      <c r="J366" s="1">
        <v>99</v>
      </c>
      <c r="K366" s="1">
        <v>0</v>
      </c>
      <c r="L366" s="1">
        <v>-28.35</v>
      </c>
      <c r="M366" s="1">
        <v>0</v>
      </c>
      <c r="N366" s="1">
        <v>0.08</v>
      </c>
      <c r="O366" s="1">
        <v>10.02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 cm="1">
        <f t="array" ref="V366">SUM(ABS(G366:U366))</f>
        <v>480.44</v>
      </c>
      <c r="W366" s="11" cm="1">
        <f t="array" ref="W366">SUM(ABS(B366:E366))+SUM(ABS(G366:U366))</f>
        <v>1195.76</v>
      </c>
    </row>
    <row r="367" spans="1:23" x14ac:dyDescent="0.3">
      <c r="A367" s="14">
        <v>45874.760416666664</v>
      </c>
      <c r="B367" s="1">
        <v>-682.53</v>
      </c>
      <c r="C367" s="1">
        <v>35.659999999999997</v>
      </c>
      <c r="D367" s="1">
        <v>26.67</v>
      </c>
      <c r="E367" s="1">
        <v>7.25</v>
      </c>
      <c r="F367" s="1" cm="1">
        <f t="array" ref="F367">SUM(ABS(B367:E367))</f>
        <v>752.1099999999999</v>
      </c>
      <c r="G367" s="1">
        <v>20.100000000000001</v>
      </c>
      <c r="H367" s="1">
        <v>272.36</v>
      </c>
      <c r="I367" s="1">
        <v>-54.74</v>
      </c>
      <c r="J367" s="1">
        <v>103.01</v>
      </c>
      <c r="K367" s="1">
        <v>0</v>
      </c>
      <c r="L367" s="1">
        <v>-28.89</v>
      </c>
      <c r="M367" s="1">
        <v>0</v>
      </c>
      <c r="N367" s="1">
        <v>0.08</v>
      </c>
      <c r="O367" s="1">
        <v>10.02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 cm="1">
        <f t="array" ref="V367">SUM(ABS(G367:U367))</f>
        <v>489.2</v>
      </c>
      <c r="W367" s="11" cm="1">
        <f t="array" ref="W367">SUM(ABS(B367:E367))+SUM(ABS(G367:U367))</f>
        <v>1241.31</v>
      </c>
    </row>
    <row r="368" spans="1:23" x14ac:dyDescent="0.3">
      <c r="A368" s="14">
        <v>45874.770833333336</v>
      </c>
      <c r="B368" s="1">
        <v>-731.8</v>
      </c>
      <c r="C368" s="1">
        <v>35.729999999999997</v>
      </c>
      <c r="D368" s="1">
        <v>63.93</v>
      </c>
      <c r="E368" s="1">
        <v>28.06</v>
      </c>
      <c r="F368" s="1" cm="1">
        <f t="array" ref="F368">SUM(ABS(B368:E368))</f>
        <v>859.51999999999987</v>
      </c>
      <c r="G368" s="1">
        <v>41.18</v>
      </c>
      <c r="H368" s="1">
        <v>272.02</v>
      </c>
      <c r="I368" s="1">
        <v>-54.75</v>
      </c>
      <c r="J368" s="1">
        <v>164.82</v>
      </c>
      <c r="K368" s="1">
        <v>5.7</v>
      </c>
      <c r="L368" s="1">
        <v>-29.29</v>
      </c>
      <c r="M368" s="1">
        <v>0</v>
      </c>
      <c r="N368" s="1">
        <v>0.04</v>
      </c>
      <c r="O368" s="1">
        <v>10.029999999999999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 cm="1">
        <f t="array" ref="V368">SUM(ABS(G368:U368))</f>
        <v>577.82999999999993</v>
      </c>
      <c r="W368" s="11" cm="1">
        <f t="array" ref="W368">SUM(ABS(B368:E368))+SUM(ABS(G368:U368))</f>
        <v>1437.35</v>
      </c>
    </row>
    <row r="369" spans="1:23" x14ac:dyDescent="0.3">
      <c r="A369" s="14">
        <v>45874.78125</v>
      </c>
      <c r="B369" s="1">
        <v>-725.07</v>
      </c>
      <c r="C369" s="1">
        <v>35.729999999999997</v>
      </c>
      <c r="D369" s="1">
        <v>66.400000000000006</v>
      </c>
      <c r="E369" s="1">
        <v>40.409999999999997</v>
      </c>
      <c r="F369" s="1" cm="1">
        <f t="array" ref="F369">SUM(ABS(B369:E369))</f>
        <v>867.61</v>
      </c>
      <c r="G369" s="1">
        <v>54.23</v>
      </c>
      <c r="H369" s="1">
        <v>272.06</v>
      </c>
      <c r="I369" s="1">
        <v>-54.75</v>
      </c>
      <c r="J369" s="1">
        <v>166.17</v>
      </c>
      <c r="K369" s="1">
        <v>53.56</v>
      </c>
      <c r="L369" s="1">
        <v>-29.2</v>
      </c>
      <c r="M369" s="1">
        <v>0</v>
      </c>
      <c r="N369" s="1">
        <v>0.02</v>
      </c>
      <c r="O369" s="1">
        <v>10.02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 cm="1">
        <f t="array" ref="V369">SUM(ABS(G369:U369))</f>
        <v>640.01</v>
      </c>
      <c r="W369" s="11" cm="1">
        <f t="array" ref="W369">SUM(ABS(B369:E369))+SUM(ABS(G369:U369))</f>
        <v>1507.62</v>
      </c>
    </row>
    <row r="370" spans="1:23" x14ac:dyDescent="0.3">
      <c r="A370" s="14">
        <v>45874.791666666664</v>
      </c>
      <c r="B370" s="1">
        <v>-736.58</v>
      </c>
      <c r="C370" s="1">
        <v>35.78</v>
      </c>
      <c r="D370" s="1">
        <v>66.400000000000006</v>
      </c>
      <c r="E370" s="1">
        <v>50.41</v>
      </c>
      <c r="F370" s="1" cm="1">
        <f t="array" ref="F370">SUM(ABS(B370:E370))</f>
        <v>889.17</v>
      </c>
      <c r="G370" s="1">
        <v>54.22</v>
      </c>
      <c r="H370" s="1">
        <v>272.86</v>
      </c>
      <c r="I370" s="1">
        <v>-54.79</v>
      </c>
      <c r="J370" s="1">
        <v>168.14</v>
      </c>
      <c r="K370" s="1">
        <v>56.14</v>
      </c>
      <c r="L370" s="1">
        <v>-29.56</v>
      </c>
      <c r="M370" s="1">
        <v>0</v>
      </c>
      <c r="N370" s="1">
        <v>0.01</v>
      </c>
      <c r="O370" s="1">
        <v>10.02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 cm="1">
        <f t="array" ref="V370">SUM(ABS(G370:U370))</f>
        <v>645.7399999999999</v>
      </c>
      <c r="W370" s="11" cm="1">
        <f t="array" ref="W370">SUM(ABS(B370:E370))+SUM(ABS(G370:U370))</f>
        <v>1534.9099999999999</v>
      </c>
    </row>
    <row r="371" spans="1:23" x14ac:dyDescent="0.3">
      <c r="A371" s="14">
        <v>45874.802083333336</v>
      </c>
      <c r="B371" s="1">
        <v>-738.8</v>
      </c>
      <c r="C371" s="1">
        <v>35.78</v>
      </c>
      <c r="D371" s="1">
        <v>66.38</v>
      </c>
      <c r="E371" s="1">
        <v>50.45</v>
      </c>
      <c r="F371" s="1" cm="1">
        <f t="array" ref="F371">SUM(ABS(B371:E371))</f>
        <v>891.41</v>
      </c>
      <c r="G371" s="1">
        <v>54.22</v>
      </c>
      <c r="H371" s="1">
        <v>273.01</v>
      </c>
      <c r="I371" s="1">
        <v>-54.8</v>
      </c>
      <c r="J371" s="1">
        <v>168.99</v>
      </c>
      <c r="K371" s="1">
        <v>56.06</v>
      </c>
      <c r="L371" s="1">
        <v>-29.82</v>
      </c>
      <c r="M371" s="1">
        <v>0</v>
      </c>
      <c r="N371" s="1">
        <v>0.02</v>
      </c>
      <c r="O371" s="1">
        <v>10.02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 cm="1">
        <f t="array" ref="V371">SUM(ABS(G371:U371))</f>
        <v>646.93999999999994</v>
      </c>
      <c r="W371" s="11" cm="1">
        <f t="array" ref="W371">SUM(ABS(B371:E371))+SUM(ABS(G371:U371))</f>
        <v>1538.35</v>
      </c>
    </row>
    <row r="372" spans="1:23" x14ac:dyDescent="0.3">
      <c r="A372" s="14">
        <v>45874.8125</v>
      </c>
      <c r="B372" s="1">
        <v>-732.66</v>
      </c>
      <c r="C372" s="1">
        <v>35.76</v>
      </c>
      <c r="D372" s="1">
        <v>66.36</v>
      </c>
      <c r="E372" s="1">
        <v>50.4</v>
      </c>
      <c r="F372" s="1" cm="1">
        <f t="array" ref="F372">SUM(ABS(B372:E372))</f>
        <v>885.18</v>
      </c>
      <c r="G372" s="1">
        <v>54.21</v>
      </c>
      <c r="H372" s="1">
        <v>272.51</v>
      </c>
      <c r="I372" s="1">
        <v>-54.78</v>
      </c>
      <c r="J372" s="1">
        <v>166.46</v>
      </c>
      <c r="K372" s="1">
        <v>56.05</v>
      </c>
      <c r="L372" s="1">
        <v>-29.6</v>
      </c>
      <c r="M372" s="1">
        <v>0</v>
      </c>
      <c r="N372" s="1">
        <v>0.01</v>
      </c>
      <c r="O372" s="1">
        <v>10.01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 cm="1">
        <f t="array" ref="V372">SUM(ABS(G372:U372))</f>
        <v>643.63</v>
      </c>
      <c r="W372" s="11" cm="1">
        <f t="array" ref="W372">SUM(ABS(B372:E372))+SUM(ABS(G372:U372))</f>
        <v>1528.81</v>
      </c>
    </row>
    <row r="373" spans="1:23" x14ac:dyDescent="0.3">
      <c r="A373" s="14">
        <v>45874.822916666664</v>
      </c>
      <c r="B373" s="1">
        <v>-723.82</v>
      </c>
      <c r="C373" s="1">
        <v>35.75</v>
      </c>
      <c r="D373" s="1">
        <v>66.34</v>
      </c>
      <c r="E373" s="1">
        <v>50.37</v>
      </c>
      <c r="F373" s="1" cm="1">
        <f t="array" ref="F373">SUM(ABS(B373:E373))</f>
        <v>876.28000000000009</v>
      </c>
      <c r="G373" s="1">
        <v>54.21</v>
      </c>
      <c r="H373" s="1">
        <v>271.73</v>
      </c>
      <c r="I373" s="1">
        <v>-54.78</v>
      </c>
      <c r="J373" s="1">
        <v>165.58</v>
      </c>
      <c r="K373" s="1">
        <v>55.98</v>
      </c>
      <c r="L373" s="1">
        <v>-29.09</v>
      </c>
      <c r="M373" s="1">
        <v>0</v>
      </c>
      <c r="N373" s="1">
        <v>0.01</v>
      </c>
      <c r="O373" s="1">
        <v>10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 cm="1">
        <f t="array" ref="V373">SUM(ABS(G373:U373))</f>
        <v>641.38000000000011</v>
      </c>
      <c r="W373" s="11" cm="1">
        <f t="array" ref="W373">SUM(ABS(B373:E373))+SUM(ABS(G373:U373))</f>
        <v>1517.6600000000003</v>
      </c>
    </row>
    <row r="374" spans="1:23" x14ac:dyDescent="0.3">
      <c r="A374" s="14">
        <v>45874.833333333336</v>
      </c>
      <c r="B374" s="1">
        <v>-499.96</v>
      </c>
      <c r="C374" s="1">
        <v>35.770000000000003</v>
      </c>
      <c r="D374" s="1">
        <v>66.34</v>
      </c>
      <c r="E374" s="1">
        <v>50.39</v>
      </c>
      <c r="F374" s="1" cm="1">
        <f t="array" ref="F374">SUM(ABS(B374:E374))</f>
        <v>652.46</v>
      </c>
      <c r="G374" s="1">
        <v>54.23</v>
      </c>
      <c r="H374" s="1">
        <v>270.39999999999998</v>
      </c>
      <c r="I374" s="1">
        <v>-54.75</v>
      </c>
      <c r="J374" s="1">
        <v>165.49</v>
      </c>
      <c r="K374" s="1">
        <v>85.33</v>
      </c>
      <c r="L374" s="1">
        <v>-28.93</v>
      </c>
      <c r="M374" s="1">
        <v>0</v>
      </c>
      <c r="N374" s="1">
        <v>0.02</v>
      </c>
      <c r="O374" s="1">
        <v>10.02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 cm="1">
        <f t="array" ref="V374">SUM(ABS(G374:U374))</f>
        <v>669.17</v>
      </c>
      <c r="W374" s="11" cm="1">
        <f t="array" ref="W374">SUM(ABS(B374:E374))+SUM(ABS(G374:U374))</f>
        <v>1321.63</v>
      </c>
    </row>
    <row r="375" spans="1:23" x14ac:dyDescent="0.3">
      <c r="A375" s="14">
        <v>45874.84375</v>
      </c>
      <c r="B375" s="1">
        <v>-452.44</v>
      </c>
      <c r="C375" s="1">
        <v>35.770000000000003</v>
      </c>
      <c r="D375" s="1">
        <v>66.33</v>
      </c>
      <c r="E375" s="1">
        <v>50.38</v>
      </c>
      <c r="F375" s="1" cm="1">
        <f t="array" ref="F375">SUM(ABS(B375:E375))</f>
        <v>604.91999999999996</v>
      </c>
      <c r="G375" s="1">
        <v>54.23</v>
      </c>
      <c r="H375" s="1">
        <v>271.2</v>
      </c>
      <c r="I375" s="1">
        <v>-54.76</v>
      </c>
      <c r="J375" s="1">
        <v>166.09</v>
      </c>
      <c r="K375" s="1">
        <v>92.6</v>
      </c>
      <c r="L375" s="1">
        <v>-29.01</v>
      </c>
      <c r="M375" s="1">
        <v>0</v>
      </c>
      <c r="N375" s="1">
        <v>0.03</v>
      </c>
      <c r="O375" s="1">
        <v>10.01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 cm="1">
        <f t="array" ref="V375">SUM(ABS(G375:U375))</f>
        <v>677.93</v>
      </c>
      <c r="W375" s="11" cm="1">
        <f t="array" ref="W375">SUM(ABS(B375:E375))+SUM(ABS(G375:U375))</f>
        <v>1282.8499999999999</v>
      </c>
    </row>
    <row r="376" spans="1:23" x14ac:dyDescent="0.3">
      <c r="A376" s="14">
        <v>45874.854166666664</v>
      </c>
      <c r="B376" s="1">
        <v>-461.94</v>
      </c>
      <c r="C376" s="1">
        <v>35.81</v>
      </c>
      <c r="D376" s="1">
        <v>66.319999999999993</v>
      </c>
      <c r="E376" s="1">
        <v>50.35</v>
      </c>
      <c r="F376" s="1" cm="1">
        <f t="array" ref="F376">SUM(ABS(B376:E376))</f>
        <v>614.41999999999996</v>
      </c>
      <c r="G376" s="1">
        <v>54.22</v>
      </c>
      <c r="H376" s="1">
        <v>272.19</v>
      </c>
      <c r="I376" s="1">
        <v>-54.74</v>
      </c>
      <c r="J376" s="1">
        <v>166.9</v>
      </c>
      <c r="K376" s="1">
        <v>92.55</v>
      </c>
      <c r="L376" s="1">
        <v>-29.12</v>
      </c>
      <c r="M376" s="1">
        <v>0</v>
      </c>
      <c r="N376" s="1">
        <v>0.02</v>
      </c>
      <c r="O376" s="1">
        <v>10.02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 cm="1">
        <f t="array" ref="V376">SUM(ABS(G376:U376))</f>
        <v>679.75999999999988</v>
      </c>
      <c r="W376" s="11" cm="1">
        <f t="array" ref="W376">SUM(ABS(B376:E376))+SUM(ABS(G376:U376))</f>
        <v>1294.1799999999998</v>
      </c>
    </row>
    <row r="377" spans="1:23" x14ac:dyDescent="0.3">
      <c r="A377" s="14">
        <v>45874.864583333336</v>
      </c>
      <c r="B377" s="1">
        <v>-455.8</v>
      </c>
      <c r="C377" s="1">
        <v>35.799999999999997</v>
      </c>
      <c r="D377" s="1">
        <v>66.31</v>
      </c>
      <c r="E377" s="1">
        <v>50.36</v>
      </c>
      <c r="F377" s="1" cm="1">
        <f t="array" ref="F377">SUM(ABS(B377:E377))</f>
        <v>608.2700000000001</v>
      </c>
      <c r="G377" s="1">
        <v>54.23</v>
      </c>
      <c r="H377" s="1">
        <v>271.39999999999998</v>
      </c>
      <c r="I377" s="1">
        <v>-54.76</v>
      </c>
      <c r="J377" s="1">
        <v>166.25</v>
      </c>
      <c r="K377" s="1">
        <v>92.43</v>
      </c>
      <c r="L377" s="1">
        <v>-29.03</v>
      </c>
      <c r="M377" s="1">
        <v>0</v>
      </c>
      <c r="N377" s="1">
        <v>0.02</v>
      </c>
      <c r="O377" s="1">
        <v>10.01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 cm="1">
        <f t="array" ref="V377">SUM(ABS(G377:U377))</f>
        <v>678.12999999999988</v>
      </c>
      <c r="W377" s="11" cm="1">
        <f t="array" ref="W377">SUM(ABS(B377:E377))+SUM(ABS(G377:U377))</f>
        <v>1286.4000000000001</v>
      </c>
    </row>
    <row r="378" spans="1:23" x14ac:dyDescent="0.3">
      <c r="A378" s="14">
        <v>45874.875</v>
      </c>
      <c r="B378" s="1">
        <v>-445.8</v>
      </c>
      <c r="C378" s="1">
        <v>35.81</v>
      </c>
      <c r="D378" s="1">
        <v>66.31</v>
      </c>
      <c r="E378" s="1">
        <v>50.36</v>
      </c>
      <c r="F378" s="1" cm="1">
        <f t="array" ref="F378">SUM(ABS(B378:E378))</f>
        <v>598.28000000000009</v>
      </c>
      <c r="G378" s="1">
        <v>54.23</v>
      </c>
      <c r="H378" s="1">
        <v>269.42</v>
      </c>
      <c r="I378" s="1">
        <v>-54.74</v>
      </c>
      <c r="J378" s="1">
        <v>165.09</v>
      </c>
      <c r="K378" s="1">
        <v>92.02</v>
      </c>
      <c r="L378" s="1">
        <v>-28.88</v>
      </c>
      <c r="M378" s="1">
        <v>0</v>
      </c>
      <c r="N378" s="1">
        <v>0.03</v>
      </c>
      <c r="O378" s="1">
        <v>10.01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 cm="1">
        <f t="array" ref="V378">SUM(ABS(G378:U378))</f>
        <v>674.42</v>
      </c>
      <c r="W378" s="11" cm="1">
        <f t="array" ref="W378">SUM(ABS(B378:E378))+SUM(ABS(G378:U378))</f>
        <v>1272.7</v>
      </c>
    </row>
    <row r="379" spans="1:23" x14ac:dyDescent="0.3">
      <c r="A379" s="14">
        <v>45874.885416666664</v>
      </c>
      <c r="B379" s="1">
        <v>-444.32</v>
      </c>
      <c r="C379" s="1">
        <v>35.85</v>
      </c>
      <c r="D379" s="1">
        <v>66.290000000000006</v>
      </c>
      <c r="E379" s="1">
        <v>50.35</v>
      </c>
      <c r="F379" s="1" cm="1">
        <f t="array" ref="F379">SUM(ABS(B379:E379))</f>
        <v>596.81000000000006</v>
      </c>
      <c r="G379" s="1">
        <v>54.23</v>
      </c>
      <c r="H379" s="1">
        <v>269.57</v>
      </c>
      <c r="I379" s="1">
        <v>-54.77</v>
      </c>
      <c r="J379" s="1">
        <v>164.99</v>
      </c>
      <c r="K379" s="1">
        <v>91.73</v>
      </c>
      <c r="L379" s="1">
        <v>-28.87</v>
      </c>
      <c r="M379" s="1">
        <v>0</v>
      </c>
      <c r="N379" s="1">
        <v>0.03</v>
      </c>
      <c r="O379" s="1">
        <v>10.01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 cm="1">
        <f t="array" ref="V379">SUM(ABS(G379:U379))</f>
        <v>674.19999999999993</v>
      </c>
      <c r="W379" s="11" cm="1">
        <f t="array" ref="W379">SUM(ABS(B379:E379))+SUM(ABS(G379:U379))</f>
        <v>1271.01</v>
      </c>
    </row>
    <row r="380" spans="1:23" x14ac:dyDescent="0.3">
      <c r="A380" s="14">
        <v>45874.895833333336</v>
      </c>
      <c r="B380" s="1">
        <v>-557.49</v>
      </c>
      <c r="C380" s="1">
        <v>35.86</v>
      </c>
      <c r="D380" s="1">
        <v>66.31</v>
      </c>
      <c r="E380" s="1">
        <v>50.35</v>
      </c>
      <c r="F380" s="1" cm="1">
        <f t="array" ref="F380">SUM(ABS(B380:E380))</f>
        <v>710.0100000000001</v>
      </c>
      <c r="G380" s="1">
        <v>54.24</v>
      </c>
      <c r="H380" s="1">
        <v>271.33</v>
      </c>
      <c r="I380" s="1">
        <v>-54.76</v>
      </c>
      <c r="J380" s="1">
        <v>166.02</v>
      </c>
      <c r="K380" s="1">
        <v>91.9</v>
      </c>
      <c r="L380" s="1">
        <v>-28.98</v>
      </c>
      <c r="M380" s="1">
        <v>0</v>
      </c>
      <c r="N380" s="1">
        <v>0.02</v>
      </c>
      <c r="O380" s="1">
        <v>10.01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 cm="1">
        <f t="array" ref="V380">SUM(ABS(G380:U380))</f>
        <v>677.26</v>
      </c>
      <c r="W380" s="11" cm="1">
        <f t="array" ref="W380">SUM(ABS(B380:E380))+SUM(ABS(G380:U380))</f>
        <v>1387.27</v>
      </c>
    </row>
    <row r="381" spans="1:23" x14ac:dyDescent="0.3">
      <c r="A381" s="14">
        <v>45874.90625</v>
      </c>
      <c r="B381" s="1">
        <v>-615.28</v>
      </c>
      <c r="C381" s="1">
        <v>35.880000000000003</v>
      </c>
      <c r="D381" s="1">
        <v>66.290000000000006</v>
      </c>
      <c r="E381" s="1">
        <v>50.36</v>
      </c>
      <c r="F381" s="1" cm="1">
        <f t="array" ref="F381">SUM(ABS(B381:E381))</f>
        <v>767.81</v>
      </c>
      <c r="G381" s="1">
        <v>54.23</v>
      </c>
      <c r="H381" s="1">
        <v>272.45999999999998</v>
      </c>
      <c r="I381" s="1">
        <v>-54.76</v>
      </c>
      <c r="J381" s="1">
        <v>166.65</v>
      </c>
      <c r="K381" s="1">
        <v>91.83</v>
      </c>
      <c r="L381" s="1">
        <v>-29.12</v>
      </c>
      <c r="M381" s="1">
        <v>0</v>
      </c>
      <c r="N381" s="1">
        <v>0.01</v>
      </c>
      <c r="O381" s="1">
        <v>10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 cm="1">
        <f t="array" ref="V381">SUM(ABS(G381:U381))</f>
        <v>679.06000000000006</v>
      </c>
      <c r="W381" s="11" cm="1">
        <f t="array" ref="W381">SUM(ABS(B381:E381))+SUM(ABS(G381:U381))</f>
        <v>1446.87</v>
      </c>
    </row>
    <row r="382" spans="1:23" x14ac:dyDescent="0.3">
      <c r="A382" s="14">
        <v>45874.916666666664</v>
      </c>
      <c r="B382" s="1">
        <v>-621.09</v>
      </c>
      <c r="C382" s="1">
        <v>35.89</v>
      </c>
      <c r="D382" s="1">
        <v>66.3</v>
      </c>
      <c r="E382" s="1">
        <v>50.39</v>
      </c>
      <c r="F382" s="1" cm="1">
        <f t="array" ref="F382">SUM(ABS(B382:E382))</f>
        <v>773.67</v>
      </c>
      <c r="G382" s="1">
        <v>54.24</v>
      </c>
      <c r="H382" s="1">
        <v>271.73</v>
      </c>
      <c r="I382" s="1">
        <v>-54.76</v>
      </c>
      <c r="J382" s="1">
        <v>166.76</v>
      </c>
      <c r="K382" s="1">
        <v>91.8</v>
      </c>
      <c r="L382" s="1">
        <v>-29.2</v>
      </c>
      <c r="M382" s="1">
        <v>0</v>
      </c>
      <c r="N382" s="1">
        <v>0.01</v>
      </c>
      <c r="O382" s="1">
        <v>10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 cm="1">
        <f t="array" ref="V382">SUM(ABS(G382:U382))</f>
        <v>678.5</v>
      </c>
      <c r="W382" s="11" cm="1">
        <f t="array" ref="W382">SUM(ABS(B382:E382))+SUM(ABS(G382:U382))</f>
        <v>1452.17</v>
      </c>
    </row>
    <row r="383" spans="1:23" x14ac:dyDescent="0.3">
      <c r="A383" s="14">
        <v>45874.927083333336</v>
      </c>
      <c r="B383" s="1">
        <v>-722.78</v>
      </c>
      <c r="C383" s="1">
        <v>35.93</v>
      </c>
      <c r="D383" s="1">
        <v>66.3</v>
      </c>
      <c r="E383" s="1">
        <v>50.62</v>
      </c>
      <c r="F383" s="1" cm="1">
        <f t="array" ref="F383">SUM(ABS(B383:E383))</f>
        <v>875.62999999999988</v>
      </c>
      <c r="G383" s="1">
        <v>54.22</v>
      </c>
      <c r="H383" s="1">
        <v>272.64999999999998</v>
      </c>
      <c r="I383" s="1">
        <v>-54.8</v>
      </c>
      <c r="J383" s="1">
        <v>167.8</v>
      </c>
      <c r="K383" s="1">
        <v>91.74</v>
      </c>
      <c r="L383" s="1">
        <v>-29.46</v>
      </c>
      <c r="M383" s="1">
        <v>0</v>
      </c>
      <c r="N383" s="1">
        <v>0</v>
      </c>
      <c r="O383" s="1">
        <v>10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 cm="1">
        <f t="array" ref="V383">SUM(ABS(G383:U383))</f>
        <v>680.67000000000007</v>
      </c>
      <c r="W383" s="11" cm="1">
        <f t="array" ref="W383">SUM(ABS(B383:E383))+SUM(ABS(G383:U383))</f>
        <v>1556.3</v>
      </c>
    </row>
    <row r="384" spans="1:23" x14ac:dyDescent="0.3">
      <c r="A384" s="14">
        <v>45874.9375</v>
      </c>
      <c r="B384" s="1">
        <v>-738.3</v>
      </c>
      <c r="C384" s="1">
        <v>35.96</v>
      </c>
      <c r="D384" s="1">
        <v>66.3</v>
      </c>
      <c r="E384" s="1">
        <v>50.62</v>
      </c>
      <c r="F384" s="1" cm="1">
        <f t="array" ref="F384">SUM(ABS(B384:E384))</f>
        <v>891.18</v>
      </c>
      <c r="G384" s="1">
        <v>54.23</v>
      </c>
      <c r="H384" s="1">
        <v>272.64</v>
      </c>
      <c r="I384" s="1">
        <v>-54.8</v>
      </c>
      <c r="J384" s="1">
        <v>168.48</v>
      </c>
      <c r="K384" s="1">
        <v>110.17</v>
      </c>
      <c r="L384" s="1">
        <v>-29.84</v>
      </c>
      <c r="M384" s="1">
        <v>0</v>
      </c>
      <c r="N384" s="1">
        <v>-0.01</v>
      </c>
      <c r="O384" s="1">
        <v>10.01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 cm="1">
        <f t="array" ref="V384">SUM(ABS(G384:U384))</f>
        <v>700.18</v>
      </c>
      <c r="W384" s="11" cm="1">
        <f t="array" ref="W384">SUM(ABS(B384:E384))+SUM(ABS(G384:U384))</f>
        <v>1591.36</v>
      </c>
    </row>
    <row r="385" spans="1:23" x14ac:dyDescent="0.3">
      <c r="A385" s="14">
        <v>45874.947916666664</v>
      </c>
      <c r="B385" s="1">
        <v>-730.57</v>
      </c>
      <c r="C385" s="1">
        <v>35.93</v>
      </c>
      <c r="D385" s="1">
        <v>66.3</v>
      </c>
      <c r="E385" s="1">
        <v>50.6</v>
      </c>
      <c r="F385" s="1" cm="1">
        <f t="array" ref="F385">SUM(ABS(B385:E385))</f>
        <v>883.4</v>
      </c>
      <c r="G385" s="1">
        <v>54.22</v>
      </c>
      <c r="H385" s="1">
        <v>272.49</v>
      </c>
      <c r="I385" s="1">
        <v>-54.81</v>
      </c>
      <c r="J385" s="1">
        <v>166.36</v>
      </c>
      <c r="K385" s="1">
        <v>115.1</v>
      </c>
      <c r="L385" s="1">
        <v>-29.71</v>
      </c>
      <c r="M385" s="1">
        <v>0</v>
      </c>
      <c r="N385" s="1">
        <v>-0.01</v>
      </c>
      <c r="O385" s="1">
        <v>9.99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 cm="1">
        <f t="array" ref="V385">SUM(ABS(G385:U385))</f>
        <v>702.69000000000017</v>
      </c>
      <c r="W385" s="11" cm="1">
        <f t="array" ref="W385">SUM(ABS(B385:E385))+SUM(ABS(G385:U385))</f>
        <v>1586.0900000000001</v>
      </c>
    </row>
    <row r="386" spans="1:23" x14ac:dyDescent="0.3">
      <c r="A386" s="14">
        <v>45874.958333333336</v>
      </c>
      <c r="B386" s="1">
        <v>-735.16</v>
      </c>
      <c r="C386" s="1">
        <v>35.880000000000003</v>
      </c>
      <c r="D386" s="1">
        <v>66.3</v>
      </c>
      <c r="E386" s="1">
        <v>50.59</v>
      </c>
      <c r="F386" s="1" cm="1">
        <f t="array" ref="F386">SUM(ABS(B386:E386))</f>
        <v>887.93</v>
      </c>
      <c r="G386" s="1">
        <v>54.22</v>
      </c>
      <c r="H386" s="1">
        <v>272.55</v>
      </c>
      <c r="I386" s="1">
        <v>-54.78</v>
      </c>
      <c r="J386" s="1">
        <v>165.88</v>
      </c>
      <c r="K386" s="1">
        <v>114.95</v>
      </c>
      <c r="L386" s="1">
        <v>-29.38</v>
      </c>
      <c r="M386" s="1">
        <v>0</v>
      </c>
      <c r="N386" s="1">
        <v>-0.02</v>
      </c>
      <c r="O386" s="1">
        <v>9.99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 cm="1">
        <f t="array" ref="V386">SUM(ABS(G386:U386))</f>
        <v>701.77</v>
      </c>
      <c r="W386" s="11" cm="1">
        <f t="array" ref="W386">SUM(ABS(B386:E386))+SUM(ABS(G386:U386))</f>
        <v>1589.6999999999998</v>
      </c>
    </row>
    <row r="387" spans="1:23" x14ac:dyDescent="0.3">
      <c r="A387" s="14">
        <v>45874.96875</v>
      </c>
      <c r="B387" s="1">
        <v>-734.55</v>
      </c>
      <c r="C387" s="1">
        <v>35.89</v>
      </c>
      <c r="D387" s="1">
        <v>66.290000000000006</v>
      </c>
      <c r="E387" s="1">
        <v>50.61</v>
      </c>
      <c r="F387" s="1" cm="1">
        <f t="array" ref="F387">SUM(ABS(B387:E387))</f>
        <v>887.33999999999992</v>
      </c>
      <c r="G387" s="1">
        <v>54.22</v>
      </c>
      <c r="H387" s="1">
        <v>272.63</v>
      </c>
      <c r="I387" s="1">
        <v>-54.76</v>
      </c>
      <c r="J387" s="1">
        <v>165.79</v>
      </c>
      <c r="K387" s="1">
        <v>114.82</v>
      </c>
      <c r="L387" s="1">
        <v>-29.28</v>
      </c>
      <c r="M387" s="1">
        <v>0</v>
      </c>
      <c r="N387" s="1">
        <v>-0.01</v>
      </c>
      <c r="O387" s="1">
        <v>9.99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 cm="1">
        <f t="array" ref="V387">SUM(ABS(G387:U387))</f>
        <v>701.5</v>
      </c>
      <c r="W387" s="11" cm="1">
        <f t="array" ref="W387">SUM(ABS(B387:E387))+SUM(ABS(G387:U387))</f>
        <v>1588.84</v>
      </c>
    </row>
    <row r="388" spans="1:23" x14ac:dyDescent="0.3">
      <c r="A388" s="14">
        <v>45874.979166666664</v>
      </c>
      <c r="B388" s="1">
        <v>-738.45</v>
      </c>
      <c r="C388" s="1">
        <v>35.909999999999997</v>
      </c>
      <c r="D388" s="1">
        <v>66.28</v>
      </c>
      <c r="E388" s="1">
        <v>50.61</v>
      </c>
      <c r="F388" s="1" cm="1">
        <f t="array" ref="F388">SUM(ABS(B388:E388))</f>
        <v>891.25</v>
      </c>
      <c r="G388" s="1">
        <v>54.23</v>
      </c>
      <c r="H388" s="1">
        <v>272.55</v>
      </c>
      <c r="I388" s="1">
        <v>-54.76</v>
      </c>
      <c r="J388" s="1">
        <v>165.91</v>
      </c>
      <c r="K388" s="1">
        <v>114.68</v>
      </c>
      <c r="L388" s="1">
        <v>-29.25</v>
      </c>
      <c r="M388" s="1">
        <v>0</v>
      </c>
      <c r="N388" s="1">
        <v>-0.02</v>
      </c>
      <c r="O388" s="1">
        <v>10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 cm="1">
        <f t="array" ref="V388">SUM(ABS(G388:U388))</f>
        <v>701.40000000000009</v>
      </c>
      <c r="W388" s="11" cm="1">
        <f t="array" ref="W388">SUM(ABS(B388:E388))+SUM(ABS(G388:U388))</f>
        <v>1592.65</v>
      </c>
    </row>
    <row r="389" spans="1:23" x14ac:dyDescent="0.3">
      <c r="A389" s="14">
        <v>45874.989583333336</v>
      </c>
      <c r="B389" s="1">
        <v>-738.87</v>
      </c>
      <c r="C389" s="1">
        <v>35.93</v>
      </c>
      <c r="D389" s="1">
        <v>66.28</v>
      </c>
      <c r="E389" s="1">
        <v>50.63</v>
      </c>
      <c r="F389" s="1" cm="1">
        <f t="array" ref="F389">SUM(ABS(B389:E389))</f>
        <v>891.70999999999992</v>
      </c>
      <c r="G389" s="1">
        <v>54.22</v>
      </c>
      <c r="H389" s="1">
        <v>272.66000000000003</v>
      </c>
      <c r="I389" s="1">
        <v>-54.76</v>
      </c>
      <c r="J389" s="1">
        <v>167.39</v>
      </c>
      <c r="K389" s="1">
        <v>114.61</v>
      </c>
      <c r="L389" s="1">
        <v>-29.43</v>
      </c>
      <c r="M389" s="1">
        <v>0</v>
      </c>
      <c r="N389" s="1">
        <v>-14.48</v>
      </c>
      <c r="O389" s="1">
        <v>9.99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 cm="1">
        <f t="array" ref="V389">SUM(ABS(G389:U389))</f>
        <v>717.54</v>
      </c>
      <c r="W389" s="11" cm="1">
        <f t="array" ref="W389">SUM(ABS(B389:E389))+SUM(ABS(G389:U389))</f>
        <v>1609.25</v>
      </c>
    </row>
    <row r="390" spans="1:23" x14ac:dyDescent="0.3">
      <c r="A390" s="14">
        <v>45905</v>
      </c>
      <c r="B390" s="1">
        <v>-738.14</v>
      </c>
      <c r="C390" s="1">
        <v>35.950000000000003</v>
      </c>
      <c r="D390" s="1">
        <v>66.28</v>
      </c>
      <c r="E390" s="1">
        <v>35.479999999999997</v>
      </c>
      <c r="F390" s="1" cm="1">
        <f t="array" ref="F390">SUM(ABS(B390:E390))</f>
        <v>875.85</v>
      </c>
      <c r="G390" s="1">
        <v>54.22</v>
      </c>
      <c r="H390" s="1">
        <v>272.57</v>
      </c>
      <c r="I390" s="1">
        <v>-54.78</v>
      </c>
      <c r="J390" s="1">
        <v>168.12</v>
      </c>
      <c r="K390" s="1">
        <v>114.51</v>
      </c>
      <c r="L390" s="1">
        <v>-29.56</v>
      </c>
      <c r="M390" s="1">
        <v>0</v>
      </c>
      <c r="N390" s="1">
        <v>-15.56</v>
      </c>
      <c r="O390" s="1">
        <v>10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 cm="1">
        <f t="array" ref="V390">SUM(ABS(G390:U390))</f>
        <v>719.31999999999982</v>
      </c>
      <c r="W390" s="11" cm="1">
        <f t="array" ref="W390">SUM(ABS(B390:E390))+SUM(ABS(G390:U390))</f>
        <v>1595.1699999999998</v>
      </c>
    </row>
    <row r="391" spans="1:23" x14ac:dyDescent="0.3">
      <c r="A391" s="14">
        <v>45905.010416666664</v>
      </c>
      <c r="B391" s="1">
        <v>-738.56</v>
      </c>
      <c r="C391" s="1">
        <v>35.97</v>
      </c>
      <c r="D391" s="1">
        <v>66.27</v>
      </c>
      <c r="E391" s="1">
        <v>6.36</v>
      </c>
      <c r="F391" s="1" cm="1">
        <f t="array" ref="F391">SUM(ABS(B391:E391))</f>
        <v>847.16</v>
      </c>
      <c r="G391" s="1">
        <v>54.22</v>
      </c>
      <c r="H391" s="1">
        <v>272.64</v>
      </c>
      <c r="I391" s="1">
        <v>-54.78</v>
      </c>
      <c r="J391" s="1">
        <v>168.46</v>
      </c>
      <c r="K391" s="1">
        <v>114.4</v>
      </c>
      <c r="L391" s="1">
        <v>-29.6</v>
      </c>
      <c r="M391" s="1">
        <v>0</v>
      </c>
      <c r="N391" s="1">
        <v>-15.51</v>
      </c>
      <c r="O391" s="1">
        <v>10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 cm="1">
        <f t="array" ref="V391">SUM(ABS(G391:U391))</f>
        <v>719.61</v>
      </c>
      <c r="W391" s="11" cm="1">
        <f t="array" ref="W391">SUM(ABS(B391:E391))+SUM(ABS(G391:U391))</f>
        <v>1566.77</v>
      </c>
    </row>
    <row r="392" spans="1:23" x14ac:dyDescent="0.3">
      <c r="A392" s="14">
        <v>45905.020833333336</v>
      </c>
      <c r="B392" s="1">
        <v>-727.01</v>
      </c>
      <c r="C392" s="1">
        <v>35.950000000000003</v>
      </c>
      <c r="D392" s="1">
        <v>47.92</v>
      </c>
      <c r="E392" s="1">
        <v>6.37</v>
      </c>
      <c r="F392" s="1" cm="1">
        <f t="array" ref="F392">SUM(ABS(B392:E392))</f>
        <v>817.25</v>
      </c>
      <c r="G392" s="1">
        <v>54.23</v>
      </c>
      <c r="H392" s="1">
        <v>272.41000000000003</v>
      </c>
      <c r="I392" s="1">
        <v>-54.73</v>
      </c>
      <c r="J392" s="1">
        <v>163.41999999999999</v>
      </c>
      <c r="K392" s="1">
        <v>114.24</v>
      </c>
      <c r="L392" s="1">
        <v>-29.25</v>
      </c>
      <c r="M392" s="1">
        <v>0</v>
      </c>
      <c r="N392" s="1">
        <v>-15.51</v>
      </c>
      <c r="O392" s="1">
        <v>9.99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 cm="1">
        <f t="array" ref="V392">SUM(ABS(G392:U392))</f>
        <v>713.78000000000009</v>
      </c>
      <c r="W392" s="11" cm="1">
        <f t="array" ref="W392">SUM(ABS(B392:E392))+SUM(ABS(G392:U392))</f>
        <v>1531.0300000000002</v>
      </c>
    </row>
    <row r="393" spans="1:23" x14ac:dyDescent="0.3">
      <c r="A393" s="14">
        <v>45905.03125</v>
      </c>
      <c r="B393" s="1">
        <v>-736.11</v>
      </c>
      <c r="C393" s="1">
        <v>35.979999999999997</v>
      </c>
      <c r="D393" s="1">
        <v>12</v>
      </c>
      <c r="E393" s="1">
        <v>6.41</v>
      </c>
      <c r="F393" s="1" cm="1">
        <f t="array" ref="F393">SUM(ABS(B393:E393))</f>
        <v>790.5</v>
      </c>
      <c r="G393" s="1">
        <v>54.23</v>
      </c>
      <c r="H393" s="1">
        <v>272.76</v>
      </c>
      <c r="I393" s="1">
        <v>-54.75</v>
      </c>
      <c r="J393" s="1">
        <v>144.15</v>
      </c>
      <c r="K393" s="1">
        <v>114.14</v>
      </c>
      <c r="L393" s="1">
        <v>-29.55</v>
      </c>
      <c r="M393" s="1">
        <v>0</v>
      </c>
      <c r="N393" s="1">
        <v>-15.51</v>
      </c>
      <c r="O393" s="1">
        <v>10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 cm="1">
        <f t="array" ref="V393">SUM(ABS(G393:U393))</f>
        <v>695.08999999999992</v>
      </c>
      <c r="W393" s="11" cm="1">
        <f t="array" ref="W393">SUM(ABS(B393:E393))+SUM(ABS(G393:U393))</f>
        <v>1485.59</v>
      </c>
    </row>
    <row r="394" spans="1:23" x14ac:dyDescent="0.3">
      <c r="A394" s="14">
        <v>45905.041666666664</v>
      </c>
      <c r="B394" s="1">
        <v>-734.8</v>
      </c>
      <c r="C394" s="1">
        <v>35.979999999999997</v>
      </c>
      <c r="D394" s="1">
        <v>12</v>
      </c>
      <c r="E394" s="1">
        <v>6.46</v>
      </c>
      <c r="F394" s="1" cm="1">
        <f t="array" ref="F394">SUM(ABS(B394:E394))</f>
        <v>789.24</v>
      </c>
      <c r="G394" s="1">
        <v>54.23</v>
      </c>
      <c r="H394" s="1">
        <v>272.79000000000002</v>
      </c>
      <c r="I394" s="1">
        <v>-54.73</v>
      </c>
      <c r="J394" s="1">
        <v>145.44</v>
      </c>
      <c r="K394" s="1">
        <v>109.27</v>
      </c>
      <c r="L394" s="1">
        <v>-29.36</v>
      </c>
      <c r="M394" s="1">
        <v>0</v>
      </c>
      <c r="N394" s="1">
        <v>-15.52</v>
      </c>
      <c r="O394" s="1">
        <v>9.99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 cm="1">
        <f t="array" ref="V394">SUM(ABS(G394:U394))</f>
        <v>691.33</v>
      </c>
      <c r="W394" s="11" cm="1">
        <f t="array" ref="W394">SUM(ABS(B394:E394))+SUM(ABS(G394:U394))</f>
        <v>1480.5700000000002</v>
      </c>
    </row>
    <row r="395" spans="1:23" x14ac:dyDescent="0.3">
      <c r="A395" s="14">
        <v>45905.052083333336</v>
      </c>
      <c r="B395" s="1">
        <v>-733.91</v>
      </c>
      <c r="C395" s="1">
        <v>35.979999999999997</v>
      </c>
      <c r="D395" s="1">
        <v>12</v>
      </c>
      <c r="E395" s="1">
        <v>6.45</v>
      </c>
      <c r="F395" s="1" cm="1">
        <f t="array" ref="F395">SUM(ABS(B395:E395))</f>
        <v>788.34</v>
      </c>
      <c r="G395" s="1">
        <v>54.21</v>
      </c>
      <c r="H395" s="1">
        <v>272.48</v>
      </c>
      <c r="I395" s="1">
        <v>-54.7</v>
      </c>
      <c r="J395" s="1">
        <v>144.27000000000001</v>
      </c>
      <c r="K395" s="1">
        <v>91.79</v>
      </c>
      <c r="L395" s="1">
        <v>-29.3</v>
      </c>
      <c r="M395" s="1">
        <v>0</v>
      </c>
      <c r="N395" s="1">
        <v>-15.51</v>
      </c>
      <c r="O395" s="1">
        <v>9.98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 cm="1">
        <f t="array" ref="V395">SUM(ABS(G395:U395))</f>
        <v>672.2399999999999</v>
      </c>
      <c r="W395" s="11" cm="1">
        <f t="array" ref="W395">SUM(ABS(B395:E395))+SUM(ABS(G395:U395))</f>
        <v>1460.58</v>
      </c>
    </row>
    <row r="396" spans="1:23" x14ac:dyDescent="0.3">
      <c r="A396" s="14">
        <v>45905.0625</v>
      </c>
      <c r="B396" s="1">
        <v>-728.26</v>
      </c>
      <c r="C396" s="1">
        <v>36</v>
      </c>
      <c r="D396" s="1">
        <v>12</v>
      </c>
      <c r="E396" s="1">
        <v>6.44</v>
      </c>
      <c r="F396" s="1" cm="1">
        <f t="array" ref="F396">SUM(ABS(B396:E396))</f>
        <v>782.7</v>
      </c>
      <c r="G396" s="1">
        <v>54.24</v>
      </c>
      <c r="H396" s="1">
        <v>271.67</v>
      </c>
      <c r="I396" s="1">
        <v>-54.68</v>
      </c>
      <c r="J396" s="1">
        <v>113.49</v>
      </c>
      <c r="K396" s="1">
        <v>82.64</v>
      </c>
      <c r="L396" s="1">
        <v>-29.11</v>
      </c>
      <c r="M396" s="1">
        <v>0</v>
      </c>
      <c r="N396" s="1">
        <v>-15.51</v>
      </c>
      <c r="O396" s="1">
        <v>9.98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 cm="1">
        <f t="array" ref="V396">SUM(ABS(G396:U396))</f>
        <v>631.32000000000005</v>
      </c>
      <c r="W396" s="11" cm="1">
        <f t="array" ref="W396">SUM(ABS(B396:E396))+SUM(ABS(G396:U396))</f>
        <v>1414.02</v>
      </c>
    </row>
    <row r="397" spans="1:23" x14ac:dyDescent="0.3">
      <c r="A397" s="14">
        <v>45905.072916666664</v>
      </c>
      <c r="B397" s="1">
        <v>-729.17</v>
      </c>
      <c r="C397" s="1">
        <v>36.020000000000003</v>
      </c>
      <c r="D397" s="1">
        <v>12</v>
      </c>
      <c r="E397" s="1">
        <v>6.43</v>
      </c>
      <c r="F397" s="1" cm="1">
        <f t="array" ref="F397">SUM(ABS(B397:E397))</f>
        <v>783.61999999999989</v>
      </c>
      <c r="G397" s="1">
        <v>54.23</v>
      </c>
      <c r="H397" s="1">
        <v>270.70999999999998</v>
      </c>
      <c r="I397" s="1">
        <v>-54.7</v>
      </c>
      <c r="J397" s="1">
        <v>90.6</v>
      </c>
      <c r="K397" s="1">
        <v>47.21</v>
      </c>
      <c r="L397" s="1">
        <v>-29.01</v>
      </c>
      <c r="M397" s="1">
        <v>0</v>
      </c>
      <c r="N397" s="1">
        <v>-15.5</v>
      </c>
      <c r="O397" s="1">
        <v>9.98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 cm="1">
        <f t="array" ref="V397">SUM(ABS(G397:U397))</f>
        <v>571.94000000000005</v>
      </c>
      <c r="W397" s="11" cm="1">
        <f t="array" ref="W397">SUM(ABS(B397:E397))+SUM(ABS(G397:U397))</f>
        <v>1355.56</v>
      </c>
    </row>
    <row r="398" spans="1:23" x14ac:dyDescent="0.3">
      <c r="A398" s="14">
        <v>45905.083333333336</v>
      </c>
      <c r="B398" s="1">
        <v>-628.95000000000005</v>
      </c>
      <c r="C398" s="1">
        <v>36.04</v>
      </c>
      <c r="D398" s="1">
        <v>12</v>
      </c>
      <c r="E398" s="1">
        <v>6.42</v>
      </c>
      <c r="F398" s="1" cm="1">
        <f t="array" ref="F398">SUM(ABS(B398:E398))</f>
        <v>683.41</v>
      </c>
      <c r="G398" s="1">
        <v>54.24</v>
      </c>
      <c r="H398" s="1">
        <v>272.32</v>
      </c>
      <c r="I398" s="1">
        <v>-54.7</v>
      </c>
      <c r="J398" s="1">
        <v>38.549999999999997</v>
      </c>
      <c r="K398" s="1">
        <v>12.21</v>
      </c>
      <c r="L398" s="1">
        <v>-29.1</v>
      </c>
      <c r="M398" s="1">
        <v>0</v>
      </c>
      <c r="N398" s="1">
        <v>-4.8899999999999997</v>
      </c>
      <c r="O398" s="1">
        <v>10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 cm="1">
        <f t="array" ref="V398">SUM(ABS(G398:U398))</f>
        <v>476.01</v>
      </c>
      <c r="W398" s="11" cm="1">
        <f t="array" ref="W398">SUM(ABS(B398:E398))+SUM(ABS(G398:U398))</f>
        <v>1159.42</v>
      </c>
    </row>
    <row r="399" spans="1:23" x14ac:dyDescent="0.3">
      <c r="A399" s="14">
        <v>45905.09375</v>
      </c>
      <c r="B399" s="1">
        <v>-565.5</v>
      </c>
      <c r="C399" s="1">
        <v>36.06</v>
      </c>
      <c r="D399" s="1">
        <v>12</v>
      </c>
      <c r="E399" s="1">
        <v>6.39</v>
      </c>
      <c r="F399" s="1" cm="1">
        <f t="array" ref="F399">SUM(ABS(B399:E399))</f>
        <v>619.94999999999993</v>
      </c>
      <c r="G399" s="1">
        <v>54.22</v>
      </c>
      <c r="H399" s="1">
        <v>273</v>
      </c>
      <c r="I399" s="1">
        <v>-54.7</v>
      </c>
      <c r="J399" s="1">
        <v>0.02</v>
      </c>
      <c r="K399" s="1">
        <v>0</v>
      </c>
      <c r="L399" s="1">
        <v>-29.3</v>
      </c>
      <c r="M399" s="1">
        <v>0</v>
      </c>
      <c r="N399" s="1">
        <v>7.0000000000000007E-2</v>
      </c>
      <c r="O399" s="1">
        <v>10.01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 cm="1">
        <f t="array" ref="V399">SUM(ABS(G399:U399))</f>
        <v>421.32</v>
      </c>
      <c r="W399" s="11" cm="1">
        <f t="array" ref="W399">SUM(ABS(B399:E399))+SUM(ABS(G399:U399))</f>
        <v>1041.27</v>
      </c>
    </row>
    <row r="400" spans="1:23" x14ac:dyDescent="0.3">
      <c r="A400" s="14">
        <v>45905.104166666664</v>
      </c>
      <c r="B400" s="1">
        <v>-577.79</v>
      </c>
      <c r="C400" s="1">
        <v>36.07</v>
      </c>
      <c r="D400" s="1">
        <v>12</v>
      </c>
      <c r="E400" s="1">
        <v>6.38</v>
      </c>
      <c r="F400" s="1" cm="1">
        <f t="array" ref="F400">SUM(ABS(B400:E400))</f>
        <v>632.24</v>
      </c>
      <c r="G400" s="1">
        <v>54.21</v>
      </c>
      <c r="H400" s="1">
        <v>272.93</v>
      </c>
      <c r="I400" s="1">
        <v>-54.7</v>
      </c>
      <c r="J400" s="1">
        <v>0</v>
      </c>
      <c r="K400" s="1">
        <v>0</v>
      </c>
      <c r="L400" s="1">
        <v>-29.45</v>
      </c>
      <c r="M400" s="1">
        <v>0</v>
      </c>
      <c r="N400" s="1">
        <v>0.06</v>
      </c>
      <c r="O400" s="1">
        <v>10.01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 cm="1">
        <f t="array" ref="V400">SUM(ABS(G400:U400))</f>
        <v>421.35999999999996</v>
      </c>
      <c r="W400" s="11" cm="1">
        <f t="array" ref="W400">SUM(ABS(B400:E400))+SUM(ABS(G400:U400))</f>
        <v>1053.5999999999999</v>
      </c>
    </row>
    <row r="401" spans="1:23" x14ac:dyDescent="0.3">
      <c r="A401" s="14">
        <v>45905.114583333336</v>
      </c>
      <c r="B401" s="1">
        <v>-519.88</v>
      </c>
      <c r="C401" s="1">
        <v>36.04</v>
      </c>
      <c r="D401" s="1">
        <v>12</v>
      </c>
      <c r="E401" s="1">
        <v>6.38</v>
      </c>
      <c r="F401" s="1" cm="1">
        <f t="array" ref="F401">SUM(ABS(B401:E401))</f>
        <v>574.29999999999995</v>
      </c>
      <c r="G401" s="1">
        <v>54.23</v>
      </c>
      <c r="H401" s="1">
        <v>272.5</v>
      </c>
      <c r="I401" s="1">
        <v>-54.71</v>
      </c>
      <c r="J401" s="1">
        <v>0</v>
      </c>
      <c r="K401" s="1">
        <v>0</v>
      </c>
      <c r="L401" s="1">
        <v>-29.1</v>
      </c>
      <c r="M401" s="1">
        <v>0</v>
      </c>
      <c r="N401" s="1">
        <v>0.06</v>
      </c>
      <c r="O401" s="1">
        <v>10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 cm="1">
        <f t="array" ref="V401">SUM(ABS(G401:U401))</f>
        <v>420.6</v>
      </c>
      <c r="W401" s="11" cm="1">
        <f t="array" ref="W401">SUM(ABS(B401:E401))+SUM(ABS(G401:U401))</f>
        <v>994.9</v>
      </c>
    </row>
    <row r="402" spans="1:23" x14ac:dyDescent="0.3">
      <c r="A402" s="14">
        <v>45905.125</v>
      </c>
      <c r="B402" s="1">
        <v>-492.05</v>
      </c>
      <c r="C402" s="1">
        <v>36.04</v>
      </c>
      <c r="D402" s="1">
        <v>12</v>
      </c>
      <c r="E402" s="1">
        <v>6.37</v>
      </c>
      <c r="F402" s="1" cm="1">
        <f t="array" ref="F402">SUM(ABS(B402:E402))</f>
        <v>546.46</v>
      </c>
      <c r="G402" s="1">
        <v>54.23</v>
      </c>
      <c r="H402" s="1">
        <v>271.10000000000002</v>
      </c>
      <c r="I402" s="1">
        <v>-54.7</v>
      </c>
      <c r="J402" s="1">
        <v>0</v>
      </c>
      <c r="K402" s="1">
        <v>0</v>
      </c>
      <c r="L402" s="1">
        <v>-28.97</v>
      </c>
      <c r="M402" s="1">
        <v>0</v>
      </c>
      <c r="N402" s="1">
        <v>0.06</v>
      </c>
      <c r="O402" s="1">
        <v>10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 cm="1">
        <f t="array" ref="V402">SUM(ABS(G402:U402))</f>
        <v>419.06</v>
      </c>
      <c r="W402" s="11" cm="1">
        <f t="array" ref="W402">SUM(ABS(B402:E402))+SUM(ABS(G402:U402))</f>
        <v>965.52</v>
      </c>
    </row>
    <row r="403" spans="1:23" x14ac:dyDescent="0.3">
      <c r="A403" s="14">
        <v>45905.135416666664</v>
      </c>
      <c r="B403" s="1">
        <v>-477.22</v>
      </c>
      <c r="C403" s="1">
        <v>36.07</v>
      </c>
      <c r="D403" s="1">
        <v>12</v>
      </c>
      <c r="E403" s="1">
        <v>6.36</v>
      </c>
      <c r="F403" s="1" cm="1">
        <f t="array" ref="F403">SUM(ABS(B403:E403))</f>
        <v>531.65000000000009</v>
      </c>
      <c r="G403" s="1">
        <v>54.23</v>
      </c>
      <c r="H403" s="1">
        <v>271.64</v>
      </c>
      <c r="I403" s="1">
        <v>-54.69</v>
      </c>
      <c r="J403" s="1">
        <v>0</v>
      </c>
      <c r="K403" s="1">
        <v>0</v>
      </c>
      <c r="L403" s="1">
        <v>-29</v>
      </c>
      <c r="M403" s="1">
        <v>0</v>
      </c>
      <c r="N403" s="1">
        <v>0.06</v>
      </c>
      <c r="O403" s="1">
        <v>10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 cm="1">
        <f t="array" ref="V403">SUM(ABS(G403:U403))</f>
        <v>419.62</v>
      </c>
      <c r="W403" s="11" cm="1">
        <f t="array" ref="W403">SUM(ABS(B403:E403))+SUM(ABS(G403:U403))</f>
        <v>951.2700000000001</v>
      </c>
    </row>
    <row r="404" spans="1:23" x14ac:dyDescent="0.3">
      <c r="A404" s="14">
        <v>45905.145833333336</v>
      </c>
      <c r="B404" s="1">
        <v>-479.26</v>
      </c>
      <c r="C404" s="1">
        <v>36.08</v>
      </c>
      <c r="D404" s="1">
        <v>12</v>
      </c>
      <c r="E404" s="1">
        <v>6.36</v>
      </c>
      <c r="F404" s="1" cm="1">
        <f t="array" ref="F404">SUM(ABS(B404:E404))</f>
        <v>533.70000000000005</v>
      </c>
      <c r="G404" s="1">
        <v>54.23</v>
      </c>
      <c r="H404" s="1">
        <v>272.18</v>
      </c>
      <c r="I404" s="1">
        <v>-54.7</v>
      </c>
      <c r="J404" s="1">
        <v>0</v>
      </c>
      <c r="K404" s="1">
        <v>0</v>
      </c>
      <c r="L404" s="1">
        <v>-29.03</v>
      </c>
      <c r="M404" s="1">
        <v>0</v>
      </c>
      <c r="N404" s="1">
        <v>0.06</v>
      </c>
      <c r="O404" s="1">
        <v>10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 cm="1">
        <f t="array" ref="V404">SUM(ABS(G404:U404))</f>
        <v>420.2</v>
      </c>
      <c r="W404" s="11" cm="1">
        <f t="array" ref="W404">SUM(ABS(B404:E404))+SUM(ABS(G404:U404))</f>
        <v>953.90000000000009</v>
      </c>
    </row>
    <row r="405" spans="1:23" x14ac:dyDescent="0.3">
      <c r="A405" s="14">
        <v>45905.15625</v>
      </c>
      <c r="B405" s="1">
        <v>-479.98</v>
      </c>
      <c r="C405" s="1">
        <v>36.07</v>
      </c>
      <c r="D405" s="1">
        <v>12</v>
      </c>
      <c r="E405" s="1">
        <v>6.35</v>
      </c>
      <c r="F405" s="1" cm="1">
        <f t="array" ref="F405">SUM(ABS(B405:E405))</f>
        <v>534.40000000000009</v>
      </c>
      <c r="G405" s="1">
        <v>54.21</v>
      </c>
      <c r="H405" s="1">
        <v>271.68</v>
      </c>
      <c r="I405" s="1">
        <v>-54.71</v>
      </c>
      <c r="J405" s="1">
        <v>0</v>
      </c>
      <c r="K405" s="1">
        <v>0</v>
      </c>
      <c r="L405" s="1">
        <v>-29.02</v>
      </c>
      <c r="M405" s="1">
        <v>0</v>
      </c>
      <c r="N405" s="1">
        <v>0.06</v>
      </c>
      <c r="O405" s="1">
        <v>10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 cm="1">
        <f t="array" ref="V405">SUM(ABS(G405:U405))</f>
        <v>419.67999999999995</v>
      </c>
      <c r="W405" s="11" cm="1">
        <f t="array" ref="W405">SUM(ABS(B405:E405))+SUM(ABS(G405:U405))</f>
        <v>954.08</v>
      </c>
    </row>
    <row r="406" spans="1:23" x14ac:dyDescent="0.3">
      <c r="A406" s="14">
        <v>45905.166666666664</v>
      </c>
      <c r="B406" s="1">
        <v>-469.28</v>
      </c>
      <c r="C406" s="1">
        <v>36.1</v>
      </c>
      <c r="D406" s="1">
        <v>12</v>
      </c>
      <c r="E406" s="1">
        <v>6.34</v>
      </c>
      <c r="F406" s="1" cm="1">
        <f t="array" ref="F406">SUM(ABS(B406:E406))</f>
        <v>523.72</v>
      </c>
      <c r="G406" s="1">
        <v>54.22</v>
      </c>
      <c r="H406" s="1">
        <v>269.35000000000002</v>
      </c>
      <c r="I406" s="1">
        <v>-54.69</v>
      </c>
      <c r="J406" s="1">
        <v>0</v>
      </c>
      <c r="K406" s="1">
        <v>0</v>
      </c>
      <c r="L406" s="1">
        <v>-28.87</v>
      </c>
      <c r="M406" s="1">
        <v>0</v>
      </c>
      <c r="N406" s="1">
        <v>0.06</v>
      </c>
      <c r="O406" s="1">
        <v>10.01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 cm="1">
        <f t="array" ref="V406">SUM(ABS(G406:U406))</f>
        <v>417.20000000000005</v>
      </c>
      <c r="W406" s="11" cm="1">
        <f t="array" ref="W406">SUM(ABS(B406:E406))+SUM(ABS(G406:U406))</f>
        <v>940.92000000000007</v>
      </c>
    </row>
    <row r="407" spans="1:23" x14ac:dyDescent="0.3">
      <c r="A407" s="14">
        <v>45905.177083333336</v>
      </c>
      <c r="B407" s="1">
        <v>-483.06</v>
      </c>
      <c r="C407" s="1">
        <v>36.11</v>
      </c>
      <c r="D407" s="1">
        <v>12</v>
      </c>
      <c r="E407" s="1">
        <v>6.35</v>
      </c>
      <c r="F407" s="1" cm="1">
        <f t="array" ref="F407">SUM(ABS(B407:E407))</f>
        <v>537.52</v>
      </c>
      <c r="G407" s="1">
        <v>54.21</v>
      </c>
      <c r="H407" s="1">
        <v>272.39999999999998</v>
      </c>
      <c r="I407" s="1">
        <v>-54.69</v>
      </c>
      <c r="J407" s="1">
        <v>0</v>
      </c>
      <c r="K407" s="1">
        <v>0</v>
      </c>
      <c r="L407" s="1">
        <v>-29.08</v>
      </c>
      <c r="M407" s="1">
        <v>0</v>
      </c>
      <c r="N407" s="1">
        <v>0.06</v>
      </c>
      <c r="O407" s="1">
        <v>10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 cm="1">
        <f t="array" ref="V407">SUM(ABS(G407:U407))</f>
        <v>420.43999999999994</v>
      </c>
      <c r="W407" s="11" cm="1">
        <f t="array" ref="W407">SUM(ABS(B407:E407))+SUM(ABS(G407:U407))</f>
        <v>957.95999999999992</v>
      </c>
    </row>
    <row r="408" spans="1:23" x14ac:dyDescent="0.3">
      <c r="A408" s="14">
        <v>45905.1875</v>
      </c>
      <c r="B408" s="1">
        <v>-477.19</v>
      </c>
      <c r="C408" s="1">
        <v>36.130000000000003</v>
      </c>
      <c r="D408" s="1">
        <v>12</v>
      </c>
      <c r="E408" s="1">
        <v>6.35</v>
      </c>
      <c r="F408" s="1" cm="1">
        <f t="array" ref="F408">SUM(ABS(B408:E408))</f>
        <v>531.67000000000007</v>
      </c>
      <c r="G408" s="1">
        <v>54.22</v>
      </c>
      <c r="H408" s="1">
        <v>271.02999999999997</v>
      </c>
      <c r="I408" s="1">
        <v>-54.69</v>
      </c>
      <c r="J408" s="1">
        <v>0</v>
      </c>
      <c r="K408" s="1">
        <v>0</v>
      </c>
      <c r="L408" s="1">
        <v>-28.99</v>
      </c>
      <c r="M408" s="1">
        <v>0</v>
      </c>
      <c r="N408" s="1">
        <v>0.06</v>
      </c>
      <c r="O408" s="1">
        <v>10.01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 cm="1">
        <f t="array" ref="V408">SUM(ABS(G408:U408))</f>
        <v>419</v>
      </c>
      <c r="W408" s="11" cm="1">
        <f t="array" ref="W408">SUM(ABS(B408:E408))+SUM(ABS(G408:U408))</f>
        <v>950.67000000000007</v>
      </c>
    </row>
    <row r="409" spans="1:23" x14ac:dyDescent="0.3">
      <c r="A409" s="14">
        <v>45905.197916666664</v>
      </c>
      <c r="B409" s="1">
        <v>-475.69</v>
      </c>
      <c r="C409" s="1">
        <v>36.159999999999997</v>
      </c>
      <c r="D409" s="1">
        <v>12</v>
      </c>
      <c r="E409" s="1">
        <v>6.36</v>
      </c>
      <c r="F409" s="1" cm="1">
        <f t="array" ref="F409">SUM(ABS(B409:E409))</f>
        <v>530.21</v>
      </c>
      <c r="G409" s="1">
        <v>54.21</v>
      </c>
      <c r="H409" s="1">
        <v>270.33999999999997</v>
      </c>
      <c r="I409" s="1">
        <v>-54.69</v>
      </c>
      <c r="J409" s="1">
        <v>0</v>
      </c>
      <c r="K409" s="1">
        <v>0</v>
      </c>
      <c r="L409" s="1">
        <v>-28.95</v>
      </c>
      <c r="M409" s="1">
        <v>0</v>
      </c>
      <c r="N409" s="1">
        <v>0.06</v>
      </c>
      <c r="O409" s="1">
        <v>10.01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 cm="1">
        <f t="array" ref="V409">SUM(ABS(G409:U409))</f>
        <v>418.25999999999993</v>
      </c>
      <c r="W409" s="11" cm="1">
        <f t="array" ref="W409">SUM(ABS(B409:E409))+SUM(ABS(G409:U409))</f>
        <v>948.47</v>
      </c>
    </row>
    <row r="410" spans="1:23" x14ac:dyDescent="0.3">
      <c r="A410" s="14">
        <v>45905.208333333336</v>
      </c>
      <c r="B410" s="1">
        <v>-601.44000000000005</v>
      </c>
      <c r="C410" s="1">
        <v>36.18</v>
      </c>
      <c r="D410" s="1">
        <v>12</v>
      </c>
      <c r="E410" s="1">
        <v>6.36</v>
      </c>
      <c r="F410" s="1" cm="1">
        <f t="array" ref="F410">SUM(ABS(B410:E410))</f>
        <v>655.98</v>
      </c>
      <c r="G410" s="1">
        <v>54.23</v>
      </c>
      <c r="H410" s="1">
        <v>270.3</v>
      </c>
      <c r="I410" s="1">
        <v>-54.67</v>
      </c>
      <c r="J410" s="1">
        <v>0</v>
      </c>
      <c r="K410" s="1">
        <v>0</v>
      </c>
      <c r="L410" s="1">
        <v>-29.04</v>
      </c>
      <c r="M410" s="1">
        <v>0</v>
      </c>
      <c r="N410" s="1">
        <v>0.06</v>
      </c>
      <c r="O410" s="1">
        <v>10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 cm="1">
        <f t="array" ref="V410">SUM(ABS(G410:U410))</f>
        <v>418.30000000000007</v>
      </c>
      <c r="W410" s="11" cm="1">
        <f t="array" ref="W410">SUM(ABS(B410:E410))+SUM(ABS(G410:U410))</f>
        <v>1074.2800000000002</v>
      </c>
    </row>
    <row r="411" spans="1:23" x14ac:dyDescent="0.3">
      <c r="A411" s="14">
        <v>45905.21875</v>
      </c>
      <c r="B411" s="1">
        <v>-695.13</v>
      </c>
      <c r="C411" s="1">
        <v>36.21</v>
      </c>
      <c r="D411" s="1">
        <v>12</v>
      </c>
      <c r="E411" s="1">
        <v>6.35</v>
      </c>
      <c r="F411" s="1" cm="1">
        <f t="array" ref="F411">SUM(ABS(B411:E411))</f>
        <v>749.69</v>
      </c>
      <c r="G411" s="1">
        <v>54.23</v>
      </c>
      <c r="H411" s="1">
        <v>272.73</v>
      </c>
      <c r="I411" s="1">
        <v>-54.67</v>
      </c>
      <c r="J411" s="1">
        <v>0</v>
      </c>
      <c r="K411" s="1">
        <v>0</v>
      </c>
      <c r="L411" s="1">
        <v>-29.27</v>
      </c>
      <c r="M411" s="1">
        <v>0</v>
      </c>
      <c r="N411" s="1">
        <v>0.05</v>
      </c>
      <c r="O411" s="1">
        <v>10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 cm="1">
        <f t="array" ref="V411">SUM(ABS(G411:U411))</f>
        <v>420.95000000000005</v>
      </c>
      <c r="W411" s="11" cm="1">
        <f t="array" ref="W411">SUM(ABS(B411:E411))+SUM(ABS(G411:U411))</f>
        <v>1170.6400000000001</v>
      </c>
    </row>
    <row r="412" spans="1:23" x14ac:dyDescent="0.3">
      <c r="A412" s="14">
        <v>45905.229166666664</v>
      </c>
      <c r="B412" s="1">
        <v>-716.86</v>
      </c>
      <c r="C412" s="1">
        <v>36.229999999999997</v>
      </c>
      <c r="D412" s="1">
        <v>12</v>
      </c>
      <c r="E412" s="1">
        <v>6.37</v>
      </c>
      <c r="F412" s="1" cm="1">
        <f t="array" ref="F412">SUM(ABS(B412:E412))</f>
        <v>771.46</v>
      </c>
      <c r="G412" s="1">
        <v>54.23</v>
      </c>
      <c r="H412" s="1">
        <v>272.69</v>
      </c>
      <c r="I412" s="1">
        <v>-54.68</v>
      </c>
      <c r="J412" s="1">
        <v>0</v>
      </c>
      <c r="K412" s="1">
        <v>0</v>
      </c>
      <c r="L412" s="1">
        <v>-29.3</v>
      </c>
      <c r="M412" s="1">
        <v>0</v>
      </c>
      <c r="N412" s="1">
        <v>0.05</v>
      </c>
      <c r="O412" s="1">
        <v>10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 cm="1">
        <f t="array" ref="V412">SUM(ABS(G412:U412))</f>
        <v>420.95000000000005</v>
      </c>
      <c r="W412" s="11" cm="1">
        <f t="array" ref="W412">SUM(ABS(B412:E412))+SUM(ABS(G412:U412))</f>
        <v>1192.4100000000001</v>
      </c>
    </row>
    <row r="413" spans="1:23" x14ac:dyDescent="0.3">
      <c r="A413" s="14">
        <v>45905.239583333336</v>
      </c>
      <c r="B413" s="1">
        <v>-729.15</v>
      </c>
      <c r="C413" s="1">
        <v>36.24</v>
      </c>
      <c r="D413" s="1">
        <v>12</v>
      </c>
      <c r="E413" s="1">
        <v>6.38</v>
      </c>
      <c r="F413" s="1" cm="1">
        <f t="array" ref="F413">SUM(ABS(B413:E413))</f>
        <v>783.77</v>
      </c>
      <c r="G413" s="1">
        <v>54.22</v>
      </c>
      <c r="H413" s="1">
        <v>272.5</v>
      </c>
      <c r="I413" s="1">
        <v>-54.67</v>
      </c>
      <c r="J413" s="1">
        <v>0</v>
      </c>
      <c r="K413" s="1">
        <v>0</v>
      </c>
      <c r="L413" s="1">
        <v>-29.17</v>
      </c>
      <c r="M413" s="1">
        <v>0</v>
      </c>
      <c r="N413" s="1">
        <v>0.06</v>
      </c>
      <c r="O413" s="1">
        <v>10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 cm="1">
        <f t="array" ref="V413">SUM(ABS(G413:U413))</f>
        <v>420.62000000000006</v>
      </c>
      <c r="W413" s="11" cm="1">
        <f t="array" ref="W413">SUM(ABS(B413:E413))+SUM(ABS(G413:U413))</f>
        <v>1204.3900000000001</v>
      </c>
    </row>
    <row r="414" spans="1:23" x14ac:dyDescent="0.3">
      <c r="A414" s="14">
        <v>45905.25</v>
      </c>
      <c r="B414" s="1">
        <v>-724.44</v>
      </c>
      <c r="C414" s="1">
        <v>36.24</v>
      </c>
      <c r="D414" s="1">
        <v>12</v>
      </c>
      <c r="E414" s="1">
        <v>12.09</v>
      </c>
      <c r="F414" s="1" cm="1">
        <f t="array" ref="F414">SUM(ABS(B414:E414))</f>
        <v>784.7700000000001</v>
      </c>
      <c r="G414" s="1">
        <v>54.23</v>
      </c>
      <c r="H414" s="1">
        <v>272.3</v>
      </c>
      <c r="I414" s="1">
        <v>-54.66</v>
      </c>
      <c r="J414" s="1">
        <v>0</v>
      </c>
      <c r="K414" s="1">
        <v>0</v>
      </c>
      <c r="L414" s="1">
        <v>-29.14</v>
      </c>
      <c r="M414" s="1">
        <v>0</v>
      </c>
      <c r="N414" s="1">
        <v>0.04</v>
      </c>
      <c r="O414" s="1">
        <v>10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 cm="1">
        <f t="array" ref="V414">SUM(ABS(G414:U414))</f>
        <v>420.37000000000006</v>
      </c>
      <c r="W414" s="11" cm="1">
        <f t="array" ref="W414">SUM(ABS(B414:E414))+SUM(ABS(G414:U414))</f>
        <v>1205.1400000000001</v>
      </c>
    </row>
    <row r="415" spans="1:23" x14ac:dyDescent="0.3">
      <c r="A415" s="14">
        <v>45905.260416666664</v>
      </c>
      <c r="B415" s="1">
        <v>-725.35</v>
      </c>
      <c r="C415" s="1">
        <v>36.25</v>
      </c>
      <c r="D415" s="1">
        <v>12</v>
      </c>
      <c r="E415" s="1">
        <v>12.67</v>
      </c>
      <c r="F415" s="1" cm="1">
        <f t="array" ref="F415">SUM(ABS(B415:E415))</f>
        <v>786.27</v>
      </c>
      <c r="G415" s="1">
        <v>54.22</v>
      </c>
      <c r="H415" s="1">
        <v>272.93</v>
      </c>
      <c r="I415" s="1">
        <v>-54.66</v>
      </c>
      <c r="J415" s="1">
        <v>0</v>
      </c>
      <c r="K415" s="1">
        <v>0</v>
      </c>
      <c r="L415" s="1">
        <v>-29.1</v>
      </c>
      <c r="M415" s="1">
        <v>0</v>
      </c>
      <c r="N415" s="1">
        <v>0.04</v>
      </c>
      <c r="O415" s="1">
        <v>10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 cm="1">
        <f t="array" ref="V415">SUM(ABS(G415:U415))</f>
        <v>420.95</v>
      </c>
      <c r="W415" s="11" cm="1">
        <f t="array" ref="W415">SUM(ABS(B415:E415))+SUM(ABS(G415:U415))</f>
        <v>1207.22</v>
      </c>
    </row>
    <row r="416" spans="1:23" x14ac:dyDescent="0.3">
      <c r="A416" s="14">
        <v>45905.270833333336</v>
      </c>
      <c r="B416" s="1">
        <v>-724.93</v>
      </c>
      <c r="C416" s="1">
        <v>36.24</v>
      </c>
      <c r="D416" s="1">
        <v>12</v>
      </c>
      <c r="E416" s="1">
        <v>12.67</v>
      </c>
      <c r="F416" s="1" cm="1">
        <f t="array" ref="F416">SUM(ABS(B416:E416))</f>
        <v>785.83999999999992</v>
      </c>
      <c r="G416" s="1">
        <v>54.22</v>
      </c>
      <c r="H416" s="1">
        <v>272.56</v>
      </c>
      <c r="I416" s="1">
        <v>-54.66</v>
      </c>
      <c r="J416" s="1">
        <v>0</v>
      </c>
      <c r="K416" s="1">
        <v>0</v>
      </c>
      <c r="L416" s="1">
        <v>-29.14</v>
      </c>
      <c r="M416" s="1">
        <v>0</v>
      </c>
      <c r="N416" s="1">
        <v>0.04</v>
      </c>
      <c r="O416" s="1">
        <v>10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 cm="1">
        <f t="array" ref="V416">SUM(ABS(G416:U416))</f>
        <v>420.61999999999995</v>
      </c>
      <c r="W416" s="11" cm="1">
        <f t="array" ref="W416">SUM(ABS(B416:E416))+SUM(ABS(G416:U416))</f>
        <v>1206.4599999999998</v>
      </c>
    </row>
    <row r="417" spans="1:23" x14ac:dyDescent="0.3">
      <c r="A417" s="14">
        <v>45905.28125</v>
      </c>
      <c r="B417" s="1">
        <v>-655.6</v>
      </c>
      <c r="C417" s="1">
        <v>36.270000000000003</v>
      </c>
      <c r="D417" s="1">
        <v>12</v>
      </c>
      <c r="E417" s="1">
        <v>10.27</v>
      </c>
      <c r="F417" s="1" cm="1">
        <f t="array" ref="F417">SUM(ABS(B417:E417))</f>
        <v>714.14</v>
      </c>
      <c r="G417" s="1">
        <v>47.37</v>
      </c>
      <c r="H417" s="1">
        <v>272.48</v>
      </c>
      <c r="I417" s="1">
        <v>-54.64</v>
      </c>
      <c r="J417" s="1">
        <v>0</v>
      </c>
      <c r="K417" s="1">
        <v>0</v>
      </c>
      <c r="L417" s="1">
        <v>-29.08</v>
      </c>
      <c r="M417" s="1">
        <v>0</v>
      </c>
      <c r="N417" s="1">
        <v>0.05</v>
      </c>
      <c r="O417" s="1">
        <v>10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 cm="1">
        <f t="array" ref="V417">SUM(ABS(G417:U417))</f>
        <v>413.62</v>
      </c>
      <c r="W417" s="11" cm="1">
        <f t="array" ref="W417">SUM(ABS(B417:E417))+SUM(ABS(G417:U417))</f>
        <v>1127.76</v>
      </c>
    </row>
    <row r="418" spans="1:23" x14ac:dyDescent="0.3">
      <c r="A418" s="14">
        <v>45905.291666666664</v>
      </c>
      <c r="B418" s="1">
        <v>-546.24</v>
      </c>
      <c r="C418" s="1">
        <v>36.270000000000003</v>
      </c>
      <c r="D418" s="1">
        <v>12</v>
      </c>
      <c r="E418" s="1">
        <v>6.37</v>
      </c>
      <c r="F418" s="1" cm="1">
        <f t="array" ref="F418">SUM(ABS(B418:E418))</f>
        <v>600.88</v>
      </c>
      <c r="G418" s="1">
        <v>30.11</v>
      </c>
      <c r="H418" s="1">
        <v>273.14999999999998</v>
      </c>
      <c r="I418" s="1">
        <v>-54.63</v>
      </c>
      <c r="J418" s="1">
        <v>0</v>
      </c>
      <c r="K418" s="1">
        <v>0</v>
      </c>
      <c r="L418" s="1">
        <v>-29.18</v>
      </c>
      <c r="M418" s="1">
        <v>0</v>
      </c>
      <c r="N418" s="1">
        <v>0.06</v>
      </c>
      <c r="O418" s="1">
        <v>9.99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 cm="1">
        <f t="array" ref="V418">SUM(ABS(G418:U418))</f>
        <v>397.12</v>
      </c>
      <c r="W418" s="11" cm="1">
        <f t="array" ref="W418">SUM(ABS(B418:E418))+SUM(ABS(G418:U418))</f>
        <v>998</v>
      </c>
    </row>
    <row r="419" spans="1:23" x14ac:dyDescent="0.3">
      <c r="A419" s="14">
        <v>45905.302083333336</v>
      </c>
      <c r="B419" s="1">
        <v>-380.03</v>
      </c>
      <c r="C419" s="1">
        <v>36.31</v>
      </c>
      <c r="D419" s="1">
        <v>12</v>
      </c>
      <c r="E419" s="1">
        <v>6.37</v>
      </c>
      <c r="F419" s="1" cm="1">
        <f t="array" ref="F419">SUM(ABS(B419:E419))</f>
        <v>434.71</v>
      </c>
      <c r="G419" s="1">
        <v>30.12</v>
      </c>
      <c r="H419" s="1">
        <v>273.27</v>
      </c>
      <c r="I419" s="1">
        <v>-54.64</v>
      </c>
      <c r="J419" s="1">
        <v>0</v>
      </c>
      <c r="K419" s="1">
        <v>0</v>
      </c>
      <c r="L419" s="1">
        <v>-29.26</v>
      </c>
      <c r="M419" s="1">
        <v>0</v>
      </c>
      <c r="N419" s="1">
        <v>0.08</v>
      </c>
      <c r="O419" s="1">
        <v>9.99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 cm="1">
        <f t="array" ref="V419">SUM(ABS(G419:U419))</f>
        <v>397.35999999999996</v>
      </c>
      <c r="W419" s="11" cm="1">
        <f t="array" ref="W419">SUM(ABS(B419:E419))+SUM(ABS(G419:U419))</f>
        <v>832.06999999999994</v>
      </c>
    </row>
    <row r="420" spans="1:23" x14ac:dyDescent="0.3">
      <c r="A420" s="14">
        <v>45905.3125</v>
      </c>
      <c r="B420" s="1">
        <v>-252.37</v>
      </c>
      <c r="C420" s="1">
        <v>36.33</v>
      </c>
      <c r="D420" s="1">
        <v>12</v>
      </c>
      <c r="E420" s="1">
        <v>4.83</v>
      </c>
      <c r="F420" s="1" cm="1">
        <f t="array" ref="F420">SUM(ABS(B420:E420))</f>
        <v>305.52999999999997</v>
      </c>
      <c r="G420" s="1">
        <v>30.12</v>
      </c>
      <c r="H420" s="1">
        <v>273.3</v>
      </c>
      <c r="I420" s="1">
        <v>-54.67</v>
      </c>
      <c r="J420" s="1">
        <v>0</v>
      </c>
      <c r="K420" s="1">
        <v>0</v>
      </c>
      <c r="L420" s="1">
        <v>-29.6</v>
      </c>
      <c r="M420" s="1">
        <v>0</v>
      </c>
      <c r="N420" s="1">
        <v>0.1</v>
      </c>
      <c r="O420" s="1">
        <v>9.99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 cm="1">
        <f t="array" ref="V420">SUM(ABS(G420:U420))</f>
        <v>397.78000000000009</v>
      </c>
      <c r="W420" s="11" cm="1">
        <f t="array" ref="W420">SUM(ABS(B420:E420))+SUM(ABS(G420:U420))</f>
        <v>703.31000000000006</v>
      </c>
    </row>
    <row r="421" spans="1:23" x14ac:dyDescent="0.3">
      <c r="A421" s="14">
        <v>45905.322916666664</v>
      </c>
      <c r="B421" s="1">
        <v>-166.03</v>
      </c>
      <c r="C421" s="1">
        <v>36.35</v>
      </c>
      <c r="D421" s="1">
        <v>12</v>
      </c>
      <c r="E421" s="1">
        <v>0</v>
      </c>
      <c r="F421" s="1" cm="1">
        <f t="array" ref="F421">SUM(ABS(B421:E421))</f>
        <v>214.38</v>
      </c>
      <c r="G421" s="1">
        <v>30.14</v>
      </c>
      <c r="H421" s="1">
        <v>273.64</v>
      </c>
      <c r="I421" s="1">
        <v>-48.16</v>
      </c>
      <c r="J421" s="1">
        <v>0</v>
      </c>
      <c r="K421" s="1">
        <v>0</v>
      </c>
      <c r="L421" s="1">
        <v>-29.58</v>
      </c>
      <c r="M421" s="1">
        <v>0</v>
      </c>
      <c r="N421" s="1">
        <v>0.12</v>
      </c>
      <c r="O421" s="1">
        <v>9.99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 cm="1">
        <f t="array" ref="V421">SUM(ABS(G421:U421))</f>
        <v>391.62999999999994</v>
      </c>
      <c r="W421" s="11" cm="1">
        <f t="array" ref="W421">SUM(ABS(B421:E421))+SUM(ABS(G421:U421))</f>
        <v>606.01</v>
      </c>
    </row>
    <row r="422" spans="1:23" x14ac:dyDescent="0.3">
      <c r="A422" s="14">
        <v>45905.333333333336</v>
      </c>
      <c r="B422" s="1">
        <v>-267.35000000000002</v>
      </c>
      <c r="C422" s="1">
        <v>36.380000000000003</v>
      </c>
      <c r="D422" s="1">
        <v>12</v>
      </c>
      <c r="E422" s="1">
        <v>0</v>
      </c>
      <c r="F422" s="1" cm="1">
        <f t="array" ref="F422">SUM(ABS(B422:E422))</f>
        <v>315.73</v>
      </c>
      <c r="G422" s="1">
        <v>30.15</v>
      </c>
      <c r="H422" s="1">
        <v>273.57</v>
      </c>
      <c r="I422" s="1">
        <v>-47.84</v>
      </c>
      <c r="J422" s="1">
        <v>0</v>
      </c>
      <c r="K422" s="1">
        <v>0</v>
      </c>
      <c r="L422" s="1">
        <v>-29.7</v>
      </c>
      <c r="M422" s="1">
        <v>0</v>
      </c>
      <c r="N422" s="1">
        <v>0.1</v>
      </c>
      <c r="O422" s="1">
        <v>10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 cm="1">
        <f t="array" ref="V422">SUM(ABS(G422:U422))</f>
        <v>391.35999999999996</v>
      </c>
      <c r="W422" s="11" cm="1">
        <f t="array" ref="W422">SUM(ABS(B422:E422))+SUM(ABS(G422:U422))</f>
        <v>707.08999999999992</v>
      </c>
    </row>
    <row r="423" spans="1:23" x14ac:dyDescent="0.3">
      <c r="A423" s="14">
        <v>45905.34375</v>
      </c>
      <c r="B423" s="1">
        <v>-294.69</v>
      </c>
      <c r="C423" s="1">
        <v>36.35</v>
      </c>
      <c r="D423" s="1">
        <v>12</v>
      </c>
      <c r="E423" s="1">
        <v>0</v>
      </c>
      <c r="F423" s="1" cm="1">
        <f t="array" ref="F423">SUM(ABS(B423:E423))</f>
        <v>343.04</v>
      </c>
      <c r="G423" s="1">
        <v>30.15</v>
      </c>
      <c r="H423" s="1">
        <v>273.94</v>
      </c>
      <c r="I423" s="1">
        <v>-54.72</v>
      </c>
      <c r="J423" s="1">
        <v>0</v>
      </c>
      <c r="K423" s="1">
        <v>0</v>
      </c>
      <c r="L423" s="1">
        <v>-29.77</v>
      </c>
      <c r="M423" s="1">
        <v>0</v>
      </c>
      <c r="N423" s="1">
        <v>7.0000000000000007E-2</v>
      </c>
      <c r="O423" s="1">
        <v>10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 cm="1">
        <f t="array" ref="V423">SUM(ABS(G423:U423))</f>
        <v>398.64999999999992</v>
      </c>
      <c r="W423" s="11" cm="1">
        <f t="array" ref="W423">SUM(ABS(B423:E423))+SUM(ABS(G423:U423))</f>
        <v>741.68999999999994</v>
      </c>
    </row>
    <row r="424" spans="1:23" x14ac:dyDescent="0.3">
      <c r="A424" s="14">
        <v>45905.354166666664</v>
      </c>
      <c r="B424" s="1">
        <v>-294.19</v>
      </c>
      <c r="C424" s="1">
        <v>36.35</v>
      </c>
      <c r="D424" s="1">
        <v>12</v>
      </c>
      <c r="E424" s="1">
        <v>0</v>
      </c>
      <c r="F424" s="1" cm="1">
        <f t="array" ref="F424">SUM(ABS(B424:E424))</f>
        <v>342.54</v>
      </c>
      <c r="G424" s="1">
        <v>30.14</v>
      </c>
      <c r="H424" s="1">
        <v>273.97000000000003</v>
      </c>
      <c r="I424" s="1">
        <v>-54.7</v>
      </c>
      <c r="J424" s="1">
        <v>0</v>
      </c>
      <c r="K424" s="1">
        <v>0</v>
      </c>
      <c r="L424" s="1">
        <v>-29.75</v>
      </c>
      <c r="M424" s="1">
        <v>0</v>
      </c>
      <c r="N424" s="1">
        <v>7.0000000000000007E-2</v>
      </c>
      <c r="O424" s="1">
        <v>7.33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 cm="1">
        <f t="array" ref="V424">SUM(ABS(G424:U424))</f>
        <v>395.96</v>
      </c>
      <c r="W424" s="11" cm="1">
        <f t="array" ref="W424">SUM(ABS(B424:E424))+SUM(ABS(G424:U424))</f>
        <v>738.5</v>
      </c>
    </row>
    <row r="425" spans="1:23" x14ac:dyDescent="0.3">
      <c r="A425" s="14">
        <v>45905.364583333336</v>
      </c>
      <c r="B425" s="1">
        <v>-167.16</v>
      </c>
      <c r="C425" s="1">
        <v>36.340000000000003</v>
      </c>
      <c r="D425" s="1">
        <v>12</v>
      </c>
      <c r="E425" s="1">
        <v>0</v>
      </c>
      <c r="F425" s="1" cm="1">
        <f t="array" ref="F425">SUM(ABS(B425:E425))</f>
        <v>215.5</v>
      </c>
      <c r="G425" s="1">
        <v>30.14</v>
      </c>
      <c r="H425" s="1">
        <v>272.97000000000003</v>
      </c>
      <c r="I425" s="1">
        <v>-54.68</v>
      </c>
      <c r="J425" s="1">
        <v>0</v>
      </c>
      <c r="K425" s="1">
        <v>0</v>
      </c>
      <c r="L425" s="1">
        <v>-29.06</v>
      </c>
      <c r="M425" s="1">
        <v>0</v>
      </c>
      <c r="N425" s="1">
        <v>0.09</v>
      </c>
      <c r="O425" s="1">
        <v>5.38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 cm="1">
        <f t="array" ref="V425">SUM(ABS(G425:U425))</f>
        <v>392.32</v>
      </c>
      <c r="W425" s="11" cm="1">
        <f t="array" ref="W425">SUM(ABS(B425:E425))+SUM(ABS(G425:U425))</f>
        <v>607.81999999999994</v>
      </c>
    </row>
    <row r="426" spans="1:23" x14ac:dyDescent="0.3">
      <c r="A426" s="14">
        <v>45905.375</v>
      </c>
      <c r="B426" s="1">
        <v>-172.04</v>
      </c>
      <c r="C426" s="1">
        <v>36.369999999999997</v>
      </c>
      <c r="D426" s="1">
        <v>12</v>
      </c>
      <c r="E426" s="1">
        <v>0</v>
      </c>
      <c r="F426" s="1" cm="1">
        <f t="array" ref="F426">SUM(ABS(B426:E426))</f>
        <v>220.41</v>
      </c>
      <c r="G426" s="1">
        <v>30.15</v>
      </c>
      <c r="H426" s="1">
        <v>273.01</v>
      </c>
      <c r="I426" s="1">
        <v>-54.69</v>
      </c>
      <c r="J426" s="1">
        <v>0</v>
      </c>
      <c r="K426" s="1">
        <v>0</v>
      </c>
      <c r="L426" s="1">
        <v>-29</v>
      </c>
      <c r="M426" s="1">
        <v>0</v>
      </c>
      <c r="N426" s="1">
        <v>0.09</v>
      </c>
      <c r="O426" s="1">
        <v>5.38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 cm="1">
        <f t="array" ref="V426">SUM(ABS(G426:U426))</f>
        <v>392.31999999999994</v>
      </c>
      <c r="W426" s="11" cm="1">
        <f t="array" ref="W426">SUM(ABS(B426:E426))+SUM(ABS(G426:U426))</f>
        <v>612.7299999999999</v>
      </c>
    </row>
    <row r="427" spans="1:23" x14ac:dyDescent="0.3">
      <c r="A427" s="14">
        <v>45905.385416666664</v>
      </c>
      <c r="B427" s="1">
        <v>-329.48</v>
      </c>
      <c r="C427" s="1">
        <v>36.39</v>
      </c>
      <c r="D427" s="1">
        <v>12</v>
      </c>
      <c r="E427" s="1">
        <v>0</v>
      </c>
      <c r="F427" s="1" cm="1">
        <f t="array" ref="F427">SUM(ABS(B427:E427))</f>
        <v>377.87</v>
      </c>
      <c r="G427" s="1">
        <v>30.15</v>
      </c>
      <c r="H427" s="1">
        <v>274.07</v>
      </c>
      <c r="I427" s="1">
        <v>-54.7</v>
      </c>
      <c r="J427" s="1">
        <v>0</v>
      </c>
      <c r="K427" s="1">
        <v>0</v>
      </c>
      <c r="L427" s="1">
        <v>-29.26</v>
      </c>
      <c r="M427" s="1">
        <v>0</v>
      </c>
      <c r="N427" s="1">
        <v>0.08</v>
      </c>
      <c r="O427" s="1">
        <v>5.38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 cm="1">
        <f t="array" ref="V427">SUM(ABS(G427:U427))</f>
        <v>393.63999999999993</v>
      </c>
      <c r="W427" s="11" cm="1">
        <f t="array" ref="W427">SUM(ABS(B427:E427))+SUM(ABS(G427:U427))</f>
        <v>771.51</v>
      </c>
    </row>
    <row r="428" spans="1:23" x14ac:dyDescent="0.3">
      <c r="A428" s="14">
        <v>45905.395833333336</v>
      </c>
      <c r="B428" s="1">
        <v>-472.83</v>
      </c>
      <c r="C428" s="1">
        <v>36.380000000000003</v>
      </c>
      <c r="D428" s="1">
        <v>12</v>
      </c>
      <c r="E428" s="1">
        <v>0</v>
      </c>
      <c r="F428" s="1" cm="1">
        <f t="array" ref="F428">SUM(ABS(B428:E428))</f>
        <v>521.21</v>
      </c>
      <c r="G428" s="1">
        <v>30.13</v>
      </c>
      <c r="H428" s="1">
        <v>274.24</v>
      </c>
      <c r="I428" s="1">
        <v>-54.69</v>
      </c>
      <c r="J428" s="1">
        <v>0</v>
      </c>
      <c r="K428" s="1">
        <v>0</v>
      </c>
      <c r="L428" s="1">
        <v>-29.31</v>
      </c>
      <c r="M428" s="1">
        <v>0</v>
      </c>
      <c r="N428" s="1">
        <v>7.0000000000000007E-2</v>
      </c>
      <c r="O428" s="1">
        <v>5.38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 cm="1">
        <f t="array" ref="V428">SUM(ABS(G428:U428))</f>
        <v>393.82</v>
      </c>
      <c r="W428" s="11" cm="1">
        <f t="array" ref="W428">SUM(ABS(B428:E428))+SUM(ABS(G428:U428))</f>
        <v>915.03</v>
      </c>
    </row>
    <row r="429" spans="1:23" x14ac:dyDescent="0.3">
      <c r="A429" s="14">
        <v>45905.40625</v>
      </c>
      <c r="B429" s="1">
        <v>-438.13</v>
      </c>
      <c r="C429" s="1">
        <v>36.4</v>
      </c>
      <c r="D429" s="1">
        <v>12</v>
      </c>
      <c r="E429" s="1">
        <v>0</v>
      </c>
      <c r="F429" s="1" cm="1">
        <f t="array" ref="F429">SUM(ABS(B429:E429))</f>
        <v>486.53</v>
      </c>
      <c r="G429" s="1">
        <v>30.14</v>
      </c>
      <c r="H429" s="1">
        <v>273.18</v>
      </c>
      <c r="I429" s="1">
        <v>-54.65</v>
      </c>
      <c r="J429" s="1">
        <v>0</v>
      </c>
      <c r="K429" s="1">
        <v>0</v>
      </c>
      <c r="L429" s="1">
        <v>-29.04</v>
      </c>
      <c r="M429" s="1">
        <v>0</v>
      </c>
      <c r="N429" s="1">
        <v>0.06</v>
      </c>
      <c r="O429" s="1">
        <v>5.38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 cm="1">
        <f t="array" ref="V429">SUM(ABS(G429:U429))</f>
        <v>392.45</v>
      </c>
      <c r="W429" s="11" cm="1">
        <f t="array" ref="W429">SUM(ABS(B429:E429))+SUM(ABS(G429:U429))</f>
        <v>878.98</v>
      </c>
    </row>
    <row r="430" spans="1:23" x14ac:dyDescent="0.3">
      <c r="A430" s="14">
        <v>45905.416666666664</v>
      </c>
      <c r="B430" s="1">
        <v>-323.92</v>
      </c>
      <c r="C430" s="1">
        <v>36.4</v>
      </c>
      <c r="D430" s="1">
        <v>12</v>
      </c>
      <c r="E430" s="1">
        <v>0</v>
      </c>
      <c r="F430" s="1" cm="1">
        <f t="array" ref="F430">SUM(ABS(B430:E430))</f>
        <v>372.32</v>
      </c>
      <c r="G430" s="1">
        <v>30.15</v>
      </c>
      <c r="H430" s="1">
        <v>271.12</v>
      </c>
      <c r="I430" s="1">
        <v>-54.67</v>
      </c>
      <c r="J430" s="1">
        <v>55.75</v>
      </c>
      <c r="K430" s="1">
        <v>0</v>
      </c>
      <c r="L430" s="1">
        <v>-28.89</v>
      </c>
      <c r="M430" s="1">
        <v>0</v>
      </c>
      <c r="N430" s="1">
        <v>7.0000000000000007E-2</v>
      </c>
      <c r="O430" s="1">
        <v>5.38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 cm="1">
        <f t="array" ref="V430">SUM(ABS(G430:U430))</f>
        <v>446.03</v>
      </c>
      <c r="W430" s="11" cm="1">
        <f t="array" ref="W430">SUM(ABS(B430:E430))+SUM(ABS(G430:U430))</f>
        <v>818.34999999999991</v>
      </c>
    </row>
    <row r="431" spans="1:23" x14ac:dyDescent="0.3">
      <c r="A431" s="14">
        <v>45905.427083333336</v>
      </c>
      <c r="B431" s="1">
        <v>-235.58</v>
      </c>
      <c r="C431" s="1">
        <v>36.369999999999997</v>
      </c>
      <c r="D431" s="1">
        <v>12</v>
      </c>
      <c r="E431" s="1">
        <v>0</v>
      </c>
      <c r="F431" s="1" cm="1">
        <f t="array" ref="F431">SUM(ABS(B431:E431))</f>
        <v>283.95</v>
      </c>
      <c r="G431" s="1">
        <v>30.14</v>
      </c>
      <c r="H431" s="1">
        <v>273.31</v>
      </c>
      <c r="I431" s="1">
        <v>-54.63</v>
      </c>
      <c r="J431" s="1">
        <v>86.25</v>
      </c>
      <c r="K431" s="1">
        <v>0</v>
      </c>
      <c r="L431" s="1">
        <v>-28.96</v>
      </c>
      <c r="M431" s="1">
        <v>0</v>
      </c>
      <c r="N431" s="1">
        <v>0.08</v>
      </c>
      <c r="O431" s="1">
        <v>5.38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 cm="1">
        <f t="array" ref="V431">SUM(ABS(G431:U431))</f>
        <v>478.74999999999994</v>
      </c>
      <c r="W431" s="11" cm="1">
        <f t="array" ref="W431">SUM(ABS(B431:E431))+SUM(ABS(G431:U431))</f>
        <v>762.69999999999993</v>
      </c>
    </row>
    <row r="432" spans="1:23" x14ac:dyDescent="0.3">
      <c r="A432" s="14">
        <v>45905.4375</v>
      </c>
      <c r="B432" s="1">
        <v>-217.9</v>
      </c>
      <c r="C432" s="1">
        <v>36.380000000000003</v>
      </c>
      <c r="D432" s="1">
        <v>12</v>
      </c>
      <c r="E432" s="1">
        <v>0</v>
      </c>
      <c r="F432" s="1" cm="1">
        <f t="array" ref="F432">SUM(ABS(B432:E432))</f>
        <v>266.27999999999997</v>
      </c>
      <c r="G432" s="1">
        <v>30.14</v>
      </c>
      <c r="H432" s="1">
        <v>271.95999999999998</v>
      </c>
      <c r="I432" s="1">
        <v>-54.63</v>
      </c>
      <c r="J432" s="1">
        <v>65.62</v>
      </c>
      <c r="K432" s="1">
        <v>0</v>
      </c>
      <c r="L432" s="1">
        <v>-28.84</v>
      </c>
      <c r="M432" s="1">
        <v>0</v>
      </c>
      <c r="N432" s="1">
        <v>0.08</v>
      </c>
      <c r="O432" s="1">
        <v>5.37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 cm="1">
        <f t="array" ref="V432">SUM(ABS(G432:U432))</f>
        <v>456.63999999999993</v>
      </c>
      <c r="W432" s="11" cm="1">
        <f t="array" ref="W432">SUM(ABS(B432:E432))+SUM(ABS(G432:U432))</f>
        <v>722.91999999999985</v>
      </c>
    </row>
    <row r="433" spans="1:23" x14ac:dyDescent="0.3">
      <c r="A433" s="14">
        <v>45905.447916666664</v>
      </c>
      <c r="B433" s="1">
        <v>-133.05000000000001</v>
      </c>
      <c r="C433" s="1">
        <v>36.4</v>
      </c>
      <c r="D433" s="1">
        <v>12</v>
      </c>
      <c r="E433" s="1">
        <v>0</v>
      </c>
      <c r="F433" s="1" cm="1">
        <f t="array" ref="F433">SUM(ABS(B433:E433))</f>
        <v>181.45000000000002</v>
      </c>
      <c r="G433" s="1">
        <v>30.14</v>
      </c>
      <c r="H433" s="1">
        <v>271.25</v>
      </c>
      <c r="I433" s="1">
        <v>-54.64</v>
      </c>
      <c r="J433" s="1">
        <v>95.79</v>
      </c>
      <c r="K433" s="1">
        <v>0</v>
      </c>
      <c r="L433" s="1">
        <v>-23.32</v>
      </c>
      <c r="M433" s="1">
        <v>0</v>
      </c>
      <c r="N433" s="1">
        <v>0.09</v>
      </c>
      <c r="O433" s="1">
        <v>5.38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 cm="1">
        <f t="array" ref="V433">SUM(ABS(G433:U433))</f>
        <v>480.60999999999996</v>
      </c>
      <c r="W433" s="11" cm="1">
        <f t="array" ref="W433">SUM(ABS(B433:E433))+SUM(ABS(G433:U433))</f>
        <v>662.06</v>
      </c>
    </row>
    <row r="434" spans="1:23" x14ac:dyDescent="0.3">
      <c r="A434" s="14">
        <v>45905.458333333336</v>
      </c>
      <c r="B434" s="1">
        <v>-101.63</v>
      </c>
      <c r="C434" s="1">
        <v>36.39</v>
      </c>
      <c r="D434" s="1">
        <v>12</v>
      </c>
      <c r="E434" s="1">
        <v>0</v>
      </c>
      <c r="F434" s="1" cm="1">
        <f t="array" ref="F434">SUM(ABS(B434:E434))</f>
        <v>150.01999999999998</v>
      </c>
      <c r="G434" s="1">
        <v>30.14</v>
      </c>
      <c r="H434" s="1">
        <v>227.9</v>
      </c>
      <c r="I434" s="1">
        <v>-45</v>
      </c>
      <c r="J434" s="1">
        <v>73.58</v>
      </c>
      <c r="K434" s="1">
        <v>0</v>
      </c>
      <c r="L434" s="1">
        <v>-16.7</v>
      </c>
      <c r="M434" s="1">
        <v>0</v>
      </c>
      <c r="N434" s="1">
        <v>0.1</v>
      </c>
      <c r="O434" s="1">
        <v>5.38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 cm="1">
        <f t="array" ref="V434">SUM(ABS(G434:U434))</f>
        <v>398.8</v>
      </c>
      <c r="W434" s="11" cm="1">
        <f t="array" ref="W434">SUM(ABS(B434:E434))+SUM(ABS(G434:U434))</f>
        <v>548.81999999999994</v>
      </c>
    </row>
    <row r="435" spans="1:23" x14ac:dyDescent="0.3">
      <c r="A435" s="14">
        <v>45905.46875</v>
      </c>
      <c r="B435" s="1">
        <v>-240.73</v>
      </c>
      <c r="C435" s="1">
        <v>36.409999999999997</v>
      </c>
      <c r="D435" s="1">
        <v>12</v>
      </c>
      <c r="E435" s="1">
        <v>0</v>
      </c>
      <c r="F435" s="1" cm="1">
        <f t="array" ref="F435">SUM(ABS(B435:E435))</f>
        <v>289.14</v>
      </c>
      <c r="G435" s="1">
        <v>30.15</v>
      </c>
      <c r="H435" s="1">
        <v>274.02999999999997</v>
      </c>
      <c r="I435" s="1">
        <v>-54.52</v>
      </c>
      <c r="J435" s="1">
        <v>67.66</v>
      </c>
      <c r="K435" s="1">
        <v>0</v>
      </c>
      <c r="L435" s="1">
        <v>-17.22</v>
      </c>
      <c r="M435" s="1">
        <v>0</v>
      </c>
      <c r="N435" s="1">
        <v>0.08</v>
      </c>
      <c r="O435" s="1">
        <v>5.38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 cm="1">
        <f t="array" ref="V435">SUM(ABS(G435:U435))</f>
        <v>449.03999999999991</v>
      </c>
      <c r="W435" s="11" cm="1">
        <f t="array" ref="W435">SUM(ABS(B435:E435))+SUM(ABS(G435:U435))</f>
        <v>738.17999999999984</v>
      </c>
    </row>
    <row r="436" spans="1:23" x14ac:dyDescent="0.3">
      <c r="A436" s="14">
        <v>45905.479166666664</v>
      </c>
      <c r="B436" s="1">
        <v>-191.27</v>
      </c>
      <c r="C436" s="1">
        <v>36.42</v>
      </c>
      <c r="D436" s="1">
        <v>12</v>
      </c>
      <c r="E436" s="1">
        <v>0</v>
      </c>
      <c r="F436" s="1" cm="1">
        <f t="array" ref="F436">SUM(ABS(B436:E436))</f>
        <v>239.69</v>
      </c>
      <c r="G436" s="1">
        <v>30.14</v>
      </c>
      <c r="H436" s="1">
        <v>204.64</v>
      </c>
      <c r="I436" s="1">
        <v>-54.65</v>
      </c>
      <c r="J436" s="1">
        <v>67.239999999999995</v>
      </c>
      <c r="K436" s="1">
        <v>0</v>
      </c>
      <c r="L436" s="1">
        <v>-17.170000000000002</v>
      </c>
      <c r="M436" s="1">
        <v>0</v>
      </c>
      <c r="N436" s="1">
        <v>0.09</v>
      </c>
      <c r="O436" s="1">
        <v>5.38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 cm="1">
        <f t="array" ref="V436">SUM(ABS(G436:U436))</f>
        <v>379.30999999999995</v>
      </c>
      <c r="W436" s="11" cm="1">
        <f t="array" ref="W436">SUM(ABS(B436:E436))+SUM(ABS(G436:U436))</f>
        <v>619</v>
      </c>
    </row>
    <row r="437" spans="1:23" x14ac:dyDescent="0.3">
      <c r="A437" s="14">
        <v>45905.489583333336</v>
      </c>
      <c r="B437" s="1">
        <v>-318.17</v>
      </c>
      <c r="C437" s="1">
        <v>36.380000000000003</v>
      </c>
      <c r="D437" s="1">
        <v>12</v>
      </c>
      <c r="E437" s="1">
        <v>0</v>
      </c>
      <c r="F437" s="1" cm="1">
        <f t="array" ref="F437">SUM(ABS(B437:E437))</f>
        <v>366.55</v>
      </c>
      <c r="G437" s="1">
        <v>30.14</v>
      </c>
      <c r="H437" s="1">
        <v>160.13</v>
      </c>
      <c r="I437" s="1">
        <v>-54.65</v>
      </c>
      <c r="J437" s="1">
        <v>66.47</v>
      </c>
      <c r="K437" s="1">
        <v>0</v>
      </c>
      <c r="L437" s="1">
        <v>-17.12</v>
      </c>
      <c r="M437" s="1">
        <v>0</v>
      </c>
      <c r="N437" s="1">
        <v>7.0000000000000007E-2</v>
      </c>
      <c r="O437" s="1">
        <v>5.38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 cm="1">
        <f t="array" ref="V437">SUM(ABS(G437:U437))</f>
        <v>333.96</v>
      </c>
      <c r="W437" s="11" cm="1">
        <f t="array" ref="W437">SUM(ABS(B437:E437))+SUM(ABS(G437:U437))</f>
        <v>700.51</v>
      </c>
    </row>
    <row r="438" spans="1:23" x14ac:dyDescent="0.3">
      <c r="A438" s="14">
        <v>45905.5</v>
      </c>
      <c r="B438" s="1">
        <v>-230.9</v>
      </c>
      <c r="C438" s="1">
        <v>36.270000000000003</v>
      </c>
      <c r="D438" s="1">
        <v>12</v>
      </c>
      <c r="E438" s="1">
        <v>0</v>
      </c>
      <c r="F438" s="1" cm="1">
        <f t="array" ref="F438">SUM(ABS(B438:E438))</f>
        <v>279.17</v>
      </c>
      <c r="G438" s="1">
        <v>30.15</v>
      </c>
      <c r="H438" s="1">
        <v>127.97</v>
      </c>
      <c r="I438" s="1">
        <v>-54.63</v>
      </c>
      <c r="J438" s="1">
        <v>63.21</v>
      </c>
      <c r="K438" s="1">
        <v>0</v>
      </c>
      <c r="L438" s="1">
        <v>-16.739999999999998</v>
      </c>
      <c r="M438" s="1">
        <v>0</v>
      </c>
      <c r="N438" s="1">
        <v>0.08</v>
      </c>
      <c r="O438" s="1">
        <v>5.37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 cm="1">
        <f t="array" ref="V438">SUM(ABS(G438:U438))</f>
        <v>298.14999999999998</v>
      </c>
      <c r="W438" s="11" cm="1">
        <f t="array" ref="W438">SUM(ABS(B438:E438))+SUM(ABS(G438:U438))</f>
        <v>577.31999999999994</v>
      </c>
    </row>
    <row r="439" spans="1:23" x14ac:dyDescent="0.3">
      <c r="A439" s="14">
        <v>45905.510416666664</v>
      </c>
      <c r="B439" s="1">
        <v>-274.35000000000002</v>
      </c>
      <c r="C439" s="1">
        <v>36.229999999999997</v>
      </c>
      <c r="D439" s="1">
        <v>12</v>
      </c>
      <c r="E439" s="1">
        <v>0</v>
      </c>
      <c r="F439" s="1" cm="1">
        <f t="array" ref="F439">SUM(ABS(B439:E439))</f>
        <v>322.58000000000004</v>
      </c>
      <c r="G439" s="1">
        <v>30.14</v>
      </c>
      <c r="H439" s="1">
        <v>233.86</v>
      </c>
      <c r="I439" s="1">
        <v>-54.62</v>
      </c>
      <c r="J439" s="1">
        <v>65.349999999999994</v>
      </c>
      <c r="K439" s="1">
        <v>0</v>
      </c>
      <c r="L439" s="1">
        <v>-16.97</v>
      </c>
      <c r="M439" s="1">
        <v>0</v>
      </c>
      <c r="N439" s="1">
        <v>0.08</v>
      </c>
      <c r="O439" s="1">
        <v>5.38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 cm="1">
        <f t="array" ref="V439">SUM(ABS(G439:U439))</f>
        <v>406.40000000000003</v>
      </c>
      <c r="W439" s="11" cm="1">
        <f t="array" ref="W439">SUM(ABS(B439:E439))+SUM(ABS(G439:U439))</f>
        <v>728.98</v>
      </c>
    </row>
    <row r="440" spans="1:23" x14ac:dyDescent="0.3">
      <c r="A440" s="14">
        <v>45905.520833333336</v>
      </c>
      <c r="B440" s="1">
        <v>-228.95</v>
      </c>
      <c r="C440" s="1">
        <v>36.24</v>
      </c>
      <c r="D440" s="1">
        <v>12</v>
      </c>
      <c r="E440" s="1">
        <v>0</v>
      </c>
      <c r="F440" s="1" cm="1">
        <f t="array" ref="F440">SUM(ABS(B440:E440))</f>
        <v>277.19</v>
      </c>
      <c r="G440" s="1">
        <v>30.15</v>
      </c>
      <c r="H440" s="1">
        <v>202.89</v>
      </c>
      <c r="I440" s="1">
        <v>-54.65</v>
      </c>
      <c r="J440" s="1">
        <v>66.92</v>
      </c>
      <c r="K440" s="1">
        <v>0</v>
      </c>
      <c r="L440" s="1">
        <v>-17.18</v>
      </c>
      <c r="M440" s="1">
        <v>0</v>
      </c>
      <c r="N440" s="1">
        <v>0.08</v>
      </c>
      <c r="O440" s="1">
        <v>5.37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 cm="1">
        <f t="array" ref="V440">SUM(ABS(G440:U440))</f>
        <v>377.24</v>
      </c>
      <c r="W440" s="11" cm="1">
        <f t="array" ref="W440">SUM(ABS(B440:E440))+SUM(ABS(G440:U440))</f>
        <v>654.43000000000006</v>
      </c>
    </row>
    <row r="441" spans="1:23" x14ac:dyDescent="0.3">
      <c r="A441" s="14">
        <v>45905.53125</v>
      </c>
      <c r="B441" s="1">
        <v>-228.71</v>
      </c>
      <c r="C441" s="1">
        <v>36.18</v>
      </c>
      <c r="D441" s="1">
        <v>12</v>
      </c>
      <c r="E441" s="1">
        <v>0</v>
      </c>
      <c r="F441" s="1" cm="1">
        <f t="array" ref="F441">SUM(ABS(B441:E441))</f>
        <v>276.89</v>
      </c>
      <c r="G441" s="1">
        <v>30.14</v>
      </c>
      <c r="H441" s="1">
        <v>171.7</v>
      </c>
      <c r="I441" s="1">
        <v>-54.65</v>
      </c>
      <c r="J441" s="1">
        <v>67.39</v>
      </c>
      <c r="K441" s="1">
        <v>0</v>
      </c>
      <c r="L441" s="1">
        <v>-17.05</v>
      </c>
      <c r="M441" s="1">
        <v>0</v>
      </c>
      <c r="N441" s="1">
        <v>7.0000000000000007E-2</v>
      </c>
      <c r="O441" s="1">
        <v>5.37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 cm="1">
        <f t="array" ref="V441">SUM(ABS(G441:U441))</f>
        <v>346.36999999999995</v>
      </c>
      <c r="W441" s="11" cm="1">
        <f t="array" ref="W441">SUM(ABS(B441:E441))+SUM(ABS(G441:U441))</f>
        <v>623.26</v>
      </c>
    </row>
    <row r="442" spans="1:23" x14ac:dyDescent="0.3">
      <c r="A442" s="14">
        <v>45905.541666666664</v>
      </c>
      <c r="B442" s="1">
        <v>-108.6</v>
      </c>
      <c r="C442" s="1">
        <v>36.119999999999997</v>
      </c>
      <c r="D442" s="1">
        <v>12</v>
      </c>
      <c r="E442" s="1">
        <v>0</v>
      </c>
      <c r="F442" s="1" cm="1">
        <f t="array" ref="F442">SUM(ABS(B442:E442))</f>
        <v>156.72</v>
      </c>
      <c r="G442" s="1">
        <v>30.14</v>
      </c>
      <c r="H442" s="1">
        <v>134.47</v>
      </c>
      <c r="I442" s="1">
        <v>-42.04</v>
      </c>
      <c r="J442" s="1">
        <v>66.510000000000005</v>
      </c>
      <c r="K442" s="1">
        <v>0</v>
      </c>
      <c r="L442" s="1">
        <v>-16.78</v>
      </c>
      <c r="M442" s="1">
        <v>0</v>
      </c>
      <c r="N442" s="1">
        <v>0.09</v>
      </c>
      <c r="O442" s="1">
        <v>5.37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 cm="1">
        <f t="array" ref="V442">SUM(ABS(G442:U442))</f>
        <v>295.40000000000003</v>
      </c>
      <c r="W442" s="11" cm="1">
        <f t="array" ref="W442">SUM(ABS(B442:E442))+SUM(ABS(G442:U442))</f>
        <v>452.12</v>
      </c>
    </row>
    <row r="443" spans="1:23" x14ac:dyDescent="0.3">
      <c r="A443" s="14">
        <v>45905.552083333336</v>
      </c>
      <c r="B443" s="1">
        <v>-162.53</v>
      </c>
      <c r="C443" s="1">
        <v>36.03</v>
      </c>
      <c r="D443" s="1">
        <v>12</v>
      </c>
      <c r="E443" s="1">
        <v>0</v>
      </c>
      <c r="F443" s="1" cm="1">
        <f t="array" ref="F443">SUM(ABS(B443:E443))</f>
        <v>210.56</v>
      </c>
      <c r="G443" s="1">
        <v>30.12</v>
      </c>
      <c r="H443" s="1">
        <v>135.22999999999999</v>
      </c>
      <c r="I443" s="1">
        <v>-41.45</v>
      </c>
      <c r="J443" s="1">
        <v>67.64</v>
      </c>
      <c r="K443" s="1">
        <v>0</v>
      </c>
      <c r="L443" s="1">
        <v>-16.95</v>
      </c>
      <c r="M443" s="1">
        <v>0</v>
      </c>
      <c r="N443" s="1">
        <v>0.08</v>
      </c>
      <c r="O443" s="1">
        <v>5.37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 cm="1">
        <f t="array" ref="V443">SUM(ABS(G443:U443))</f>
        <v>296.83999999999997</v>
      </c>
      <c r="W443" s="11" cm="1">
        <f t="array" ref="W443">SUM(ABS(B443:E443))+SUM(ABS(G443:U443))</f>
        <v>507.4</v>
      </c>
    </row>
    <row r="444" spans="1:23" x14ac:dyDescent="0.3">
      <c r="A444" s="14">
        <v>45905.5625</v>
      </c>
      <c r="B444" s="1">
        <v>-217.79</v>
      </c>
      <c r="C444" s="1">
        <v>35.99</v>
      </c>
      <c r="D444" s="1">
        <v>12</v>
      </c>
      <c r="E444" s="1">
        <v>0</v>
      </c>
      <c r="F444" s="1" cm="1">
        <f t="array" ref="F444">SUM(ABS(B444:E444))</f>
        <v>265.77999999999997</v>
      </c>
      <c r="G444" s="1">
        <v>30.13</v>
      </c>
      <c r="H444" s="1">
        <v>139.26</v>
      </c>
      <c r="I444" s="1">
        <v>-41.46</v>
      </c>
      <c r="J444" s="1">
        <v>69.25</v>
      </c>
      <c r="K444" s="1">
        <v>0</v>
      </c>
      <c r="L444" s="1">
        <v>-17.149999999999999</v>
      </c>
      <c r="M444" s="1">
        <v>0</v>
      </c>
      <c r="N444" s="1">
        <v>7.0000000000000007E-2</v>
      </c>
      <c r="O444" s="1">
        <v>5.38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 cm="1">
        <f t="array" ref="V444">SUM(ABS(G444:U444))</f>
        <v>302.7</v>
      </c>
      <c r="W444" s="11" cm="1">
        <f t="array" ref="W444">SUM(ABS(B444:E444))+SUM(ABS(G444:U444))</f>
        <v>568.48</v>
      </c>
    </row>
    <row r="445" spans="1:23" x14ac:dyDescent="0.3">
      <c r="A445" s="14">
        <v>45905.572916666664</v>
      </c>
      <c r="B445" s="1">
        <v>-208.23</v>
      </c>
      <c r="C445" s="1">
        <v>35.909999999999997</v>
      </c>
      <c r="D445" s="1">
        <v>12</v>
      </c>
      <c r="E445" s="1">
        <v>0</v>
      </c>
      <c r="F445" s="1" cm="1">
        <f t="array" ref="F445">SUM(ABS(B445:E445))</f>
        <v>256.14</v>
      </c>
      <c r="G445" s="1">
        <v>30.13</v>
      </c>
      <c r="H445" s="1">
        <v>136.63999999999999</v>
      </c>
      <c r="I445" s="1">
        <v>-54.11</v>
      </c>
      <c r="J445" s="1">
        <v>68.14</v>
      </c>
      <c r="K445" s="1">
        <v>0</v>
      </c>
      <c r="L445" s="1">
        <v>-17.04</v>
      </c>
      <c r="M445" s="1">
        <v>0</v>
      </c>
      <c r="N445" s="1">
        <v>0.08</v>
      </c>
      <c r="O445" s="1">
        <v>5.37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 cm="1">
        <f t="array" ref="V445">SUM(ABS(G445:U445))</f>
        <v>311.51</v>
      </c>
      <c r="W445" s="11" cm="1">
        <f t="array" ref="W445">SUM(ABS(B445:E445))+SUM(ABS(G445:U445))</f>
        <v>567.65</v>
      </c>
    </row>
    <row r="446" spans="1:23" x14ac:dyDescent="0.3">
      <c r="A446" s="14">
        <v>45905.583333333336</v>
      </c>
      <c r="B446" s="1">
        <v>-112.9</v>
      </c>
      <c r="C446" s="1">
        <v>35.83</v>
      </c>
      <c r="D446" s="1">
        <v>12</v>
      </c>
      <c r="E446" s="1">
        <v>0</v>
      </c>
      <c r="F446" s="1" cm="1">
        <f t="array" ref="F446">SUM(ABS(B446:E446))</f>
        <v>160.73000000000002</v>
      </c>
      <c r="G446" s="1">
        <v>30.14</v>
      </c>
      <c r="H446" s="1">
        <v>135.96</v>
      </c>
      <c r="I446" s="1">
        <v>-54.6</v>
      </c>
      <c r="J446" s="1">
        <v>93.59</v>
      </c>
      <c r="K446" s="1">
        <v>0</v>
      </c>
      <c r="L446" s="1">
        <v>-16.920000000000002</v>
      </c>
      <c r="M446" s="1">
        <v>0</v>
      </c>
      <c r="N446" s="1">
        <v>0.09</v>
      </c>
      <c r="O446" s="1">
        <v>5.38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 cm="1">
        <f t="array" ref="V446">SUM(ABS(G446:U446))</f>
        <v>336.68</v>
      </c>
      <c r="W446" s="11" cm="1">
        <f t="array" ref="W446">SUM(ABS(B446:E446))+SUM(ABS(G446:U446))</f>
        <v>497.41</v>
      </c>
    </row>
    <row r="447" spans="1:23" x14ac:dyDescent="0.3">
      <c r="A447" s="14">
        <v>45905.59375</v>
      </c>
      <c r="B447" s="1">
        <v>-194.88</v>
      </c>
      <c r="C447" s="1">
        <v>35.74</v>
      </c>
      <c r="D447" s="1">
        <v>12</v>
      </c>
      <c r="E447" s="1">
        <v>0</v>
      </c>
      <c r="F447" s="1" cm="1">
        <f t="array" ref="F447">SUM(ABS(B447:E447))</f>
        <v>242.62</v>
      </c>
      <c r="G447" s="1">
        <v>30.13</v>
      </c>
      <c r="H447" s="1">
        <v>144.66</v>
      </c>
      <c r="I447" s="1">
        <v>-54.61</v>
      </c>
      <c r="J447" s="1">
        <v>113.56</v>
      </c>
      <c r="K447" s="1">
        <v>0</v>
      </c>
      <c r="L447" s="1">
        <v>-16.86</v>
      </c>
      <c r="M447" s="1">
        <v>0</v>
      </c>
      <c r="N447" s="1">
        <v>0.09</v>
      </c>
      <c r="O447" s="1">
        <v>2.0299999999999998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 cm="1">
        <f t="array" ref="V447">SUM(ABS(G447:U447))</f>
        <v>361.93999999999994</v>
      </c>
      <c r="W447" s="11" cm="1">
        <f t="array" ref="W447">SUM(ABS(B447:E447))+SUM(ABS(G447:U447))</f>
        <v>604.55999999999995</v>
      </c>
    </row>
    <row r="448" spans="1:23" x14ac:dyDescent="0.3">
      <c r="A448" s="14">
        <v>45905.604166666664</v>
      </c>
      <c r="B448" s="1">
        <v>-247.58</v>
      </c>
      <c r="C448" s="1">
        <v>35.69</v>
      </c>
      <c r="D448" s="1">
        <v>12</v>
      </c>
      <c r="E448" s="1">
        <v>0</v>
      </c>
      <c r="F448" s="1" cm="1">
        <f t="array" ref="F448">SUM(ABS(B448:E448))</f>
        <v>295.27</v>
      </c>
      <c r="G448" s="1">
        <v>30.11</v>
      </c>
      <c r="H448" s="1">
        <v>185.79</v>
      </c>
      <c r="I448" s="1">
        <v>-54.61</v>
      </c>
      <c r="J448" s="1">
        <v>145.83000000000001</v>
      </c>
      <c r="K448" s="1">
        <v>0</v>
      </c>
      <c r="L448" s="1">
        <v>-16.93</v>
      </c>
      <c r="M448" s="1">
        <v>0</v>
      </c>
      <c r="N448" s="1">
        <v>0.09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 cm="1">
        <f t="array" ref="V448">SUM(ABS(G448:U448))</f>
        <v>433.36</v>
      </c>
      <c r="W448" s="11" cm="1">
        <f t="array" ref="W448">SUM(ABS(B448:E448))+SUM(ABS(G448:U448))</f>
        <v>728.63</v>
      </c>
    </row>
    <row r="449" spans="1:23" x14ac:dyDescent="0.3">
      <c r="A449" s="14">
        <v>45905.614583333336</v>
      </c>
      <c r="B449" s="1">
        <v>-214.33</v>
      </c>
      <c r="C449" s="1">
        <v>35.65</v>
      </c>
      <c r="D449" s="1">
        <v>12</v>
      </c>
      <c r="E449" s="1">
        <v>0</v>
      </c>
      <c r="F449" s="1" cm="1">
        <f t="array" ref="F449">SUM(ABS(B449:E449))</f>
        <v>261.98</v>
      </c>
      <c r="G449" s="1">
        <v>30.13</v>
      </c>
      <c r="H449" s="1">
        <v>187.23</v>
      </c>
      <c r="I449" s="1">
        <v>-54.6</v>
      </c>
      <c r="J449" s="1">
        <v>146.07</v>
      </c>
      <c r="K449" s="1">
        <v>0</v>
      </c>
      <c r="L449" s="1">
        <v>-16.940000000000001</v>
      </c>
      <c r="M449" s="1">
        <v>0</v>
      </c>
      <c r="N449" s="1">
        <v>0.09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 cm="1">
        <f t="array" ref="V449">SUM(ABS(G449:U449))</f>
        <v>435.05999999999995</v>
      </c>
      <c r="W449" s="11" cm="1">
        <f t="array" ref="W449">SUM(ABS(B449:E449))+SUM(ABS(G449:U449))</f>
        <v>697.04</v>
      </c>
    </row>
    <row r="450" spans="1:23" x14ac:dyDescent="0.3">
      <c r="A450" s="14">
        <v>45905.625</v>
      </c>
      <c r="B450" s="1">
        <v>-200.86</v>
      </c>
      <c r="C450" s="1">
        <v>35.58</v>
      </c>
      <c r="D450" s="1">
        <v>12</v>
      </c>
      <c r="E450" s="1">
        <v>0</v>
      </c>
      <c r="F450" s="1" cm="1">
        <f t="array" ref="F450">SUM(ABS(B450:E450))</f>
        <v>248.44</v>
      </c>
      <c r="G450" s="1">
        <v>30.13</v>
      </c>
      <c r="H450" s="1">
        <v>213.17</v>
      </c>
      <c r="I450" s="1">
        <v>-54.57</v>
      </c>
      <c r="J450" s="1">
        <v>144.24</v>
      </c>
      <c r="K450" s="1">
        <v>0</v>
      </c>
      <c r="L450" s="1">
        <v>-16.7</v>
      </c>
      <c r="M450" s="1">
        <v>0</v>
      </c>
      <c r="N450" s="1">
        <v>0.1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 cm="1">
        <f t="array" ref="V450">SUM(ABS(G450:U450))</f>
        <v>458.91</v>
      </c>
      <c r="W450" s="11" cm="1">
        <f t="array" ref="W450">SUM(ABS(B450:E450))+SUM(ABS(G450:U450))</f>
        <v>707.35</v>
      </c>
    </row>
    <row r="451" spans="1:23" x14ac:dyDescent="0.3">
      <c r="A451" s="14">
        <v>45905.635416666664</v>
      </c>
      <c r="B451" s="1">
        <v>-314.12</v>
      </c>
      <c r="C451" s="1">
        <v>35.58</v>
      </c>
      <c r="D451" s="1">
        <v>12</v>
      </c>
      <c r="E451" s="1">
        <v>1.28</v>
      </c>
      <c r="F451" s="1" cm="1">
        <f t="array" ref="F451">SUM(ABS(B451:E451))</f>
        <v>362.97999999999996</v>
      </c>
      <c r="G451" s="1">
        <v>30.12</v>
      </c>
      <c r="H451" s="1">
        <v>214.96</v>
      </c>
      <c r="I451" s="1">
        <v>-54.59</v>
      </c>
      <c r="J451" s="1">
        <v>150.22</v>
      </c>
      <c r="K451" s="1">
        <v>0</v>
      </c>
      <c r="L451" s="1">
        <v>-16.87</v>
      </c>
      <c r="M451" s="1">
        <v>0</v>
      </c>
      <c r="N451" s="1">
        <v>0.09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 cm="1">
        <f t="array" ref="V451">SUM(ABS(G451:U451))</f>
        <v>466.84999999999997</v>
      </c>
      <c r="W451" s="11" cm="1">
        <f t="array" ref="W451">SUM(ABS(B451:E451))+SUM(ABS(G451:U451))</f>
        <v>829.82999999999993</v>
      </c>
    </row>
    <row r="452" spans="1:23" x14ac:dyDescent="0.3">
      <c r="A452" s="14">
        <v>45905.645833333336</v>
      </c>
      <c r="B452" s="1">
        <v>-376.79</v>
      </c>
      <c r="C452" s="1">
        <v>35.54</v>
      </c>
      <c r="D452" s="1">
        <v>12</v>
      </c>
      <c r="E452" s="1">
        <v>6.44</v>
      </c>
      <c r="F452" s="1" cm="1">
        <f t="array" ref="F452">SUM(ABS(B452:E452))</f>
        <v>430.77000000000004</v>
      </c>
      <c r="G452" s="1">
        <v>30.12</v>
      </c>
      <c r="H452" s="1">
        <v>240.11</v>
      </c>
      <c r="I452" s="1">
        <v>-54.57</v>
      </c>
      <c r="J452" s="1">
        <v>155.72</v>
      </c>
      <c r="K452" s="1">
        <v>0</v>
      </c>
      <c r="L452" s="1">
        <v>-16.91</v>
      </c>
      <c r="M452" s="1">
        <v>0</v>
      </c>
      <c r="N452" s="1">
        <v>7.0000000000000007E-2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 cm="1">
        <f t="array" ref="V452">SUM(ABS(G452:U452))</f>
        <v>497.5</v>
      </c>
      <c r="W452" s="11" cm="1">
        <f t="array" ref="W452">SUM(ABS(B452:E452))+SUM(ABS(G452:U452))</f>
        <v>928.27</v>
      </c>
    </row>
    <row r="453" spans="1:23" x14ac:dyDescent="0.3">
      <c r="A453" s="14">
        <v>45905.65625</v>
      </c>
      <c r="B453" s="1">
        <v>-369.27</v>
      </c>
      <c r="C453" s="1">
        <v>35.53</v>
      </c>
      <c r="D453" s="1">
        <v>12</v>
      </c>
      <c r="E453" s="1">
        <v>6.41</v>
      </c>
      <c r="F453" s="1" cm="1">
        <f t="array" ref="F453">SUM(ABS(B453:E453))</f>
        <v>423.21</v>
      </c>
      <c r="G453" s="1">
        <v>30.11</v>
      </c>
      <c r="H453" s="1">
        <v>273.04000000000002</v>
      </c>
      <c r="I453" s="1">
        <v>-54.57</v>
      </c>
      <c r="J453" s="1">
        <v>154.75</v>
      </c>
      <c r="K453" s="1">
        <v>0</v>
      </c>
      <c r="L453" s="1">
        <v>-16.73</v>
      </c>
      <c r="M453" s="1">
        <v>0</v>
      </c>
      <c r="N453" s="1">
        <v>7.0000000000000007E-2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 cm="1">
        <f t="array" ref="V453">SUM(ABS(G453:U453))</f>
        <v>529.2700000000001</v>
      </c>
      <c r="W453" s="11" cm="1">
        <f t="array" ref="W453">SUM(ABS(B453:E453))+SUM(ABS(G453:U453))</f>
        <v>952.48</v>
      </c>
    </row>
    <row r="454" spans="1:23" x14ac:dyDescent="0.3">
      <c r="A454" s="14">
        <v>45905.666666666664</v>
      </c>
      <c r="B454" s="1">
        <v>-351.82</v>
      </c>
      <c r="C454" s="1">
        <v>35.520000000000003</v>
      </c>
      <c r="D454" s="1">
        <v>12</v>
      </c>
      <c r="E454" s="1">
        <v>6.42</v>
      </c>
      <c r="F454" s="1" cm="1">
        <f t="array" ref="F454">SUM(ABS(B454:E454))</f>
        <v>405.76</v>
      </c>
      <c r="G454" s="1">
        <v>30.13</v>
      </c>
      <c r="H454" s="1">
        <v>271.02999999999997</v>
      </c>
      <c r="I454" s="1">
        <v>-54.55</v>
      </c>
      <c r="J454" s="1">
        <v>152.94999999999999</v>
      </c>
      <c r="K454" s="1">
        <v>0</v>
      </c>
      <c r="L454" s="1">
        <v>-16.52</v>
      </c>
      <c r="M454" s="1">
        <v>0</v>
      </c>
      <c r="N454" s="1">
        <v>0.17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 cm="1">
        <f t="array" ref="V454">SUM(ABS(G454:U454))</f>
        <v>525.34999999999991</v>
      </c>
      <c r="W454" s="11" cm="1">
        <f t="array" ref="W454">SUM(ABS(B454:E454))+SUM(ABS(G454:U454))</f>
        <v>931.1099999999999</v>
      </c>
    </row>
    <row r="455" spans="1:23" x14ac:dyDescent="0.3">
      <c r="A455" s="14">
        <v>45905.677083333336</v>
      </c>
      <c r="B455" s="1">
        <v>-458.5</v>
      </c>
      <c r="C455" s="1">
        <v>35.520000000000003</v>
      </c>
      <c r="D455" s="1">
        <v>12</v>
      </c>
      <c r="E455" s="1">
        <v>11.15</v>
      </c>
      <c r="F455" s="1" cm="1">
        <f t="array" ref="F455">SUM(ABS(B455:E455))</f>
        <v>517.16999999999996</v>
      </c>
      <c r="G455" s="1">
        <v>30.13</v>
      </c>
      <c r="H455" s="1">
        <v>272.19</v>
      </c>
      <c r="I455" s="1">
        <v>-54.55</v>
      </c>
      <c r="J455" s="1">
        <v>162.26</v>
      </c>
      <c r="K455" s="1">
        <v>0</v>
      </c>
      <c r="L455" s="1">
        <v>-16.57</v>
      </c>
      <c r="M455" s="1">
        <v>0</v>
      </c>
      <c r="N455" s="1">
        <v>-4.82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 cm="1">
        <f t="array" ref="V455">SUM(ABS(G455:U455))</f>
        <v>540.5200000000001</v>
      </c>
      <c r="W455" s="11" cm="1">
        <f t="array" ref="W455">SUM(ABS(B455:E455))+SUM(ABS(G455:U455))</f>
        <v>1057.69</v>
      </c>
    </row>
    <row r="456" spans="1:23" x14ac:dyDescent="0.3">
      <c r="A456" s="14">
        <v>45905.6875</v>
      </c>
      <c r="B456" s="1">
        <v>-526.9</v>
      </c>
      <c r="C456" s="1">
        <v>35.520000000000003</v>
      </c>
      <c r="D456" s="1">
        <v>12</v>
      </c>
      <c r="E456" s="1">
        <v>17.05</v>
      </c>
      <c r="F456" s="1" cm="1">
        <f t="array" ref="F456">SUM(ABS(B456:E456))</f>
        <v>591.46999999999991</v>
      </c>
      <c r="G456" s="1">
        <v>30.12</v>
      </c>
      <c r="H456" s="1">
        <v>272.87</v>
      </c>
      <c r="I456" s="1">
        <v>-54.56</v>
      </c>
      <c r="J456" s="1">
        <v>147.38</v>
      </c>
      <c r="K456" s="1">
        <v>0</v>
      </c>
      <c r="L456" s="1">
        <v>-16.670000000000002</v>
      </c>
      <c r="M456" s="1">
        <v>0</v>
      </c>
      <c r="N456" s="1">
        <v>-15.37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 cm="1">
        <f t="array" ref="V456">SUM(ABS(G456:U456))</f>
        <v>536.97</v>
      </c>
      <c r="W456" s="11" cm="1">
        <f t="array" ref="W456">SUM(ABS(B456:E456))+SUM(ABS(G456:U456))</f>
        <v>1128.44</v>
      </c>
    </row>
    <row r="457" spans="1:23" x14ac:dyDescent="0.3">
      <c r="A457" s="14">
        <v>45905.697916666664</v>
      </c>
      <c r="B457" s="1">
        <v>-497.38</v>
      </c>
      <c r="C457" s="1">
        <v>35.56</v>
      </c>
      <c r="D457" s="1">
        <v>12</v>
      </c>
      <c r="E457" s="1">
        <v>19.04</v>
      </c>
      <c r="F457" s="1" cm="1">
        <f t="array" ref="F457">SUM(ABS(B457:E457))</f>
        <v>563.98</v>
      </c>
      <c r="G457" s="1">
        <v>30.13</v>
      </c>
      <c r="H457" s="1">
        <v>273.42</v>
      </c>
      <c r="I457" s="1">
        <v>-54.57</v>
      </c>
      <c r="J457" s="1">
        <v>155.11000000000001</v>
      </c>
      <c r="K457" s="1">
        <v>0</v>
      </c>
      <c r="L457" s="1">
        <v>-16.899999999999999</v>
      </c>
      <c r="M457" s="1">
        <v>0</v>
      </c>
      <c r="N457" s="1">
        <v>-25.62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 cm="1">
        <f t="array" ref="V457">SUM(ABS(G457:U457))</f>
        <v>555.75</v>
      </c>
      <c r="W457" s="11" cm="1">
        <f t="array" ref="W457">SUM(ABS(B457:E457))+SUM(ABS(G457:U457))</f>
        <v>1119.73</v>
      </c>
    </row>
    <row r="458" spans="1:23" x14ac:dyDescent="0.3">
      <c r="A458" s="14">
        <v>45905.708333333336</v>
      </c>
      <c r="B458" s="1">
        <v>-409.78</v>
      </c>
      <c r="C458" s="1">
        <v>35.6</v>
      </c>
      <c r="D458" s="1">
        <v>12</v>
      </c>
      <c r="E458" s="1">
        <v>19.13</v>
      </c>
      <c r="F458" s="1" cm="1">
        <f t="array" ref="F458">SUM(ABS(B458:E458))</f>
        <v>476.51</v>
      </c>
      <c r="G458" s="1">
        <v>30.12</v>
      </c>
      <c r="H458" s="1">
        <v>273.45999999999998</v>
      </c>
      <c r="I458" s="1">
        <v>-54.59</v>
      </c>
      <c r="J458" s="1">
        <v>165.98</v>
      </c>
      <c r="K458" s="1">
        <v>0</v>
      </c>
      <c r="L458" s="1">
        <v>-16.91</v>
      </c>
      <c r="M458" s="1">
        <v>0</v>
      </c>
      <c r="N458" s="1">
        <v>-30.76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 cm="1">
        <f t="array" ref="V458">SUM(ABS(G458:U458))</f>
        <v>571.81999999999994</v>
      </c>
      <c r="W458" s="11" cm="1">
        <f t="array" ref="W458">SUM(ABS(B458:E458))+SUM(ABS(G458:U458))</f>
        <v>1048.33</v>
      </c>
    </row>
    <row r="459" spans="1:23" x14ac:dyDescent="0.3">
      <c r="A459" s="14">
        <v>45905.71875</v>
      </c>
      <c r="B459" s="1">
        <v>-414.78</v>
      </c>
      <c r="C459" s="1">
        <v>35.619999999999997</v>
      </c>
      <c r="D459" s="1">
        <v>12</v>
      </c>
      <c r="E459" s="1">
        <v>20.67</v>
      </c>
      <c r="F459" s="1" cm="1">
        <f t="array" ref="F459">SUM(ABS(B459:E459))</f>
        <v>483.07</v>
      </c>
      <c r="G459" s="1">
        <v>30.15</v>
      </c>
      <c r="H459" s="1">
        <v>273.44</v>
      </c>
      <c r="I459" s="1">
        <v>-54.59</v>
      </c>
      <c r="J459" s="1">
        <v>128.29</v>
      </c>
      <c r="K459" s="1">
        <v>0</v>
      </c>
      <c r="L459" s="1">
        <v>-17.09</v>
      </c>
      <c r="M459" s="1">
        <v>0</v>
      </c>
      <c r="N459" s="1">
        <v>-30.79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 cm="1">
        <f t="array" ref="V459">SUM(ABS(G459:U459))</f>
        <v>534.34999999999991</v>
      </c>
      <c r="W459" s="11" cm="1">
        <f t="array" ref="W459">SUM(ABS(B459:E459))+SUM(ABS(G459:U459))</f>
        <v>1017.4199999999998</v>
      </c>
    </row>
    <row r="460" spans="1:23" x14ac:dyDescent="0.3">
      <c r="A460" s="14">
        <v>45905.729166666664</v>
      </c>
      <c r="B460" s="1">
        <v>-616.86</v>
      </c>
      <c r="C460" s="1">
        <v>35.61</v>
      </c>
      <c r="D460" s="1">
        <v>12</v>
      </c>
      <c r="E460" s="1">
        <v>25.32</v>
      </c>
      <c r="F460" s="1" cm="1">
        <f t="array" ref="F460">SUM(ABS(B460:E460))</f>
        <v>689.79000000000008</v>
      </c>
      <c r="G460" s="1">
        <v>30.15</v>
      </c>
      <c r="H460" s="1">
        <v>273.52999999999997</v>
      </c>
      <c r="I460" s="1">
        <v>-54.56</v>
      </c>
      <c r="J460" s="1">
        <v>139.77000000000001</v>
      </c>
      <c r="K460" s="1">
        <v>0</v>
      </c>
      <c r="L460" s="1">
        <v>-16.87</v>
      </c>
      <c r="M460" s="1">
        <v>0</v>
      </c>
      <c r="N460" s="1">
        <v>-30.8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 cm="1">
        <f t="array" ref="V460">SUM(ABS(G460:U460))</f>
        <v>545.67999999999995</v>
      </c>
      <c r="W460" s="11" cm="1">
        <f t="array" ref="W460">SUM(ABS(B460:E460))+SUM(ABS(G460:U460))</f>
        <v>1235.47</v>
      </c>
    </row>
    <row r="461" spans="1:23" x14ac:dyDescent="0.3">
      <c r="A461" s="14">
        <v>45905.739583333336</v>
      </c>
      <c r="B461" s="1">
        <v>-681.86</v>
      </c>
      <c r="C461" s="1">
        <v>35.619999999999997</v>
      </c>
      <c r="D461" s="1">
        <v>14.8</v>
      </c>
      <c r="E461" s="1">
        <v>25.3</v>
      </c>
      <c r="F461" s="1" cm="1">
        <f t="array" ref="F461">SUM(ABS(B461:E461))</f>
        <v>757.57999999999993</v>
      </c>
      <c r="G461" s="1">
        <v>30.14</v>
      </c>
      <c r="H461" s="1">
        <v>273.29000000000002</v>
      </c>
      <c r="I461" s="1">
        <v>-54.57</v>
      </c>
      <c r="J461" s="1">
        <v>141.07</v>
      </c>
      <c r="K461" s="1">
        <v>0</v>
      </c>
      <c r="L461" s="1">
        <v>-16.829999999999998</v>
      </c>
      <c r="M461" s="1">
        <v>0</v>
      </c>
      <c r="N461" s="1">
        <v>-30.79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 cm="1">
        <f t="array" ref="V461">SUM(ABS(G461:U461))</f>
        <v>546.68999999999994</v>
      </c>
      <c r="W461" s="11" cm="1">
        <f t="array" ref="W461">SUM(ABS(B461:E461))+SUM(ABS(G461:U461))</f>
        <v>1304.27</v>
      </c>
    </row>
    <row r="462" spans="1:23" x14ac:dyDescent="0.3">
      <c r="A462" s="14">
        <v>45905.75</v>
      </c>
      <c r="B462" s="1">
        <v>-559.29999999999995</v>
      </c>
      <c r="C462" s="1">
        <v>35.549999999999997</v>
      </c>
      <c r="D462" s="1">
        <v>20.88</v>
      </c>
      <c r="E462" s="1">
        <v>25.29</v>
      </c>
      <c r="F462" s="1" cm="1">
        <f t="array" ref="F462">SUM(ABS(B462:E462))</f>
        <v>641.01999999999987</v>
      </c>
      <c r="G462" s="1">
        <v>30.16</v>
      </c>
      <c r="H462" s="1">
        <v>256.58999999999997</v>
      </c>
      <c r="I462" s="1">
        <v>-54.56</v>
      </c>
      <c r="J462" s="1">
        <v>107.84</v>
      </c>
      <c r="K462" s="1">
        <v>0</v>
      </c>
      <c r="L462" s="1">
        <v>-16.510000000000002</v>
      </c>
      <c r="M462" s="1">
        <v>0</v>
      </c>
      <c r="N462" s="1">
        <v>-30.8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 cm="1">
        <f t="array" ref="V462">SUM(ABS(G462:U462))</f>
        <v>496.46</v>
      </c>
      <c r="W462" s="11" cm="1">
        <f t="array" ref="W462">SUM(ABS(B462:E462))+SUM(ABS(G462:U462))</f>
        <v>1137.4799999999998</v>
      </c>
    </row>
    <row r="463" spans="1:23" x14ac:dyDescent="0.3">
      <c r="A463" s="14">
        <v>45905.760416666664</v>
      </c>
      <c r="B463" s="1">
        <v>-572.67999999999995</v>
      </c>
      <c r="C463" s="1">
        <v>35.57</v>
      </c>
      <c r="D463" s="1">
        <v>20.88</v>
      </c>
      <c r="E463" s="1">
        <v>25.95</v>
      </c>
      <c r="F463" s="1" cm="1">
        <f t="array" ref="F463">SUM(ABS(B463:E463))</f>
        <v>655.08000000000004</v>
      </c>
      <c r="G463" s="1">
        <v>30.15</v>
      </c>
      <c r="H463" s="1">
        <v>265.27</v>
      </c>
      <c r="I463" s="1">
        <v>-54.61</v>
      </c>
      <c r="J463" s="1">
        <v>108.75</v>
      </c>
      <c r="K463" s="1">
        <v>0</v>
      </c>
      <c r="L463" s="1">
        <v>-16.87</v>
      </c>
      <c r="M463" s="1">
        <v>0</v>
      </c>
      <c r="N463" s="1">
        <v>-30.82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 cm="1">
        <f t="array" ref="V463">SUM(ABS(G463:U463))</f>
        <v>506.46999999999997</v>
      </c>
      <c r="W463" s="11" cm="1">
        <f t="array" ref="W463">SUM(ABS(B463:E463))+SUM(ABS(G463:U463))</f>
        <v>1161.55</v>
      </c>
    </row>
    <row r="464" spans="1:23" x14ac:dyDescent="0.3">
      <c r="A464" s="14">
        <v>45905.770833333336</v>
      </c>
      <c r="B464" s="1">
        <v>-616.37</v>
      </c>
      <c r="C464" s="1">
        <v>35.619999999999997</v>
      </c>
      <c r="D464" s="1">
        <v>32.590000000000003</v>
      </c>
      <c r="E464" s="1">
        <v>34.380000000000003</v>
      </c>
      <c r="F464" s="1" cm="1">
        <f t="array" ref="F464">SUM(ABS(B464:E464))</f>
        <v>718.96</v>
      </c>
      <c r="G464" s="1">
        <v>32.979999999999997</v>
      </c>
      <c r="H464" s="1">
        <v>272.19</v>
      </c>
      <c r="I464" s="1">
        <v>-54.56</v>
      </c>
      <c r="J464" s="1">
        <v>124.01</v>
      </c>
      <c r="K464" s="1">
        <v>44.02</v>
      </c>
      <c r="L464" s="1">
        <v>-27.34</v>
      </c>
      <c r="M464" s="1">
        <v>0</v>
      </c>
      <c r="N464" s="1">
        <v>-30.81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 cm="1">
        <f t="array" ref="V464">SUM(ABS(G464:U464))</f>
        <v>585.91</v>
      </c>
      <c r="W464" s="11" cm="1">
        <f t="array" ref="W464">SUM(ABS(B464:E464))+SUM(ABS(G464:U464))</f>
        <v>1304.8699999999999</v>
      </c>
    </row>
    <row r="465" spans="1:23" x14ac:dyDescent="0.3">
      <c r="A465" s="14">
        <v>45905.78125</v>
      </c>
      <c r="B465" s="1">
        <v>-644.82000000000005</v>
      </c>
      <c r="C465" s="1">
        <v>35.630000000000003</v>
      </c>
      <c r="D465" s="1">
        <v>54.49</v>
      </c>
      <c r="E465" s="1">
        <v>38.020000000000003</v>
      </c>
      <c r="F465" s="1" cm="1">
        <f t="array" ref="F465">SUM(ABS(B465:E465))</f>
        <v>772.96</v>
      </c>
      <c r="G465" s="1">
        <v>54.22</v>
      </c>
      <c r="H465" s="1">
        <v>270.95</v>
      </c>
      <c r="I465" s="1">
        <v>-54.55</v>
      </c>
      <c r="J465" s="1">
        <v>134.31</v>
      </c>
      <c r="K465" s="1">
        <v>97.23</v>
      </c>
      <c r="L465" s="1">
        <v>-33.28</v>
      </c>
      <c r="M465" s="1">
        <v>0</v>
      </c>
      <c r="N465" s="1">
        <v>-30.83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 cm="1">
        <f t="array" ref="V465">SUM(ABS(G465:U465))</f>
        <v>675.37</v>
      </c>
      <c r="W465" s="11" cm="1">
        <f t="array" ref="W465">SUM(ABS(B465:E465))+SUM(ABS(G465:U465))</f>
        <v>1448.33</v>
      </c>
    </row>
    <row r="466" spans="1:23" x14ac:dyDescent="0.3">
      <c r="A466" s="14">
        <v>45905.791666666664</v>
      </c>
      <c r="B466" s="1">
        <v>-731.77</v>
      </c>
      <c r="C466" s="1">
        <v>35.659999999999997</v>
      </c>
      <c r="D466" s="1">
        <v>65.760000000000005</v>
      </c>
      <c r="E466" s="1">
        <v>47.29</v>
      </c>
      <c r="F466" s="1" cm="1">
        <f t="array" ref="F466">SUM(ABS(B466:E466))</f>
        <v>880.4799999999999</v>
      </c>
      <c r="G466" s="1">
        <v>54.21</v>
      </c>
      <c r="H466" s="1">
        <v>271.95</v>
      </c>
      <c r="I466" s="1">
        <v>-54.58</v>
      </c>
      <c r="J466" s="1">
        <v>164.3</v>
      </c>
      <c r="K466" s="1">
        <v>109.68</v>
      </c>
      <c r="L466" s="1">
        <v>-33.47</v>
      </c>
      <c r="M466" s="1">
        <v>0</v>
      </c>
      <c r="N466" s="1">
        <v>-30.84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 cm="1">
        <f t="array" ref="V466">SUM(ABS(G466:U466))</f>
        <v>719.03000000000009</v>
      </c>
      <c r="W466" s="11" cm="1">
        <f t="array" ref="W466">SUM(ABS(B466:E466))+SUM(ABS(G466:U466))</f>
        <v>1599.51</v>
      </c>
    </row>
    <row r="467" spans="1:23" x14ac:dyDescent="0.3">
      <c r="A467" s="14">
        <v>45905.802083333336</v>
      </c>
      <c r="B467" s="1">
        <v>-735.46</v>
      </c>
      <c r="C467" s="1">
        <v>35.65</v>
      </c>
      <c r="D467" s="1">
        <v>66.42</v>
      </c>
      <c r="E467" s="1">
        <v>50.65</v>
      </c>
      <c r="F467" s="1" cm="1">
        <f t="array" ref="F467">SUM(ABS(B467:E467))</f>
        <v>888.18</v>
      </c>
      <c r="G467" s="1">
        <v>54.19</v>
      </c>
      <c r="H467" s="1">
        <v>272.57</v>
      </c>
      <c r="I467" s="1">
        <v>-54.58</v>
      </c>
      <c r="J467" s="1">
        <v>168.4</v>
      </c>
      <c r="K467" s="1">
        <v>114.06</v>
      </c>
      <c r="L467" s="1">
        <v>-33.53</v>
      </c>
      <c r="M467" s="1">
        <v>0</v>
      </c>
      <c r="N467" s="1">
        <v>-30.84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 cm="1">
        <f t="array" ref="V467">SUM(ABS(G467:U467))</f>
        <v>728.17</v>
      </c>
      <c r="W467" s="11" cm="1">
        <f t="array" ref="W467">SUM(ABS(B467:E467))+SUM(ABS(G467:U467))</f>
        <v>1616.35</v>
      </c>
    </row>
    <row r="468" spans="1:23" x14ac:dyDescent="0.3">
      <c r="A468" s="14">
        <v>45905.8125</v>
      </c>
      <c r="B468" s="1">
        <v>-735.81</v>
      </c>
      <c r="C468" s="1">
        <v>35.64</v>
      </c>
      <c r="D468" s="1">
        <v>66.41</v>
      </c>
      <c r="E468" s="1">
        <v>50.63</v>
      </c>
      <c r="F468" s="1" cm="1">
        <f t="array" ref="F468">SUM(ABS(B468:E468))</f>
        <v>888.4899999999999</v>
      </c>
      <c r="G468" s="1">
        <v>54.18</v>
      </c>
      <c r="H468" s="1">
        <v>272.52999999999997</v>
      </c>
      <c r="I468" s="1">
        <v>-54.55</v>
      </c>
      <c r="J468" s="1">
        <v>168.44</v>
      </c>
      <c r="K468" s="1">
        <v>113.96</v>
      </c>
      <c r="L468" s="1">
        <v>-33.54</v>
      </c>
      <c r="M468" s="1">
        <v>0</v>
      </c>
      <c r="N468" s="1">
        <v>-30.84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 cm="1">
        <f t="array" ref="V468">SUM(ABS(G468:U468))</f>
        <v>728.04000000000008</v>
      </c>
      <c r="W468" s="11" cm="1">
        <f t="array" ref="W468">SUM(ABS(B468:E468))+SUM(ABS(G468:U468))</f>
        <v>1616.53</v>
      </c>
    </row>
    <row r="469" spans="1:23" x14ac:dyDescent="0.3">
      <c r="A469" s="14">
        <v>45905.822916666664</v>
      </c>
      <c r="B469" s="1">
        <v>-732.95</v>
      </c>
      <c r="C469" s="1">
        <v>35.65</v>
      </c>
      <c r="D469" s="1">
        <v>66.400000000000006</v>
      </c>
      <c r="E469" s="1">
        <v>50.6</v>
      </c>
      <c r="F469" s="1" cm="1">
        <f t="array" ref="F469">SUM(ABS(B469:E469))</f>
        <v>885.6</v>
      </c>
      <c r="G469" s="1">
        <v>54.2</v>
      </c>
      <c r="H469" s="1">
        <v>271.68</v>
      </c>
      <c r="I469" s="1">
        <v>-54.54</v>
      </c>
      <c r="J469" s="1">
        <v>167.32</v>
      </c>
      <c r="K469" s="1">
        <v>113.78</v>
      </c>
      <c r="L469" s="1">
        <v>-33.33</v>
      </c>
      <c r="M469" s="1">
        <v>0</v>
      </c>
      <c r="N469" s="1">
        <v>-30.84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 cm="1">
        <f t="array" ref="V469">SUM(ABS(G469:U469))</f>
        <v>725.69</v>
      </c>
      <c r="W469" s="11" cm="1">
        <f t="array" ref="W469">SUM(ABS(B469:E469))+SUM(ABS(G469:U469))</f>
        <v>1611.29</v>
      </c>
    </row>
    <row r="470" spans="1:23" x14ac:dyDescent="0.3">
      <c r="A470" s="14">
        <v>45905.833333333336</v>
      </c>
      <c r="B470" s="1">
        <v>-663.79</v>
      </c>
      <c r="C470" s="1">
        <v>35.68</v>
      </c>
      <c r="D470" s="1">
        <v>66.38</v>
      </c>
      <c r="E470" s="1">
        <v>50.59</v>
      </c>
      <c r="F470" s="1" cm="1">
        <f t="array" ref="F470">SUM(ABS(B470:E470))</f>
        <v>816.43999999999994</v>
      </c>
      <c r="G470" s="1">
        <v>54.23</v>
      </c>
      <c r="H470" s="1">
        <v>270.5</v>
      </c>
      <c r="I470" s="1">
        <v>-54.54</v>
      </c>
      <c r="J470" s="1">
        <v>149.43</v>
      </c>
      <c r="K470" s="1">
        <v>113.67</v>
      </c>
      <c r="L470" s="1">
        <v>-33.14</v>
      </c>
      <c r="M470" s="1">
        <v>0</v>
      </c>
      <c r="N470" s="1">
        <v>-30.84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 cm="1">
        <f t="array" ref="V470">SUM(ABS(G470:U470))</f>
        <v>706.35</v>
      </c>
      <c r="W470" s="11" cm="1">
        <f t="array" ref="W470">SUM(ABS(B470:E470))+SUM(ABS(G470:U470))</f>
        <v>1522.79</v>
      </c>
    </row>
    <row r="471" spans="1:23" x14ac:dyDescent="0.3">
      <c r="A471" s="14">
        <v>45905.84375</v>
      </c>
      <c r="B471" s="1">
        <v>-595.69000000000005</v>
      </c>
      <c r="C471" s="1">
        <v>35.71</v>
      </c>
      <c r="D471" s="1">
        <v>66.36</v>
      </c>
      <c r="E471" s="1">
        <v>50.61</v>
      </c>
      <c r="F471" s="1" cm="1">
        <f t="array" ref="F471">SUM(ABS(B471:E471))</f>
        <v>748.37000000000012</v>
      </c>
      <c r="G471" s="1">
        <v>54.23</v>
      </c>
      <c r="H471" s="1">
        <v>269.33</v>
      </c>
      <c r="I471" s="1">
        <v>-54.51</v>
      </c>
      <c r="J471" s="1">
        <v>151.56</v>
      </c>
      <c r="K471" s="1">
        <v>113.57</v>
      </c>
      <c r="L471" s="1">
        <v>-33.020000000000003</v>
      </c>
      <c r="M471" s="1">
        <v>0</v>
      </c>
      <c r="N471" s="1">
        <v>-30.84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 cm="1">
        <f t="array" ref="V471">SUM(ABS(G471:U471))</f>
        <v>707.06000000000006</v>
      </c>
      <c r="W471" s="11" cm="1">
        <f t="array" ref="W471">SUM(ABS(B471:E471))+SUM(ABS(G471:U471))</f>
        <v>1455.4300000000003</v>
      </c>
    </row>
    <row r="472" spans="1:23" x14ac:dyDescent="0.3">
      <c r="A472" s="14">
        <v>45905.854166666664</v>
      </c>
      <c r="B472" s="1">
        <v>-720.1</v>
      </c>
      <c r="C472" s="1">
        <v>35.729999999999997</v>
      </c>
      <c r="D472" s="1">
        <v>66.38</v>
      </c>
      <c r="E472" s="1">
        <v>50.6</v>
      </c>
      <c r="F472" s="1" cm="1">
        <f t="array" ref="F472">SUM(ABS(B472:E472))</f>
        <v>872.81000000000006</v>
      </c>
      <c r="G472" s="1">
        <v>54.22</v>
      </c>
      <c r="H472" s="1">
        <v>271.47000000000003</v>
      </c>
      <c r="I472" s="1">
        <v>-54.51</v>
      </c>
      <c r="J472" s="1">
        <v>166.7</v>
      </c>
      <c r="K472" s="1">
        <v>113.46</v>
      </c>
      <c r="L472" s="1">
        <v>-33.33</v>
      </c>
      <c r="M472" s="1">
        <v>0</v>
      </c>
      <c r="N472" s="1">
        <v>-30.86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 cm="1">
        <f t="array" ref="V472">SUM(ABS(G472:U472))</f>
        <v>724.55000000000018</v>
      </c>
      <c r="W472" s="11" cm="1">
        <f t="array" ref="W472">SUM(ABS(B472:E472))+SUM(ABS(G472:U472))</f>
        <v>1597.3600000000001</v>
      </c>
    </row>
    <row r="473" spans="1:23" x14ac:dyDescent="0.3">
      <c r="A473" s="14">
        <v>45905.864583333336</v>
      </c>
      <c r="B473" s="1">
        <v>-735.7</v>
      </c>
      <c r="C473" s="1">
        <v>35.75</v>
      </c>
      <c r="D473" s="1">
        <v>66.38</v>
      </c>
      <c r="E473" s="1">
        <v>50.61</v>
      </c>
      <c r="F473" s="1" cm="1">
        <f t="array" ref="F473">SUM(ABS(B473:E473))</f>
        <v>888.44</v>
      </c>
      <c r="G473" s="1">
        <v>54.22</v>
      </c>
      <c r="H473" s="1">
        <v>272.66000000000003</v>
      </c>
      <c r="I473" s="1">
        <v>-54.53</v>
      </c>
      <c r="J473" s="1">
        <v>167.12</v>
      </c>
      <c r="K473" s="1">
        <v>113.39</v>
      </c>
      <c r="L473" s="1">
        <v>-33.659999999999997</v>
      </c>
      <c r="M473" s="1">
        <v>0</v>
      </c>
      <c r="N473" s="1">
        <v>-30.86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 cm="1">
        <f t="array" ref="V473">SUM(ABS(G473:U473))</f>
        <v>726.43999999999994</v>
      </c>
      <c r="W473" s="11" cm="1">
        <f t="array" ref="W473">SUM(ABS(B473:E473))+SUM(ABS(G473:U473))</f>
        <v>1614.88</v>
      </c>
    </row>
    <row r="474" spans="1:23" x14ac:dyDescent="0.3">
      <c r="A474" s="14">
        <v>45905.875</v>
      </c>
      <c r="B474" s="1">
        <v>-729.34</v>
      </c>
      <c r="C474" s="1">
        <v>35.76</v>
      </c>
      <c r="D474" s="1">
        <v>66.36</v>
      </c>
      <c r="E474" s="1">
        <v>50.57</v>
      </c>
      <c r="F474" s="1" cm="1">
        <f t="array" ref="F474">SUM(ABS(B474:E474))</f>
        <v>882.03000000000009</v>
      </c>
      <c r="G474" s="1">
        <v>54.22</v>
      </c>
      <c r="H474" s="1">
        <v>269.77999999999997</v>
      </c>
      <c r="I474" s="1">
        <v>-54.53</v>
      </c>
      <c r="J474" s="1">
        <v>165.63</v>
      </c>
      <c r="K474" s="1">
        <v>113.24</v>
      </c>
      <c r="L474" s="1">
        <v>-33.06</v>
      </c>
      <c r="M474" s="1">
        <v>0</v>
      </c>
      <c r="N474" s="1">
        <v>-30.86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 cm="1">
        <f t="array" ref="V474">SUM(ABS(G474:U474))</f>
        <v>721.32</v>
      </c>
      <c r="W474" s="11" cm="1">
        <f t="array" ref="W474">SUM(ABS(B474:E474))+SUM(ABS(G474:U474))</f>
        <v>1603.3500000000001</v>
      </c>
    </row>
    <row r="475" spans="1:23" x14ac:dyDescent="0.3">
      <c r="A475" s="14">
        <v>45905.885416666664</v>
      </c>
      <c r="B475" s="1">
        <v>-733.39</v>
      </c>
      <c r="C475" s="1">
        <v>35.76</v>
      </c>
      <c r="D475" s="1">
        <v>66.37</v>
      </c>
      <c r="E475" s="1">
        <v>50.59</v>
      </c>
      <c r="F475" s="1" cm="1">
        <f t="array" ref="F475">SUM(ABS(B475:E475))</f>
        <v>886.11</v>
      </c>
      <c r="G475" s="1">
        <v>54.22</v>
      </c>
      <c r="H475" s="1">
        <v>271.14999999999998</v>
      </c>
      <c r="I475" s="1">
        <v>-54.51</v>
      </c>
      <c r="J475" s="1">
        <v>166.6</v>
      </c>
      <c r="K475" s="1">
        <v>113.18</v>
      </c>
      <c r="L475" s="1">
        <v>-33.270000000000003</v>
      </c>
      <c r="M475" s="1">
        <v>0</v>
      </c>
      <c r="N475" s="1">
        <v>-30.86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 cm="1">
        <f t="array" ref="V475">SUM(ABS(G475:U475))</f>
        <v>723.79000000000008</v>
      </c>
      <c r="W475" s="11" cm="1">
        <f t="array" ref="W475">SUM(ABS(B475:E475))+SUM(ABS(G475:U475))</f>
        <v>1609.9</v>
      </c>
    </row>
    <row r="476" spans="1:23" x14ac:dyDescent="0.3">
      <c r="A476" s="14">
        <v>45905.895833333336</v>
      </c>
      <c r="B476" s="1">
        <v>-733.29</v>
      </c>
      <c r="C476" s="1">
        <v>35.770000000000003</v>
      </c>
      <c r="D476" s="1">
        <v>66.37</v>
      </c>
      <c r="E476" s="1">
        <v>50.58</v>
      </c>
      <c r="F476" s="1" cm="1">
        <f t="array" ref="F476">SUM(ABS(B476:E476))</f>
        <v>886.01</v>
      </c>
      <c r="G476" s="1">
        <v>54.23</v>
      </c>
      <c r="H476" s="1">
        <v>271.41000000000003</v>
      </c>
      <c r="I476" s="1">
        <v>-54.51</v>
      </c>
      <c r="J476" s="1">
        <v>166.56</v>
      </c>
      <c r="K476" s="1">
        <v>113.07</v>
      </c>
      <c r="L476" s="1">
        <v>-33.25</v>
      </c>
      <c r="M476" s="1">
        <v>0</v>
      </c>
      <c r="N476" s="1">
        <v>-30.84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 cm="1">
        <f t="array" ref="V476">SUM(ABS(G476:U476))</f>
        <v>723.87</v>
      </c>
      <c r="W476" s="11" cm="1">
        <f t="array" ref="W476">SUM(ABS(B476:E476))+SUM(ABS(G476:U476))</f>
        <v>1609.88</v>
      </c>
    </row>
    <row r="477" spans="1:23" x14ac:dyDescent="0.3">
      <c r="A477" s="14">
        <v>45905.90625</v>
      </c>
      <c r="B477" s="1">
        <v>-734.72</v>
      </c>
      <c r="C477" s="1">
        <v>35.78</v>
      </c>
      <c r="D477" s="1">
        <v>66.349999999999994</v>
      </c>
      <c r="E477" s="1">
        <v>50.59</v>
      </c>
      <c r="F477" s="1" cm="1">
        <f t="array" ref="F477">SUM(ABS(B477:E477))</f>
        <v>887.44</v>
      </c>
      <c r="G477" s="1">
        <v>54.22</v>
      </c>
      <c r="H477" s="1">
        <v>272.17</v>
      </c>
      <c r="I477" s="1">
        <v>-54.53</v>
      </c>
      <c r="J477" s="1">
        <v>167.12</v>
      </c>
      <c r="K477" s="1">
        <v>112.99</v>
      </c>
      <c r="L477" s="1">
        <v>-33.380000000000003</v>
      </c>
      <c r="M477" s="1">
        <v>0</v>
      </c>
      <c r="N477" s="1">
        <v>-30.84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 cm="1">
        <f t="array" ref="V477">SUM(ABS(G477:U477))</f>
        <v>725.25</v>
      </c>
      <c r="W477" s="11" cm="1">
        <f t="array" ref="W477">SUM(ABS(B477:E477))+SUM(ABS(G477:U477))</f>
        <v>1612.69</v>
      </c>
    </row>
    <row r="478" spans="1:23" x14ac:dyDescent="0.3">
      <c r="A478" s="14">
        <v>45905.916666666664</v>
      </c>
      <c r="B478" s="1">
        <v>-735.02</v>
      </c>
      <c r="C478" s="1">
        <v>35.79</v>
      </c>
      <c r="D478" s="1">
        <v>66.38</v>
      </c>
      <c r="E478" s="1">
        <v>50.63</v>
      </c>
      <c r="F478" s="1" cm="1">
        <f t="array" ref="F478">SUM(ABS(B478:E478))</f>
        <v>887.81999999999994</v>
      </c>
      <c r="G478" s="1">
        <v>54.26</v>
      </c>
      <c r="H478" s="1">
        <v>272.22000000000003</v>
      </c>
      <c r="I478" s="1">
        <v>-54.54</v>
      </c>
      <c r="J478" s="1">
        <v>168.54</v>
      </c>
      <c r="K478" s="1">
        <v>112.91</v>
      </c>
      <c r="L478" s="1">
        <v>-33.659999999999997</v>
      </c>
      <c r="M478" s="1">
        <v>0</v>
      </c>
      <c r="N478" s="1">
        <v>-30.87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 cm="1">
        <f t="array" ref="V478">SUM(ABS(G478:U478))</f>
        <v>727</v>
      </c>
      <c r="W478" s="11" cm="1">
        <f t="array" ref="W478">SUM(ABS(B478:E478))+SUM(ABS(G478:U478))</f>
        <v>1614.82</v>
      </c>
    </row>
    <row r="479" spans="1:23" x14ac:dyDescent="0.3">
      <c r="A479" s="14">
        <v>45905.927083333336</v>
      </c>
      <c r="B479" s="1">
        <v>-735.22</v>
      </c>
      <c r="C479" s="1">
        <v>35.81</v>
      </c>
      <c r="D479" s="1">
        <v>66.36</v>
      </c>
      <c r="E479" s="1">
        <v>50.63</v>
      </c>
      <c r="F479" s="1" cm="1">
        <f t="array" ref="F479">SUM(ABS(B479:E479))</f>
        <v>888.02</v>
      </c>
      <c r="G479" s="1">
        <v>54.23</v>
      </c>
      <c r="H479" s="1">
        <v>272.8</v>
      </c>
      <c r="I479" s="1">
        <v>-54.54</v>
      </c>
      <c r="J479" s="1">
        <v>167.71</v>
      </c>
      <c r="K479" s="1">
        <v>112.75</v>
      </c>
      <c r="L479" s="1">
        <v>-33.700000000000003</v>
      </c>
      <c r="M479" s="1">
        <v>0</v>
      </c>
      <c r="N479" s="1">
        <v>-30.83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 cm="1">
        <f t="array" ref="V479">SUM(ABS(G479:U479))</f>
        <v>726.56000000000017</v>
      </c>
      <c r="W479" s="11" cm="1">
        <f t="array" ref="W479">SUM(ABS(B479:E479))+SUM(ABS(G479:U479))</f>
        <v>1614.5800000000002</v>
      </c>
    </row>
    <row r="480" spans="1:23" x14ac:dyDescent="0.3">
      <c r="A480" s="14">
        <v>45905.9375</v>
      </c>
      <c r="B480" s="1">
        <v>-737.26</v>
      </c>
      <c r="C480" s="1">
        <v>35.82</v>
      </c>
      <c r="D480" s="1">
        <v>66.349999999999994</v>
      </c>
      <c r="E480" s="1">
        <v>50.6</v>
      </c>
      <c r="F480" s="1" cm="1">
        <f t="array" ref="F480">SUM(ABS(B480:E480))</f>
        <v>890.03000000000009</v>
      </c>
      <c r="G480" s="1">
        <v>54.26</v>
      </c>
      <c r="H480" s="1">
        <v>272.93</v>
      </c>
      <c r="I480" s="1">
        <v>-54.52</v>
      </c>
      <c r="J480" s="1">
        <v>168.79</v>
      </c>
      <c r="K480" s="1">
        <v>112.65</v>
      </c>
      <c r="L480" s="1">
        <v>-33.71</v>
      </c>
      <c r="M480" s="1">
        <v>0</v>
      </c>
      <c r="N480" s="1">
        <v>-30.87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 cm="1">
        <f t="array" ref="V480">SUM(ABS(G480:U480))</f>
        <v>727.73</v>
      </c>
      <c r="W480" s="11" cm="1">
        <f t="array" ref="W480">SUM(ABS(B480:E480))+SUM(ABS(G480:U480))</f>
        <v>1617.7600000000002</v>
      </c>
    </row>
    <row r="481" spans="1:23" x14ac:dyDescent="0.3">
      <c r="A481" s="14">
        <v>45905.947916666664</v>
      </c>
      <c r="B481" s="1">
        <v>-736.83</v>
      </c>
      <c r="C481" s="1">
        <v>35.86</v>
      </c>
      <c r="D481" s="1">
        <v>66.36</v>
      </c>
      <c r="E481" s="1">
        <v>50.69</v>
      </c>
      <c r="F481" s="1" cm="1">
        <f t="array" ref="F481">SUM(ABS(B481:E481))</f>
        <v>889.74</v>
      </c>
      <c r="G481" s="1">
        <v>54.25</v>
      </c>
      <c r="H481" s="1">
        <v>272.87</v>
      </c>
      <c r="I481" s="1">
        <v>-54.54</v>
      </c>
      <c r="J481" s="1">
        <v>170.59</v>
      </c>
      <c r="K481" s="1">
        <v>112.52</v>
      </c>
      <c r="L481" s="1">
        <v>-34.08</v>
      </c>
      <c r="M481" s="1">
        <v>0</v>
      </c>
      <c r="N481" s="1">
        <v>-30.86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 cm="1">
        <f t="array" ref="V481">SUM(ABS(G481:U481))</f>
        <v>729.71</v>
      </c>
      <c r="W481" s="11" cm="1">
        <f t="array" ref="W481">SUM(ABS(B481:E481))+SUM(ABS(G481:U481))</f>
        <v>1619.45</v>
      </c>
    </row>
    <row r="482" spans="1:23" x14ac:dyDescent="0.3">
      <c r="A482" s="14">
        <v>45905.958333333336</v>
      </c>
      <c r="B482" s="1">
        <v>-722.61</v>
      </c>
      <c r="C482" s="1">
        <v>35.86</v>
      </c>
      <c r="D482" s="1">
        <v>66.34</v>
      </c>
      <c r="E482" s="1">
        <v>50.65</v>
      </c>
      <c r="F482" s="1" cm="1">
        <f t="array" ref="F482">SUM(ABS(B482:E482))</f>
        <v>875.46</v>
      </c>
      <c r="G482" s="1">
        <v>54.24</v>
      </c>
      <c r="H482" s="1">
        <v>273.02999999999997</v>
      </c>
      <c r="I482" s="1">
        <v>-54.51</v>
      </c>
      <c r="J482" s="1">
        <v>166.85</v>
      </c>
      <c r="K482" s="1">
        <v>112.34</v>
      </c>
      <c r="L482" s="1">
        <v>-33.619999999999997</v>
      </c>
      <c r="M482" s="1">
        <v>0</v>
      </c>
      <c r="N482" s="1">
        <v>-30.84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 cm="1">
        <f t="array" ref="V482">SUM(ABS(G482:U482))</f>
        <v>725.43000000000006</v>
      </c>
      <c r="W482" s="11" cm="1">
        <f t="array" ref="W482">SUM(ABS(B482:E482))+SUM(ABS(G482:U482))</f>
        <v>1600.89</v>
      </c>
    </row>
    <row r="483" spans="1:23" x14ac:dyDescent="0.3">
      <c r="A483" s="14">
        <v>45905.96875</v>
      </c>
      <c r="B483" s="1">
        <v>-721.93</v>
      </c>
      <c r="C483" s="1">
        <v>35.869999999999997</v>
      </c>
      <c r="D483" s="1">
        <v>66.349999999999994</v>
      </c>
      <c r="E483" s="1">
        <v>50.64</v>
      </c>
      <c r="F483" s="1" cm="1">
        <f t="array" ref="F483">SUM(ABS(B483:E483))</f>
        <v>874.79</v>
      </c>
      <c r="G483" s="1">
        <v>54.23</v>
      </c>
      <c r="H483" s="1">
        <v>272.83</v>
      </c>
      <c r="I483" s="1">
        <v>-54.52</v>
      </c>
      <c r="J483" s="1">
        <v>167.88</v>
      </c>
      <c r="K483" s="1">
        <v>112.22</v>
      </c>
      <c r="L483" s="1">
        <v>-33.72</v>
      </c>
      <c r="M483" s="1">
        <v>0</v>
      </c>
      <c r="N483" s="1">
        <v>-30.88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 cm="1">
        <f t="array" ref="V483">SUM(ABS(G483:U483))</f>
        <v>726.28000000000009</v>
      </c>
      <c r="W483" s="11" cm="1">
        <f t="array" ref="W483">SUM(ABS(B483:E483))+SUM(ABS(G483:U483))</f>
        <v>1601.0700000000002</v>
      </c>
    </row>
    <row r="484" spans="1:23" x14ac:dyDescent="0.3">
      <c r="A484" s="14">
        <v>45905.979166666664</v>
      </c>
      <c r="B484" s="1">
        <v>-733.49</v>
      </c>
      <c r="C484" s="1">
        <v>35.86</v>
      </c>
      <c r="D484" s="1">
        <v>66.349999999999994</v>
      </c>
      <c r="E484" s="1">
        <v>50.68</v>
      </c>
      <c r="F484" s="1" cm="1">
        <f t="array" ref="F484">SUM(ABS(B484:E484))</f>
        <v>886.38</v>
      </c>
      <c r="G484" s="1">
        <v>54.23</v>
      </c>
      <c r="H484" s="1">
        <v>272.77</v>
      </c>
      <c r="I484" s="1">
        <v>-54.52</v>
      </c>
      <c r="J484" s="1">
        <v>170.19</v>
      </c>
      <c r="K484" s="1">
        <v>112.16</v>
      </c>
      <c r="L484" s="1">
        <v>-34.08</v>
      </c>
      <c r="M484" s="1">
        <v>0</v>
      </c>
      <c r="N484" s="1">
        <v>-30.89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 cm="1">
        <f t="array" ref="V484">SUM(ABS(G484:U484))</f>
        <v>728.84</v>
      </c>
      <c r="W484" s="11" cm="1">
        <f t="array" ref="W484">SUM(ABS(B484:E484))+SUM(ABS(G484:U484))</f>
        <v>1615.22</v>
      </c>
    </row>
    <row r="485" spans="1:23" x14ac:dyDescent="0.3">
      <c r="A485" s="14">
        <v>45905.989583333336</v>
      </c>
      <c r="B485" s="1">
        <v>-729.79</v>
      </c>
      <c r="C485" s="1">
        <v>35.840000000000003</v>
      </c>
      <c r="D485" s="1">
        <v>66.34</v>
      </c>
      <c r="E485" s="1">
        <v>50.65</v>
      </c>
      <c r="F485" s="1" cm="1">
        <f t="array" ref="F485">SUM(ABS(B485:E485))</f>
        <v>882.62</v>
      </c>
      <c r="G485" s="1">
        <v>54.23</v>
      </c>
      <c r="H485" s="1">
        <v>272.81</v>
      </c>
      <c r="I485" s="1">
        <v>-54.5</v>
      </c>
      <c r="J485" s="1">
        <v>167.53</v>
      </c>
      <c r="K485" s="1">
        <v>112.04</v>
      </c>
      <c r="L485" s="1">
        <v>-33.83</v>
      </c>
      <c r="M485" s="1">
        <v>0</v>
      </c>
      <c r="N485" s="1">
        <v>-30.85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 cm="1">
        <f t="array" ref="V485">SUM(ABS(G485:U485))</f>
        <v>725.79000000000008</v>
      </c>
      <c r="W485" s="11" cm="1">
        <f t="array" ref="W485">SUM(ABS(B485:E485))+SUM(ABS(G485:U485))</f>
        <v>1608.41</v>
      </c>
    </row>
    <row r="486" spans="1:23" x14ac:dyDescent="0.3">
      <c r="A486" s="14">
        <v>45935</v>
      </c>
      <c r="B486" s="1">
        <v>-731.32</v>
      </c>
      <c r="C486" s="1">
        <v>35.86</v>
      </c>
      <c r="D486" s="1">
        <v>66.33</v>
      </c>
      <c r="E486" s="1">
        <v>50.68</v>
      </c>
      <c r="F486" s="1" cm="1">
        <f t="array" ref="F486">SUM(ABS(B486:E486))</f>
        <v>884.19</v>
      </c>
      <c r="G486" s="1">
        <v>54.21</v>
      </c>
      <c r="H486" s="1">
        <v>272.62</v>
      </c>
      <c r="I486" s="1">
        <v>-54.52</v>
      </c>
      <c r="J486" s="1">
        <v>168.81</v>
      </c>
      <c r="K486" s="1">
        <v>111.94</v>
      </c>
      <c r="L486" s="1">
        <v>-34.049999999999997</v>
      </c>
      <c r="M486" s="1">
        <v>0</v>
      </c>
      <c r="N486" s="1">
        <v>-30.9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 cm="1">
        <f t="array" ref="V486">SUM(ABS(G486:U486))</f>
        <v>727.04999999999984</v>
      </c>
      <c r="W486" s="11" cm="1">
        <f t="array" ref="W486">SUM(ABS(B486:E486))+SUM(ABS(G486:U486))</f>
        <v>1611.2399999999998</v>
      </c>
    </row>
    <row r="487" spans="1:23" x14ac:dyDescent="0.3">
      <c r="A487" s="14">
        <v>45935.010416666664</v>
      </c>
      <c r="B487" s="1">
        <v>-729.26</v>
      </c>
      <c r="C487" s="1">
        <v>35.869999999999997</v>
      </c>
      <c r="D487" s="1">
        <v>66.33</v>
      </c>
      <c r="E487" s="1">
        <v>50.69</v>
      </c>
      <c r="F487" s="1" cm="1">
        <f t="array" ref="F487">SUM(ABS(B487:E487))</f>
        <v>882.15000000000009</v>
      </c>
      <c r="G487" s="1">
        <v>54.2</v>
      </c>
      <c r="H487" s="1">
        <v>272.7</v>
      </c>
      <c r="I487" s="1">
        <v>-54.52</v>
      </c>
      <c r="J487" s="1">
        <v>165.19</v>
      </c>
      <c r="K487" s="1">
        <v>111.78</v>
      </c>
      <c r="L487" s="1">
        <v>-33.96</v>
      </c>
      <c r="M487" s="1">
        <v>0</v>
      </c>
      <c r="N487" s="1">
        <v>-30.87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 cm="1">
        <f t="array" ref="V487">SUM(ABS(G487:U487))</f>
        <v>723.21999999999991</v>
      </c>
      <c r="W487" s="11" cm="1">
        <f t="array" ref="W487">SUM(ABS(B487:E487))+SUM(ABS(G487:U487))</f>
        <v>1605.37</v>
      </c>
    </row>
    <row r="488" spans="1:23" x14ac:dyDescent="0.3">
      <c r="A488" s="14">
        <v>45935.020833333336</v>
      </c>
      <c r="B488" s="1">
        <v>-731.54</v>
      </c>
      <c r="C488" s="1">
        <v>35.869999999999997</v>
      </c>
      <c r="D488" s="1">
        <v>66.319999999999993</v>
      </c>
      <c r="E488" s="1">
        <v>50.67</v>
      </c>
      <c r="F488" s="1" cm="1">
        <f t="array" ref="F488">SUM(ABS(B488:E488))</f>
        <v>884.4</v>
      </c>
      <c r="G488" s="1">
        <v>54.2</v>
      </c>
      <c r="H488" s="1">
        <v>272.5</v>
      </c>
      <c r="I488" s="1">
        <v>-54.49</v>
      </c>
      <c r="J488" s="1">
        <v>162.47999999999999</v>
      </c>
      <c r="K488" s="1">
        <v>111.68</v>
      </c>
      <c r="L488" s="1">
        <v>-33.75</v>
      </c>
      <c r="M488" s="1">
        <v>0</v>
      </c>
      <c r="N488" s="1">
        <v>-30.87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 cm="1">
        <f t="array" ref="V488">SUM(ABS(G488:U488))</f>
        <v>719.96999999999991</v>
      </c>
      <c r="W488" s="11" cm="1">
        <f t="array" ref="W488">SUM(ABS(B488:E488))+SUM(ABS(G488:U488))</f>
        <v>1604.37</v>
      </c>
    </row>
    <row r="489" spans="1:23" x14ac:dyDescent="0.3">
      <c r="A489" s="14">
        <v>45935.03125</v>
      </c>
      <c r="B489" s="1">
        <v>-733.09</v>
      </c>
      <c r="C489" s="1">
        <v>35.869999999999997</v>
      </c>
      <c r="D489" s="1">
        <v>66.3</v>
      </c>
      <c r="E489" s="1">
        <v>50.65</v>
      </c>
      <c r="F489" s="1" cm="1">
        <f t="array" ref="F489">SUM(ABS(B489:E489))</f>
        <v>885.91</v>
      </c>
      <c r="G489" s="1">
        <v>54.2</v>
      </c>
      <c r="H489" s="1">
        <v>272.54000000000002</v>
      </c>
      <c r="I489" s="1">
        <v>-54.49</v>
      </c>
      <c r="J489" s="1">
        <v>161.94</v>
      </c>
      <c r="K489" s="1">
        <v>97.47</v>
      </c>
      <c r="L489" s="1">
        <v>-33.590000000000003</v>
      </c>
      <c r="M489" s="1">
        <v>0</v>
      </c>
      <c r="N489" s="1">
        <v>-30.89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 cm="1">
        <f t="array" ref="V489">SUM(ABS(G489:U489))</f>
        <v>705.12000000000012</v>
      </c>
      <c r="W489" s="11" cm="1">
        <f t="array" ref="W489">SUM(ABS(B489:E489))+SUM(ABS(G489:U489))</f>
        <v>1591.0300000000002</v>
      </c>
    </row>
    <row r="490" spans="1:23" x14ac:dyDescent="0.3">
      <c r="A490" s="14">
        <v>45935.041666666664</v>
      </c>
      <c r="B490" s="1">
        <v>-725.58</v>
      </c>
      <c r="C490" s="1">
        <v>35.869999999999997</v>
      </c>
      <c r="D490" s="1">
        <v>66.3</v>
      </c>
      <c r="E490" s="1">
        <v>50.67</v>
      </c>
      <c r="F490" s="1" cm="1">
        <f t="array" ref="F490">SUM(ABS(B490:E490))</f>
        <v>878.42</v>
      </c>
      <c r="G490" s="1">
        <v>54.2</v>
      </c>
      <c r="H490" s="1">
        <v>271.24</v>
      </c>
      <c r="I490" s="1">
        <v>-54.47</v>
      </c>
      <c r="J490" s="1">
        <v>163.56</v>
      </c>
      <c r="K490" s="1">
        <v>90.99</v>
      </c>
      <c r="L490" s="1">
        <v>-33.369999999999997</v>
      </c>
      <c r="M490" s="1">
        <v>0</v>
      </c>
      <c r="N490" s="1">
        <v>-30.9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 cm="1">
        <f t="array" ref="V490">SUM(ABS(G490:U490))</f>
        <v>698.73</v>
      </c>
      <c r="W490" s="11" cm="1">
        <f t="array" ref="W490">SUM(ABS(B490:E490))+SUM(ABS(G490:U490))</f>
        <v>1577.15</v>
      </c>
    </row>
    <row r="491" spans="1:23" x14ac:dyDescent="0.3">
      <c r="A491" s="14">
        <v>45935.052083333336</v>
      </c>
      <c r="B491" s="1">
        <v>-713.08</v>
      </c>
      <c r="C491" s="1">
        <v>35.89</v>
      </c>
      <c r="D491" s="1">
        <v>55.49</v>
      </c>
      <c r="E491" s="1">
        <v>30.12</v>
      </c>
      <c r="F491" s="1" cm="1">
        <f t="array" ref="F491">SUM(ABS(B491:E491))</f>
        <v>834.58</v>
      </c>
      <c r="G491" s="1">
        <v>54.21</v>
      </c>
      <c r="H491" s="1">
        <v>267.55</v>
      </c>
      <c r="I491" s="1">
        <v>-54.45</v>
      </c>
      <c r="J491" s="1">
        <v>162.69999999999999</v>
      </c>
      <c r="K491" s="1">
        <v>70.010000000000005</v>
      </c>
      <c r="L491" s="1">
        <v>-32.880000000000003</v>
      </c>
      <c r="M491" s="1">
        <v>0</v>
      </c>
      <c r="N491" s="1">
        <v>-30.86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 cm="1">
        <f t="array" ref="V491">SUM(ABS(G491:U491))</f>
        <v>672.66</v>
      </c>
      <c r="W491" s="11" cm="1">
        <f t="array" ref="W491">SUM(ABS(B491:E491))+SUM(ABS(G491:U491))</f>
        <v>1507.24</v>
      </c>
    </row>
    <row r="492" spans="1:23" x14ac:dyDescent="0.3">
      <c r="A492" s="14">
        <v>45935.0625</v>
      </c>
      <c r="B492" s="1">
        <v>-726.15</v>
      </c>
      <c r="C492" s="1">
        <v>35.92</v>
      </c>
      <c r="D492" s="1">
        <v>12.69</v>
      </c>
      <c r="E492" s="1">
        <v>25.57</v>
      </c>
      <c r="F492" s="1" cm="1">
        <f t="array" ref="F492">SUM(ABS(B492:E492))</f>
        <v>800.33</v>
      </c>
      <c r="G492" s="1">
        <v>54.2</v>
      </c>
      <c r="H492" s="1">
        <v>239.92</v>
      </c>
      <c r="I492" s="1">
        <v>-54.45</v>
      </c>
      <c r="J492" s="1">
        <v>120.22</v>
      </c>
      <c r="K492" s="1">
        <v>20.22</v>
      </c>
      <c r="L492" s="1">
        <v>-33.07</v>
      </c>
      <c r="M492" s="1">
        <v>0</v>
      </c>
      <c r="N492" s="1">
        <v>-30.85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 cm="1">
        <f t="array" ref="V492">SUM(ABS(G492:U492))</f>
        <v>552.93000000000006</v>
      </c>
      <c r="W492" s="11" cm="1">
        <f t="array" ref="W492">SUM(ABS(B492:E492))+SUM(ABS(G492:U492))</f>
        <v>1353.2600000000002</v>
      </c>
    </row>
    <row r="493" spans="1:23" x14ac:dyDescent="0.3">
      <c r="A493" s="14">
        <v>45935.072916666664</v>
      </c>
      <c r="B493" s="1">
        <v>-728.67</v>
      </c>
      <c r="C493" s="1">
        <v>35.880000000000003</v>
      </c>
      <c r="D493" s="1">
        <v>12</v>
      </c>
      <c r="E493" s="1">
        <v>25.58</v>
      </c>
      <c r="F493" s="1" cm="1">
        <f t="array" ref="F493">SUM(ABS(B493:E493))</f>
        <v>802.13</v>
      </c>
      <c r="G493" s="1">
        <v>54.21</v>
      </c>
      <c r="H493" s="1">
        <v>210.23</v>
      </c>
      <c r="I493" s="1">
        <v>-54.46</v>
      </c>
      <c r="J493" s="1">
        <v>100.64</v>
      </c>
      <c r="K493" s="1">
        <v>0</v>
      </c>
      <c r="L493" s="1">
        <v>-33.229999999999997</v>
      </c>
      <c r="M493" s="1">
        <v>0</v>
      </c>
      <c r="N493" s="1">
        <v>-30.86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 cm="1">
        <f t="array" ref="V493">SUM(ABS(G493:U493))</f>
        <v>483.63</v>
      </c>
      <c r="W493" s="11" cm="1">
        <f t="array" ref="W493">SUM(ABS(B493:E493))+SUM(ABS(G493:U493))</f>
        <v>1285.76</v>
      </c>
    </row>
    <row r="494" spans="1:23" x14ac:dyDescent="0.3">
      <c r="A494" s="14">
        <v>45935.083333333336</v>
      </c>
      <c r="B494" s="1">
        <v>-629.77</v>
      </c>
      <c r="C494" s="1">
        <v>35.869999999999997</v>
      </c>
      <c r="D494" s="1">
        <v>12</v>
      </c>
      <c r="E494" s="1">
        <v>25.62</v>
      </c>
      <c r="F494" s="1" cm="1">
        <f t="array" ref="F494">SUM(ABS(B494:E494))</f>
        <v>703.26</v>
      </c>
      <c r="G494" s="1">
        <v>54.2</v>
      </c>
      <c r="H494" s="1">
        <v>212.21</v>
      </c>
      <c r="I494" s="1">
        <v>-54.47</v>
      </c>
      <c r="J494" s="1">
        <v>80.239999999999995</v>
      </c>
      <c r="K494" s="1">
        <v>0</v>
      </c>
      <c r="L494" s="1">
        <v>-33.520000000000003</v>
      </c>
      <c r="M494" s="1">
        <v>0</v>
      </c>
      <c r="N494" s="1">
        <v>-30.85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 cm="1">
        <f t="array" ref="V494">SUM(ABS(G494:U494))</f>
        <v>465.49</v>
      </c>
      <c r="W494" s="11" cm="1">
        <f t="array" ref="W494">SUM(ABS(B494:E494))+SUM(ABS(G494:U494))</f>
        <v>1168.75</v>
      </c>
    </row>
    <row r="495" spans="1:23" x14ac:dyDescent="0.3">
      <c r="A495" s="14">
        <v>45935.09375</v>
      </c>
      <c r="B495" s="1">
        <v>-643.20000000000005</v>
      </c>
      <c r="C495" s="1">
        <v>35.83</v>
      </c>
      <c r="D495" s="1">
        <v>12</v>
      </c>
      <c r="E495" s="1">
        <v>25.66</v>
      </c>
      <c r="F495" s="1" cm="1">
        <f t="array" ref="F495">SUM(ABS(B495:E495))</f>
        <v>716.69</v>
      </c>
      <c r="G495" s="1">
        <v>54.21</v>
      </c>
      <c r="H495" s="1">
        <v>213.17</v>
      </c>
      <c r="I495" s="1">
        <v>-54.47</v>
      </c>
      <c r="J495" s="1">
        <v>81.239999999999995</v>
      </c>
      <c r="K495" s="1">
        <v>0</v>
      </c>
      <c r="L495" s="1">
        <v>-33.74</v>
      </c>
      <c r="M495" s="1">
        <v>0</v>
      </c>
      <c r="N495" s="1">
        <v>-30.87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 cm="1">
        <f t="array" ref="V495">SUM(ABS(G495:U495))</f>
        <v>467.70000000000005</v>
      </c>
      <c r="W495" s="11" cm="1">
        <f t="array" ref="W495">SUM(ABS(B495:E495))+SUM(ABS(G495:U495))</f>
        <v>1184.3900000000001</v>
      </c>
    </row>
    <row r="496" spans="1:23" x14ac:dyDescent="0.3">
      <c r="A496" s="14">
        <v>45935.104166666664</v>
      </c>
      <c r="B496" s="1">
        <v>-686.76</v>
      </c>
      <c r="C496" s="1">
        <v>35.79</v>
      </c>
      <c r="D496" s="1">
        <v>12</v>
      </c>
      <c r="E496" s="1">
        <v>25.76</v>
      </c>
      <c r="F496" s="1" cm="1">
        <f t="array" ref="F496">SUM(ABS(B496:E496))</f>
        <v>760.31</v>
      </c>
      <c r="G496" s="1">
        <v>54.21</v>
      </c>
      <c r="H496" s="1">
        <v>212.68</v>
      </c>
      <c r="I496" s="1">
        <v>-54.49</v>
      </c>
      <c r="J496" s="1">
        <v>80.930000000000007</v>
      </c>
      <c r="K496" s="1">
        <v>0</v>
      </c>
      <c r="L496" s="1">
        <v>-33.72</v>
      </c>
      <c r="M496" s="1">
        <v>0</v>
      </c>
      <c r="N496" s="1">
        <v>-30.85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 cm="1">
        <f t="array" ref="V496">SUM(ABS(G496:U496))</f>
        <v>466.88</v>
      </c>
      <c r="W496" s="11" cm="1">
        <f t="array" ref="W496">SUM(ABS(B496:E496))+SUM(ABS(G496:U496))</f>
        <v>1227.19</v>
      </c>
    </row>
    <row r="497" spans="1:23" x14ac:dyDescent="0.3">
      <c r="A497" s="14">
        <v>45935.114583333336</v>
      </c>
      <c r="B497" s="1">
        <v>-686.98</v>
      </c>
      <c r="C497" s="1">
        <v>35.76</v>
      </c>
      <c r="D497" s="1">
        <v>12</v>
      </c>
      <c r="E497" s="1">
        <v>25.78</v>
      </c>
      <c r="F497" s="1" cm="1">
        <f t="array" ref="F497">SUM(ABS(B497:E497))</f>
        <v>760.52</v>
      </c>
      <c r="G497" s="1">
        <v>54.22</v>
      </c>
      <c r="H497" s="1">
        <v>212.82</v>
      </c>
      <c r="I497" s="1">
        <v>-54.48</v>
      </c>
      <c r="J497" s="1">
        <v>64.260000000000005</v>
      </c>
      <c r="K497" s="1">
        <v>0</v>
      </c>
      <c r="L497" s="1">
        <v>-33.74</v>
      </c>
      <c r="M497" s="1">
        <v>0</v>
      </c>
      <c r="N497" s="1">
        <v>-30.83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 cm="1">
        <f t="array" ref="V497">SUM(ABS(G497:U497))</f>
        <v>450.34999999999997</v>
      </c>
      <c r="W497" s="11" cm="1">
        <f t="array" ref="W497">SUM(ABS(B497:E497))+SUM(ABS(G497:U497))</f>
        <v>1210.8699999999999</v>
      </c>
    </row>
    <row r="498" spans="1:23" x14ac:dyDescent="0.3">
      <c r="A498" s="14">
        <v>45935.125</v>
      </c>
      <c r="B498" s="1">
        <v>-697.56</v>
      </c>
      <c r="C498" s="1">
        <v>35.76</v>
      </c>
      <c r="D498" s="1">
        <v>12</v>
      </c>
      <c r="E498" s="1">
        <v>25.82</v>
      </c>
      <c r="F498" s="1" cm="1">
        <f t="array" ref="F498">SUM(ABS(B498:E498))</f>
        <v>771.14</v>
      </c>
      <c r="G498" s="1">
        <v>54.22</v>
      </c>
      <c r="H498" s="1">
        <v>214.73</v>
      </c>
      <c r="I498" s="1">
        <v>-54.48</v>
      </c>
      <c r="J498" s="1">
        <v>56.99</v>
      </c>
      <c r="K498" s="1">
        <v>0</v>
      </c>
      <c r="L498" s="1">
        <v>-33.93</v>
      </c>
      <c r="M498" s="1">
        <v>0</v>
      </c>
      <c r="N498" s="1">
        <v>-30.87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 cm="1">
        <f t="array" ref="V498">SUM(ABS(G498:U498))</f>
        <v>445.22</v>
      </c>
      <c r="W498" s="11" cm="1">
        <f t="array" ref="W498">SUM(ABS(B498:E498))+SUM(ABS(G498:U498))</f>
        <v>1216.3600000000001</v>
      </c>
    </row>
    <row r="499" spans="1:23" x14ac:dyDescent="0.3">
      <c r="A499" s="14">
        <v>45935.135416666664</v>
      </c>
      <c r="B499" s="1">
        <v>-698.24</v>
      </c>
      <c r="C499" s="1">
        <v>35.71</v>
      </c>
      <c r="D499" s="1">
        <v>12</v>
      </c>
      <c r="E499" s="1">
        <v>25.85</v>
      </c>
      <c r="F499" s="1" cm="1">
        <f t="array" ref="F499">SUM(ABS(B499:E499))</f>
        <v>771.80000000000007</v>
      </c>
      <c r="G499" s="1">
        <v>54.21</v>
      </c>
      <c r="H499" s="1">
        <v>213.55</v>
      </c>
      <c r="I499" s="1">
        <v>-54.48</v>
      </c>
      <c r="J499" s="1">
        <v>56.47</v>
      </c>
      <c r="K499" s="1">
        <v>0</v>
      </c>
      <c r="L499" s="1">
        <v>-33.86</v>
      </c>
      <c r="M499" s="1">
        <v>0</v>
      </c>
      <c r="N499" s="1">
        <v>-30.83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 cm="1">
        <f t="array" ref="V499">SUM(ABS(G499:U499))</f>
        <v>443.40000000000003</v>
      </c>
      <c r="W499" s="11" cm="1">
        <f t="array" ref="W499">SUM(ABS(B499:E499))+SUM(ABS(G499:U499))</f>
        <v>1215.2</v>
      </c>
    </row>
    <row r="500" spans="1:23" x14ac:dyDescent="0.3">
      <c r="A500" s="14">
        <v>45935.145833333336</v>
      </c>
      <c r="B500" s="1">
        <v>-679.06</v>
      </c>
      <c r="C500" s="1">
        <v>35.67</v>
      </c>
      <c r="D500" s="1">
        <v>12</v>
      </c>
      <c r="E500" s="1">
        <v>24.36</v>
      </c>
      <c r="F500" s="1" cm="1">
        <f t="array" ref="F500">SUM(ABS(B500:E500))</f>
        <v>751.08999999999992</v>
      </c>
      <c r="G500" s="1">
        <v>54.21</v>
      </c>
      <c r="H500" s="1">
        <v>250.36</v>
      </c>
      <c r="I500" s="1">
        <v>-54.45</v>
      </c>
      <c r="J500" s="1">
        <v>35.54</v>
      </c>
      <c r="K500" s="1">
        <v>0</v>
      </c>
      <c r="L500" s="1">
        <v>-33.630000000000003</v>
      </c>
      <c r="M500" s="1">
        <v>0</v>
      </c>
      <c r="N500" s="1">
        <v>-30.84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 cm="1">
        <f t="array" ref="V500">SUM(ABS(G500:U500))</f>
        <v>459.03</v>
      </c>
      <c r="W500" s="11" cm="1">
        <f t="array" ref="W500">SUM(ABS(B500:E500))+SUM(ABS(G500:U500))</f>
        <v>1210.1199999999999</v>
      </c>
    </row>
    <row r="501" spans="1:23" x14ac:dyDescent="0.3">
      <c r="A501" s="14">
        <v>45935.15625</v>
      </c>
      <c r="B501" s="1">
        <v>-702.81</v>
      </c>
      <c r="C501" s="1">
        <v>35.659999999999997</v>
      </c>
      <c r="D501" s="1">
        <v>12</v>
      </c>
      <c r="E501" s="1">
        <v>25.22</v>
      </c>
      <c r="F501" s="1" cm="1">
        <f t="array" ref="F501">SUM(ABS(B501:E501))</f>
        <v>775.68999999999994</v>
      </c>
      <c r="G501" s="1">
        <v>54.21</v>
      </c>
      <c r="H501" s="1">
        <v>271.91000000000003</v>
      </c>
      <c r="I501" s="1">
        <v>-54.44</v>
      </c>
      <c r="J501" s="1">
        <v>10.58</v>
      </c>
      <c r="K501" s="1">
        <v>0</v>
      </c>
      <c r="L501" s="1">
        <v>-33.4</v>
      </c>
      <c r="M501" s="1">
        <v>0</v>
      </c>
      <c r="N501" s="1">
        <v>-30.87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 cm="1">
        <f t="array" ref="V501">SUM(ABS(G501:U501))</f>
        <v>455.40999999999997</v>
      </c>
      <c r="W501" s="11" cm="1">
        <f t="array" ref="W501">SUM(ABS(B501:E501))+SUM(ABS(G501:U501))</f>
        <v>1231.0999999999999</v>
      </c>
    </row>
    <row r="502" spans="1:23" x14ac:dyDescent="0.3">
      <c r="A502" s="14">
        <v>45935.166666666664</v>
      </c>
      <c r="B502" s="1">
        <v>-697.35</v>
      </c>
      <c r="C502" s="1">
        <v>35.700000000000003</v>
      </c>
      <c r="D502" s="1">
        <v>12</v>
      </c>
      <c r="E502" s="1">
        <v>22.45</v>
      </c>
      <c r="F502" s="1" cm="1">
        <f t="array" ref="F502">SUM(ABS(B502:E502))</f>
        <v>767.50000000000011</v>
      </c>
      <c r="G502" s="1">
        <v>54.21</v>
      </c>
      <c r="H502" s="1">
        <v>271.35000000000002</v>
      </c>
      <c r="I502" s="1">
        <v>-54.45</v>
      </c>
      <c r="J502" s="1">
        <v>0</v>
      </c>
      <c r="K502" s="1">
        <v>0</v>
      </c>
      <c r="L502" s="1">
        <v>-33.369999999999997</v>
      </c>
      <c r="M502" s="1">
        <v>0</v>
      </c>
      <c r="N502" s="1">
        <v>-30.87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 cm="1">
        <f t="array" ref="V502">SUM(ABS(G502:U502))</f>
        <v>444.25</v>
      </c>
      <c r="W502" s="11" cm="1">
        <f t="array" ref="W502">SUM(ABS(B502:E502))+SUM(ABS(G502:U502))</f>
        <v>1211.75</v>
      </c>
    </row>
    <row r="503" spans="1:23" x14ac:dyDescent="0.3">
      <c r="A503" s="14">
        <v>45935.177083333336</v>
      </c>
      <c r="B503" s="1">
        <v>-686</v>
      </c>
      <c r="C503" s="1">
        <v>35.72</v>
      </c>
      <c r="D503" s="1">
        <v>12</v>
      </c>
      <c r="E503" s="1">
        <v>0.01</v>
      </c>
      <c r="F503" s="1" cm="1">
        <f t="array" ref="F503">SUM(ABS(B503:E503))</f>
        <v>733.73</v>
      </c>
      <c r="G503" s="1">
        <v>54.21</v>
      </c>
      <c r="H503" s="1">
        <v>271.45</v>
      </c>
      <c r="I503" s="1">
        <v>-54.45</v>
      </c>
      <c r="J503" s="1">
        <v>0</v>
      </c>
      <c r="K503" s="1">
        <v>0</v>
      </c>
      <c r="L503" s="1">
        <v>-33.33</v>
      </c>
      <c r="M503" s="1">
        <v>0</v>
      </c>
      <c r="N503" s="1">
        <v>-30.79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 cm="1">
        <f t="array" ref="V503">SUM(ABS(G503:U503))</f>
        <v>444.22999999999996</v>
      </c>
      <c r="W503" s="11" cm="1">
        <f t="array" ref="W503">SUM(ABS(B503:E503))+SUM(ABS(G503:U503))</f>
        <v>1177.96</v>
      </c>
    </row>
    <row r="504" spans="1:23" x14ac:dyDescent="0.3">
      <c r="A504" s="14">
        <v>45935.1875</v>
      </c>
      <c r="B504" s="1">
        <v>-685.99</v>
      </c>
      <c r="C504" s="1">
        <v>35.74</v>
      </c>
      <c r="D504" s="1">
        <v>12</v>
      </c>
      <c r="E504" s="1">
        <v>0</v>
      </c>
      <c r="F504" s="1" cm="1">
        <f t="array" ref="F504">SUM(ABS(B504:E504))</f>
        <v>733.73</v>
      </c>
      <c r="G504" s="1">
        <v>54.21</v>
      </c>
      <c r="H504" s="1">
        <v>271.58</v>
      </c>
      <c r="I504" s="1">
        <v>-54.46</v>
      </c>
      <c r="J504" s="1">
        <v>0</v>
      </c>
      <c r="K504" s="1">
        <v>0</v>
      </c>
      <c r="L504" s="1">
        <v>-33.340000000000003</v>
      </c>
      <c r="M504" s="1">
        <v>0</v>
      </c>
      <c r="N504" s="1">
        <v>-30.79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 cm="1">
        <f t="array" ref="V504">SUM(ABS(G504:U504))</f>
        <v>444.37999999999994</v>
      </c>
      <c r="W504" s="11" cm="1">
        <f t="array" ref="W504">SUM(ABS(B504:E504))+SUM(ABS(G504:U504))</f>
        <v>1178.1099999999999</v>
      </c>
    </row>
    <row r="505" spans="1:23" x14ac:dyDescent="0.3">
      <c r="A505" s="14">
        <v>45935.197916666664</v>
      </c>
      <c r="B505" s="1">
        <v>-686.86</v>
      </c>
      <c r="C505" s="1">
        <v>35.74</v>
      </c>
      <c r="D505" s="1">
        <v>12</v>
      </c>
      <c r="E505" s="1">
        <v>0</v>
      </c>
      <c r="F505" s="1" cm="1">
        <f t="array" ref="F505">SUM(ABS(B505:E505))</f>
        <v>734.6</v>
      </c>
      <c r="G505" s="1">
        <v>54.21</v>
      </c>
      <c r="H505" s="1">
        <v>271.48</v>
      </c>
      <c r="I505" s="1">
        <v>-54.45</v>
      </c>
      <c r="J505" s="1">
        <v>0</v>
      </c>
      <c r="K505" s="1">
        <v>0</v>
      </c>
      <c r="L505" s="1">
        <v>-33.36</v>
      </c>
      <c r="M505" s="1">
        <v>0</v>
      </c>
      <c r="N505" s="1">
        <v>-30.79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 cm="1">
        <f t="array" ref="V505">SUM(ABS(G505:U505))</f>
        <v>444.29</v>
      </c>
      <c r="W505" s="11" cm="1">
        <f t="array" ref="W505">SUM(ABS(B505:E505))+SUM(ABS(G505:U505))</f>
        <v>1178.8900000000001</v>
      </c>
    </row>
    <row r="506" spans="1:23" x14ac:dyDescent="0.3">
      <c r="A506" s="14">
        <v>45935.208333333336</v>
      </c>
      <c r="B506" s="1">
        <v>-692.18</v>
      </c>
      <c r="C506" s="1">
        <v>35.76</v>
      </c>
      <c r="D506" s="1">
        <v>12</v>
      </c>
      <c r="E506" s="1">
        <v>0</v>
      </c>
      <c r="F506" s="1" cm="1">
        <f t="array" ref="F506">SUM(ABS(B506:E506))</f>
        <v>739.93999999999994</v>
      </c>
      <c r="G506" s="1">
        <v>54.21</v>
      </c>
      <c r="H506" s="1">
        <v>272.10000000000002</v>
      </c>
      <c r="I506" s="1">
        <v>-54.45</v>
      </c>
      <c r="J506" s="1">
        <v>0</v>
      </c>
      <c r="K506" s="1">
        <v>0</v>
      </c>
      <c r="L506" s="1">
        <v>-33.57</v>
      </c>
      <c r="M506" s="1">
        <v>0</v>
      </c>
      <c r="N506" s="1">
        <v>-30.8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 cm="1">
        <f t="array" ref="V506">SUM(ABS(G506:U506))</f>
        <v>445.13</v>
      </c>
      <c r="W506" s="11" cm="1">
        <f t="array" ref="W506">SUM(ABS(B506:E506))+SUM(ABS(G506:U506))</f>
        <v>1185.07</v>
      </c>
    </row>
    <row r="507" spans="1:23" x14ac:dyDescent="0.3">
      <c r="A507" s="14">
        <v>45935.21875</v>
      </c>
      <c r="B507" s="1">
        <v>-701.63</v>
      </c>
      <c r="C507" s="1">
        <v>35.78</v>
      </c>
      <c r="D507" s="1">
        <v>12</v>
      </c>
      <c r="E507" s="1">
        <v>0</v>
      </c>
      <c r="F507" s="1" cm="1">
        <f t="array" ref="F507">SUM(ABS(B507:E507))</f>
        <v>749.41</v>
      </c>
      <c r="G507" s="1">
        <v>54.21</v>
      </c>
      <c r="H507" s="1">
        <v>272.68</v>
      </c>
      <c r="I507" s="1">
        <v>-54.46</v>
      </c>
      <c r="J507" s="1">
        <v>0</v>
      </c>
      <c r="K507" s="1">
        <v>0</v>
      </c>
      <c r="L507" s="1">
        <v>-33.75</v>
      </c>
      <c r="M507" s="1">
        <v>0</v>
      </c>
      <c r="N507" s="1">
        <v>-30.78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 cm="1">
        <f t="array" ref="V507">SUM(ABS(G507:U507))</f>
        <v>445.88</v>
      </c>
      <c r="W507" s="11" cm="1">
        <f t="array" ref="W507">SUM(ABS(B507:E507))+SUM(ABS(G507:U507))</f>
        <v>1195.29</v>
      </c>
    </row>
    <row r="508" spans="1:23" x14ac:dyDescent="0.3">
      <c r="A508" s="14">
        <v>45935.229166666664</v>
      </c>
      <c r="B508" s="1">
        <v>-695.11</v>
      </c>
      <c r="C508" s="1">
        <v>35.79</v>
      </c>
      <c r="D508" s="1">
        <v>12</v>
      </c>
      <c r="E508" s="1">
        <v>0</v>
      </c>
      <c r="F508" s="1" cm="1">
        <f t="array" ref="F508">SUM(ABS(B508:E508))</f>
        <v>742.9</v>
      </c>
      <c r="G508" s="1">
        <v>54.21</v>
      </c>
      <c r="H508" s="1">
        <v>212.89</v>
      </c>
      <c r="I508" s="1">
        <v>-54.44</v>
      </c>
      <c r="J508" s="1">
        <v>0</v>
      </c>
      <c r="K508" s="1">
        <v>0</v>
      </c>
      <c r="L508" s="1">
        <v>-33.56</v>
      </c>
      <c r="M508" s="1">
        <v>0</v>
      </c>
      <c r="N508" s="1">
        <v>-30.77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 cm="1">
        <f t="array" ref="V508">SUM(ABS(G508:U508))</f>
        <v>385.86999999999995</v>
      </c>
      <c r="W508" s="11" cm="1">
        <f t="array" ref="W508">SUM(ABS(B508:E508))+SUM(ABS(G508:U508))</f>
        <v>1128.77</v>
      </c>
    </row>
    <row r="509" spans="1:23" x14ac:dyDescent="0.3">
      <c r="A509" s="14">
        <v>45935.239583333336</v>
      </c>
      <c r="B509" s="1">
        <v>-682.8</v>
      </c>
      <c r="C509" s="1">
        <v>35.75</v>
      </c>
      <c r="D509" s="1">
        <v>12</v>
      </c>
      <c r="E509" s="1">
        <v>0</v>
      </c>
      <c r="F509" s="1" cm="1">
        <f t="array" ref="F509">SUM(ABS(B509:E509))</f>
        <v>730.55</v>
      </c>
      <c r="G509" s="1">
        <v>54.21</v>
      </c>
      <c r="H509" s="1">
        <v>184.8</v>
      </c>
      <c r="I509" s="1">
        <v>-54.43</v>
      </c>
      <c r="J509" s="1">
        <v>0</v>
      </c>
      <c r="K509" s="1">
        <v>0</v>
      </c>
      <c r="L509" s="1">
        <v>-33.19</v>
      </c>
      <c r="M509" s="1">
        <v>0</v>
      </c>
      <c r="N509" s="1">
        <v>-30.76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 cm="1">
        <f t="array" ref="V509">SUM(ABS(G509:U509))</f>
        <v>357.39</v>
      </c>
      <c r="W509" s="11" cm="1">
        <f t="array" ref="W509">SUM(ABS(B509:E509))+SUM(ABS(G509:U509))</f>
        <v>1087.94</v>
      </c>
    </row>
    <row r="510" spans="1:23" x14ac:dyDescent="0.3">
      <c r="A510" s="14">
        <v>45935.25</v>
      </c>
      <c r="B510" s="1">
        <v>-617.54</v>
      </c>
      <c r="C510" s="1">
        <v>35.729999999999997</v>
      </c>
      <c r="D510" s="1">
        <v>12</v>
      </c>
      <c r="E510" s="1">
        <v>0</v>
      </c>
      <c r="F510" s="1" cm="1">
        <f t="array" ref="F510">SUM(ABS(B510:E510))</f>
        <v>665.27</v>
      </c>
      <c r="G510" s="1">
        <v>54.22</v>
      </c>
      <c r="H510" s="1">
        <v>266.98</v>
      </c>
      <c r="I510" s="1">
        <v>-54.42</v>
      </c>
      <c r="J510" s="1">
        <v>0</v>
      </c>
      <c r="K510" s="1">
        <v>0</v>
      </c>
      <c r="L510" s="1">
        <v>-32.909999999999997</v>
      </c>
      <c r="M510" s="1">
        <v>0</v>
      </c>
      <c r="N510" s="1">
        <v>-30.77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 cm="1">
        <f t="array" ref="V510">SUM(ABS(G510:U510))</f>
        <v>439.30000000000007</v>
      </c>
      <c r="W510" s="11" cm="1">
        <f t="array" ref="W510">SUM(ABS(B510:E510))+SUM(ABS(G510:U510))</f>
        <v>1104.5700000000002</v>
      </c>
    </row>
    <row r="511" spans="1:23" x14ac:dyDescent="0.3">
      <c r="A511" s="14">
        <v>45935.260416666664</v>
      </c>
      <c r="B511" s="1">
        <v>-610.73</v>
      </c>
      <c r="C511" s="1">
        <v>35.71</v>
      </c>
      <c r="D511" s="1">
        <v>12</v>
      </c>
      <c r="E511" s="1">
        <v>0</v>
      </c>
      <c r="F511" s="1" cm="1">
        <f t="array" ref="F511">SUM(ABS(B511:E511))</f>
        <v>658.44</v>
      </c>
      <c r="G511" s="1">
        <v>54.2</v>
      </c>
      <c r="H511" s="1">
        <v>267</v>
      </c>
      <c r="I511" s="1">
        <v>-54.4</v>
      </c>
      <c r="J511" s="1">
        <v>0</v>
      </c>
      <c r="K511" s="1">
        <v>0</v>
      </c>
      <c r="L511" s="1">
        <v>-32.79</v>
      </c>
      <c r="M511" s="1">
        <v>0</v>
      </c>
      <c r="N511" s="1">
        <v>-30.74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 cm="1">
        <f t="array" ref="V511">SUM(ABS(G511:U511))</f>
        <v>439.13</v>
      </c>
      <c r="W511" s="11" cm="1">
        <f t="array" ref="W511">SUM(ABS(B511:E511))+SUM(ABS(G511:U511))</f>
        <v>1097.5700000000002</v>
      </c>
    </row>
    <row r="512" spans="1:23" x14ac:dyDescent="0.3">
      <c r="A512" s="14">
        <v>45935.270833333336</v>
      </c>
      <c r="B512" s="1">
        <v>-617.29</v>
      </c>
      <c r="C512" s="1">
        <v>35.71</v>
      </c>
      <c r="D512" s="1">
        <v>12</v>
      </c>
      <c r="E512" s="1">
        <v>0</v>
      </c>
      <c r="F512" s="1" cm="1">
        <f t="array" ref="F512">SUM(ABS(B512:E512))</f>
        <v>665</v>
      </c>
      <c r="G512" s="1">
        <v>50.6</v>
      </c>
      <c r="H512" s="1">
        <v>255.62</v>
      </c>
      <c r="I512" s="1">
        <v>-54.43</v>
      </c>
      <c r="J512" s="1">
        <v>0</v>
      </c>
      <c r="K512" s="1">
        <v>0</v>
      </c>
      <c r="L512" s="1">
        <v>-33.04</v>
      </c>
      <c r="M512" s="1">
        <v>0</v>
      </c>
      <c r="N512" s="1">
        <v>-30.78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 cm="1">
        <f t="array" ref="V512">SUM(ABS(G512:U512))</f>
        <v>424.47</v>
      </c>
      <c r="W512" s="11" cm="1">
        <f t="array" ref="W512">SUM(ABS(B512:E512))+SUM(ABS(G512:U512))</f>
        <v>1089.47</v>
      </c>
    </row>
    <row r="513" spans="1:23" x14ac:dyDescent="0.3">
      <c r="A513" s="14">
        <v>45935.28125</v>
      </c>
      <c r="B513" s="1">
        <v>-630.25</v>
      </c>
      <c r="C513" s="1">
        <v>35.74</v>
      </c>
      <c r="D513" s="1">
        <v>12</v>
      </c>
      <c r="E513" s="1">
        <v>0</v>
      </c>
      <c r="F513" s="1" cm="1">
        <f t="array" ref="F513">SUM(ABS(B513:E513))</f>
        <v>677.99</v>
      </c>
      <c r="G513" s="1">
        <v>46.24</v>
      </c>
      <c r="H513" s="1">
        <v>241.93</v>
      </c>
      <c r="I513" s="1">
        <v>-54.41</v>
      </c>
      <c r="J513" s="1">
        <v>0</v>
      </c>
      <c r="K513" s="1">
        <v>0</v>
      </c>
      <c r="L513" s="1">
        <v>-33.35</v>
      </c>
      <c r="M513" s="1">
        <v>0</v>
      </c>
      <c r="N513" s="1">
        <v>-30.77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 cm="1">
        <f t="array" ref="V513">SUM(ABS(G513:U513))</f>
        <v>406.70000000000005</v>
      </c>
      <c r="W513" s="11" cm="1">
        <f t="array" ref="W513">SUM(ABS(B513:E513))+SUM(ABS(G513:U513))</f>
        <v>1084.69</v>
      </c>
    </row>
    <row r="514" spans="1:23" x14ac:dyDescent="0.3">
      <c r="A514" s="14">
        <v>45935.291666666664</v>
      </c>
      <c r="B514" s="1">
        <v>-552.29</v>
      </c>
      <c r="C514" s="1">
        <v>35.74</v>
      </c>
      <c r="D514" s="1">
        <v>12</v>
      </c>
      <c r="E514" s="1">
        <v>0</v>
      </c>
      <c r="F514" s="1" cm="1">
        <f t="array" ref="F514">SUM(ABS(B514:E514))</f>
        <v>600.03</v>
      </c>
      <c r="G514" s="1">
        <v>46.23</v>
      </c>
      <c r="H514" s="1">
        <v>243.45</v>
      </c>
      <c r="I514" s="1">
        <v>-54.43</v>
      </c>
      <c r="J514" s="1">
        <v>0</v>
      </c>
      <c r="K514" s="1">
        <v>0</v>
      </c>
      <c r="L514" s="1">
        <v>-33.75</v>
      </c>
      <c r="M514" s="1">
        <v>0</v>
      </c>
      <c r="N514" s="1">
        <v>-30.77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 cm="1">
        <f t="array" ref="V514">SUM(ABS(G514:U514))</f>
        <v>408.63</v>
      </c>
      <c r="W514" s="11" cm="1">
        <f t="array" ref="W514">SUM(ABS(B514:E514))+SUM(ABS(G514:U514))</f>
        <v>1008.66</v>
      </c>
    </row>
    <row r="515" spans="1:23" x14ac:dyDescent="0.3">
      <c r="A515" s="14">
        <v>45935.302083333336</v>
      </c>
      <c r="B515" s="1">
        <v>-500.54</v>
      </c>
      <c r="C515" s="1">
        <v>35.74</v>
      </c>
      <c r="D515" s="1">
        <v>12</v>
      </c>
      <c r="E515" s="1">
        <v>0</v>
      </c>
      <c r="F515" s="1" cm="1">
        <f t="array" ref="F515">SUM(ABS(B515:E515))</f>
        <v>548.28</v>
      </c>
      <c r="G515" s="1">
        <v>46.24</v>
      </c>
      <c r="H515" s="1">
        <v>243.37</v>
      </c>
      <c r="I515" s="1">
        <v>-54.41</v>
      </c>
      <c r="J515" s="1">
        <v>0</v>
      </c>
      <c r="K515" s="1">
        <v>0</v>
      </c>
      <c r="L515" s="1">
        <v>-33.78</v>
      </c>
      <c r="M515" s="1">
        <v>0</v>
      </c>
      <c r="N515" s="1">
        <v>-30.76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 cm="1">
        <f t="array" ref="V515">SUM(ABS(G515:U515))</f>
        <v>408.55999999999995</v>
      </c>
      <c r="W515" s="11" cm="1">
        <f t="array" ref="W515">SUM(ABS(B515:E515))+SUM(ABS(G515:U515))</f>
        <v>956.83999999999992</v>
      </c>
    </row>
    <row r="516" spans="1:23" x14ac:dyDescent="0.3">
      <c r="A516" s="14">
        <v>45935.3125</v>
      </c>
      <c r="B516" s="1">
        <v>-342.53</v>
      </c>
      <c r="C516" s="1">
        <v>35.729999999999997</v>
      </c>
      <c r="D516" s="1">
        <v>12</v>
      </c>
      <c r="E516" s="1">
        <v>0</v>
      </c>
      <c r="F516" s="1" cm="1">
        <f t="array" ref="F516">SUM(ABS(B516:E516))</f>
        <v>390.26</v>
      </c>
      <c r="G516" s="1">
        <v>37.36</v>
      </c>
      <c r="H516" s="1">
        <v>190.37</v>
      </c>
      <c r="I516" s="1">
        <v>-47.11</v>
      </c>
      <c r="J516" s="1">
        <v>0</v>
      </c>
      <c r="K516" s="1">
        <v>0</v>
      </c>
      <c r="L516" s="1">
        <v>-33.909999999999997</v>
      </c>
      <c r="M516" s="1">
        <v>0</v>
      </c>
      <c r="N516" s="1">
        <v>-30.74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 cm="1">
        <f t="array" ref="V516">SUM(ABS(G516:U516))</f>
        <v>339.49</v>
      </c>
      <c r="W516" s="11" cm="1">
        <f t="array" ref="W516">SUM(ABS(B516:E516))+SUM(ABS(G516:U516))</f>
        <v>729.75</v>
      </c>
    </row>
    <row r="517" spans="1:23" x14ac:dyDescent="0.3">
      <c r="A517" s="14">
        <v>45935.322916666664</v>
      </c>
      <c r="B517" s="1">
        <v>-176.75</v>
      </c>
      <c r="C517" s="1">
        <v>35.659999999999997</v>
      </c>
      <c r="D517" s="1">
        <v>12</v>
      </c>
      <c r="E517" s="1">
        <v>0</v>
      </c>
      <c r="F517" s="1" cm="1">
        <f t="array" ref="F517">SUM(ABS(B517:E517))</f>
        <v>224.41</v>
      </c>
      <c r="G517" s="1">
        <v>30.14</v>
      </c>
      <c r="H517" s="1">
        <v>167.25</v>
      </c>
      <c r="I517" s="1">
        <v>-41.91</v>
      </c>
      <c r="J517" s="1">
        <v>0</v>
      </c>
      <c r="K517" s="1">
        <v>0</v>
      </c>
      <c r="L517" s="1">
        <v>-33.57</v>
      </c>
      <c r="M517" s="1">
        <v>0</v>
      </c>
      <c r="N517" s="1">
        <v>-30.75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 cm="1">
        <f t="array" ref="V517">SUM(ABS(G517:U517))</f>
        <v>303.62</v>
      </c>
      <c r="W517" s="11" cm="1">
        <f t="array" ref="W517">SUM(ABS(B517:E517))+SUM(ABS(G517:U517))</f>
        <v>528.03</v>
      </c>
    </row>
    <row r="518" spans="1:23" x14ac:dyDescent="0.3">
      <c r="A518" s="14">
        <v>45935.333333333336</v>
      </c>
      <c r="B518" s="1">
        <v>-253.32</v>
      </c>
      <c r="C518" s="1">
        <v>35.6</v>
      </c>
      <c r="D518" s="1">
        <v>12</v>
      </c>
      <c r="E518" s="1">
        <v>0</v>
      </c>
      <c r="F518" s="1" cm="1">
        <f t="array" ref="F518">SUM(ABS(B518:E518))</f>
        <v>300.92</v>
      </c>
      <c r="G518" s="1">
        <v>30.15</v>
      </c>
      <c r="H518" s="1">
        <v>171.99</v>
      </c>
      <c r="I518" s="1">
        <v>-41.69</v>
      </c>
      <c r="J518" s="1">
        <v>0</v>
      </c>
      <c r="K518" s="1">
        <v>0</v>
      </c>
      <c r="L518" s="1">
        <v>-33.61</v>
      </c>
      <c r="M518" s="1">
        <v>0</v>
      </c>
      <c r="N518" s="1">
        <v>-30.77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 cm="1">
        <f t="array" ref="V518">SUM(ABS(G518:U518))</f>
        <v>308.20999999999998</v>
      </c>
      <c r="W518" s="11" cm="1">
        <f t="array" ref="W518">SUM(ABS(B518:E518))+SUM(ABS(G518:U518))</f>
        <v>609.13</v>
      </c>
    </row>
    <row r="519" spans="1:23" x14ac:dyDescent="0.3">
      <c r="A519" s="14">
        <v>45935.34375</v>
      </c>
      <c r="B519" s="1">
        <v>-199.35</v>
      </c>
      <c r="C519" s="1">
        <v>35.56</v>
      </c>
      <c r="D519" s="1">
        <v>12</v>
      </c>
      <c r="E519" s="1">
        <v>0</v>
      </c>
      <c r="F519" s="1" cm="1">
        <f t="array" ref="F519">SUM(ABS(B519:E519))</f>
        <v>246.91</v>
      </c>
      <c r="G519" s="1">
        <v>30.14</v>
      </c>
      <c r="H519" s="1">
        <v>171.69</v>
      </c>
      <c r="I519" s="1">
        <v>-41.63</v>
      </c>
      <c r="J519" s="1">
        <v>0</v>
      </c>
      <c r="K519" s="1">
        <v>0</v>
      </c>
      <c r="L519" s="1">
        <v>-33.74</v>
      </c>
      <c r="M519" s="1">
        <v>0</v>
      </c>
      <c r="N519" s="1">
        <v>-30.75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 cm="1">
        <f t="array" ref="V519">SUM(ABS(G519:U519))</f>
        <v>307.95</v>
      </c>
      <c r="W519" s="11" cm="1">
        <f t="array" ref="W519">SUM(ABS(B519:E519))+SUM(ABS(G519:U519))</f>
        <v>554.86</v>
      </c>
    </row>
    <row r="520" spans="1:23" x14ac:dyDescent="0.3">
      <c r="A520" s="14">
        <v>45935.354166666664</v>
      </c>
      <c r="B520" s="1">
        <v>-160.71</v>
      </c>
      <c r="C520" s="1">
        <v>35.5</v>
      </c>
      <c r="D520" s="1">
        <v>12</v>
      </c>
      <c r="E520" s="1">
        <v>0</v>
      </c>
      <c r="F520" s="1" cm="1">
        <f t="array" ref="F520">SUM(ABS(B520:E520))</f>
        <v>208.21</v>
      </c>
      <c r="G520" s="1">
        <v>30.14</v>
      </c>
      <c r="H520" s="1">
        <v>172.01</v>
      </c>
      <c r="I520" s="1">
        <v>-41.56</v>
      </c>
      <c r="J520" s="1">
        <v>0</v>
      </c>
      <c r="K520" s="1">
        <v>0</v>
      </c>
      <c r="L520" s="1">
        <v>-33.43</v>
      </c>
      <c r="M520" s="1">
        <v>0</v>
      </c>
      <c r="N520" s="1">
        <v>-30.75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 cm="1">
        <f t="array" ref="V520">SUM(ABS(G520:U520))</f>
        <v>307.89</v>
      </c>
      <c r="W520" s="11" cm="1">
        <f t="array" ref="W520">SUM(ABS(B520:E520))+SUM(ABS(G520:U520))</f>
        <v>516.1</v>
      </c>
    </row>
    <row r="521" spans="1:23" x14ac:dyDescent="0.3">
      <c r="A521" s="14">
        <v>45935.364583333336</v>
      </c>
      <c r="B521" s="1">
        <v>-153.02000000000001</v>
      </c>
      <c r="C521" s="1">
        <v>35.42</v>
      </c>
      <c r="D521" s="1">
        <v>12</v>
      </c>
      <c r="E521" s="1">
        <v>0</v>
      </c>
      <c r="F521" s="1" cm="1">
        <f t="array" ref="F521">SUM(ABS(B521:E521))</f>
        <v>200.44</v>
      </c>
      <c r="G521" s="1">
        <v>21.47</v>
      </c>
      <c r="H521" s="1">
        <v>128.38999999999999</v>
      </c>
      <c r="I521" s="1">
        <v>-41.55</v>
      </c>
      <c r="J521" s="1">
        <v>0</v>
      </c>
      <c r="K521" s="1">
        <v>0</v>
      </c>
      <c r="L521" s="1">
        <v>-32.840000000000003</v>
      </c>
      <c r="M521" s="1">
        <v>0</v>
      </c>
      <c r="N521" s="1">
        <v>-30.73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 cm="1">
        <f t="array" ref="V521">SUM(ABS(G521:U521))</f>
        <v>254.97999999999996</v>
      </c>
      <c r="W521" s="11" cm="1">
        <f t="array" ref="W521">SUM(ABS(B521:E521))+SUM(ABS(G521:U521))</f>
        <v>455.41999999999996</v>
      </c>
    </row>
    <row r="522" spans="1:23" x14ac:dyDescent="0.3">
      <c r="A522" s="14">
        <v>45935.375</v>
      </c>
      <c r="B522" s="1">
        <v>-153.04</v>
      </c>
      <c r="C522" s="1">
        <v>35.299999999999997</v>
      </c>
      <c r="D522" s="1">
        <v>12</v>
      </c>
      <c r="E522" s="1">
        <v>0</v>
      </c>
      <c r="F522" s="1" cm="1">
        <f t="array" ref="F522">SUM(ABS(B522:E522))</f>
        <v>200.33999999999997</v>
      </c>
      <c r="G522" s="1">
        <v>20.100000000000001</v>
      </c>
      <c r="H522" s="1">
        <v>124.59</v>
      </c>
      <c r="I522" s="1">
        <v>-33.549999999999997</v>
      </c>
      <c r="J522" s="1">
        <v>0</v>
      </c>
      <c r="K522" s="1">
        <v>0</v>
      </c>
      <c r="L522" s="1">
        <v>-32.79</v>
      </c>
      <c r="M522" s="1">
        <v>0</v>
      </c>
      <c r="N522" s="1">
        <v>-30.77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 cm="1">
        <f t="array" ref="V522">SUM(ABS(G522:U522))</f>
        <v>241.8</v>
      </c>
      <c r="W522" s="11" cm="1">
        <f t="array" ref="W522">SUM(ABS(B522:E522))+SUM(ABS(G522:U522))</f>
        <v>442.14</v>
      </c>
    </row>
    <row r="523" spans="1:23" x14ac:dyDescent="0.3">
      <c r="A523" s="14">
        <v>45935.385416666664</v>
      </c>
      <c r="B523" s="1">
        <v>-281.57</v>
      </c>
      <c r="C523" s="1">
        <v>35.229999999999997</v>
      </c>
      <c r="D523" s="1">
        <v>12</v>
      </c>
      <c r="E523" s="1">
        <v>0</v>
      </c>
      <c r="F523" s="1" cm="1">
        <f t="array" ref="F523">SUM(ABS(B523:E523))</f>
        <v>328.8</v>
      </c>
      <c r="G523" s="1">
        <v>20.09</v>
      </c>
      <c r="H523" s="1">
        <v>169.88</v>
      </c>
      <c r="I523" s="1">
        <v>-20.45</v>
      </c>
      <c r="J523" s="1">
        <v>0</v>
      </c>
      <c r="K523" s="1">
        <v>0</v>
      </c>
      <c r="L523" s="1">
        <v>-33.049999999999997</v>
      </c>
      <c r="M523" s="1">
        <v>0</v>
      </c>
      <c r="N523" s="1">
        <v>-30.75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 cm="1">
        <f t="array" ref="V523">SUM(ABS(G523:U523))</f>
        <v>274.21999999999997</v>
      </c>
      <c r="W523" s="11" cm="1">
        <f t="array" ref="W523">SUM(ABS(B523:E523))+SUM(ABS(G523:U523))</f>
        <v>603.02</v>
      </c>
    </row>
    <row r="524" spans="1:23" x14ac:dyDescent="0.3">
      <c r="A524" s="14">
        <v>45935.395833333336</v>
      </c>
      <c r="B524" s="1">
        <v>-260.64</v>
      </c>
      <c r="C524" s="1">
        <v>35.18</v>
      </c>
      <c r="D524" s="1">
        <v>12</v>
      </c>
      <c r="E524" s="1">
        <v>0</v>
      </c>
      <c r="F524" s="1" cm="1">
        <f t="array" ref="F524">SUM(ABS(B524:E524))</f>
        <v>307.82</v>
      </c>
      <c r="G524" s="1">
        <v>20.09</v>
      </c>
      <c r="H524" s="1">
        <v>171.17</v>
      </c>
      <c r="I524" s="1">
        <v>-20.41</v>
      </c>
      <c r="J524" s="1">
        <v>0</v>
      </c>
      <c r="K524" s="1">
        <v>0</v>
      </c>
      <c r="L524" s="1">
        <v>-33.21</v>
      </c>
      <c r="M524" s="1">
        <v>0</v>
      </c>
      <c r="N524" s="1">
        <v>-30.77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 cm="1">
        <f t="array" ref="V524">SUM(ABS(G524:U524))</f>
        <v>275.64999999999998</v>
      </c>
      <c r="W524" s="11" cm="1">
        <f t="array" ref="W524">SUM(ABS(B524:E524))+SUM(ABS(G524:U524))</f>
        <v>583.47</v>
      </c>
    </row>
    <row r="525" spans="1:23" x14ac:dyDescent="0.3">
      <c r="A525" s="14">
        <v>45935.40625</v>
      </c>
      <c r="B525" s="1">
        <v>-215.37</v>
      </c>
      <c r="C525" s="1">
        <v>35.07</v>
      </c>
      <c r="D525" s="1">
        <v>12</v>
      </c>
      <c r="E525" s="1">
        <v>0</v>
      </c>
      <c r="F525" s="1" cm="1">
        <f t="array" ref="F525">SUM(ABS(B525:E525))</f>
        <v>262.44</v>
      </c>
      <c r="G525" s="1">
        <v>20.100000000000001</v>
      </c>
      <c r="H525" s="1">
        <v>169.06</v>
      </c>
      <c r="I525" s="1">
        <v>-20.440000000000001</v>
      </c>
      <c r="J525" s="1">
        <v>0</v>
      </c>
      <c r="K525" s="1">
        <v>0</v>
      </c>
      <c r="L525" s="1">
        <v>-32.950000000000003</v>
      </c>
      <c r="M525" s="1">
        <v>0</v>
      </c>
      <c r="N525" s="1">
        <v>-30.74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 cm="1">
        <f t="array" ref="V525">SUM(ABS(G525:U525))</f>
        <v>273.29000000000002</v>
      </c>
      <c r="W525" s="11" cm="1">
        <f t="array" ref="W525">SUM(ABS(B525:E525))+SUM(ABS(G525:U525))</f>
        <v>535.73</v>
      </c>
    </row>
    <row r="526" spans="1:23" x14ac:dyDescent="0.3">
      <c r="A526" s="14">
        <v>45935.416666666664</v>
      </c>
      <c r="B526" s="1">
        <v>-187.42</v>
      </c>
      <c r="C526" s="1">
        <v>35.020000000000003</v>
      </c>
      <c r="D526" s="1">
        <v>12</v>
      </c>
      <c r="E526" s="1">
        <v>0</v>
      </c>
      <c r="F526" s="1" cm="1">
        <f t="array" ref="F526">SUM(ABS(B526:E526))</f>
        <v>234.44</v>
      </c>
      <c r="G526" s="1">
        <v>20.09</v>
      </c>
      <c r="H526" s="1">
        <v>170.62</v>
      </c>
      <c r="I526" s="1">
        <v>-20.48</v>
      </c>
      <c r="J526" s="1">
        <v>0</v>
      </c>
      <c r="K526" s="1">
        <v>0</v>
      </c>
      <c r="L526" s="1">
        <v>-33.299999999999997</v>
      </c>
      <c r="M526" s="1">
        <v>0</v>
      </c>
      <c r="N526" s="1">
        <v>-30.79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 cm="1">
        <f t="array" ref="V526">SUM(ABS(G526:U526))</f>
        <v>275.28000000000003</v>
      </c>
      <c r="W526" s="11" cm="1">
        <f t="array" ref="W526">SUM(ABS(B526:E526))+SUM(ABS(G526:U526))</f>
        <v>509.72</v>
      </c>
    </row>
    <row r="527" spans="1:23" x14ac:dyDescent="0.3">
      <c r="A527" s="14">
        <v>45935.427083333336</v>
      </c>
      <c r="B527" s="1">
        <v>-244.19</v>
      </c>
      <c r="C527" s="1">
        <v>34.96</v>
      </c>
      <c r="D527" s="1">
        <v>12</v>
      </c>
      <c r="E527" s="1">
        <v>0</v>
      </c>
      <c r="F527" s="1" cm="1">
        <f t="array" ref="F527">SUM(ABS(B527:E527))</f>
        <v>291.14999999999998</v>
      </c>
      <c r="G527" s="1">
        <v>20.100000000000001</v>
      </c>
      <c r="H527" s="1">
        <v>172.56</v>
      </c>
      <c r="I527" s="1">
        <v>-20.51</v>
      </c>
      <c r="J527" s="1">
        <v>0</v>
      </c>
      <c r="K527" s="1">
        <v>0</v>
      </c>
      <c r="L527" s="1">
        <v>-33.64</v>
      </c>
      <c r="M527" s="1">
        <v>0</v>
      </c>
      <c r="N527" s="1">
        <v>-30.69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 cm="1">
        <f t="array" ref="V527">SUM(ABS(G527:U527))</f>
        <v>277.5</v>
      </c>
      <c r="W527" s="11" cm="1">
        <f t="array" ref="W527">SUM(ABS(B527:E527))+SUM(ABS(G527:U527))</f>
        <v>568.65</v>
      </c>
    </row>
    <row r="528" spans="1:23" x14ac:dyDescent="0.3">
      <c r="A528" s="14">
        <v>45935.4375</v>
      </c>
      <c r="B528" s="1">
        <v>-187.47</v>
      </c>
      <c r="C528" s="1">
        <v>34.93</v>
      </c>
      <c r="D528" s="1">
        <v>12</v>
      </c>
      <c r="E528" s="1">
        <v>0</v>
      </c>
      <c r="F528" s="1" cm="1">
        <f t="array" ref="F528">SUM(ABS(B528:E528))</f>
        <v>234.4</v>
      </c>
      <c r="G528" s="1">
        <v>20.100000000000001</v>
      </c>
      <c r="H528" s="1">
        <v>196.12</v>
      </c>
      <c r="I528" s="1">
        <v>-20.5</v>
      </c>
      <c r="J528" s="1">
        <v>0</v>
      </c>
      <c r="K528" s="1">
        <v>0</v>
      </c>
      <c r="L528" s="1">
        <v>-33.75</v>
      </c>
      <c r="M528" s="1">
        <v>0</v>
      </c>
      <c r="N528" s="1">
        <v>-30.58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 cm="1">
        <f t="array" ref="V528">SUM(ABS(G528:U528))</f>
        <v>301.05</v>
      </c>
      <c r="W528" s="11" cm="1">
        <f t="array" ref="W528">SUM(ABS(B528:E528))+SUM(ABS(G528:U528))</f>
        <v>535.45000000000005</v>
      </c>
    </row>
    <row r="529" spans="1:23" x14ac:dyDescent="0.3">
      <c r="A529" s="14">
        <v>45935.447916666664</v>
      </c>
      <c r="B529" s="1">
        <v>-168.94</v>
      </c>
      <c r="C529" s="1">
        <v>34.9</v>
      </c>
      <c r="D529" s="1">
        <v>12</v>
      </c>
      <c r="E529" s="1">
        <v>0</v>
      </c>
      <c r="F529" s="1" cm="1">
        <f t="array" ref="F529">SUM(ABS(B529:E529))</f>
        <v>215.84</v>
      </c>
      <c r="G529" s="1">
        <v>20.100000000000001</v>
      </c>
      <c r="H529" s="1">
        <v>198.23</v>
      </c>
      <c r="I529" s="1">
        <v>-20.49</v>
      </c>
      <c r="J529" s="1">
        <v>0</v>
      </c>
      <c r="K529" s="1">
        <v>0</v>
      </c>
      <c r="L529" s="1">
        <v>-33.659999999999997</v>
      </c>
      <c r="M529" s="1">
        <v>0</v>
      </c>
      <c r="N529" s="1">
        <v>-30.54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 cm="1">
        <f t="array" ref="V529">SUM(ABS(G529:U529))</f>
        <v>303.02000000000004</v>
      </c>
      <c r="W529" s="11" cm="1">
        <f t="array" ref="W529">SUM(ABS(B529:E529))+SUM(ABS(G529:U529))</f>
        <v>518.86</v>
      </c>
    </row>
    <row r="530" spans="1:23" x14ac:dyDescent="0.3">
      <c r="A530" s="14">
        <v>45935.458333333336</v>
      </c>
      <c r="B530" s="1">
        <v>-167.68</v>
      </c>
      <c r="C530" s="1">
        <v>34.85</v>
      </c>
      <c r="D530" s="1">
        <v>12</v>
      </c>
      <c r="E530" s="1">
        <v>0</v>
      </c>
      <c r="F530" s="1" cm="1">
        <f t="array" ref="F530">SUM(ABS(B530:E530))</f>
        <v>214.53</v>
      </c>
      <c r="G530" s="1">
        <v>20.100000000000001</v>
      </c>
      <c r="H530" s="1">
        <v>198.26</v>
      </c>
      <c r="I530" s="1">
        <v>-20.5</v>
      </c>
      <c r="J530" s="1">
        <v>0</v>
      </c>
      <c r="K530" s="1">
        <v>0</v>
      </c>
      <c r="L530" s="1">
        <v>-33.630000000000003</v>
      </c>
      <c r="M530" s="1">
        <v>0</v>
      </c>
      <c r="N530" s="1">
        <v>-30.57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 cm="1">
        <f t="array" ref="V530">SUM(ABS(G530:U530))</f>
        <v>303.06</v>
      </c>
      <c r="W530" s="11" cm="1">
        <f t="array" ref="W530">SUM(ABS(B530:E530))+SUM(ABS(G530:U530))</f>
        <v>517.59</v>
      </c>
    </row>
    <row r="531" spans="1:23" x14ac:dyDescent="0.3">
      <c r="A531" s="14">
        <v>45935.46875</v>
      </c>
      <c r="B531" s="1">
        <v>-175.03</v>
      </c>
      <c r="C531" s="1">
        <v>34.799999999999997</v>
      </c>
      <c r="D531" s="1">
        <v>12</v>
      </c>
      <c r="E531" s="1">
        <v>0</v>
      </c>
      <c r="F531" s="1" cm="1">
        <f t="array" ref="F531">SUM(ABS(B531:E531))</f>
        <v>221.82999999999998</v>
      </c>
      <c r="G531" s="1">
        <v>20.100000000000001</v>
      </c>
      <c r="H531" s="1">
        <v>215.27</v>
      </c>
      <c r="I531" s="1">
        <v>-20.5</v>
      </c>
      <c r="J531" s="1">
        <v>0</v>
      </c>
      <c r="K531" s="1">
        <v>0</v>
      </c>
      <c r="L531" s="1">
        <v>-33.869999999999997</v>
      </c>
      <c r="M531" s="1">
        <v>0</v>
      </c>
      <c r="N531" s="1">
        <v>-30.57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 cm="1">
        <f t="array" ref="V531">SUM(ABS(G531:U531))</f>
        <v>320.31</v>
      </c>
      <c r="W531" s="11" cm="1">
        <f t="array" ref="W531">SUM(ABS(B531:E531))+SUM(ABS(G531:U531))</f>
        <v>542.14</v>
      </c>
    </row>
    <row r="532" spans="1:23" x14ac:dyDescent="0.3">
      <c r="A532" s="14">
        <v>45935.479166666664</v>
      </c>
      <c r="B532" s="1">
        <v>-140.07</v>
      </c>
      <c r="C532" s="1">
        <v>34.770000000000003</v>
      </c>
      <c r="D532" s="1">
        <v>12</v>
      </c>
      <c r="E532" s="1">
        <v>0</v>
      </c>
      <c r="F532" s="1" cm="1">
        <f t="array" ref="F532">SUM(ABS(B532:E532))</f>
        <v>186.84</v>
      </c>
      <c r="G532" s="1">
        <v>20.09</v>
      </c>
      <c r="H532" s="1">
        <v>218.55</v>
      </c>
      <c r="I532" s="1">
        <v>-20.49</v>
      </c>
      <c r="J532" s="1">
        <v>0</v>
      </c>
      <c r="K532" s="1">
        <v>0</v>
      </c>
      <c r="L532" s="1">
        <v>-33.93</v>
      </c>
      <c r="M532" s="1">
        <v>0</v>
      </c>
      <c r="N532" s="1">
        <v>-30.56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 cm="1">
        <f t="array" ref="V532">SUM(ABS(G532:U532))</f>
        <v>323.62</v>
      </c>
      <c r="W532" s="11" cm="1">
        <f t="array" ref="W532">SUM(ABS(B532:E532))+SUM(ABS(G532:U532))</f>
        <v>510.46000000000004</v>
      </c>
    </row>
    <row r="533" spans="1:23" x14ac:dyDescent="0.3">
      <c r="A533" s="14">
        <v>45935.489583333336</v>
      </c>
      <c r="B533" s="1">
        <v>-123.85</v>
      </c>
      <c r="C533" s="1">
        <v>34.729999999999997</v>
      </c>
      <c r="D533" s="1">
        <v>12</v>
      </c>
      <c r="E533" s="1">
        <v>0</v>
      </c>
      <c r="F533" s="1" cm="1">
        <f t="array" ref="F533">SUM(ABS(B533:E533))</f>
        <v>170.57999999999998</v>
      </c>
      <c r="G533" s="1">
        <v>20.09</v>
      </c>
      <c r="H533" s="1">
        <v>218.57</v>
      </c>
      <c r="I533" s="1">
        <v>-20.5</v>
      </c>
      <c r="J533" s="1">
        <v>0</v>
      </c>
      <c r="K533" s="1">
        <v>0</v>
      </c>
      <c r="L533" s="1">
        <v>-33.67</v>
      </c>
      <c r="M533" s="1">
        <v>0</v>
      </c>
      <c r="N533" s="1">
        <v>-30.54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 cm="1">
        <f t="array" ref="V533">SUM(ABS(G533:U533))</f>
        <v>323.37</v>
      </c>
      <c r="W533" s="11" cm="1">
        <f t="array" ref="W533">SUM(ABS(B533:E533))+SUM(ABS(G533:U533))</f>
        <v>493.95</v>
      </c>
    </row>
    <row r="534" spans="1:23" x14ac:dyDescent="0.3">
      <c r="A534" s="14">
        <v>45935.5</v>
      </c>
      <c r="B534" s="1">
        <v>-130.85</v>
      </c>
      <c r="C534" s="1">
        <v>34.69</v>
      </c>
      <c r="D534" s="1">
        <v>12</v>
      </c>
      <c r="E534" s="1">
        <v>0</v>
      </c>
      <c r="F534" s="1" cm="1">
        <f t="array" ref="F534">SUM(ABS(B534:E534))</f>
        <v>177.54</v>
      </c>
      <c r="G534" s="1">
        <v>20.100000000000001</v>
      </c>
      <c r="H534" s="1">
        <v>217.96</v>
      </c>
      <c r="I534" s="1">
        <v>-20.5</v>
      </c>
      <c r="J534" s="1">
        <v>0</v>
      </c>
      <c r="K534" s="1">
        <v>0</v>
      </c>
      <c r="L534" s="1">
        <v>-33.340000000000003</v>
      </c>
      <c r="M534" s="1">
        <v>0</v>
      </c>
      <c r="N534" s="1">
        <v>-30.57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 cm="1">
        <f t="array" ref="V534">SUM(ABS(G534:U534))</f>
        <v>322.46999999999997</v>
      </c>
      <c r="W534" s="11" cm="1">
        <f t="array" ref="W534">SUM(ABS(B534:E534))+SUM(ABS(G534:U534))</f>
        <v>500.01</v>
      </c>
    </row>
    <row r="535" spans="1:23" x14ac:dyDescent="0.3">
      <c r="A535" s="14">
        <v>45935.510416666664</v>
      </c>
      <c r="B535" s="1">
        <v>-140.53</v>
      </c>
      <c r="C535" s="1">
        <v>34.67</v>
      </c>
      <c r="D535" s="1">
        <v>12</v>
      </c>
      <c r="E535" s="1">
        <v>0</v>
      </c>
      <c r="F535" s="1" cm="1">
        <f t="array" ref="F535">SUM(ABS(B535:E535))</f>
        <v>187.2</v>
      </c>
      <c r="G535" s="1">
        <v>28.54</v>
      </c>
      <c r="H535" s="1">
        <v>218.59</v>
      </c>
      <c r="I535" s="1">
        <v>-20.51</v>
      </c>
      <c r="J535" s="1">
        <v>0</v>
      </c>
      <c r="K535" s="1">
        <v>0</v>
      </c>
      <c r="L535" s="1">
        <v>-33.61</v>
      </c>
      <c r="M535" s="1">
        <v>0</v>
      </c>
      <c r="N535" s="1">
        <v>-30.57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 cm="1">
        <f t="array" ref="V535">SUM(ABS(G535:U535))</f>
        <v>331.82</v>
      </c>
      <c r="W535" s="11" cm="1">
        <f t="array" ref="W535">SUM(ABS(B535:E535))+SUM(ABS(G535:U535))</f>
        <v>519.02</v>
      </c>
    </row>
    <row r="536" spans="1:23" x14ac:dyDescent="0.3">
      <c r="A536" s="14">
        <v>45935.520833333336</v>
      </c>
      <c r="B536" s="1">
        <v>-178.56</v>
      </c>
      <c r="C536" s="1">
        <v>34.630000000000003</v>
      </c>
      <c r="D536" s="1">
        <v>12</v>
      </c>
      <c r="E536" s="1">
        <v>0</v>
      </c>
      <c r="F536" s="1" cm="1">
        <f t="array" ref="F536">SUM(ABS(B536:E536))</f>
        <v>225.19</v>
      </c>
      <c r="G536" s="1">
        <v>36.159999999999997</v>
      </c>
      <c r="H536" s="1">
        <v>218.57</v>
      </c>
      <c r="I536" s="1">
        <v>-20.52</v>
      </c>
      <c r="J536" s="1">
        <v>0</v>
      </c>
      <c r="K536" s="1">
        <v>0</v>
      </c>
      <c r="L536" s="1">
        <v>-33.619999999999997</v>
      </c>
      <c r="M536" s="1">
        <v>0</v>
      </c>
      <c r="N536" s="1">
        <v>-30.58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 cm="1">
        <f t="array" ref="V536">SUM(ABS(G536:U536))</f>
        <v>339.45</v>
      </c>
      <c r="W536" s="11" cm="1">
        <f t="array" ref="W536">SUM(ABS(B536:E536))+SUM(ABS(G536:U536))</f>
        <v>564.64</v>
      </c>
    </row>
    <row r="537" spans="1:23" x14ac:dyDescent="0.3">
      <c r="A537" s="14">
        <v>45935.53125</v>
      </c>
      <c r="B537" s="1">
        <v>-184.01</v>
      </c>
      <c r="C537" s="1">
        <v>34.6</v>
      </c>
      <c r="D537" s="1">
        <v>12</v>
      </c>
      <c r="E537" s="1">
        <v>0</v>
      </c>
      <c r="F537" s="1" cm="1">
        <f t="array" ref="F537">SUM(ABS(B537:E537))</f>
        <v>230.60999999999999</v>
      </c>
      <c r="G537" s="1">
        <v>36.15</v>
      </c>
      <c r="H537" s="1">
        <v>218.3</v>
      </c>
      <c r="I537" s="1">
        <v>-20.53</v>
      </c>
      <c r="J537" s="1">
        <v>0</v>
      </c>
      <c r="K537" s="1">
        <v>0</v>
      </c>
      <c r="L537" s="1">
        <v>-33.58</v>
      </c>
      <c r="M537" s="1">
        <v>0</v>
      </c>
      <c r="N537" s="1">
        <v>-30.57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 cm="1">
        <f t="array" ref="V537">SUM(ABS(G537:U537))</f>
        <v>339.13</v>
      </c>
      <c r="W537" s="11" cm="1">
        <f t="array" ref="W537">SUM(ABS(B537:E537))+SUM(ABS(G537:U537))</f>
        <v>569.74</v>
      </c>
    </row>
    <row r="538" spans="1:23" x14ac:dyDescent="0.3">
      <c r="A538" s="14">
        <v>45935.541666666664</v>
      </c>
      <c r="B538" s="1">
        <v>-171.86</v>
      </c>
      <c r="C538" s="1">
        <v>30</v>
      </c>
      <c r="D538" s="1">
        <v>12</v>
      </c>
      <c r="E538" s="1">
        <v>0</v>
      </c>
      <c r="F538" s="1" cm="1">
        <f t="array" ref="F538">SUM(ABS(B538:E538))</f>
        <v>213.86</v>
      </c>
      <c r="G538" s="1">
        <v>36.18</v>
      </c>
      <c r="H538" s="1">
        <v>215.94</v>
      </c>
      <c r="I538" s="1">
        <v>-20.74</v>
      </c>
      <c r="J538" s="1">
        <v>0</v>
      </c>
      <c r="K538" s="1">
        <v>0</v>
      </c>
      <c r="L538" s="1">
        <v>-33.11</v>
      </c>
      <c r="M538" s="1">
        <v>0</v>
      </c>
      <c r="N538" s="1">
        <v>-30.6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 cm="1">
        <f t="array" ref="V538">SUM(ABS(G538:U538))</f>
        <v>336.57000000000005</v>
      </c>
      <c r="W538" s="11" cm="1">
        <f t="array" ref="W538">SUM(ABS(B538:E538))+SUM(ABS(G538:U538))</f>
        <v>550.43000000000006</v>
      </c>
    </row>
    <row r="539" spans="1:23" x14ac:dyDescent="0.3">
      <c r="A539" s="14">
        <v>45935.552083333336</v>
      </c>
      <c r="B539" s="1">
        <v>-179.13</v>
      </c>
      <c r="C539" s="1">
        <v>24.57</v>
      </c>
      <c r="D539" s="1">
        <v>12</v>
      </c>
      <c r="E539" s="1">
        <v>0</v>
      </c>
      <c r="F539" s="1" cm="1">
        <f t="array" ref="F539">SUM(ABS(B539:E539))</f>
        <v>215.7</v>
      </c>
      <c r="G539" s="1">
        <v>36.17</v>
      </c>
      <c r="H539" s="1">
        <v>218.19</v>
      </c>
      <c r="I539" s="1">
        <v>-20.76</v>
      </c>
      <c r="J539" s="1">
        <v>0</v>
      </c>
      <c r="K539" s="1">
        <v>0</v>
      </c>
      <c r="L539" s="1">
        <v>-33.450000000000003</v>
      </c>
      <c r="M539" s="1">
        <v>0</v>
      </c>
      <c r="N539" s="1">
        <v>-30.58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 cm="1">
        <f t="array" ref="V539">SUM(ABS(G539:U539))</f>
        <v>339.15</v>
      </c>
      <c r="W539" s="11" cm="1">
        <f t="array" ref="W539">SUM(ABS(B539:E539))+SUM(ABS(G539:U539))</f>
        <v>554.84999999999991</v>
      </c>
    </row>
    <row r="540" spans="1:23" x14ac:dyDescent="0.3">
      <c r="A540" s="14">
        <v>45935.5625</v>
      </c>
      <c r="B540" s="1">
        <v>-190.64</v>
      </c>
      <c r="C540" s="1">
        <v>24.59</v>
      </c>
      <c r="D540" s="1">
        <v>12</v>
      </c>
      <c r="E540" s="1">
        <v>0</v>
      </c>
      <c r="F540" s="1" cm="1">
        <f t="array" ref="F540">SUM(ABS(B540:E540))</f>
        <v>227.23</v>
      </c>
      <c r="G540" s="1">
        <v>36.19</v>
      </c>
      <c r="H540" s="1">
        <v>218.39</v>
      </c>
      <c r="I540" s="1">
        <v>-20.77</v>
      </c>
      <c r="J540" s="1">
        <v>0</v>
      </c>
      <c r="K540" s="1">
        <v>0</v>
      </c>
      <c r="L540" s="1">
        <v>-33.76</v>
      </c>
      <c r="M540" s="1">
        <v>0</v>
      </c>
      <c r="N540" s="1">
        <v>-30.61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 cm="1">
        <f t="array" ref="V540">SUM(ABS(G540:U540))</f>
        <v>339.71999999999997</v>
      </c>
      <c r="W540" s="11" cm="1">
        <f t="array" ref="W540">SUM(ABS(B540:E540))+SUM(ABS(G540:U540))</f>
        <v>566.94999999999993</v>
      </c>
    </row>
    <row r="541" spans="1:23" x14ac:dyDescent="0.3">
      <c r="A541" s="14">
        <v>45935.572916666664</v>
      </c>
      <c r="B541" s="1">
        <v>-238.37</v>
      </c>
      <c r="C541" s="1">
        <v>24.69</v>
      </c>
      <c r="D541" s="1">
        <v>12</v>
      </c>
      <c r="E541" s="1">
        <v>0</v>
      </c>
      <c r="F541" s="1" cm="1">
        <f t="array" ref="F541">SUM(ABS(B541:E541))</f>
        <v>275.06</v>
      </c>
      <c r="G541" s="1">
        <v>36.18</v>
      </c>
      <c r="H541" s="1">
        <v>218.47</v>
      </c>
      <c r="I541" s="1">
        <v>-20.77</v>
      </c>
      <c r="J541" s="1">
        <v>0</v>
      </c>
      <c r="K541" s="1">
        <v>0</v>
      </c>
      <c r="L541" s="1">
        <v>-33.82</v>
      </c>
      <c r="M541" s="1">
        <v>0</v>
      </c>
      <c r="N541" s="1">
        <v>-30.57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 cm="1">
        <f t="array" ref="V541">SUM(ABS(G541:U541))</f>
        <v>339.81</v>
      </c>
      <c r="W541" s="11" cm="1">
        <f t="array" ref="W541">SUM(ABS(B541:E541))+SUM(ABS(G541:U541))</f>
        <v>614.87</v>
      </c>
    </row>
    <row r="542" spans="1:23" x14ac:dyDescent="0.3">
      <c r="A542" s="14">
        <v>45935.583333333336</v>
      </c>
      <c r="B542" s="1">
        <v>-261.99</v>
      </c>
      <c r="C542" s="1">
        <v>24.72</v>
      </c>
      <c r="D542" s="1">
        <v>12</v>
      </c>
      <c r="E542" s="1">
        <v>0</v>
      </c>
      <c r="F542" s="1" cm="1">
        <f t="array" ref="F542">SUM(ABS(B542:E542))</f>
        <v>298.71000000000004</v>
      </c>
      <c r="G542" s="1">
        <v>36.18</v>
      </c>
      <c r="H542" s="1">
        <v>217.8</v>
      </c>
      <c r="I542" s="1">
        <v>-20.75</v>
      </c>
      <c r="J542" s="1">
        <v>0</v>
      </c>
      <c r="K542" s="1">
        <v>0</v>
      </c>
      <c r="L542" s="1">
        <v>-33.39</v>
      </c>
      <c r="M542" s="1">
        <v>0</v>
      </c>
      <c r="N542" s="1">
        <v>-30.58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 cm="1">
        <f t="array" ref="V542">SUM(ABS(G542:U542))</f>
        <v>338.7</v>
      </c>
      <c r="W542" s="11" cm="1">
        <f t="array" ref="W542">SUM(ABS(B542:E542))+SUM(ABS(G542:U542))</f>
        <v>637.41000000000008</v>
      </c>
    </row>
    <row r="543" spans="1:23" x14ac:dyDescent="0.3">
      <c r="A543" s="14">
        <v>45935.59375</v>
      </c>
      <c r="B543" s="1">
        <v>-283.52</v>
      </c>
      <c r="C543" s="1">
        <v>24.75</v>
      </c>
      <c r="D543" s="1">
        <v>12</v>
      </c>
      <c r="E543" s="1">
        <v>0</v>
      </c>
      <c r="F543" s="1" cm="1">
        <f t="array" ref="F543">SUM(ABS(B543:E543))</f>
        <v>320.27</v>
      </c>
      <c r="G543" s="1">
        <v>36.19</v>
      </c>
      <c r="H543" s="1">
        <v>217.36</v>
      </c>
      <c r="I543" s="1">
        <v>-20.76</v>
      </c>
      <c r="J543" s="1">
        <v>0</v>
      </c>
      <c r="K543" s="1">
        <v>0</v>
      </c>
      <c r="L543" s="1">
        <v>-33.369999999999997</v>
      </c>
      <c r="M543" s="1">
        <v>0</v>
      </c>
      <c r="N543" s="1">
        <v>-30.58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 cm="1">
        <f t="array" ref="V543">SUM(ABS(G543:U543))</f>
        <v>338.26</v>
      </c>
      <c r="W543" s="11" cm="1">
        <f t="array" ref="W543">SUM(ABS(B543:E543))+SUM(ABS(G543:U543))</f>
        <v>658.53</v>
      </c>
    </row>
    <row r="544" spans="1:23" x14ac:dyDescent="0.3">
      <c r="A544" s="14">
        <v>45935.604166666664</v>
      </c>
      <c r="B544" s="1">
        <v>-329.03</v>
      </c>
      <c r="C544" s="1">
        <v>24.8</v>
      </c>
      <c r="D544" s="1">
        <v>12</v>
      </c>
      <c r="E544" s="1">
        <v>0</v>
      </c>
      <c r="F544" s="1" cm="1">
        <f t="array" ref="F544">SUM(ABS(B544:E544))</f>
        <v>365.83</v>
      </c>
      <c r="G544" s="1">
        <v>36.19</v>
      </c>
      <c r="H544" s="1">
        <v>217.62</v>
      </c>
      <c r="I544" s="1">
        <v>-20.7</v>
      </c>
      <c r="J544" s="1">
        <v>0</v>
      </c>
      <c r="K544" s="1">
        <v>0</v>
      </c>
      <c r="L544" s="1">
        <v>-22.45</v>
      </c>
      <c r="M544" s="1">
        <v>0</v>
      </c>
      <c r="N544" s="1">
        <v>-20.95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 cm="1">
        <f t="array" ref="V544">SUM(ABS(G544:U544))</f>
        <v>317.90999999999997</v>
      </c>
      <c r="W544" s="11" cm="1">
        <f t="array" ref="W544">SUM(ABS(B544:E544))+SUM(ABS(G544:U544))</f>
        <v>683.74</v>
      </c>
    </row>
    <row r="545" spans="1:23" x14ac:dyDescent="0.3">
      <c r="A545" s="14">
        <v>45935.614583333336</v>
      </c>
      <c r="B545" s="1">
        <v>-350.27</v>
      </c>
      <c r="C545" s="1">
        <v>24.81</v>
      </c>
      <c r="D545" s="1">
        <v>12</v>
      </c>
      <c r="E545" s="1">
        <v>0</v>
      </c>
      <c r="F545" s="1" cm="1">
        <f t="array" ref="F545">SUM(ABS(B545:E545))</f>
        <v>387.08</v>
      </c>
      <c r="G545" s="1">
        <v>36.18</v>
      </c>
      <c r="H545" s="1">
        <v>217.83</v>
      </c>
      <c r="I545" s="1">
        <v>-20.67</v>
      </c>
      <c r="J545" s="1">
        <v>0.87</v>
      </c>
      <c r="K545" s="1">
        <v>0</v>
      </c>
      <c r="L545" s="1">
        <v>-16.7</v>
      </c>
      <c r="M545" s="1">
        <v>0</v>
      </c>
      <c r="N545" s="1">
        <v>-15.13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 cm="1">
        <f t="array" ref="V545">SUM(ABS(G545:U545))</f>
        <v>307.38</v>
      </c>
      <c r="W545" s="11" cm="1">
        <f t="array" ref="W545">SUM(ABS(B545:E545))+SUM(ABS(G545:U545))</f>
        <v>694.46</v>
      </c>
    </row>
    <row r="546" spans="1:23" x14ac:dyDescent="0.3">
      <c r="A546" s="14">
        <v>45935.625</v>
      </c>
      <c r="B546" s="1">
        <v>-342.86</v>
      </c>
      <c r="C546" s="1">
        <v>24.79</v>
      </c>
      <c r="D546" s="1">
        <v>12</v>
      </c>
      <c r="E546" s="1">
        <v>0</v>
      </c>
      <c r="F546" s="1" cm="1">
        <f t="array" ref="F546">SUM(ABS(B546:E546))</f>
        <v>379.65000000000003</v>
      </c>
      <c r="G546" s="1">
        <v>36.18</v>
      </c>
      <c r="H546" s="1">
        <v>215.32</v>
      </c>
      <c r="I546" s="1">
        <v>-20.64</v>
      </c>
      <c r="J546" s="1">
        <v>45.82</v>
      </c>
      <c r="K546" s="1">
        <v>0</v>
      </c>
      <c r="L546" s="1">
        <v>-16.52</v>
      </c>
      <c r="M546" s="1">
        <v>0</v>
      </c>
      <c r="N546" s="1">
        <v>-15.15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 cm="1">
        <f t="array" ref="V546">SUM(ABS(G546:U546))</f>
        <v>349.62999999999994</v>
      </c>
      <c r="W546" s="11" cm="1">
        <f t="array" ref="W546">SUM(ABS(B546:E546))+SUM(ABS(G546:U546))</f>
        <v>729.28</v>
      </c>
    </row>
    <row r="547" spans="1:23" x14ac:dyDescent="0.3">
      <c r="A547" s="14">
        <v>45935.635416666664</v>
      </c>
      <c r="B547" s="1">
        <v>-354.23</v>
      </c>
      <c r="C547" s="1">
        <v>25</v>
      </c>
      <c r="D547" s="1">
        <v>12</v>
      </c>
      <c r="E547" s="1">
        <v>0</v>
      </c>
      <c r="F547" s="1" cm="1">
        <f t="array" ref="F547">SUM(ABS(B547:E547))</f>
        <v>391.23</v>
      </c>
      <c r="G547" s="1">
        <v>36.19</v>
      </c>
      <c r="H547" s="1">
        <v>216.3</v>
      </c>
      <c r="I547" s="1">
        <v>-20.63</v>
      </c>
      <c r="J547" s="1">
        <v>58.86</v>
      </c>
      <c r="K547" s="1">
        <v>0</v>
      </c>
      <c r="L547" s="1">
        <v>-16.579999999999998</v>
      </c>
      <c r="M547" s="1">
        <v>0</v>
      </c>
      <c r="N547" s="1">
        <v>-15.12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 cm="1">
        <f t="array" ref="V547">SUM(ABS(G547:U547))</f>
        <v>363.68</v>
      </c>
      <c r="W547" s="11" cm="1">
        <f t="array" ref="W547">SUM(ABS(B547:E547))+SUM(ABS(G547:U547))</f>
        <v>754.91000000000008</v>
      </c>
    </row>
    <row r="548" spans="1:23" x14ac:dyDescent="0.3">
      <c r="A548" s="14">
        <v>45935.645833333336</v>
      </c>
      <c r="B548" s="1">
        <v>-350.53</v>
      </c>
      <c r="C548" s="1">
        <v>35.130000000000003</v>
      </c>
      <c r="D548" s="1">
        <v>12</v>
      </c>
      <c r="E548" s="1">
        <v>0</v>
      </c>
      <c r="F548" s="1" cm="1">
        <f t="array" ref="F548">SUM(ABS(B548:E548))</f>
        <v>397.65999999999997</v>
      </c>
      <c r="G548" s="1">
        <v>36.18</v>
      </c>
      <c r="H548" s="1">
        <v>212.66</v>
      </c>
      <c r="I548" s="1">
        <v>-20.64</v>
      </c>
      <c r="J548" s="1">
        <v>100.42</v>
      </c>
      <c r="K548" s="1">
        <v>0</v>
      </c>
      <c r="L548" s="1">
        <v>-16.38</v>
      </c>
      <c r="M548" s="1">
        <v>0</v>
      </c>
      <c r="N548" s="1">
        <v>-15.13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 cm="1">
        <f t="array" ref="V548">SUM(ABS(G548:U548))</f>
        <v>401.41</v>
      </c>
      <c r="W548" s="11" cm="1">
        <f t="array" ref="W548">SUM(ABS(B548:E548))+SUM(ABS(G548:U548))</f>
        <v>799.06999999999994</v>
      </c>
    </row>
    <row r="549" spans="1:23" x14ac:dyDescent="0.3">
      <c r="A549" s="14">
        <v>45935.65625</v>
      </c>
      <c r="B549" s="1">
        <v>-364.8</v>
      </c>
      <c r="C549" s="1">
        <v>35.18</v>
      </c>
      <c r="D549" s="1">
        <v>12</v>
      </c>
      <c r="E549" s="1">
        <v>0</v>
      </c>
      <c r="F549" s="1" cm="1">
        <f t="array" ref="F549">SUM(ABS(B549:E549))</f>
        <v>411.98</v>
      </c>
      <c r="G549" s="1">
        <v>36.18</v>
      </c>
      <c r="H549" s="1">
        <v>212.97</v>
      </c>
      <c r="I549" s="1">
        <v>-20.63</v>
      </c>
      <c r="J549" s="1">
        <v>149.66999999999999</v>
      </c>
      <c r="K549" s="1">
        <v>0</v>
      </c>
      <c r="L549" s="1">
        <v>-16.41</v>
      </c>
      <c r="M549" s="1">
        <v>0</v>
      </c>
      <c r="N549" s="1">
        <v>-15.14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 cm="1">
        <f t="array" ref="V549">SUM(ABS(G549:U549))</f>
        <v>451.00000000000006</v>
      </c>
      <c r="W549" s="11" cm="1">
        <f t="array" ref="W549">SUM(ABS(B549:E549))+SUM(ABS(G549:U549))</f>
        <v>862.98</v>
      </c>
    </row>
    <row r="550" spans="1:23" x14ac:dyDescent="0.3">
      <c r="A550" s="14">
        <v>45935.666666666664</v>
      </c>
      <c r="B550" s="1">
        <v>-286.77999999999997</v>
      </c>
      <c r="C550" s="1">
        <v>35.130000000000003</v>
      </c>
      <c r="D550" s="1">
        <v>12</v>
      </c>
      <c r="E550" s="1">
        <v>0</v>
      </c>
      <c r="F550" s="1" cm="1">
        <f t="array" ref="F550">SUM(ABS(B550:E550))</f>
        <v>333.90999999999997</v>
      </c>
      <c r="G550" s="1">
        <v>36.18</v>
      </c>
      <c r="H550" s="1">
        <v>214.35</v>
      </c>
      <c r="I550" s="1">
        <v>-20.65</v>
      </c>
      <c r="J550" s="1">
        <v>165.61</v>
      </c>
      <c r="K550" s="1">
        <v>0</v>
      </c>
      <c r="L550" s="1">
        <v>-16.5</v>
      </c>
      <c r="M550" s="1">
        <v>0</v>
      </c>
      <c r="N550" s="1">
        <v>-15.12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 cm="1">
        <f t="array" ref="V550">SUM(ABS(G550:U550))</f>
        <v>468.41</v>
      </c>
      <c r="W550" s="11" cm="1">
        <f t="array" ref="W550">SUM(ABS(B550:E550))+SUM(ABS(G550:U550))</f>
        <v>802.31999999999994</v>
      </c>
    </row>
    <row r="551" spans="1:23" x14ac:dyDescent="0.3">
      <c r="A551" s="14">
        <v>45935.677083333336</v>
      </c>
      <c r="B551" s="1">
        <v>-290.08999999999997</v>
      </c>
      <c r="C551" s="1">
        <v>35.130000000000003</v>
      </c>
      <c r="D551" s="1">
        <v>12</v>
      </c>
      <c r="E551" s="1">
        <v>0</v>
      </c>
      <c r="F551" s="1" cm="1">
        <f t="array" ref="F551">SUM(ABS(B551:E551))</f>
        <v>337.21999999999997</v>
      </c>
      <c r="G551" s="1">
        <v>36.18</v>
      </c>
      <c r="H551" s="1">
        <v>214.58</v>
      </c>
      <c r="I551" s="1">
        <v>-20.64</v>
      </c>
      <c r="J551" s="1">
        <v>165.77</v>
      </c>
      <c r="K551" s="1">
        <v>0</v>
      </c>
      <c r="L551" s="1">
        <v>-16.510000000000002</v>
      </c>
      <c r="M551" s="1">
        <v>0</v>
      </c>
      <c r="N551" s="1">
        <v>-15.09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 cm="1">
        <f t="array" ref="V551">SUM(ABS(G551:U551))</f>
        <v>468.77000000000004</v>
      </c>
      <c r="W551" s="11" cm="1">
        <f t="array" ref="W551">SUM(ABS(B551:E551))+SUM(ABS(G551:U551))</f>
        <v>805.99</v>
      </c>
    </row>
    <row r="552" spans="1:23" x14ac:dyDescent="0.3">
      <c r="A552" s="14">
        <v>45935.6875</v>
      </c>
      <c r="B552" s="1">
        <v>-273.02999999999997</v>
      </c>
      <c r="C552" s="1">
        <v>35.049999999999997</v>
      </c>
      <c r="D552" s="1">
        <v>12</v>
      </c>
      <c r="E552" s="1">
        <v>0</v>
      </c>
      <c r="F552" s="1" cm="1">
        <f t="array" ref="F552">SUM(ABS(B552:E552))</f>
        <v>320.08</v>
      </c>
      <c r="G552" s="1">
        <v>36.18</v>
      </c>
      <c r="H552" s="1">
        <v>231.66</v>
      </c>
      <c r="I552" s="1">
        <v>-20.63</v>
      </c>
      <c r="J552" s="1">
        <v>141.6</v>
      </c>
      <c r="K552" s="1">
        <v>0</v>
      </c>
      <c r="L552" s="1">
        <v>-16.260000000000002</v>
      </c>
      <c r="M552" s="1">
        <v>0</v>
      </c>
      <c r="N552" s="1">
        <v>-15.1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 cm="1">
        <f t="array" ref="V552">SUM(ABS(G552:U552))</f>
        <v>461.42999999999995</v>
      </c>
      <c r="W552" s="11" cm="1">
        <f t="array" ref="W552">SUM(ABS(B552:E552))+SUM(ABS(G552:U552))</f>
        <v>781.51</v>
      </c>
    </row>
    <row r="553" spans="1:23" x14ac:dyDescent="0.3">
      <c r="A553" s="14">
        <v>45935.697916666664</v>
      </c>
      <c r="B553" s="1">
        <v>-360.03</v>
      </c>
      <c r="C553" s="1">
        <v>35.01</v>
      </c>
      <c r="D553" s="1">
        <v>12</v>
      </c>
      <c r="E553" s="1">
        <v>0</v>
      </c>
      <c r="F553" s="1" cm="1">
        <f t="array" ref="F553">SUM(ABS(B553:E553))</f>
        <v>407.03999999999996</v>
      </c>
      <c r="G553" s="1">
        <v>36.17</v>
      </c>
      <c r="H553" s="1">
        <v>234.93</v>
      </c>
      <c r="I553" s="1">
        <v>-20.63</v>
      </c>
      <c r="J553" s="1">
        <v>122.13</v>
      </c>
      <c r="K553" s="1">
        <v>0</v>
      </c>
      <c r="L553" s="1">
        <v>-16.29</v>
      </c>
      <c r="M553" s="1">
        <v>0</v>
      </c>
      <c r="N553" s="1">
        <v>-15.08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 cm="1">
        <f t="array" ref="V553">SUM(ABS(G553:U553))</f>
        <v>445.23</v>
      </c>
      <c r="W553" s="11" cm="1">
        <f t="array" ref="W553">SUM(ABS(B553:E553))+SUM(ABS(G553:U553))</f>
        <v>852.27</v>
      </c>
    </row>
    <row r="554" spans="1:23" x14ac:dyDescent="0.3">
      <c r="A554" s="14">
        <v>45935.708333333336</v>
      </c>
      <c r="B554" s="1">
        <v>-345.41</v>
      </c>
      <c r="C554" s="1">
        <v>34.979999999999997</v>
      </c>
      <c r="D554" s="1">
        <v>12</v>
      </c>
      <c r="E554" s="1">
        <v>0</v>
      </c>
      <c r="F554" s="1" cm="1">
        <f t="array" ref="F554">SUM(ABS(B554:E554))</f>
        <v>392.39000000000004</v>
      </c>
      <c r="G554" s="1">
        <v>34.380000000000003</v>
      </c>
      <c r="H554" s="1">
        <v>230.03</v>
      </c>
      <c r="I554" s="1">
        <v>-20.63</v>
      </c>
      <c r="J554" s="1">
        <v>133.88</v>
      </c>
      <c r="K554" s="1">
        <v>0</v>
      </c>
      <c r="L554" s="1">
        <v>-16.059999999999999</v>
      </c>
      <c r="M554" s="1">
        <v>0</v>
      </c>
      <c r="N554" s="1">
        <v>-15.1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 cm="1">
        <f t="array" ref="V554">SUM(ABS(G554:U554))</f>
        <v>450.08000000000004</v>
      </c>
      <c r="W554" s="11" cm="1">
        <f t="array" ref="W554">SUM(ABS(B554:E554))+SUM(ABS(G554:U554))</f>
        <v>842.47</v>
      </c>
    </row>
    <row r="555" spans="1:23" x14ac:dyDescent="0.3">
      <c r="A555" s="14">
        <v>45935.71875</v>
      </c>
      <c r="B555" s="1">
        <v>-512.36</v>
      </c>
      <c r="C555" s="1">
        <v>34.979999999999997</v>
      </c>
      <c r="D555" s="1">
        <v>12</v>
      </c>
      <c r="E555" s="1">
        <v>0</v>
      </c>
      <c r="F555" s="1" cm="1">
        <f t="array" ref="F555">SUM(ABS(B555:E555))</f>
        <v>559.34</v>
      </c>
      <c r="G555" s="1">
        <v>30.11</v>
      </c>
      <c r="H555" s="1">
        <v>266.31</v>
      </c>
      <c r="I555" s="1">
        <v>-20.64</v>
      </c>
      <c r="J555" s="1">
        <v>147.15</v>
      </c>
      <c r="K555" s="1">
        <v>0</v>
      </c>
      <c r="L555" s="1">
        <v>-16.55</v>
      </c>
      <c r="M555" s="1">
        <v>0</v>
      </c>
      <c r="N555" s="1">
        <v>-15.12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 cm="1">
        <f t="array" ref="V555">SUM(ABS(G555:U555))</f>
        <v>495.88000000000005</v>
      </c>
      <c r="W555" s="11" cm="1">
        <f t="array" ref="W555">SUM(ABS(B555:E555))+SUM(ABS(G555:U555))</f>
        <v>1055.22</v>
      </c>
    </row>
    <row r="556" spans="1:23" x14ac:dyDescent="0.3">
      <c r="A556" s="14">
        <v>45935.729166666664</v>
      </c>
      <c r="B556" s="1">
        <v>-570.66</v>
      </c>
      <c r="C556" s="1">
        <v>35</v>
      </c>
      <c r="D556" s="1">
        <v>12</v>
      </c>
      <c r="E556" s="1">
        <v>0.17</v>
      </c>
      <c r="F556" s="1" cm="1">
        <f t="array" ref="F556">SUM(ABS(B556:E556))</f>
        <v>617.82999999999993</v>
      </c>
      <c r="G556" s="1">
        <v>30.12</v>
      </c>
      <c r="H556" s="1">
        <v>272.39999999999998</v>
      </c>
      <c r="I556" s="1">
        <v>-20.65</v>
      </c>
      <c r="J556" s="1">
        <v>148.46</v>
      </c>
      <c r="K556" s="1">
        <v>0</v>
      </c>
      <c r="L556" s="1">
        <v>-16.649999999999999</v>
      </c>
      <c r="M556" s="1">
        <v>0</v>
      </c>
      <c r="N556" s="1">
        <v>-15.13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 cm="1">
        <f t="array" ref="V556">SUM(ABS(G556:U556))</f>
        <v>503.40999999999997</v>
      </c>
      <c r="W556" s="11" cm="1">
        <f t="array" ref="W556">SUM(ABS(B556:E556))+SUM(ABS(G556:U556))</f>
        <v>1121.2399999999998</v>
      </c>
    </row>
    <row r="557" spans="1:23" x14ac:dyDescent="0.3">
      <c r="A557" s="14">
        <v>45935.739583333336</v>
      </c>
      <c r="B557" s="1">
        <v>-545.79</v>
      </c>
      <c r="C557" s="1">
        <v>35.01</v>
      </c>
      <c r="D557" s="1">
        <v>12</v>
      </c>
      <c r="E557" s="1">
        <v>11.44</v>
      </c>
      <c r="F557" s="1" cm="1">
        <f t="array" ref="F557">SUM(ABS(B557:E557))</f>
        <v>604.24</v>
      </c>
      <c r="G557" s="1">
        <v>30.1</v>
      </c>
      <c r="H557" s="1">
        <v>272.18</v>
      </c>
      <c r="I557" s="1">
        <v>-20.65</v>
      </c>
      <c r="J557" s="1">
        <v>147.99</v>
      </c>
      <c r="K557" s="1">
        <v>0</v>
      </c>
      <c r="L557" s="1">
        <v>-16.66</v>
      </c>
      <c r="M557" s="1">
        <v>0</v>
      </c>
      <c r="N557" s="1">
        <v>-15.16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 cm="1">
        <f t="array" ref="V557">SUM(ABS(G557:U557))</f>
        <v>502.74000000000007</v>
      </c>
      <c r="W557" s="11" cm="1">
        <f t="array" ref="W557">SUM(ABS(B557:E557))+SUM(ABS(G557:U557))</f>
        <v>1106.98</v>
      </c>
    </row>
    <row r="558" spans="1:23" x14ac:dyDescent="0.3">
      <c r="A558" s="14">
        <v>45935.75</v>
      </c>
      <c r="B558" s="1">
        <v>-333.24</v>
      </c>
      <c r="C558" s="1">
        <v>34.99</v>
      </c>
      <c r="D558" s="1">
        <v>12</v>
      </c>
      <c r="E558" s="1">
        <v>12.71</v>
      </c>
      <c r="F558" s="1" cm="1">
        <f t="array" ref="F558">SUM(ABS(B558:E558))</f>
        <v>392.94</v>
      </c>
      <c r="G558" s="1">
        <v>30.13</v>
      </c>
      <c r="H558" s="1">
        <v>261</v>
      </c>
      <c r="I558" s="1">
        <v>-26.97</v>
      </c>
      <c r="J558" s="1">
        <v>142.91999999999999</v>
      </c>
      <c r="K558" s="1">
        <v>4.8499999999999996</v>
      </c>
      <c r="L558" s="1">
        <v>-16.13</v>
      </c>
      <c r="M558" s="1">
        <v>0</v>
      </c>
      <c r="N558" s="1">
        <v>-15.14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 cm="1">
        <f t="array" ref="V558">SUM(ABS(G558:U558))</f>
        <v>497.14</v>
      </c>
      <c r="W558" s="11" cm="1">
        <f t="array" ref="W558">SUM(ABS(B558:E558))+SUM(ABS(G558:U558))</f>
        <v>890.07999999999993</v>
      </c>
    </row>
    <row r="559" spans="1:23" x14ac:dyDescent="0.3">
      <c r="A559" s="14">
        <v>45935.760416666664</v>
      </c>
      <c r="B559" s="1">
        <v>-227.77</v>
      </c>
      <c r="C559" s="1">
        <v>35.04</v>
      </c>
      <c r="D559" s="1">
        <v>22</v>
      </c>
      <c r="E559" s="1">
        <v>18.05</v>
      </c>
      <c r="F559" s="1" cm="1">
        <f t="array" ref="F559">SUM(ABS(B559:E559))</f>
        <v>302.86</v>
      </c>
      <c r="G559" s="1">
        <v>30.12</v>
      </c>
      <c r="H559" s="1">
        <v>268.52999999999997</v>
      </c>
      <c r="I559" s="1">
        <v>-41.46</v>
      </c>
      <c r="J559" s="1">
        <v>144.69</v>
      </c>
      <c r="K559" s="1">
        <v>47.41</v>
      </c>
      <c r="L559" s="1">
        <v>-19</v>
      </c>
      <c r="M559" s="1">
        <v>0</v>
      </c>
      <c r="N559" s="1">
        <v>-23.13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 cm="1">
        <f t="array" ref="V559">SUM(ABS(G559:U559))</f>
        <v>574.33999999999992</v>
      </c>
      <c r="W559" s="11" cm="1">
        <f t="array" ref="W559">SUM(ABS(B559:E559))+SUM(ABS(G559:U559))</f>
        <v>877.19999999999993</v>
      </c>
    </row>
    <row r="560" spans="1:23" x14ac:dyDescent="0.3">
      <c r="A560" s="14">
        <v>45935.770833333336</v>
      </c>
      <c r="B560" s="1">
        <v>-453.27</v>
      </c>
      <c r="C560" s="1">
        <v>35.06</v>
      </c>
      <c r="D560" s="1">
        <v>48.57</v>
      </c>
      <c r="E560" s="1">
        <v>19.600000000000001</v>
      </c>
      <c r="F560" s="1" cm="1">
        <f t="array" ref="F560">SUM(ABS(B560:E560))</f>
        <v>556.5</v>
      </c>
      <c r="G560" s="1">
        <v>49.73</v>
      </c>
      <c r="H560" s="1">
        <v>270.97000000000003</v>
      </c>
      <c r="I560" s="1">
        <v>-53.81</v>
      </c>
      <c r="J560" s="1">
        <v>148.72999999999999</v>
      </c>
      <c r="K560" s="1">
        <v>58.09</v>
      </c>
      <c r="L560" s="1">
        <v>-31.24</v>
      </c>
      <c r="M560" s="1">
        <v>0</v>
      </c>
      <c r="N560" s="1">
        <v>-30.71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 cm="1">
        <f t="array" ref="V560">SUM(ABS(G560:U560))</f>
        <v>643.28000000000009</v>
      </c>
      <c r="W560" s="11" cm="1">
        <f t="array" ref="W560">SUM(ABS(B560:E560))+SUM(ABS(G560:U560))</f>
        <v>1199.7800000000002</v>
      </c>
    </row>
    <row r="561" spans="1:23" x14ac:dyDescent="0.3">
      <c r="A561" s="14">
        <v>45935.78125</v>
      </c>
      <c r="B561" s="1">
        <v>-521.37</v>
      </c>
      <c r="C561" s="1">
        <v>35.08</v>
      </c>
      <c r="D561" s="1">
        <v>50.18</v>
      </c>
      <c r="E561" s="1">
        <v>32.020000000000003</v>
      </c>
      <c r="F561" s="1" cm="1">
        <f t="array" ref="F561">SUM(ABS(B561:E561))</f>
        <v>638.65</v>
      </c>
      <c r="G561" s="1">
        <v>54.24</v>
      </c>
      <c r="H561" s="1">
        <v>269.18</v>
      </c>
      <c r="I561" s="1">
        <v>-54.41</v>
      </c>
      <c r="J561" s="1">
        <v>164.62</v>
      </c>
      <c r="K561" s="1">
        <v>104.2</v>
      </c>
      <c r="L561" s="1">
        <v>-33.049999999999997</v>
      </c>
      <c r="M561" s="1">
        <v>0</v>
      </c>
      <c r="N561" s="1">
        <v>-30.71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 cm="1">
        <f t="array" ref="V561">SUM(ABS(G561:U561))</f>
        <v>710.41000000000008</v>
      </c>
      <c r="W561" s="11" cm="1">
        <f t="array" ref="W561">SUM(ABS(B561:E561))+SUM(ABS(G561:U561))</f>
        <v>1349.06</v>
      </c>
    </row>
    <row r="562" spans="1:23" x14ac:dyDescent="0.3">
      <c r="A562" s="14">
        <v>45935.791666666664</v>
      </c>
      <c r="B562" s="1">
        <v>-640.09</v>
      </c>
      <c r="C562" s="1">
        <v>35.11</v>
      </c>
      <c r="D562" s="1">
        <v>66.319999999999993</v>
      </c>
      <c r="E562" s="1">
        <v>38.01</v>
      </c>
      <c r="F562" s="1" cm="1">
        <f t="array" ref="F562">SUM(ABS(B562:E562))</f>
        <v>779.53</v>
      </c>
      <c r="G562" s="1">
        <v>54.24</v>
      </c>
      <c r="H562" s="1">
        <v>271.66000000000003</v>
      </c>
      <c r="I562" s="1">
        <v>-54.45</v>
      </c>
      <c r="J562" s="1">
        <v>166.74</v>
      </c>
      <c r="K562" s="1">
        <v>112.72</v>
      </c>
      <c r="L562" s="1">
        <v>-33.54</v>
      </c>
      <c r="M562" s="1">
        <v>0</v>
      </c>
      <c r="N562" s="1">
        <v>-30.74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 cm="1">
        <f t="array" ref="V562">SUM(ABS(G562:U562))</f>
        <v>724.09</v>
      </c>
      <c r="W562" s="11" cm="1">
        <f t="array" ref="W562">SUM(ABS(B562:E562))+SUM(ABS(G562:U562))</f>
        <v>1503.62</v>
      </c>
    </row>
    <row r="563" spans="1:23" x14ac:dyDescent="0.3">
      <c r="A563" s="14">
        <v>45935.802083333336</v>
      </c>
      <c r="B563" s="1">
        <v>-731.73</v>
      </c>
      <c r="C563" s="1">
        <v>35.119999999999997</v>
      </c>
      <c r="D563" s="1">
        <v>66.31</v>
      </c>
      <c r="E563" s="1">
        <v>38.049999999999997</v>
      </c>
      <c r="F563" s="1" cm="1">
        <f t="array" ref="F563">SUM(ABS(B563:E563))</f>
        <v>871.21</v>
      </c>
      <c r="G563" s="1">
        <v>54.24</v>
      </c>
      <c r="H563" s="1">
        <v>272.45999999999998</v>
      </c>
      <c r="I563" s="1">
        <v>-54.46</v>
      </c>
      <c r="J563" s="1">
        <v>169.58</v>
      </c>
      <c r="K563" s="1">
        <v>112.85</v>
      </c>
      <c r="L563" s="1">
        <v>-33.79</v>
      </c>
      <c r="M563" s="1">
        <v>0</v>
      </c>
      <c r="N563" s="1">
        <v>-30.74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 cm="1">
        <f t="array" ref="V563">SUM(ABS(G563:U563))</f>
        <v>728.12</v>
      </c>
      <c r="W563" s="11" cm="1">
        <f t="array" ref="W563">SUM(ABS(B563:E563))+SUM(ABS(G563:U563))</f>
        <v>1599.33</v>
      </c>
    </row>
    <row r="564" spans="1:23" x14ac:dyDescent="0.3">
      <c r="A564" s="14">
        <v>45935.8125</v>
      </c>
      <c r="B564" s="1">
        <v>-734.61</v>
      </c>
      <c r="C564" s="1">
        <v>35.130000000000003</v>
      </c>
      <c r="D564" s="1">
        <v>66.290000000000006</v>
      </c>
      <c r="E564" s="1">
        <v>38.049999999999997</v>
      </c>
      <c r="F564" s="1" cm="1">
        <f t="array" ref="F564">SUM(ABS(B564:E564))</f>
        <v>874.07999999999993</v>
      </c>
      <c r="G564" s="1">
        <v>54.24</v>
      </c>
      <c r="H564" s="1">
        <v>272.58999999999997</v>
      </c>
      <c r="I564" s="1">
        <v>-54.46</v>
      </c>
      <c r="J564" s="1">
        <v>167.85</v>
      </c>
      <c r="K564" s="1">
        <v>112.73</v>
      </c>
      <c r="L564" s="1">
        <v>-33.74</v>
      </c>
      <c r="M564" s="1">
        <v>0</v>
      </c>
      <c r="N564" s="1">
        <v>-30.72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 cm="1">
        <f t="array" ref="V564">SUM(ABS(G564:U564))</f>
        <v>726.33</v>
      </c>
      <c r="W564" s="11" cm="1">
        <f t="array" ref="W564">SUM(ABS(B564:E564))+SUM(ABS(G564:U564))</f>
        <v>1600.4099999999999</v>
      </c>
    </row>
    <row r="565" spans="1:23" x14ac:dyDescent="0.3">
      <c r="A565" s="14">
        <v>45935.822916666664</v>
      </c>
      <c r="B565" s="1">
        <v>-733.72</v>
      </c>
      <c r="C565" s="1">
        <v>35.119999999999997</v>
      </c>
      <c r="D565" s="1">
        <v>66.290000000000006</v>
      </c>
      <c r="E565" s="1">
        <v>38</v>
      </c>
      <c r="F565" s="1" cm="1">
        <f t="array" ref="F565">SUM(ABS(B565:E565))</f>
        <v>873.13</v>
      </c>
      <c r="G565" s="1">
        <v>54.24</v>
      </c>
      <c r="H565" s="1">
        <v>272.64</v>
      </c>
      <c r="I565" s="1">
        <v>-54.5</v>
      </c>
      <c r="J565" s="1">
        <v>166.57</v>
      </c>
      <c r="K565" s="1">
        <v>112.62</v>
      </c>
      <c r="L565" s="1">
        <v>-33.51</v>
      </c>
      <c r="M565" s="1">
        <v>0</v>
      </c>
      <c r="N565" s="1">
        <v>-30.73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 cm="1">
        <f t="array" ref="V565">SUM(ABS(G565:U565))</f>
        <v>724.81000000000006</v>
      </c>
      <c r="W565" s="11" cm="1">
        <f t="array" ref="W565">SUM(ABS(B565:E565))+SUM(ABS(G565:U565))</f>
        <v>1597.94</v>
      </c>
    </row>
    <row r="566" spans="1:23" x14ac:dyDescent="0.3">
      <c r="A566" s="14">
        <v>45935.833333333336</v>
      </c>
      <c r="B566" s="1">
        <v>-730.37</v>
      </c>
      <c r="C566" s="1">
        <v>35.119999999999997</v>
      </c>
      <c r="D566" s="1">
        <v>66.27</v>
      </c>
      <c r="E566" s="1">
        <v>37.97</v>
      </c>
      <c r="F566" s="1" cm="1">
        <f t="array" ref="F566">SUM(ABS(B566:E566))</f>
        <v>869.73</v>
      </c>
      <c r="G566" s="1">
        <v>54.25</v>
      </c>
      <c r="H566" s="1">
        <v>271.48</v>
      </c>
      <c r="I566" s="1">
        <v>-54.49</v>
      </c>
      <c r="J566" s="1">
        <v>165.35</v>
      </c>
      <c r="K566" s="1">
        <v>112.5</v>
      </c>
      <c r="L566" s="1">
        <v>-33.26</v>
      </c>
      <c r="M566" s="1">
        <v>0</v>
      </c>
      <c r="N566" s="1">
        <v>-30.75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 cm="1">
        <f t="array" ref="V566">SUM(ABS(G566:U566))</f>
        <v>722.08</v>
      </c>
      <c r="W566" s="11" cm="1">
        <f t="array" ref="W566">SUM(ABS(B566:E566))+SUM(ABS(G566:U566))</f>
        <v>1591.81</v>
      </c>
    </row>
    <row r="567" spans="1:23" x14ac:dyDescent="0.3">
      <c r="A567" s="14">
        <v>45935.84375</v>
      </c>
      <c r="B567" s="1">
        <v>-731.64</v>
      </c>
      <c r="C567" s="1">
        <v>35.119999999999997</v>
      </c>
      <c r="D567" s="1">
        <v>66.260000000000005</v>
      </c>
      <c r="E567" s="1">
        <v>37.979999999999997</v>
      </c>
      <c r="F567" s="1" cm="1">
        <f t="array" ref="F567">SUM(ABS(B567:E567))</f>
        <v>871</v>
      </c>
      <c r="G567" s="1">
        <v>54.23</v>
      </c>
      <c r="H567" s="1">
        <v>271.86</v>
      </c>
      <c r="I567" s="1">
        <v>-54.49</v>
      </c>
      <c r="J567" s="1">
        <v>165.79</v>
      </c>
      <c r="K567" s="1">
        <v>112.35</v>
      </c>
      <c r="L567" s="1">
        <v>-33.33</v>
      </c>
      <c r="M567" s="1">
        <v>0</v>
      </c>
      <c r="N567" s="1">
        <v>-30.74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 cm="1">
        <f t="array" ref="V567">SUM(ABS(G567:U567))</f>
        <v>722.79000000000008</v>
      </c>
      <c r="W567" s="11" cm="1">
        <f t="array" ref="W567">SUM(ABS(B567:E567))+SUM(ABS(G567:U567))</f>
        <v>1593.79</v>
      </c>
    </row>
    <row r="568" spans="1:23" x14ac:dyDescent="0.3">
      <c r="A568" s="14">
        <v>45935.854166666664</v>
      </c>
      <c r="B568" s="1">
        <v>-735.88</v>
      </c>
      <c r="C568" s="1">
        <v>35.15</v>
      </c>
      <c r="D568" s="1">
        <v>65.19</v>
      </c>
      <c r="E568" s="1">
        <v>37.979999999999997</v>
      </c>
      <c r="F568" s="1" cm="1">
        <f t="array" ref="F568">SUM(ABS(B568:E568))</f>
        <v>874.2</v>
      </c>
      <c r="G568" s="1">
        <v>54.25</v>
      </c>
      <c r="H568" s="1">
        <v>272.36</v>
      </c>
      <c r="I568" s="1">
        <v>-54.51</v>
      </c>
      <c r="J568" s="1">
        <v>163.72999999999999</v>
      </c>
      <c r="K568" s="1">
        <v>111.4</v>
      </c>
      <c r="L568" s="1">
        <v>-33.61</v>
      </c>
      <c r="M568" s="1">
        <v>0</v>
      </c>
      <c r="N568" s="1">
        <v>-30.77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 cm="1">
        <f t="array" ref="V568">SUM(ABS(G568:U568))</f>
        <v>720.63</v>
      </c>
      <c r="W568" s="11" cm="1">
        <f t="array" ref="W568">SUM(ABS(B568:E568))+SUM(ABS(G568:U568))</f>
        <v>1594.83</v>
      </c>
    </row>
    <row r="569" spans="1:23" x14ac:dyDescent="0.3">
      <c r="A569" s="14">
        <v>45935.864583333336</v>
      </c>
      <c r="B569" s="1">
        <v>-714.94</v>
      </c>
      <c r="C569" s="1">
        <v>35.159999999999997</v>
      </c>
      <c r="D569" s="1">
        <v>51.06</v>
      </c>
      <c r="E569" s="1">
        <v>38.049999999999997</v>
      </c>
      <c r="F569" s="1" cm="1">
        <f t="array" ref="F569">SUM(ABS(B569:E569))</f>
        <v>839.21</v>
      </c>
      <c r="G569" s="1">
        <v>54.24</v>
      </c>
      <c r="H569" s="1">
        <v>271.88</v>
      </c>
      <c r="I569" s="1">
        <v>-54.48</v>
      </c>
      <c r="J569" s="1">
        <v>146.65</v>
      </c>
      <c r="K569" s="1">
        <v>101.54</v>
      </c>
      <c r="L569" s="1">
        <v>-33.53</v>
      </c>
      <c r="M569" s="1">
        <v>0</v>
      </c>
      <c r="N569" s="1">
        <v>-30.73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 cm="1">
        <f t="array" ref="V569">SUM(ABS(G569:U569))</f>
        <v>693.05</v>
      </c>
      <c r="W569" s="11" cm="1">
        <f t="array" ref="W569">SUM(ABS(B569:E569))+SUM(ABS(G569:U569))</f>
        <v>1532.26</v>
      </c>
    </row>
    <row r="570" spans="1:23" x14ac:dyDescent="0.3">
      <c r="A570" s="14">
        <v>45935.875</v>
      </c>
      <c r="B570" s="1">
        <v>-729.05</v>
      </c>
      <c r="C570" s="1">
        <v>35.15</v>
      </c>
      <c r="D570" s="1">
        <v>48.61</v>
      </c>
      <c r="E570" s="1">
        <v>38.01</v>
      </c>
      <c r="F570" s="1" cm="1">
        <f t="array" ref="F570">SUM(ABS(B570:E570))</f>
        <v>850.81999999999994</v>
      </c>
      <c r="G570" s="1">
        <v>54.25</v>
      </c>
      <c r="H570" s="1">
        <v>268.92</v>
      </c>
      <c r="I570" s="1">
        <v>-54.46</v>
      </c>
      <c r="J570" s="1">
        <v>144.22999999999999</v>
      </c>
      <c r="K570" s="1">
        <v>101.15</v>
      </c>
      <c r="L570" s="1">
        <v>-44.71</v>
      </c>
      <c r="M570" s="1">
        <v>0</v>
      </c>
      <c r="N570" s="1">
        <v>-30.73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 cm="1">
        <f t="array" ref="V570">SUM(ABS(G570:U570))</f>
        <v>698.45</v>
      </c>
      <c r="W570" s="11" cm="1">
        <f t="array" ref="W570">SUM(ABS(B570:E570))+SUM(ABS(G570:U570))</f>
        <v>1549.27</v>
      </c>
    </row>
    <row r="571" spans="1:23" x14ac:dyDescent="0.3">
      <c r="A571" s="14">
        <v>45935.885416666664</v>
      </c>
      <c r="B571" s="1">
        <v>-658.62</v>
      </c>
      <c r="C571" s="1">
        <v>35.18</v>
      </c>
      <c r="D571" s="1">
        <v>48.61</v>
      </c>
      <c r="E571" s="1">
        <v>38.020000000000003</v>
      </c>
      <c r="F571" s="1" cm="1">
        <f t="array" ref="F571">SUM(ABS(B571:E571))</f>
        <v>780.43</v>
      </c>
      <c r="G571" s="1">
        <v>54.26</v>
      </c>
      <c r="H571" s="1">
        <v>268.54000000000002</v>
      </c>
      <c r="I571" s="1">
        <v>-54.45</v>
      </c>
      <c r="J571" s="1">
        <v>144.07</v>
      </c>
      <c r="K571" s="1">
        <v>101.14</v>
      </c>
      <c r="L571" s="1">
        <v>-57.8</v>
      </c>
      <c r="M571" s="1">
        <v>0</v>
      </c>
      <c r="N571" s="1">
        <v>-30.69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 cm="1">
        <f t="array" ref="V571">SUM(ABS(G571:U571))</f>
        <v>710.94999999999993</v>
      </c>
      <c r="W571" s="11" cm="1">
        <f t="array" ref="W571">SUM(ABS(B571:E571))+SUM(ABS(G571:U571))</f>
        <v>1491.3799999999999</v>
      </c>
    </row>
    <row r="572" spans="1:23" x14ac:dyDescent="0.3">
      <c r="A572" s="14">
        <v>45935.895833333336</v>
      </c>
      <c r="B572" s="1">
        <v>-717.31</v>
      </c>
      <c r="C572" s="1">
        <v>35.200000000000003</v>
      </c>
      <c r="D572" s="1">
        <v>48.6</v>
      </c>
      <c r="E572" s="1">
        <v>38.020000000000003</v>
      </c>
      <c r="F572" s="1" cm="1">
        <f t="array" ref="F572">SUM(ABS(B572:E572))</f>
        <v>839.13</v>
      </c>
      <c r="G572" s="1">
        <v>54.25</v>
      </c>
      <c r="H572" s="1">
        <v>268.01</v>
      </c>
      <c r="I572" s="1">
        <v>-54.47</v>
      </c>
      <c r="J572" s="1">
        <v>143.75</v>
      </c>
      <c r="K572" s="1">
        <v>91.99</v>
      </c>
      <c r="L572" s="1">
        <v>-57.71</v>
      </c>
      <c r="M572" s="1">
        <v>0</v>
      </c>
      <c r="N572" s="1">
        <v>-30.67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 cm="1">
        <f t="array" ref="V572">SUM(ABS(G572:U572))</f>
        <v>700.85</v>
      </c>
      <c r="W572" s="11" cm="1">
        <f t="array" ref="W572">SUM(ABS(B572:E572))+SUM(ABS(G572:U572))</f>
        <v>1539.98</v>
      </c>
    </row>
    <row r="573" spans="1:23" x14ac:dyDescent="0.3">
      <c r="A573" s="14">
        <v>45935.90625</v>
      </c>
      <c r="B573" s="1">
        <v>-734.4</v>
      </c>
      <c r="C573" s="1">
        <v>35.22</v>
      </c>
      <c r="D573" s="1">
        <v>59.26</v>
      </c>
      <c r="E573" s="1">
        <v>38.020000000000003</v>
      </c>
      <c r="F573" s="1" cm="1">
        <f t="array" ref="F573">SUM(ABS(B573:E573))</f>
        <v>866.9</v>
      </c>
      <c r="G573" s="1">
        <v>54.26</v>
      </c>
      <c r="H573" s="1">
        <v>270.02</v>
      </c>
      <c r="I573" s="1">
        <v>-54.46</v>
      </c>
      <c r="J573" s="1">
        <v>161.66</v>
      </c>
      <c r="K573" s="1">
        <v>103.91</v>
      </c>
      <c r="L573" s="1">
        <v>-57.9</v>
      </c>
      <c r="M573" s="1">
        <v>0</v>
      </c>
      <c r="N573" s="1">
        <v>-30.69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 cm="1">
        <f t="array" ref="V573">SUM(ABS(G573:U573))</f>
        <v>732.9</v>
      </c>
      <c r="W573" s="11" cm="1">
        <f t="array" ref="W573">SUM(ABS(B573:E573))+SUM(ABS(G573:U573))</f>
        <v>1599.8</v>
      </c>
    </row>
    <row r="574" spans="1:23" x14ac:dyDescent="0.3">
      <c r="A574" s="14">
        <v>45935.916666666664</v>
      </c>
      <c r="B574" s="1">
        <v>-738.05</v>
      </c>
      <c r="C574" s="1">
        <v>35.44</v>
      </c>
      <c r="D574" s="1">
        <v>66.3</v>
      </c>
      <c r="E574" s="1">
        <v>38.04</v>
      </c>
      <c r="F574" s="1" cm="1">
        <f t="array" ref="F574">SUM(ABS(B574:E574))</f>
        <v>877.82999999999993</v>
      </c>
      <c r="G574" s="1">
        <v>54.27</v>
      </c>
      <c r="H574" s="1">
        <v>271.32</v>
      </c>
      <c r="I574" s="1">
        <v>-54.49</v>
      </c>
      <c r="J574" s="1">
        <v>166.22</v>
      </c>
      <c r="K574" s="1">
        <v>113.06</v>
      </c>
      <c r="L574" s="1">
        <v>-58.14</v>
      </c>
      <c r="M574" s="1">
        <v>0</v>
      </c>
      <c r="N574" s="1">
        <v>-30.71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 cm="1">
        <f t="array" ref="V574">SUM(ABS(G574:U574))</f>
        <v>748.20999999999992</v>
      </c>
      <c r="W574" s="11" cm="1">
        <f t="array" ref="W574">SUM(ABS(B574:E574))+SUM(ABS(G574:U574))</f>
        <v>1626.04</v>
      </c>
    </row>
    <row r="575" spans="1:23" x14ac:dyDescent="0.3">
      <c r="A575" s="14">
        <v>45935.927083333336</v>
      </c>
      <c r="B575" s="1">
        <v>-739.96</v>
      </c>
      <c r="C575" s="1">
        <v>35.69</v>
      </c>
      <c r="D575" s="1">
        <v>66.33</v>
      </c>
      <c r="E575" s="1">
        <v>38.03</v>
      </c>
      <c r="F575" s="1" cm="1">
        <f t="array" ref="F575">SUM(ABS(B575:E575))</f>
        <v>880.0100000000001</v>
      </c>
      <c r="G575" s="1">
        <v>54.27</v>
      </c>
      <c r="H575" s="1">
        <v>272.51</v>
      </c>
      <c r="I575" s="1">
        <v>-54.51</v>
      </c>
      <c r="J575" s="1">
        <v>168.08</v>
      </c>
      <c r="K575" s="1">
        <v>111.49</v>
      </c>
      <c r="L575" s="1">
        <v>-58.47</v>
      </c>
      <c r="M575" s="1">
        <v>0</v>
      </c>
      <c r="N575" s="1">
        <v>-30.69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 cm="1">
        <f t="array" ref="V575">SUM(ABS(G575:U575))</f>
        <v>750.0200000000001</v>
      </c>
      <c r="W575" s="11" cm="1">
        <f t="array" ref="W575">SUM(ABS(B575:E575))+SUM(ABS(G575:U575))</f>
        <v>1630.0300000000002</v>
      </c>
    </row>
    <row r="576" spans="1:23" x14ac:dyDescent="0.3">
      <c r="A576" s="14">
        <v>45935.9375</v>
      </c>
      <c r="B576" s="1">
        <v>-740.47</v>
      </c>
      <c r="C576" s="1">
        <v>35.71</v>
      </c>
      <c r="D576" s="1">
        <v>66.349999999999994</v>
      </c>
      <c r="E576" s="1">
        <v>38.07</v>
      </c>
      <c r="F576" s="1" cm="1">
        <f t="array" ref="F576">SUM(ABS(B576:E576))</f>
        <v>880.60000000000014</v>
      </c>
      <c r="G576" s="1">
        <v>54.28</v>
      </c>
      <c r="H576" s="1">
        <v>272.42</v>
      </c>
      <c r="I576" s="1">
        <v>-54.56</v>
      </c>
      <c r="J576" s="1">
        <v>168.75</v>
      </c>
      <c r="K576" s="1">
        <v>111.5</v>
      </c>
      <c r="L576" s="1">
        <v>-58.32</v>
      </c>
      <c r="M576" s="1">
        <v>0</v>
      </c>
      <c r="N576" s="1">
        <v>-30.73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 cm="1">
        <f t="array" ref="V576">SUM(ABS(G576:U576))</f>
        <v>750.56000000000006</v>
      </c>
      <c r="W576" s="11" cm="1">
        <f t="array" ref="W576">SUM(ABS(B576:E576))+SUM(ABS(G576:U576))</f>
        <v>1631.1600000000003</v>
      </c>
    </row>
    <row r="577" spans="1:23" x14ac:dyDescent="0.3">
      <c r="A577" s="14">
        <v>45935.947916666664</v>
      </c>
      <c r="B577" s="1">
        <v>-733.92</v>
      </c>
      <c r="C577" s="1">
        <v>35.729999999999997</v>
      </c>
      <c r="D577" s="1">
        <v>66.349999999999994</v>
      </c>
      <c r="E577" s="1">
        <v>38.03</v>
      </c>
      <c r="F577" s="1" cm="1">
        <f t="array" ref="F577">SUM(ABS(B577:E577))</f>
        <v>874.03</v>
      </c>
      <c r="G577" s="1">
        <v>54.27</v>
      </c>
      <c r="H577" s="1">
        <v>272.54000000000002</v>
      </c>
      <c r="I577" s="1">
        <v>-54.56</v>
      </c>
      <c r="J577" s="1">
        <v>168.15</v>
      </c>
      <c r="K577" s="1">
        <v>111.47</v>
      </c>
      <c r="L577" s="1">
        <v>-58.49</v>
      </c>
      <c r="M577" s="1">
        <v>0</v>
      </c>
      <c r="N577" s="1">
        <v>-30.69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 cm="1">
        <f t="array" ref="V577">SUM(ABS(G577:U577))</f>
        <v>750.17000000000007</v>
      </c>
      <c r="W577" s="11" cm="1">
        <f t="array" ref="W577">SUM(ABS(B577:E577))+SUM(ABS(G577:U577))</f>
        <v>1624.2</v>
      </c>
    </row>
    <row r="578" spans="1:23" x14ac:dyDescent="0.3">
      <c r="A578" s="14">
        <v>45935.958333333336</v>
      </c>
      <c r="B578" s="1">
        <v>-731.44</v>
      </c>
      <c r="C578" s="1">
        <v>35.75</v>
      </c>
      <c r="D578" s="1">
        <v>66.319999999999993</v>
      </c>
      <c r="E578" s="1">
        <v>38.03</v>
      </c>
      <c r="F578" s="1" cm="1">
        <f t="array" ref="F578">SUM(ABS(B578:E578))</f>
        <v>871.54</v>
      </c>
      <c r="G578" s="1">
        <v>54.26</v>
      </c>
      <c r="H578" s="1">
        <v>272.52999999999997</v>
      </c>
      <c r="I578" s="1">
        <v>-54.52</v>
      </c>
      <c r="J578" s="1">
        <v>166.56</v>
      </c>
      <c r="K578" s="1">
        <v>111.35</v>
      </c>
      <c r="L578" s="1">
        <v>-58.16</v>
      </c>
      <c r="M578" s="1">
        <v>0</v>
      </c>
      <c r="N578" s="1">
        <v>-30.69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 cm="1">
        <f t="array" ref="V578">SUM(ABS(G578:U578))</f>
        <v>748.06999999999994</v>
      </c>
      <c r="W578" s="11" cm="1">
        <f t="array" ref="W578">SUM(ABS(B578:E578))+SUM(ABS(G578:U578))</f>
        <v>1619.61</v>
      </c>
    </row>
    <row r="579" spans="1:23" x14ac:dyDescent="0.3">
      <c r="A579" s="14">
        <v>45935.96875</v>
      </c>
      <c r="B579" s="1">
        <v>-730.92</v>
      </c>
      <c r="C579" s="1">
        <v>35.72</v>
      </c>
      <c r="D579" s="1">
        <v>66.3</v>
      </c>
      <c r="E579" s="1">
        <v>37.99</v>
      </c>
      <c r="F579" s="1" cm="1">
        <f t="array" ref="F579">SUM(ABS(B579:E579))</f>
        <v>870.93</v>
      </c>
      <c r="G579" s="1">
        <v>54.25</v>
      </c>
      <c r="H579" s="1">
        <v>272.48</v>
      </c>
      <c r="I579" s="1">
        <v>-54.48</v>
      </c>
      <c r="J579" s="1">
        <v>165.81</v>
      </c>
      <c r="K579" s="1">
        <v>111.17</v>
      </c>
      <c r="L579" s="1">
        <v>-57.79</v>
      </c>
      <c r="M579" s="1">
        <v>0</v>
      </c>
      <c r="N579" s="1">
        <v>-30.68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 cm="1">
        <f t="array" ref="V579">SUM(ABS(G579:U579))</f>
        <v>746.65999999999985</v>
      </c>
      <c r="W579" s="11" cm="1">
        <f t="array" ref="W579">SUM(ABS(B579:E579))+SUM(ABS(G579:U579))</f>
        <v>1617.5899999999997</v>
      </c>
    </row>
    <row r="580" spans="1:23" x14ac:dyDescent="0.3">
      <c r="A580" s="14">
        <v>45935.979166666664</v>
      </c>
      <c r="B580" s="1">
        <v>-730.02</v>
      </c>
      <c r="C580" s="1">
        <v>35.68</v>
      </c>
      <c r="D580" s="1">
        <v>66.28</v>
      </c>
      <c r="E580" s="1">
        <v>38.049999999999997</v>
      </c>
      <c r="F580" s="1" cm="1">
        <f t="array" ref="F580">SUM(ABS(B580:E580))</f>
        <v>870.02999999999986</v>
      </c>
      <c r="G580" s="1">
        <v>54.24</v>
      </c>
      <c r="H580" s="1">
        <v>271.83999999999997</v>
      </c>
      <c r="I580" s="1">
        <v>-54.43</v>
      </c>
      <c r="J580" s="1">
        <v>165.13</v>
      </c>
      <c r="K580" s="1">
        <v>111.03</v>
      </c>
      <c r="L580" s="1">
        <v>-57.69</v>
      </c>
      <c r="M580" s="1">
        <v>0</v>
      </c>
      <c r="N580" s="1">
        <v>-30.69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 cm="1">
        <f t="array" ref="V580">SUM(ABS(G580:U580))</f>
        <v>745.05</v>
      </c>
      <c r="W580" s="11" cm="1">
        <f t="array" ref="W580">SUM(ABS(B580:E580))+SUM(ABS(G580:U580))</f>
        <v>1615.08</v>
      </c>
    </row>
    <row r="581" spans="1:23" x14ac:dyDescent="0.3">
      <c r="A581" s="14">
        <v>45935.989583333336</v>
      </c>
      <c r="B581" s="1">
        <v>-728.34</v>
      </c>
      <c r="C581" s="1">
        <v>35.659999999999997</v>
      </c>
      <c r="D581" s="1">
        <v>66.27</v>
      </c>
      <c r="E581" s="1">
        <v>38.03</v>
      </c>
      <c r="F581" s="1" cm="1">
        <f t="array" ref="F581">SUM(ABS(B581:E581))</f>
        <v>868.3</v>
      </c>
      <c r="G581" s="1">
        <v>54.25</v>
      </c>
      <c r="H581" s="1">
        <v>270.98</v>
      </c>
      <c r="I581" s="1">
        <v>-54.42</v>
      </c>
      <c r="J581" s="1">
        <v>164.4</v>
      </c>
      <c r="K581" s="1">
        <v>110.93</v>
      </c>
      <c r="L581" s="1">
        <v>-57.59</v>
      </c>
      <c r="M581" s="1">
        <v>0</v>
      </c>
      <c r="N581" s="1">
        <v>-30.71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 cm="1">
        <f t="array" ref="V581">SUM(ABS(G581:U581))</f>
        <v>743.28000000000009</v>
      </c>
      <c r="W581" s="11" cm="1">
        <f t="array" ref="W581">SUM(ABS(B581:E581))+SUM(ABS(G581:U581))</f>
        <v>1611.58</v>
      </c>
    </row>
    <row r="582" spans="1:23" x14ac:dyDescent="0.3">
      <c r="A582" s="14">
        <v>45966</v>
      </c>
      <c r="B582" s="1">
        <v>-733.73</v>
      </c>
      <c r="C582" s="1">
        <v>35.71</v>
      </c>
      <c r="D582" s="1">
        <v>66.290000000000006</v>
      </c>
      <c r="E582" s="1">
        <v>38.04</v>
      </c>
      <c r="F582" s="1" cm="1">
        <f t="array" ref="F582">SUM(ABS(B582:E582))</f>
        <v>873.77</v>
      </c>
      <c r="G582" s="1">
        <v>54.24</v>
      </c>
      <c r="H582" s="1">
        <v>272.13</v>
      </c>
      <c r="I582" s="1">
        <v>-54.42</v>
      </c>
      <c r="J582" s="1">
        <v>165.37</v>
      </c>
      <c r="K582" s="1">
        <v>112</v>
      </c>
      <c r="L582" s="1">
        <v>-57.67</v>
      </c>
      <c r="M582" s="1">
        <v>0</v>
      </c>
      <c r="N582" s="1">
        <v>-30.72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 cm="1">
        <f t="array" ref="V582">SUM(ABS(G582:U582))</f>
        <v>746.55000000000007</v>
      </c>
      <c r="W582" s="11" cm="1">
        <f t="array" ref="W582">SUM(ABS(B582:E582))+SUM(ABS(G582:U582))</f>
        <v>1620.3200000000002</v>
      </c>
    </row>
    <row r="583" spans="1:23" x14ac:dyDescent="0.3">
      <c r="A583" s="14">
        <v>45966.010416666664</v>
      </c>
      <c r="B583" s="1">
        <v>-731.78</v>
      </c>
      <c r="C583" s="1">
        <v>35.700000000000003</v>
      </c>
      <c r="D583" s="1">
        <v>66.28</v>
      </c>
      <c r="E583" s="1">
        <v>38.020000000000003</v>
      </c>
      <c r="F583" s="1" cm="1">
        <f t="array" ref="F583">SUM(ABS(B583:E583))</f>
        <v>871.78</v>
      </c>
      <c r="G583" s="1">
        <v>54.25</v>
      </c>
      <c r="H583" s="1">
        <v>272.58</v>
      </c>
      <c r="I583" s="1">
        <v>-54.43</v>
      </c>
      <c r="J583" s="1">
        <v>166.67</v>
      </c>
      <c r="K583" s="1">
        <v>112.19</v>
      </c>
      <c r="L583" s="1">
        <v>-57.81</v>
      </c>
      <c r="M583" s="1">
        <v>0</v>
      </c>
      <c r="N583" s="1">
        <v>-30.72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 cm="1">
        <f t="array" ref="V583">SUM(ABS(G583:U583))</f>
        <v>748.64999999999986</v>
      </c>
      <c r="W583" s="11" cm="1">
        <f t="array" ref="W583">SUM(ABS(B583:E583))+SUM(ABS(G583:U583))</f>
        <v>1620.4299999999998</v>
      </c>
    </row>
    <row r="584" spans="1:23" x14ac:dyDescent="0.3">
      <c r="A584" s="14">
        <v>45966.020833333336</v>
      </c>
      <c r="B584" s="1">
        <v>-731.03</v>
      </c>
      <c r="C584" s="1">
        <v>35.68</v>
      </c>
      <c r="D584" s="1">
        <v>66.260000000000005</v>
      </c>
      <c r="E584" s="1">
        <v>38.020000000000003</v>
      </c>
      <c r="F584" s="1" cm="1">
        <f t="array" ref="F584">SUM(ABS(B584:E584))</f>
        <v>870.9899999999999</v>
      </c>
      <c r="G584" s="1">
        <v>54.24</v>
      </c>
      <c r="H584" s="1">
        <v>272.10000000000002</v>
      </c>
      <c r="I584" s="1">
        <v>-54.43</v>
      </c>
      <c r="J584" s="1">
        <v>166.36</v>
      </c>
      <c r="K584" s="1">
        <v>112.06</v>
      </c>
      <c r="L584" s="1">
        <v>-57.78</v>
      </c>
      <c r="M584" s="1">
        <v>0</v>
      </c>
      <c r="N584" s="1">
        <v>-30.72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 cm="1">
        <f t="array" ref="V584">SUM(ABS(G584:U584))</f>
        <v>747.69</v>
      </c>
      <c r="W584" s="11" cm="1">
        <f t="array" ref="W584">SUM(ABS(B584:E584))+SUM(ABS(G584:U584))</f>
        <v>1618.6799999999998</v>
      </c>
    </row>
    <row r="585" spans="1:23" x14ac:dyDescent="0.3">
      <c r="A585" s="14">
        <v>45966.03125</v>
      </c>
      <c r="B585" s="1">
        <v>-727.63</v>
      </c>
      <c r="C585" s="1">
        <v>35.69</v>
      </c>
      <c r="D585" s="1">
        <v>66.260000000000005</v>
      </c>
      <c r="E585" s="1">
        <v>38</v>
      </c>
      <c r="F585" s="1" cm="1">
        <f t="array" ref="F585">SUM(ABS(B585:E585))</f>
        <v>867.57999999999993</v>
      </c>
      <c r="G585" s="1">
        <v>54.25</v>
      </c>
      <c r="H585" s="1">
        <v>270.91000000000003</v>
      </c>
      <c r="I585" s="1">
        <v>-54.41</v>
      </c>
      <c r="J585" s="1">
        <v>165.52</v>
      </c>
      <c r="K585" s="1">
        <v>112.02</v>
      </c>
      <c r="L585" s="1">
        <v>-57.54</v>
      </c>
      <c r="M585" s="1">
        <v>0</v>
      </c>
      <c r="N585" s="1">
        <v>-30.73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 cm="1">
        <f t="array" ref="V585">SUM(ABS(G585:U585))</f>
        <v>745.38</v>
      </c>
      <c r="W585" s="11" cm="1">
        <f t="array" ref="W585">SUM(ABS(B585:E585))+SUM(ABS(G585:U585))</f>
        <v>1612.96</v>
      </c>
    </row>
    <row r="586" spans="1:23" x14ac:dyDescent="0.3">
      <c r="A586" s="14">
        <v>45966.041666666664</v>
      </c>
      <c r="B586" s="1">
        <v>-728.8</v>
      </c>
      <c r="C586" s="1">
        <v>35.729999999999997</v>
      </c>
      <c r="D586" s="1">
        <v>66.25</v>
      </c>
      <c r="E586" s="1">
        <v>37.99</v>
      </c>
      <c r="F586" s="1" cm="1">
        <f t="array" ref="F586">SUM(ABS(B586:E586))</f>
        <v>868.77</v>
      </c>
      <c r="G586" s="1">
        <v>54.25</v>
      </c>
      <c r="H586" s="1">
        <v>271.31</v>
      </c>
      <c r="I586" s="1">
        <v>-54.43</v>
      </c>
      <c r="J586" s="1">
        <v>165.64</v>
      </c>
      <c r="K586" s="1">
        <v>111.94</v>
      </c>
      <c r="L586" s="1">
        <v>-57.57</v>
      </c>
      <c r="M586" s="1">
        <v>0</v>
      </c>
      <c r="N586" s="1">
        <v>-30.73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 cm="1">
        <f t="array" ref="V586">SUM(ABS(G586:U586))</f>
        <v>745.87</v>
      </c>
      <c r="W586" s="11" cm="1">
        <f t="array" ref="W586">SUM(ABS(B586:E586))+SUM(ABS(G586:U586))</f>
        <v>1614.6399999999999</v>
      </c>
    </row>
    <row r="587" spans="1:23" x14ac:dyDescent="0.3">
      <c r="A587" s="14">
        <v>45966.052083333336</v>
      </c>
      <c r="B587" s="1">
        <v>-729.04</v>
      </c>
      <c r="C587" s="1">
        <v>35.72</v>
      </c>
      <c r="D587" s="1">
        <v>66.260000000000005</v>
      </c>
      <c r="E587" s="1">
        <v>38</v>
      </c>
      <c r="F587" s="1" cm="1">
        <f t="array" ref="F587">SUM(ABS(B587:E587))</f>
        <v>869.02</v>
      </c>
      <c r="G587" s="1">
        <v>54.25</v>
      </c>
      <c r="H587" s="1">
        <v>271.02999999999997</v>
      </c>
      <c r="I587" s="1">
        <v>-54.41</v>
      </c>
      <c r="J587" s="1">
        <v>165.84</v>
      </c>
      <c r="K587" s="1">
        <v>111.85</v>
      </c>
      <c r="L587" s="1">
        <v>-57.66</v>
      </c>
      <c r="M587" s="1">
        <v>0</v>
      </c>
      <c r="N587" s="1">
        <v>-30.73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 cm="1">
        <f t="array" ref="V587">SUM(ABS(G587:U587))</f>
        <v>745.77</v>
      </c>
      <c r="W587" s="11" cm="1">
        <f t="array" ref="W587">SUM(ABS(B587:E587))+SUM(ABS(G587:U587))</f>
        <v>1614.79</v>
      </c>
    </row>
    <row r="588" spans="1:23" x14ac:dyDescent="0.3">
      <c r="A588" s="14">
        <v>45966.0625</v>
      </c>
      <c r="B588" s="1">
        <v>-727.67</v>
      </c>
      <c r="C588" s="1">
        <v>35.76</v>
      </c>
      <c r="D588" s="1">
        <v>62.75</v>
      </c>
      <c r="E588" s="1">
        <v>37.99</v>
      </c>
      <c r="F588" s="1" cm="1">
        <f t="array" ref="F588">SUM(ABS(B588:E588))</f>
        <v>864.17</v>
      </c>
      <c r="G588" s="1">
        <v>54.27</v>
      </c>
      <c r="H588" s="1">
        <v>270.8</v>
      </c>
      <c r="I588" s="1">
        <v>-54.39</v>
      </c>
      <c r="J588" s="1">
        <v>139.82</v>
      </c>
      <c r="K588" s="1">
        <v>96.34</v>
      </c>
      <c r="L588" s="1">
        <v>-57.45</v>
      </c>
      <c r="M588" s="1">
        <v>0</v>
      </c>
      <c r="N588" s="1">
        <v>-30.73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 cm="1">
        <f t="array" ref="V588">SUM(ABS(G588:U588))</f>
        <v>703.80000000000007</v>
      </c>
      <c r="W588" s="11" cm="1">
        <f t="array" ref="W588">SUM(ABS(B588:E588))+SUM(ABS(G588:U588))</f>
        <v>1567.97</v>
      </c>
    </row>
    <row r="589" spans="1:23" x14ac:dyDescent="0.3">
      <c r="A589" s="14">
        <v>45966.072916666664</v>
      </c>
      <c r="B589" s="1">
        <v>-730.92</v>
      </c>
      <c r="C589" s="1">
        <v>35.76</v>
      </c>
      <c r="D589" s="1">
        <v>19.260000000000002</v>
      </c>
      <c r="E589" s="1">
        <v>37.99</v>
      </c>
      <c r="F589" s="1" cm="1">
        <f t="array" ref="F589">SUM(ABS(B589:E589))</f>
        <v>823.93</v>
      </c>
      <c r="G589" s="1">
        <v>54.26</v>
      </c>
      <c r="H589" s="1">
        <v>271.83</v>
      </c>
      <c r="I589" s="1">
        <v>-54.4</v>
      </c>
      <c r="J589" s="1">
        <v>123.01</v>
      </c>
      <c r="K589" s="1">
        <v>92.13</v>
      </c>
      <c r="L589" s="1">
        <v>-57.61</v>
      </c>
      <c r="M589" s="1">
        <v>0</v>
      </c>
      <c r="N589" s="1">
        <v>-30.72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 cm="1">
        <f t="array" ref="V589">SUM(ABS(G589:U589))</f>
        <v>683.95999999999992</v>
      </c>
      <c r="W589" s="11" cm="1">
        <f t="array" ref="W589">SUM(ABS(B589:E589))+SUM(ABS(G589:U589))</f>
        <v>1507.8899999999999</v>
      </c>
    </row>
    <row r="590" spans="1:23" x14ac:dyDescent="0.3">
      <c r="A590" s="14">
        <v>45966.083333333336</v>
      </c>
      <c r="B590" s="1">
        <v>-731.59</v>
      </c>
      <c r="C590" s="1">
        <v>35.76</v>
      </c>
      <c r="D590" s="1">
        <v>12</v>
      </c>
      <c r="E590" s="1">
        <v>20.6</v>
      </c>
      <c r="F590" s="1" cm="1">
        <f t="array" ref="F590">SUM(ABS(B590:E590))</f>
        <v>799.95</v>
      </c>
      <c r="G590" s="1">
        <v>54.25</v>
      </c>
      <c r="H590" s="1">
        <v>271.66000000000003</v>
      </c>
      <c r="I590" s="1">
        <v>-54.41</v>
      </c>
      <c r="J590" s="1">
        <v>92.46</v>
      </c>
      <c r="K590" s="1">
        <v>92.01</v>
      </c>
      <c r="L590" s="1">
        <v>-57.73</v>
      </c>
      <c r="M590" s="1">
        <v>0</v>
      </c>
      <c r="N590" s="1">
        <v>-30.7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 cm="1">
        <f t="array" ref="V590">SUM(ABS(G590:U590))</f>
        <v>653.22000000000014</v>
      </c>
      <c r="W590" s="11" cm="1">
        <f t="array" ref="W590">SUM(ABS(B590:E590))+SUM(ABS(G590:U590))</f>
        <v>1453.17</v>
      </c>
    </row>
    <row r="591" spans="1:23" x14ac:dyDescent="0.3">
      <c r="A591" s="14">
        <v>45966.09375</v>
      </c>
      <c r="B591" s="1">
        <v>-731.16</v>
      </c>
      <c r="C591" s="1">
        <v>35.770000000000003</v>
      </c>
      <c r="D591" s="1">
        <v>12</v>
      </c>
      <c r="E591" s="1">
        <v>19.2</v>
      </c>
      <c r="F591" s="1" cm="1">
        <f t="array" ref="F591">SUM(ABS(B591:E591))</f>
        <v>798.13</v>
      </c>
      <c r="G591" s="1">
        <v>54.24</v>
      </c>
      <c r="H591" s="1">
        <v>271.87</v>
      </c>
      <c r="I591" s="1">
        <v>-54.39</v>
      </c>
      <c r="J591" s="1">
        <v>76.34</v>
      </c>
      <c r="K591" s="1">
        <v>80.16</v>
      </c>
      <c r="L591" s="1">
        <v>-57.65</v>
      </c>
      <c r="M591" s="1">
        <v>0</v>
      </c>
      <c r="N591" s="1">
        <v>-30.68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 cm="1">
        <f t="array" ref="V591">SUM(ABS(G591:U591))</f>
        <v>625.32999999999993</v>
      </c>
      <c r="W591" s="11" cm="1">
        <f t="array" ref="W591">SUM(ABS(B591:E591))+SUM(ABS(G591:U591))</f>
        <v>1423.46</v>
      </c>
    </row>
    <row r="592" spans="1:23" x14ac:dyDescent="0.3">
      <c r="A592" s="14">
        <v>45966.104166666664</v>
      </c>
      <c r="B592" s="1">
        <v>-669.42</v>
      </c>
      <c r="C592" s="1">
        <v>35.76</v>
      </c>
      <c r="D592" s="1">
        <v>12</v>
      </c>
      <c r="E592" s="1">
        <v>19.190000000000001</v>
      </c>
      <c r="F592" s="1" cm="1">
        <f t="array" ref="F592">SUM(ABS(B592:E592))</f>
        <v>736.37</v>
      </c>
      <c r="G592" s="1">
        <v>54.24</v>
      </c>
      <c r="H592" s="1">
        <v>272.02</v>
      </c>
      <c r="I592" s="1">
        <v>-54.4</v>
      </c>
      <c r="J592" s="1">
        <v>31.14</v>
      </c>
      <c r="K592" s="1">
        <v>16.7</v>
      </c>
      <c r="L592" s="1">
        <v>-57.61</v>
      </c>
      <c r="M592" s="1">
        <v>0</v>
      </c>
      <c r="N592" s="1">
        <v>-30.68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 cm="1">
        <f t="array" ref="V592">SUM(ABS(G592:U592))</f>
        <v>516.79</v>
      </c>
      <c r="W592" s="11" cm="1">
        <f t="array" ref="W592">SUM(ABS(B592:E592))+SUM(ABS(G592:U592))</f>
        <v>1253.1599999999999</v>
      </c>
    </row>
    <row r="593" spans="1:23" x14ac:dyDescent="0.3">
      <c r="A593" s="14">
        <v>45966.114583333336</v>
      </c>
      <c r="B593" s="1">
        <v>-610.88</v>
      </c>
      <c r="C593" s="1">
        <v>35.76</v>
      </c>
      <c r="D593" s="1">
        <v>12</v>
      </c>
      <c r="E593" s="1">
        <v>19.18</v>
      </c>
      <c r="F593" s="1" cm="1">
        <f t="array" ref="F593">SUM(ABS(B593:E593))</f>
        <v>677.81999999999994</v>
      </c>
      <c r="G593" s="1">
        <v>54.24</v>
      </c>
      <c r="H593" s="1">
        <v>272.16000000000003</v>
      </c>
      <c r="I593" s="1">
        <v>-54.38</v>
      </c>
      <c r="J593" s="1">
        <v>26.99</v>
      </c>
      <c r="K593" s="1">
        <v>0</v>
      </c>
      <c r="L593" s="1">
        <v>-57.64</v>
      </c>
      <c r="M593" s="1">
        <v>0</v>
      </c>
      <c r="N593" s="1">
        <v>-30.68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 cm="1">
        <f t="array" ref="V593">SUM(ABS(G593:U593))</f>
        <v>496.09000000000003</v>
      </c>
      <c r="W593" s="11" cm="1">
        <f t="array" ref="W593">SUM(ABS(B593:E593))+SUM(ABS(G593:U593))</f>
        <v>1173.9099999999999</v>
      </c>
    </row>
    <row r="594" spans="1:23" x14ac:dyDescent="0.3">
      <c r="A594" s="14">
        <v>45966.125</v>
      </c>
      <c r="B594" s="1">
        <v>-614.61</v>
      </c>
      <c r="C594" s="1">
        <v>35.76</v>
      </c>
      <c r="D594" s="1">
        <v>12</v>
      </c>
      <c r="E594" s="1">
        <v>10.98</v>
      </c>
      <c r="F594" s="1" cm="1">
        <f t="array" ref="F594">SUM(ABS(B594:E594))</f>
        <v>673.35</v>
      </c>
      <c r="G594" s="1">
        <v>54.25</v>
      </c>
      <c r="H594" s="1">
        <v>271.92</v>
      </c>
      <c r="I594" s="1">
        <v>-54.4</v>
      </c>
      <c r="J594" s="1">
        <v>11.53</v>
      </c>
      <c r="K594" s="1">
        <v>0</v>
      </c>
      <c r="L594" s="1">
        <v>-57.64</v>
      </c>
      <c r="M594" s="1">
        <v>0</v>
      </c>
      <c r="N594" s="1">
        <v>-30.66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 cm="1">
        <f t="array" ref="V594">SUM(ABS(G594:U594))</f>
        <v>480.4</v>
      </c>
      <c r="W594" s="11" cm="1">
        <f t="array" ref="W594">SUM(ABS(B594:E594))+SUM(ABS(G594:U594))</f>
        <v>1153.75</v>
      </c>
    </row>
    <row r="595" spans="1:23" x14ac:dyDescent="0.3">
      <c r="A595" s="14">
        <v>45966.135416666664</v>
      </c>
      <c r="B595" s="1">
        <v>-619.80999999999995</v>
      </c>
      <c r="C595" s="1">
        <v>35.770000000000003</v>
      </c>
      <c r="D595" s="1">
        <v>12</v>
      </c>
      <c r="E595" s="1">
        <v>0</v>
      </c>
      <c r="F595" s="1" cm="1">
        <f t="array" ref="F595">SUM(ABS(B595:E595))</f>
        <v>667.57999999999993</v>
      </c>
      <c r="G595" s="1">
        <v>54.25</v>
      </c>
      <c r="H595" s="1">
        <v>272.54000000000002</v>
      </c>
      <c r="I595" s="1">
        <v>-54.4</v>
      </c>
      <c r="J595" s="1">
        <v>0</v>
      </c>
      <c r="K595" s="1">
        <v>0</v>
      </c>
      <c r="L595" s="1">
        <v>-57.74</v>
      </c>
      <c r="M595" s="1">
        <v>0</v>
      </c>
      <c r="N595" s="1">
        <v>-30.63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 cm="1">
        <f t="array" ref="V595">SUM(ABS(G595:U595))</f>
        <v>469.56</v>
      </c>
      <c r="W595" s="11" cm="1">
        <f t="array" ref="W595">SUM(ABS(B595:E595))+SUM(ABS(G595:U595))</f>
        <v>1137.1399999999999</v>
      </c>
    </row>
    <row r="596" spans="1:23" x14ac:dyDescent="0.3">
      <c r="A596" s="14">
        <v>45966.145833333336</v>
      </c>
      <c r="B596" s="1">
        <v>-620.80999999999995</v>
      </c>
      <c r="C596" s="1">
        <v>35.770000000000003</v>
      </c>
      <c r="D596" s="1">
        <v>12</v>
      </c>
      <c r="E596" s="1">
        <v>0</v>
      </c>
      <c r="F596" s="1" cm="1">
        <f t="array" ref="F596">SUM(ABS(B596:E596))</f>
        <v>668.57999999999993</v>
      </c>
      <c r="G596" s="1">
        <v>54.24</v>
      </c>
      <c r="H596" s="1">
        <v>272.33999999999997</v>
      </c>
      <c r="I596" s="1">
        <v>-54.38</v>
      </c>
      <c r="J596" s="1">
        <v>0</v>
      </c>
      <c r="K596" s="1">
        <v>0</v>
      </c>
      <c r="L596" s="1">
        <v>-57.75</v>
      </c>
      <c r="M596" s="1">
        <v>0</v>
      </c>
      <c r="N596" s="1">
        <v>-30.64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 cm="1">
        <f t="array" ref="V596">SUM(ABS(G596:U596))</f>
        <v>469.34999999999997</v>
      </c>
      <c r="W596" s="11" cm="1">
        <f t="array" ref="W596">SUM(ABS(B596:E596))+SUM(ABS(G596:U596))</f>
        <v>1137.9299999999998</v>
      </c>
    </row>
    <row r="597" spans="1:23" x14ac:dyDescent="0.3">
      <c r="A597" s="14">
        <v>45966.15625</v>
      </c>
      <c r="B597" s="1">
        <v>-650.62</v>
      </c>
      <c r="C597" s="1">
        <v>35.76</v>
      </c>
      <c r="D597" s="1">
        <v>12</v>
      </c>
      <c r="E597" s="1">
        <v>0</v>
      </c>
      <c r="F597" s="1" cm="1">
        <f t="array" ref="F597">SUM(ABS(B597:E597))</f>
        <v>698.38</v>
      </c>
      <c r="G597" s="1">
        <v>54.25</v>
      </c>
      <c r="H597" s="1">
        <v>271.7</v>
      </c>
      <c r="I597" s="1">
        <v>-54.38</v>
      </c>
      <c r="J597" s="1">
        <v>0</v>
      </c>
      <c r="K597" s="1">
        <v>0</v>
      </c>
      <c r="L597" s="1">
        <v>-57.7</v>
      </c>
      <c r="M597" s="1">
        <v>0</v>
      </c>
      <c r="N597" s="1">
        <v>-30.64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 cm="1">
        <f t="array" ref="V597">SUM(ABS(G597:U597))</f>
        <v>468.66999999999996</v>
      </c>
      <c r="W597" s="11" cm="1">
        <f t="array" ref="W597">SUM(ABS(B597:E597))+SUM(ABS(G597:U597))</f>
        <v>1167.05</v>
      </c>
    </row>
    <row r="598" spans="1:23" x14ac:dyDescent="0.3">
      <c r="A598" s="14">
        <v>45966.166666666664</v>
      </c>
      <c r="B598" s="1">
        <v>-672.9</v>
      </c>
      <c r="C598" s="1">
        <v>35.76</v>
      </c>
      <c r="D598" s="1">
        <v>12</v>
      </c>
      <c r="E598" s="1">
        <v>0</v>
      </c>
      <c r="F598" s="1" cm="1">
        <f t="array" ref="F598">SUM(ABS(B598:E598))</f>
        <v>720.66</v>
      </c>
      <c r="G598" s="1">
        <v>54.25</v>
      </c>
      <c r="H598" s="1">
        <v>272.44</v>
      </c>
      <c r="I598" s="1">
        <v>-54.39</v>
      </c>
      <c r="J598" s="1">
        <v>0</v>
      </c>
      <c r="K598" s="1">
        <v>0</v>
      </c>
      <c r="L598" s="1">
        <v>-57.9</v>
      </c>
      <c r="M598" s="1">
        <v>0</v>
      </c>
      <c r="N598" s="1">
        <v>-30.65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 cm="1">
        <f t="array" ref="V598">SUM(ABS(G598:U598))</f>
        <v>469.62999999999994</v>
      </c>
      <c r="W598" s="11" cm="1">
        <f t="array" ref="W598">SUM(ABS(B598:E598))+SUM(ABS(G598:U598))</f>
        <v>1190.29</v>
      </c>
    </row>
    <row r="599" spans="1:23" x14ac:dyDescent="0.3">
      <c r="A599" s="14">
        <v>45966.177083333336</v>
      </c>
      <c r="B599" s="1">
        <v>-679.93</v>
      </c>
      <c r="C599" s="1">
        <v>35.770000000000003</v>
      </c>
      <c r="D599" s="1">
        <v>12</v>
      </c>
      <c r="E599" s="1">
        <v>0</v>
      </c>
      <c r="F599" s="1" cm="1">
        <f t="array" ref="F599">SUM(ABS(B599:E599))</f>
        <v>727.69999999999993</v>
      </c>
      <c r="G599" s="1">
        <v>54.25</v>
      </c>
      <c r="H599" s="1">
        <v>272.14999999999998</v>
      </c>
      <c r="I599" s="1">
        <v>-54.39</v>
      </c>
      <c r="J599" s="1">
        <v>0</v>
      </c>
      <c r="K599" s="1">
        <v>0</v>
      </c>
      <c r="L599" s="1">
        <v>-58.02</v>
      </c>
      <c r="M599" s="1">
        <v>0</v>
      </c>
      <c r="N599" s="1">
        <v>-30.64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 cm="1">
        <f t="array" ref="V599">SUM(ABS(G599:U599))</f>
        <v>469.44999999999993</v>
      </c>
      <c r="W599" s="11" cm="1">
        <f t="array" ref="W599">SUM(ABS(B599:E599))+SUM(ABS(G599:U599))</f>
        <v>1197.1499999999999</v>
      </c>
    </row>
    <row r="600" spans="1:23" x14ac:dyDescent="0.3">
      <c r="A600" s="14">
        <v>45966.1875</v>
      </c>
      <c r="B600" s="1">
        <v>-677.42</v>
      </c>
      <c r="C600" s="1">
        <v>35.799999999999997</v>
      </c>
      <c r="D600" s="1">
        <v>12</v>
      </c>
      <c r="E600" s="1">
        <v>0</v>
      </c>
      <c r="F600" s="1" cm="1">
        <f t="array" ref="F600">SUM(ABS(B600:E600))</f>
        <v>725.21999999999991</v>
      </c>
      <c r="G600" s="1">
        <v>54.25</v>
      </c>
      <c r="H600" s="1">
        <v>272.33</v>
      </c>
      <c r="I600" s="1">
        <v>-54.38</v>
      </c>
      <c r="J600" s="1">
        <v>0</v>
      </c>
      <c r="K600" s="1">
        <v>0</v>
      </c>
      <c r="L600" s="1">
        <v>-58.03</v>
      </c>
      <c r="M600" s="1">
        <v>0</v>
      </c>
      <c r="N600" s="1">
        <v>-30.64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 cm="1">
        <f t="array" ref="V600">SUM(ABS(G600:U600))</f>
        <v>469.63</v>
      </c>
      <c r="W600" s="11" cm="1">
        <f t="array" ref="W600">SUM(ABS(B600:E600))+SUM(ABS(G600:U600))</f>
        <v>1194.8499999999999</v>
      </c>
    </row>
    <row r="601" spans="1:23" x14ac:dyDescent="0.3">
      <c r="A601" s="14">
        <v>45966.197916666664</v>
      </c>
      <c r="B601" s="1">
        <v>-667.87</v>
      </c>
      <c r="C601" s="1">
        <v>35.81</v>
      </c>
      <c r="D601" s="1">
        <v>12</v>
      </c>
      <c r="E601" s="1">
        <v>0</v>
      </c>
      <c r="F601" s="1" cm="1">
        <f t="array" ref="F601">SUM(ABS(B601:E601))</f>
        <v>715.68000000000006</v>
      </c>
      <c r="G601" s="1">
        <v>54.25</v>
      </c>
      <c r="H601" s="1">
        <v>272.06</v>
      </c>
      <c r="I601" s="1">
        <v>-54.36</v>
      </c>
      <c r="J601" s="1">
        <v>0</v>
      </c>
      <c r="K601" s="1">
        <v>0</v>
      </c>
      <c r="L601" s="1">
        <v>-57.71</v>
      </c>
      <c r="M601" s="1">
        <v>0</v>
      </c>
      <c r="N601" s="1">
        <v>-30.63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 cm="1">
        <f t="array" ref="V601">SUM(ABS(G601:U601))</f>
        <v>469.01</v>
      </c>
      <c r="W601" s="11" cm="1">
        <f t="array" ref="W601">SUM(ABS(B601:E601))+SUM(ABS(G601:U601))</f>
        <v>1184.69</v>
      </c>
    </row>
    <row r="602" spans="1:23" x14ac:dyDescent="0.3">
      <c r="A602" s="14">
        <v>45966.208333333336</v>
      </c>
      <c r="B602" s="1">
        <v>-665.72</v>
      </c>
      <c r="C602" s="1">
        <v>35.840000000000003</v>
      </c>
      <c r="D602" s="1">
        <v>12</v>
      </c>
      <c r="E602" s="1">
        <v>0</v>
      </c>
      <c r="F602" s="1" cm="1">
        <f t="array" ref="F602">SUM(ABS(B602:E602))</f>
        <v>713.56000000000006</v>
      </c>
      <c r="G602" s="1">
        <v>54.26</v>
      </c>
      <c r="H602" s="1">
        <v>271.94</v>
      </c>
      <c r="I602" s="1">
        <v>-54.36</v>
      </c>
      <c r="J602" s="1">
        <v>0</v>
      </c>
      <c r="K602" s="1">
        <v>0</v>
      </c>
      <c r="L602" s="1">
        <v>-57.76</v>
      </c>
      <c r="M602" s="1">
        <v>0</v>
      </c>
      <c r="N602" s="1">
        <v>-30.64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 cm="1">
        <f t="array" ref="V602">SUM(ABS(G602:U602))</f>
        <v>468.96</v>
      </c>
      <c r="W602" s="11" cm="1">
        <f t="array" ref="W602">SUM(ABS(B602:E602))+SUM(ABS(G602:U602))</f>
        <v>1182.52</v>
      </c>
    </row>
    <row r="603" spans="1:23" x14ac:dyDescent="0.3">
      <c r="A603" s="14">
        <v>45966.21875</v>
      </c>
      <c r="B603" s="1">
        <v>-663.23</v>
      </c>
      <c r="C603" s="1">
        <v>35.83</v>
      </c>
      <c r="D603" s="1">
        <v>12</v>
      </c>
      <c r="E603" s="1">
        <v>0</v>
      </c>
      <c r="F603" s="1" cm="1">
        <f t="array" ref="F603">SUM(ABS(B603:E603))</f>
        <v>711.06000000000006</v>
      </c>
      <c r="G603" s="1">
        <v>54.26</v>
      </c>
      <c r="H603" s="1">
        <v>272.24</v>
      </c>
      <c r="I603" s="1">
        <v>-54.35</v>
      </c>
      <c r="J603" s="1">
        <v>0</v>
      </c>
      <c r="K603" s="1">
        <v>0</v>
      </c>
      <c r="L603" s="1">
        <v>-57.84</v>
      </c>
      <c r="M603" s="1">
        <v>0</v>
      </c>
      <c r="N603" s="1">
        <v>-30.64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 cm="1">
        <f t="array" ref="V603">SUM(ABS(G603:U603))</f>
        <v>469.33000000000004</v>
      </c>
      <c r="W603" s="11" cm="1">
        <f t="array" ref="W603">SUM(ABS(B603:E603))+SUM(ABS(G603:U603))</f>
        <v>1180.3900000000001</v>
      </c>
    </row>
    <row r="604" spans="1:23" x14ac:dyDescent="0.3">
      <c r="A604" s="14">
        <v>45966.229166666664</v>
      </c>
      <c r="B604" s="1">
        <v>-709.93</v>
      </c>
      <c r="C604" s="1">
        <v>35.83</v>
      </c>
      <c r="D604" s="1">
        <v>12</v>
      </c>
      <c r="E604" s="1">
        <v>0</v>
      </c>
      <c r="F604" s="1" cm="1">
        <f t="array" ref="F604">SUM(ABS(B604:E604))</f>
        <v>757.76</v>
      </c>
      <c r="G604" s="1">
        <v>54.25</v>
      </c>
      <c r="H604" s="1">
        <v>271.99</v>
      </c>
      <c r="I604" s="1">
        <v>-54.33</v>
      </c>
      <c r="J604" s="1">
        <v>0</v>
      </c>
      <c r="K604" s="1">
        <v>0</v>
      </c>
      <c r="L604" s="1">
        <v>-57.62</v>
      </c>
      <c r="M604" s="1">
        <v>0</v>
      </c>
      <c r="N604" s="1">
        <v>-30.64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 cm="1">
        <f t="array" ref="V604">SUM(ABS(G604:U604))</f>
        <v>468.83</v>
      </c>
      <c r="W604" s="11" cm="1">
        <f t="array" ref="W604">SUM(ABS(B604:E604))+SUM(ABS(G604:U604))</f>
        <v>1226.5899999999999</v>
      </c>
    </row>
    <row r="605" spans="1:23" x14ac:dyDescent="0.3">
      <c r="A605" s="14">
        <v>45966.239583333336</v>
      </c>
      <c r="B605" s="1">
        <v>-734.68</v>
      </c>
      <c r="C605" s="1">
        <v>35.85</v>
      </c>
      <c r="D605" s="1">
        <v>12</v>
      </c>
      <c r="E605" s="1">
        <v>0</v>
      </c>
      <c r="F605" s="1" cm="1">
        <f t="array" ref="F605">SUM(ABS(B605:E605))</f>
        <v>782.53</v>
      </c>
      <c r="G605" s="1">
        <v>54.26</v>
      </c>
      <c r="H605" s="1">
        <v>271.98</v>
      </c>
      <c r="I605" s="1">
        <v>-54.32</v>
      </c>
      <c r="J605" s="1">
        <v>0</v>
      </c>
      <c r="K605" s="1">
        <v>0</v>
      </c>
      <c r="L605" s="1">
        <v>-57.64</v>
      </c>
      <c r="M605" s="1">
        <v>0</v>
      </c>
      <c r="N605" s="1">
        <v>-30.65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 cm="1">
        <f t="array" ref="V605">SUM(ABS(G605:U605))</f>
        <v>468.84999999999997</v>
      </c>
      <c r="W605" s="11" cm="1">
        <f t="array" ref="W605">SUM(ABS(B605:E605))+SUM(ABS(G605:U605))</f>
        <v>1251.3799999999999</v>
      </c>
    </row>
    <row r="606" spans="1:23" x14ac:dyDescent="0.3">
      <c r="A606" s="14">
        <v>45966.25</v>
      </c>
      <c r="B606" s="1">
        <v>-733.07</v>
      </c>
      <c r="C606" s="1">
        <v>35.86</v>
      </c>
      <c r="D606" s="1">
        <v>12</v>
      </c>
      <c r="E606" s="1">
        <v>0</v>
      </c>
      <c r="F606" s="1" cm="1">
        <f t="array" ref="F606">SUM(ABS(B606:E606))</f>
        <v>780.93000000000006</v>
      </c>
      <c r="G606" s="1">
        <v>54.27</v>
      </c>
      <c r="H606" s="1">
        <v>271.01</v>
      </c>
      <c r="I606" s="1">
        <v>-54.3</v>
      </c>
      <c r="J606" s="1">
        <v>0</v>
      </c>
      <c r="K606" s="1">
        <v>0</v>
      </c>
      <c r="L606" s="1">
        <v>-57.44</v>
      </c>
      <c r="M606" s="1">
        <v>0</v>
      </c>
      <c r="N606" s="1">
        <v>-30.65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 cm="1">
        <f t="array" ref="V606">SUM(ABS(G606:U606))</f>
        <v>467.66999999999996</v>
      </c>
      <c r="W606" s="11" cm="1">
        <f t="array" ref="W606">SUM(ABS(B606:E606))+SUM(ABS(G606:U606))</f>
        <v>1248.5999999999999</v>
      </c>
    </row>
    <row r="607" spans="1:23" x14ac:dyDescent="0.3">
      <c r="A607" s="14">
        <v>45966.260416666664</v>
      </c>
      <c r="B607" s="1">
        <v>-729.5</v>
      </c>
      <c r="C607" s="1">
        <v>35.89</v>
      </c>
      <c r="D607" s="1">
        <v>12</v>
      </c>
      <c r="E607" s="1">
        <v>0</v>
      </c>
      <c r="F607" s="1" cm="1">
        <f t="array" ref="F607">SUM(ABS(B607:E607))</f>
        <v>777.39</v>
      </c>
      <c r="G607" s="1">
        <v>54.25</v>
      </c>
      <c r="H607" s="1">
        <v>269.92</v>
      </c>
      <c r="I607" s="1">
        <v>-54.33</v>
      </c>
      <c r="J607" s="1">
        <v>0</v>
      </c>
      <c r="K607" s="1">
        <v>0</v>
      </c>
      <c r="L607" s="1">
        <v>-57.29</v>
      </c>
      <c r="M607" s="1">
        <v>0</v>
      </c>
      <c r="N607" s="1">
        <v>-30.64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 cm="1">
        <f t="array" ref="V607">SUM(ABS(G607:U607))</f>
        <v>466.43</v>
      </c>
      <c r="W607" s="11" cm="1">
        <f t="array" ref="W607">SUM(ABS(B607:E607))+SUM(ABS(G607:U607))</f>
        <v>1243.82</v>
      </c>
    </row>
    <row r="608" spans="1:23" x14ac:dyDescent="0.3">
      <c r="A608" s="14">
        <v>45966.270833333336</v>
      </c>
      <c r="B608" s="1">
        <v>-723.9</v>
      </c>
      <c r="C608" s="1">
        <v>35.880000000000003</v>
      </c>
      <c r="D608" s="1">
        <v>12</v>
      </c>
      <c r="E608" s="1">
        <v>0</v>
      </c>
      <c r="F608" s="1" cm="1">
        <f t="array" ref="F608">SUM(ABS(B608:E608))</f>
        <v>771.78</v>
      </c>
      <c r="G608" s="1">
        <v>54.27</v>
      </c>
      <c r="H608" s="1">
        <v>269.83</v>
      </c>
      <c r="I608" s="1">
        <v>-54.32</v>
      </c>
      <c r="J608" s="1">
        <v>0</v>
      </c>
      <c r="K608" s="1">
        <v>0</v>
      </c>
      <c r="L608" s="1">
        <v>-57.32</v>
      </c>
      <c r="M608" s="1">
        <v>0</v>
      </c>
      <c r="N608" s="1">
        <v>-30.64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 cm="1">
        <f t="array" ref="V608">SUM(ABS(G608:U608))</f>
        <v>466.37999999999994</v>
      </c>
      <c r="W608" s="11" cm="1">
        <f t="array" ref="W608">SUM(ABS(B608:E608))+SUM(ABS(G608:U608))</f>
        <v>1238.1599999999999</v>
      </c>
    </row>
    <row r="609" spans="1:23" x14ac:dyDescent="0.3">
      <c r="A609" s="14">
        <v>45966.28125</v>
      </c>
      <c r="B609" s="1">
        <v>-673.19</v>
      </c>
      <c r="C609" s="1">
        <v>35.869999999999997</v>
      </c>
      <c r="D609" s="1">
        <v>12</v>
      </c>
      <c r="E609" s="1">
        <v>0</v>
      </c>
      <c r="F609" s="1" cm="1">
        <f t="array" ref="F609">SUM(ABS(B609:E609))</f>
        <v>721.06000000000006</v>
      </c>
      <c r="G609" s="1">
        <v>54.26</v>
      </c>
      <c r="H609" s="1">
        <v>271.10000000000002</v>
      </c>
      <c r="I609" s="1">
        <v>-54.29</v>
      </c>
      <c r="J609" s="1">
        <v>0</v>
      </c>
      <c r="K609" s="1">
        <v>0</v>
      </c>
      <c r="L609" s="1">
        <v>-43.81</v>
      </c>
      <c r="M609" s="1">
        <v>0</v>
      </c>
      <c r="N609" s="1">
        <v>-13.72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 cm="1">
        <f t="array" ref="V609">SUM(ABS(G609:U609))</f>
        <v>437.18000000000006</v>
      </c>
      <c r="W609" s="11" cm="1">
        <f t="array" ref="W609">SUM(ABS(B609:E609))+SUM(ABS(G609:U609))</f>
        <v>1158.2400000000002</v>
      </c>
    </row>
    <row r="610" spans="1:23" x14ac:dyDescent="0.3">
      <c r="A610" s="14">
        <v>45966.291666666664</v>
      </c>
      <c r="B610" s="1">
        <v>-642.54999999999995</v>
      </c>
      <c r="C610" s="1">
        <v>35.9</v>
      </c>
      <c r="D610" s="1">
        <v>12</v>
      </c>
      <c r="E610" s="1">
        <v>0</v>
      </c>
      <c r="F610" s="1" cm="1">
        <f t="array" ref="F610">SUM(ABS(B610:E610))</f>
        <v>690.44999999999993</v>
      </c>
      <c r="G610" s="1">
        <v>52.2</v>
      </c>
      <c r="H610" s="1">
        <v>272.69</v>
      </c>
      <c r="I610" s="1">
        <v>-54.33</v>
      </c>
      <c r="J610" s="1">
        <v>0</v>
      </c>
      <c r="K610" s="1">
        <v>0</v>
      </c>
      <c r="L610" s="1">
        <v>-24.41</v>
      </c>
      <c r="M610" s="1">
        <v>0</v>
      </c>
      <c r="N610" s="1">
        <v>0.1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 cm="1">
        <f t="array" ref="V610">SUM(ABS(G610:U610))</f>
        <v>403.73</v>
      </c>
      <c r="W610" s="11" cm="1">
        <f t="array" ref="W610">SUM(ABS(B610:E610))+SUM(ABS(G610:U610))</f>
        <v>1094.1799999999998</v>
      </c>
    </row>
    <row r="611" spans="1:23" x14ac:dyDescent="0.3">
      <c r="A611" s="14">
        <v>45966.302083333336</v>
      </c>
      <c r="B611" s="1">
        <v>-600.27</v>
      </c>
      <c r="C611" s="1">
        <v>35.9</v>
      </c>
      <c r="D611" s="1">
        <v>12</v>
      </c>
      <c r="E611" s="1">
        <v>0</v>
      </c>
      <c r="F611" s="1" cm="1">
        <f t="array" ref="F611">SUM(ABS(B611:E611))</f>
        <v>648.16999999999996</v>
      </c>
      <c r="G611" s="1">
        <v>30.15</v>
      </c>
      <c r="H611" s="1">
        <v>272.63</v>
      </c>
      <c r="I611" s="1">
        <v>-54.34</v>
      </c>
      <c r="J611" s="1">
        <v>0</v>
      </c>
      <c r="K611" s="1">
        <v>0</v>
      </c>
      <c r="L611" s="1">
        <v>-24.44</v>
      </c>
      <c r="M611" s="1">
        <v>0</v>
      </c>
      <c r="N611" s="1">
        <v>0.05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 cm="1">
        <f t="array" ref="V611">SUM(ABS(G611:U611))</f>
        <v>381.61</v>
      </c>
      <c r="W611" s="11" cm="1">
        <f t="array" ref="W611">SUM(ABS(B611:E611))+SUM(ABS(G611:U611))</f>
        <v>1029.78</v>
      </c>
    </row>
    <row r="612" spans="1:23" x14ac:dyDescent="0.3">
      <c r="A612" s="14">
        <v>45966.3125</v>
      </c>
      <c r="B612" s="1">
        <v>-290.33</v>
      </c>
      <c r="C612" s="1">
        <v>35.9</v>
      </c>
      <c r="D612" s="1">
        <v>12</v>
      </c>
      <c r="E612" s="1">
        <v>0</v>
      </c>
      <c r="F612" s="1" cm="1">
        <f t="array" ref="F612">SUM(ABS(B612:E612))</f>
        <v>338.22999999999996</v>
      </c>
      <c r="G612" s="1">
        <v>30.12</v>
      </c>
      <c r="H612" s="1">
        <v>272.95999999999998</v>
      </c>
      <c r="I612" s="1">
        <v>-52.1</v>
      </c>
      <c r="J612" s="1">
        <v>0</v>
      </c>
      <c r="K612" s="1">
        <v>0</v>
      </c>
      <c r="L612" s="1">
        <v>-22.29</v>
      </c>
      <c r="M612" s="1">
        <v>0</v>
      </c>
      <c r="N612" s="1">
        <v>0.08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 cm="1">
        <f t="array" ref="V612">SUM(ABS(G612:U612))</f>
        <v>377.55</v>
      </c>
      <c r="W612" s="11" cm="1">
        <f t="array" ref="W612">SUM(ABS(B612:E612))+SUM(ABS(G612:U612))</f>
        <v>715.78</v>
      </c>
    </row>
    <row r="613" spans="1:23" x14ac:dyDescent="0.3">
      <c r="A613" s="14">
        <v>45966.322916666664</v>
      </c>
      <c r="B613" s="1">
        <v>-203.43</v>
      </c>
      <c r="C613" s="1">
        <v>35.880000000000003</v>
      </c>
      <c r="D613" s="1">
        <v>12</v>
      </c>
      <c r="E613" s="1">
        <v>0</v>
      </c>
      <c r="F613" s="1" cm="1">
        <f t="array" ref="F613">SUM(ABS(B613:E613))</f>
        <v>251.31</v>
      </c>
      <c r="G613" s="1">
        <v>30.12</v>
      </c>
      <c r="H613" s="1">
        <v>270.13</v>
      </c>
      <c r="I613" s="1">
        <v>-32.270000000000003</v>
      </c>
      <c r="J613" s="1">
        <v>0</v>
      </c>
      <c r="K613" s="1">
        <v>0</v>
      </c>
      <c r="L613" s="1">
        <v>0</v>
      </c>
      <c r="M613" s="1">
        <v>0</v>
      </c>
      <c r="N613" s="1">
        <v>0.16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 cm="1">
        <f t="array" ref="V613">SUM(ABS(G613:U613))</f>
        <v>332.68</v>
      </c>
      <c r="W613" s="11" cm="1">
        <f t="array" ref="W613">SUM(ABS(B613:E613))+SUM(ABS(G613:U613))</f>
        <v>583.99</v>
      </c>
    </row>
    <row r="614" spans="1:23" x14ac:dyDescent="0.3">
      <c r="A614" s="14">
        <v>45966.333333333336</v>
      </c>
      <c r="B614" s="1">
        <v>-173.6</v>
      </c>
      <c r="C614" s="1">
        <v>35.9</v>
      </c>
      <c r="D614" s="1">
        <v>12</v>
      </c>
      <c r="E614" s="1">
        <v>0</v>
      </c>
      <c r="F614" s="1" cm="1">
        <f t="array" ref="F614">SUM(ABS(B614:E614))</f>
        <v>221.5</v>
      </c>
      <c r="G614" s="1">
        <v>23.6</v>
      </c>
      <c r="H614" s="1">
        <v>272.82</v>
      </c>
      <c r="I614" s="1">
        <v>-21.07</v>
      </c>
      <c r="J614" s="1">
        <v>0</v>
      </c>
      <c r="K614" s="1">
        <v>0</v>
      </c>
      <c r="L614" s="1">
        <v>0</v>
      </c>
      <c r="M614" s="1">
        <v>0</v>
      </c>
      <c r="N614" s="1">
        <v>0.16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 cm="1">
        <f t="array" ref="V614">SUM(ABS(G614:U614))</f>
        <v>317.65000000000003</v>
      </c>
      <c r="W614" s="11" cm="1">
        <f t="array" ref="W614">SUM(ABS(B614:E614))+SUM(ABS(G614:U614))</f>
        <v>539.15000000000009</v>
      </c>
    </row>
    <row r="615" spans="1:23" x14ac:dyDescent="0.3">
      <c r="A615" s="14">
        <v>45966.34375</v>
      </c>
      <c r="B615" s="1">
        <v>-184.46</v>
      </c>
      <c r="C615" s="1">
        <v>35.92</v>
      </c>
      <c r="D615" s="1">
        <v>12</v>
      </c>
      <c r="E615" s="1">
        <v>0</v>
      </c>
      <c r="F615" s="1" cm="1">
        <f t="array" ref="F615">SUM(ABS(B615:E615))</f>
        <v>232.38</v>
      </c>
      <c r="G615" s="1">
        <v>20.07</v>
      </c>
      <c r="H615" s="1">
        <v>259.13</v>
      </c>
      <c r="I615" s="1">
        <v>-21.03</v>
      </c>
      <c r="J615" s="1">
        <v>23.25</v>
      </c>
      <c r="K615" s="1">
        <v>0</v>
      </c>
      <c r="L615" s="1">
        <v>0</v>
      </c>
      <c r="M615" s="1">
        <v>0</v>
      </c>
      <c r="N615" s="1">
        <v>0.16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 cm="1">
        <f t="array" ref="V615">SUM(ABS(G615:U615))</f>
        <v>323.64000000000004</v>
      </c>
      <c r="W615" s="11" cm="1">
        <f t="array" ref="W615">SUM(ABS(B615:E615))+SUM(ABS(G615:U615))</f>
        <v>556.02</v>
      </c>
    </row>
    <row r="616" spans="1:23" x14ac:dyDescent="0.3">
      <c r="A616" s="14">
        <v>45966.354166666664</v>
      </c>
      <c r="B616" s="1">
        <v>-221.51</v>
      </c>
      <c r="C616" s="1">
        <v>35.909999999999997</v>
      </c>
      <c r="D616" s="1">
        <v>12</v>
      </c>
      <c r="E616" s="1">
        <v>0</v>
      </c>
      <c r="F616" s="1" cm="1">
        <f t="array" ref="F616">SUM(ABS(B616:E616))</f>
        <v>269.41999999999996</v>
      </c>
      <c r="G616" s="1">
        <v>20.079999999999998</v>
      </c>
      <c r="H616" s="1">
        <v>214.05</v>
      </c>
      <c r="I616" s="1">
        <v>-21.05</v>
      </c>
      <c r="J616" s="1">
        <v>27.04</v>
      </c>
      <c r="K616" s="1">
        <v>0</v>
      </c>
      <c r="L616" s="1">
        <v>0</v>
      </c>
      <c r="M616" s="1">
        <v>0</v>
      </c>
      <c r="N616" s="1">
        <v>0.15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 cm="1">
        <f t="array" ref="V616">SUM(ABS(G616:U616))</f>
        <v>282.37</v>
      </c>
      <c r="W616" s="11" cm="1">
        <f t="array" ref="W616">SUM(ABS(B616:E616))+SUM(ABS(G616:U616))</f>
        <v>551.79</v>
      </c>
    </row>
    <row r="617" spans="1:23" x14ac:dyDescent="0.3">
      <c r="A617" s="14">
        <v>45966.364583333336</v>
      </c>
      <c r="B617" s="1">
        <v>-114.25</v>
      </c>
      <c r="C617" s="1">
        <v>35.869999999999997</v>
      </c>
      <c r="D617" s="1">
        <v>12</v>
      </c>
      <c r="E617" s="1">
        <v>0</v>
      </c>
      <c r="F617" s="1" cm="1">
        <f t="array" ref="F617">SUM(ABS(B617:E617))</f>
        <v>162.12</v>
      </c>
      <c r="G617" s="1">
        <v>20.09</v>
      </c>
      <c r="H617" s="1">
        <v>214.19</v>
      </c>
      <c r="I617" s="1">
        <v>-21.01</v>
      </c>
      <c r="J617" s="1">
        <v>39.54</v>
      </c>
      <c r="K617" s="1">
        <v>0</v>
      </c>
      <c r="L617" s="1">
        <v>0</v>
      </c>
      <c r="M617" s="1">
        <v>0</v>
      </c>
      <c r="N617" s="1">
        <v>0.16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 cm="1">
        <f t="array" ref="V617">SUM(ABS(G617:U617))</f>
        <v>294.99</v>
      </c>
      <c r="W617" s="11" cm="1">
        <f t="array" ref="W617">SUM(ABS(B617:E617))+SUM(ABS(G617:U617))</f>
        <v>457.11</v>
      </c>
    </row>
    <row r="618" spans="1:23" x14ac:dyDescent="0.3">
      <c r="A618" s="14">
        <v>45966.375</v>
      </c>
      <c r="B618" s="1">
        <v>-81.86</v>
      </c>
      <c r="C618" s="1">
        <v>35.83</v>
      </c>
      <c r="D618" s="1">
        <v>12</v>
      </c>
      <c r="E618" s="1">
        <v>0</v>
      </c>
      <c r="F618" s="1" cm="1">
        <f t="array" ref="F618">SUM(ABS(B618:E618))</f>
        <v>129.69</v>
      </c>
      <c r="G618" s="1">
        <v>20.079999999999998</v>
      </c>
      <c r="H618" s="1">
        <v>214.26</v>
      </c>
      <c r="I618" s="1">
        <v>-21.06</v>
      </c>
      <c r="J618" s="1">
        <v>27.91</v>
      </c>
      <c r="K618" s="1">
        <v>0</v>
      </c>
      <c r="L618" s="1">
        <v>0</v>
      </c>
      <c r="M618" s="1">
        <v>0</v>
      </c>
      <c r="N618" s="1">
        <v>0.15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 cm="1">
        <f t="array" ref="V618">SUM(ABS(G618:U618))</f>
        <v>283.45999999999998</v>
      </c>
      <c r="W618" s="11" cm="1">
        <f t="array" ref="W618">SUM(ABS(B618:E618))+SUM(ABS(G618:U618))</f>
        <v>413.15</v>
      </c>
    </row>
    <row r="619" spans="1:23" x14ac:dyDescent="0.3">
      <c r="A619" s="14">
        <v>45966.385416666664</v>
      </c>
      <c r="B619" s="1">
        <v>-159.07</v>
      </c>
      <c r="C619" s="1">
        <v>35.78</v>
      </c>
      <c r="D619" s="1">
        <v>12</v>
      </c>
      <c r="E619" s="1">
        <v>0</v>
      </c>
      <c r="F619" s="1" cm="1">
        <f t="array" ref="F619">SUM(ABS(B619:E619))</f>
        <v>206.85</v>
      </c>
      <c r="G619" s="1">
        <v>20.07</v>
      </c>
      <c r="H619" s="1">
        <v>212.11</v>
      </c>
      <c r="I619" s="1">
        <v>-21.04</v>
      </c>
      <c r="J619" s="1">
        <v>26.36</v>
      </c>
      <c r="K619" s="1">
        <v>0</v>
      </c>
      <c r="L619" s="1">
        <v>0</v>
      </c>
      <c r="M619" s="1">
        <v>0</v>
      </c>
      <c r="N619" s="1">
        <v>0.14000000000000001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 cm="1">
        <f t="array" ref="V619">SUM(ABS(G619:U619))</f>
        <v>279.71999999999997</v>
      </c>
      <c r="W619" s="11" cm="1">
        <f t="array" ref="W619">SUM(ABS(B619:E619))+SUM(ABS(G619:U619))</f>
        <v>486.56999999999994</v>
      </c>
    </row>
    <row r="620" spans="1:23" x14ac:dyDescent="0.3">
      <c r="A620" s="14">
        <v>45966.395833333336</v>
      </c>
      <c r="B620" s="1">
        <v>-213.89</v>
      </c>
      <c r="C620" s="1">
        <v>35.729999999999997</v>
      </c>
      <c r="D620" s="1">
        <v>12</v>
      </c>
      <c r="E620" s="1">
        <v>0</v>
      </c>
      <c r="F620" s="1" cm="1">
        <f t="array" ref="F620">SUM(ABS(B620:E620))</f>
        <v>261.62</v>
      </c>
      <c r="G620" s="1">
        <v>20.07</v>
      </c>
      <c r="H620" s="1">
        <v>214.56</v>
      </c>
      <c r="I620" s="1">
        <v>-21.05</v>
      </c>
      <c r="J620" s="1">
        <v>27.63</v>
      </c>
      <c r="K620" s="1">
        <v>0</v>
      </c>
      <c r="L620" s="1">
        <v>0</v>
      </c>
      <c r="M620" s="1">
        <v>0</v>
      </c>
      <c r="N620" s="1">
        <v>0.13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 cm="1">
        <f t="array" ref="V620">SUM(ABS(G620:U620))</f>
        <v>283.44</v>
      </c>
      <c r="W620" s="11" cm="1">
        <f t="array" ref="W620">SUM(ABS(B620:E620))+SUM(ABS(G620:U620))</f>
        <v>545.05999999999995</v>
      </c>
    </row>
    <row r="621" spans="1:23" x14ac:dyDescent="0.3">
      <c r="A621" s="14">
        <v>45966.40625</v>
      </c>
      <c r="B621" s="1">
        <v>-214.97</v>
      </c>
      <c r="C621" s="1">
        <v>35.71</v>
      </c>
      <c r="D621" s="1">
        <v>12</v>
      </c>
      <c r="E621" s="1">
        <v>0</v>
      </c>
      <c r="F621" s="1" cm="1">
        <f t="array" ref="F621">SUM(ABS(B621:E621))</f>
        <v>262.68</v>
      </c>
      <c r="G621" s="1">
        <v>20.079999999999998</v>
      </c>
      <c r="H621" s="1">
        <v>211.88</v>
      </c>
      <c r="I621" s="1">
        <v>-21.04</v>
      </c>
      <c r="J621" s="1">
        <v>26.2</v>
      </c>
      <c r="K621" s="1">
        <v>0</v>
      </c>
      <c r="L621" s="1">
        <v>0</v>
      </c>
      <c r="M621" s="1">
        <v>0</v>
      </c>
      <c r="N621" s="1">
        <v>0.13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 cm="1">
        <f t="array" ref="V621">SUM(ABS(G621:U621))</f>
        <v>279.33</v>
      </c>
      <c r="W621" s="11" cm="1">
        <f t="array" ref="W621">SUM(ABS(B621:E621))+SUM(ABS(G621:U621))</f>
        <v>542.01</v>
      </c>
    </row>
    <row r="622" spans="1:23" x14ac:dyDescent="0.3">
      <c r="A622" s="14">
        <v>45966.416666666664</v>
      </c>
      <c r="B622" s="1">
        <v>-110.7</v>
      </c>
      <c r="C622" s="1">
        <v>35.659999999999997</v>
      </c>
      <c r="D622" s="1">
        <v>12</v>
      </c>
      <c r="E622" s="1">
        <v>0</v>
      </c>
      <c r="F622" s="1" cm="1">
        <f t="array" ref="F622">SUM(ABS(B622:E622))</f>
        <v>158.36000000000001</v>
      </c>
      <c r="G622" s="1">
        <v>20.07</v>
      </c>
      <c r="H622" s="1">
        <v>209.06</v>
      </c>
      <c r="I622" s="1">
        <v>-21</v>
      </c>
      <c r="J622" s="1">
        <v>25.36</v>
      </c>
      <c r="K622" s="1">
        <v>0</v>
      </c>
      <c r="L622" s="1">
        <v>0</v>
      </c>
      <c r="M622" s="1">
        <v>0</v>
      </c>
      <c r="N622" s="1">
        <v>0.15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 cm="1">
        <f t="array" ref="V622">SUM(ABS(G622:U622))</f>
        <v>275.64</v>
      </c>
      <c r="W622" s="11" cm="1">
        <f t="array" ref="W622">SUM(ABS(B622:E622))+SUM(ABS(G622:U622))</f>
        <v>434</v>
      </c>
    </row>
    <row r="623" spans="1:23" x14ac:dyDescent="0.3">
      <c r="A623" s="14">
        <v>45966.427083333336</v>
      </c>
      <c r="B623" s="1">
        <v>-60.53</v>
      </c>
      <c r="C623" s="1">
        <v>35.619999999999997</v>
      </c>
      <c r="D623" s="1">
        <v>12</v>
      </c>
      <c r="E623" s="1">
        <v>0</v>
      </c>
      <c r="F623" s="1" cm="1">
        <f t="array" ref="F623">SUM(ABS(B623:E623))</f>
        <v>108.15</v>
      </c>
      <c r="G623" s="1">
        <v>20.07</v>
      </c>
      <c r="H623" s="1">
        <v>209.86</v>
      </c>
      <c r="I623" s="1">
        <v>-21</v>
      </c>
      <c r="J623" s="1">
        <v>25.64</v>
      </c>
      <c r="K623" s="1">
        <v>0</v>
      </c>
      <c r="L623" s="1">
        <v>0</v>
      </c>
      <c r="M623" s="1">
        <v>0</v>
      </c>
      <c r="N623" s="1">
        <v>0.17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 cm="1">
        <f t="array" ref="V623">SUM(ABS(G623:U623))</f>
        <v>276.74</v>
      </c>
      <c r="W623" s="11" cm="1">
        <f t="array" ref="W623">SUM(ABS(B623:E623))+SUM(ABS(G623:U623))</f>
        <v>384.89</v>
      </c>
    </row>
    <row r="624" spans="1:23" x14ac:dyDescent="0.3">
      <c r="A624" s="14">
        <v>45966.4375</v>
      </c>
      <c r="B624" s="1">
        <v>-104.76</v>
      </c>
      <c r="C624" s="1">
        <v>35.590000000000003</v>
      </c>
      <c r="D624" s="1">
        <v>12</v>
      </c>
      <c r="E624" s="1">
        <v>0</v>
      </c>
      <c r="F624" s="1" cm="1">
        <f t="array" ref="F624">SUM(ABS(B624:E624))</f>
        <v>152.35000000000002</v>
      </c>
      <c r="G624" s="1">
        <v>20.079999999999998</v>
      </c>
      <c r="H624" s="1">
        <v>213.65</v>
      </c>
      <c r="I624" s="1">
        <v>-21.06</v>
      </c>
      <c r="J624" s="1">
        <v>26.58</v>
      </c>
      <c r="K624" s="1">
        <v>0</v>
      </c>
      <c r="L624" s="1">
        <v>0</v>
      </c>
      <c r="M624" s="1">
        <v>0</v>
      </c>
      <c r="N624" s="1">
        <v>0.16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 cm="1">
        <f t="array" ref="V624">SUM(ABS(G624:U624))</f>
        <v>281.53000000000003</v>
      </c>
      <c r="W624" s="11" cm="1">
        <f t="array" ref="W624">SUM(ABS(B624:E624))+SUM(ABS(G624:U624))</f>
        <v>433.88000000000005</v>
      </c>
    </row>
    <row r="625" spans="1:23" x14ac:dyDescent="0.3">
      <c r="A625" s="14">
        <v>45966.447916666664</v>
      </c>
      <c r="B625" s="1">
        <v>-124.71</v>
      </c>
      <c r="C625" s="1">
        <v>35.549999999999997</v>
      </c>
      <c r="D625" s="1">
        <v>12</v>
      </c>
      <c r="E625" s="1">
        <v>0</v>
      </c>
      <c r="F625" s="1" cm="1">
        <f t="array" ref="F625">SUM(ABS(B625:E625))</f>
        <v>172.26</v>
      </c>
      <c r="G625" s="1">
        <v>20.07</v>
      </c>
      <c r="H625" s="1">
        <v>211.93</v>
      </c>
      <c r="I625" s="1">
        <v>-21.03</v>
      </c>
      <c r="J625" s="1">
        <v>26.04</v>
      </c>
      <c r="K625" s="1">
        <v>0</v>
      </c>
      <c r="L625" s="1">
        <v>0</v>
      </c>
      <c r="M625" s="1">
        <v>0</v>
      </c>
      <c r="N625" s="1">
        <v>0.15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 cm="1">
        <f t="array" ref="V625">SUM(ABS(G625:U625))</f>
        <v>279.21999999999997</v>
      </c>
      <c r="W625" s="11" cm="1">
        <f t="array" ref="W625">SUM(ABS(B625:E625))+SUM(ABS(G625:U625))</f>
        <v>451.47999999999996</v>
      </c>
    </row>
    <row r="626" spans="1:23" x14ac:dyDescent="0.3">
      <c r="A626" s="14">
        <v>45966.458333333336</v>
      </c>
      <c r="B626" s="1">
        <v>-73.06</v>
      </c>
      <c r="C626" s="1">
        <v>35.5</v>
      </c>
      <c r="D626" s="1">
        <v>12</v>
      </c>
      <c r="E626" s="1">
        <v>0</v>
      </c>
      <c r="F626" s="1" cm="1">
        <f t="array" ref="F626">SUM(ABS(B626:E626))</f>
        <v>120.56</v>
      </c>
      <c r="G626" s="1">
        <v>20.079999999999998</v>
      </c>
      <c r="H626" s="1">
        <v>186.67</v>
      </c>
      <c r="I626" s="1">
        <v>-21.03</v>
      </c>
      <c r="J626" s="1">
        <v>26.03</v>
      </c>
      <c r="K626" s="1">
        <v>0</v>
      </c>
      <c r="L626" s="1">
        <v>0</v>
      </c>
      <c r="M626" s="1">
        <v>0</v>
      </c>
      <c r="N626" s="1">
        <v>0.16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 cm="1">
        <f t="array" ref="V626">SUM(ABS(G626:U626))</f>
        <v>253.97</v>
      </c>
      <c r="W626" s="11" cm="1">
        <f t="array" ref="W626">SUM(ABS(B626:E626))+SUM(ABS(G626:U626))</f>
        <v>374.53</v>
      </c>
    </row>
    <row r="627" spans="1:23" x14ac:dyDescent="0.3">
      <c r="A627" s="14">
        <v>45966.46875</v>
      </c>
      <c r="B627" s="1">
        <v>-75.7</v>
      </c>
      <c r="C627" s="1">
        <v>35.44</v>
      </c>
      <c r="D627" s="1">
        <v>12</v>
      </c>
      <c r="E627" s="1">
        <v>0</v>
      </c>
      <c r="F627" s="1" cm="1">
        <f t="array" ref="F627">SUM(ABS(B627:E627))</f>
        <v>123.14</v>
      </c>
      <c r="G627" s="1">
        <v>20.07</v>
      </c>
      <c r="H627" s="1">
        <v>210.11</v>
      </c>
      <c r="I627" s="1">
        <v>-21.06</v>
      </c>
      <c r="J627" s="1">
        <v>27.9</v>
      </c>
      <c r="K627" s="1">
        <v>0</v>
      </c>
      <c r="L627" s="1">
        <v>0</v>
      </c>
      <c r="M627" s="1">
        <v>0</v>
      </c>
      <c r="N627" s="1">
        <v>0.16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 cm="1">
        <f t="array" ref="V627">SUM(ABS(G627:U627))</f>
        <v>279.3</v>
      </c>
      <c r="W627" s="11" cm="1">
        <f t="array" ref="W627">SUM(ABS(B627:E627))+SUM(ABS(G627:U627))</f>
        <v>402.44</v>
      </c>
    </row>
    <row r="628" spans="1:23" x14ac:dyDescent="0.3">
      <c r="A628" s="14">
        <v>45966.479166666664</v>
      </c>
      <c r="B628" s="1">
        <v>-65.87</v>
      </c>
      <c r="C628" s="1">
        <v>35.39</v>
      </c>
      <c r="D628" s="1">
        <v>12</v>
      </c>
      <c r="E628" s="1">
        <v>0</v>
      </c>
      <c r="F628" s="1" cm="1">
        <f t="array" ref="F628">SUM(ABS(B628:E628))</f>
        <v>113.26</v>
      </c>
      <c r="G628" s="1">
        <v>20.07</v>
      </c>
      <c r="H628" s="1">
        <v>175.64</v>
      </c>
      <c r="I628" s="1">
        <v>-21.02</v>
      </c>
      <c r="J628" s="1">
        <v>28.29</v>
      </c>
      <c r="K628" s="1">
        <v>0</v>
      </c>
      <c r="L628" s="1">
        <v>0</v>
      </c>
      <c r="M628" s="1">
        <v>0</v>
      </c>
      <c r="N628" s="1">
        <v>0.16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 cm="1">
        <f t="array" ref="V628">SUM(ABS(G628:U628))</f>
        <v>245.17999999999998</v>
      </c>
      <c r="W628" s="11" cm="1">
        <f t="array" ref="W628">SUM(ABS(B628:E628))+SUM(ABS(G628:U628))</f>
        <v>358.44</v>
      </c>
    </row>
    <row r="629" spans="1:23" x14ac:dyDescent="0.3">
      <c r="A629" s="14">
        <v>45966.489583333336</v>
      </c>
      <c r="B629" s="1">
        <v>-64.12</v>
      </c>
      <c r="C629" s="1">
        <v>35.33</v>
      </c>
      <c r="D629" s="1">
        <v>12</v>
      </c>
      <c r="E629" s="1">
        <v>0</v>
      </c>
      <c r="F629" s="1" cm="1">
        <f t="array" ref="F629">SUM(ABS(B629:E629))</f>
        <v>111.45</v>
      </c>
      <c r="G629" s="1">
        <v>20.07</v>
      </c>
      <c r="H629" s="1">
        <v>199.66</v>
      </c>
      <c r="I629" s="1">
        <v>-21.01</v>
      </c>
      <c r="J629" s="1">
        <v>28.56</v>
      </c>
      <c r="K629" s="1">
        <v>0</v>
      </c>
      <c r="L629" s="1">
        <v>0</v>
      </c>
      <c r="M629" s="1">
        <v>0</v>
      </c>
      <c r="N629" s="1">
        <v>0.16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 cm="1">
        <f t="array" ref="V629">SUM(ABS(G629:U629))</f>
        <v>269.45999999999998</v>
      </c>
      <c r="W629" s="11" cm="1">
        <f t="array" ref="W629">SUM(ABS(B629:E629))+SUM(ABS(G629:U629))</f>
        <v>380.90999999999997</v>
      </c>
    </row>
    <row r="630" spans="1:23" x14ac:dyDescent="0.3">
      <c r="A630" s="14">
        <v>45966.5</v>
      </c>
      <c r="B630" s="1">
        <v>-65.83</v>
      </c>
      <c r="C630" s="1">
        <v>32.340000000000003</v>
      </c>
      <c r="D630" s="1">
        <v>12</v>
      </c>
      <c r="E630" s="1">
        <v>0</v>
      </c>
      <c r="F630" s="1" cm="1">
        <f t="array" ref="F630">SUM(ABS(B630:E630))</f>
        <v>110.17</v>
      </c>
      <c r="G630" s="1">
        <v>20.07</v>
      </c>
      <c r="H630" s="1">
        <v>215.24</v>
      </c>
      <c r="I630" s="1">
        <v>-20.99</v>
      </c>
      <c r="J630" s="1">
        <v>28.83</v>
      </c>
      <c r="K630" s="1">
        <v>0</v>
      </c>
      <c r="L630" s="1">
        <v>0</v>
      </c>
      <c r="M630" s="1">
        <v>0</v>
      </c>
      <c r="N630" s="1">
        <v>0.15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 cm="1">
        <f t="array" ref="V630">SUM(ABS(G630:U630))</f>
        <v>285.27999999999997</v>
      </c>
      <c r="W630" s="11" cm="1">
        <f t="array" ref="W630">SUM(ABS(B630:E630))+SUM(ABS(G630:U630))</f>
        <v>395.45</v>
      </c>
    </row>
    <row r="631" spans="1:23" x14ac:dyDescent="0.3">
      <c r="A631" s="14">
        <v>45966.510416666664</v>
      </c>
      <c r="B631" s="1">
        <v>-114.43</v>
      </c>
      <c r="C631" s="1">
        <v>24.46</v>
      </c>
      <c r="D631" s="1">
        <v>12</v>
      </c>
      <c r="E631" s="1">
        <v>0</v>
      </c>
      <c r="F631" s="1" cm="1">
        <f t="array" ref="F631">SUM(ABS(B631:E631))</f>
        <v>150.89000000000001</v>
      </c>
      <c r="G631" s="1">
        <v>20.07</v>
      </c>
      <c r="H631" s="1">
        <v>215.21</v>
      </c>
      <c r="I631" s="1">
        <v>-21</v>
      </c>
      <c r="J631" s="1">
        <v>29.26</v>
      </c>
      <c r="K631" s="1">
        <v>0</v>
      </c>
      <c r="L631" s="1">
        <v>0</v>
      </c>
      <c r="M631" s="1">
        <v>0</v>
      </c>
      <c r="N631" s="1">
        <v>0.15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 cm="1">
        <f t="array" ref="V631">SUM(ABS(G631:U631))</f>
        <v>285.68999999999994</v>
      </c>
      <c r="W631" s="11" cm="1">
        <f t="array" ref="W631">SUM(ABS(B631:E631))+SUM(ABS(G631:U631))</f>
        <v>436.57999999999993</v>
      </c>
    </row>
    <row r="632" spans="1:23" x14ac:dyDescent="0.3">
      <c r="A632" s="14">
        <v>45966.520833333336</v>
      </c>
      <c r="B632" s="1">
        <v>-115.81</v>
      </c>
      <c r="C632" s="1">
        <v>24.67</v>
      </c>
      <c r="D632" s="1">
        <v>12</v>
      </c>
      <c r="E632" s="1">
        <v>0</v>
      </c>
      <c r="F632" s="1" cm="1">
        <f t="array" ref="F632">SUM(ABS(B632:E632))</f>
        <v>152.48000000000002</v>
      </c>
      <c r="G632" s="1">
        <v>20.09</v>
      </c>
      <c r="H632" s="1">
        <v>215.01</v>
      </c>
      <c r="I632" s="1">
        <v>-20.94</v>
      </c>
      <c r="J632" s="1">
        <v>28.99</v>
      </c>
      <c r="K632" s="1">
        <v>0</v>
      </c>
      <c r="L632" s="1">
        <v>0</v>
      </c>
      <c r="M632" s="1">
        <v>0</v>
      </c>
      <c r="N632" s="1">
        <v>0.15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 cm="1">
        <f t="array" ref="V632">SUM(ABS(G632:U632))</f>
        <v>285.18</v>
      </c>
      <c r="W632" s="11" cm="1">
        <f t="array" ref="W632">SUM(ABS(B632:E632))+SUM(ABS(G632:U632))</f>
        <v>437.66</v>
      </c>
    </row>
    <row r="633" spans="1:23" x14ac:dyDescent="0.3">
      <c r="A633" s="14">
        <v>45966.53125</v>
      </c>
      <c r="B633" s="1">
        <v>-144.16999999999999</v>
      </c>
      <c r="C633" s="1">
        <v>24.68</v>
      </c>
      <c r="D633" s="1">
        <v>12</v>
      </c>
      <c r="E633" s="1">
        <v>0</v>
      </c>
      <c r="F633" s="1" cm="1">
        <f t="array" ref="F633">SUM(ABS(B633:E633))</f>
        <v>180.85</v>
      </c>
      <c r="G633" s="1">
        <v>20.07</v>
      </c>
      <c r="H633" s="1">
        <v>215.13</v>
      </c>
      <c r="I633" s="1">
        <v>-20.95</v>
      </c>
      <c r="J633" s="1">
        <v>28.79</v>
      </c>
      <c r="K633" s="1">
        <v>0</v>
      </c>
      <c r="L633" s="1">
        <v>0</v>
      </c>
      <c r="M633" s="1">
        <v>0</v>
      </c>
      <c r="N633" s="1">
        <v>0.14000000000000001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 cm="1">
        <f t="array" ref="V633">SUM(ABS(G633:U633))</f>
        <v>285.08</v>
      </c>
      <c r="W633" s="11" cm="1">
        <f t="array" ref="W633">SUM(ABS(B633:E633))+SUM(ABS(G633:U633))</f>
        <v>465.92999999999995</v>
      </c>
    </row>
    <row r="634" spans="1:23" x14ac:dyDescent="0.3">
      <c r="A634" s="14">
        <v>45966.541666666664</v>
      </c>
      <c r="B634" s="1">
        <v>-112.82</v>
      </c>
      <c r="C634" s="1">
        <v>24.7</v>
      </c>
      <c r="D634" s="1">
        <v>12</v>
      </c>
      <c r="E634" s="1">
        <v>0</v>
      </c>
      <c r="F634" s="1" cm="1">
        <f t="array" ref="F634">SUM(ABS(B634:E634))</f>
        <v>149.51999999999998</v>
      </c>
      <c r="G634" s="1">
        <v>20.079999999999998</v>
      </c>
      <c r="H634" s="1">
        <v>215.19</v>
      </c>
      <c r="I634" s="1">
        <v>-20.95</v>
      </c>
      <c r="J634" s="1">
        <v>28.67</v>
      </c>
      <c r="K634" s="1">
        <v>0</v>
      </c>
      <c r="L634" s="1">
        <v>0</v>
      </c>
      <c r="M634" s="1">
        <v>0</v>
      </c>
      <c r="N634" s="1">
        <v>0.15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 cm="1">
        <f t="array" ref="V634">SUM(ABS(G634:U634))</f>
        <v>285.03999999999996</v>
      </c>
      <c r="W634" s="11" cm="1">
        <f t="array" ref="W634">SUM(ABS(B634:E634))+SUM(ABS(G634:U634))</f>
        <v>434.55999999999995</v>
      </c>
    </row>
    <row r="635" spans="1:23" x14ac:dyDescent="0.3">
      <c r="A635" s="14">
        <v>45966.552083333336</v>
      </c>
      <c r="B635" s="1">
        <v>-149.47</v>
      </c>
      <c r="C635" s="1">
        <v>24.74</v>
      </c>
      <c r="D635" s="1">
        <v>12</v>
      </c>
      <c r="E635" s="1">
        <v>0</v>
      </c>
      <c r="F635" s="1" cm="1">
        <f t="array" ref="F635">SUM(ABS(B635:E635))</f>
        <v>186.21</v>
      </c>
      <c r="G635" s="1">
        <v>20.07</v>
      </c>
      <c r="H635" s="1">
        <v>215.18</v>
      </c>
      <c r="I635" s="1">
        <v>-27.98</v>
      </c>
      <c r="J635" s="1">
        <v>30.85</v>
      </c>
      <c r="K635" s="1">
        <v>0</v>
      </c>
      <c r="L635" s="1">
        <v>0</v>
      </c>
      <c r="M635" s="1">
        <v>0</v>
      </c>
      <c r="N635" s="1">
        <v>0.13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 cm="1">
        <f t="array" ref="V635">SUM(ABS(G635:U635))</f>
        <v>294.21000000000004</v>
      </c>
      <c r="W635" s="11" cm="1">
        <f t="array" ref="W635">SUM(ABS(B635:E635))+SUM(ABS(G635:U635))</f>
        <v>480.42000000000007</v>
      </c>
    </row>
    <row r="636" spans="1:23" x14ac:dyDescent="0.3">
      <c r="A636" s="14">
        <v>45966.5625</v>
      </c>
      <c r="B636" s="1">
        <v>-190.51</v>
      </c>
      <c r="C636" s="1">
        <v>24.74</v>
      </c>
      <c r="D636" s="1">
        <v>12</v>
      </c>
      <c r="E636" s="1">
        <v>0</v>
      </c>
      <c r="F636" s="1" cm="1">
        <f t="array" ref="F636">SUM(ABS(B636:E636))</f>
        <v>227.25</v>
      </c>
      <c r="G636" s="1">
        <v>20.079999999999998</v>
      </c>
      <c r="H636" s="1">
        <v>214.79</v>
      </c>
      <c r="I636" s="1">
        <v>-29.89</v>
      </c>
      <c r="J636" s="1">
        <v>29.72</v>
      </c>
      <c r="K636" s="1">
        <v>0</v>
      </c>
      <c r="L636" s="1">
        <v>0</v>
      </c>
      <c r="M636" s="1">
        <v>0</v>
      </c>
      <c r="N636" s="1">
        <v>0.13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 cm="1">
        <f t="array" ref="V636">SUM(ABS(G636:U636))</f>
        <v>294.61</v>
      </c>
      <c r="W636" s="11" cm="1">
        <f t="array" ref="W636">SUM(ABS(B636:E636))+SUM(ABS(G636:U636))</f>
        <v>521.86</v>
      </c>
    </row>
    <row r="637" spans="1:23" x14ac:dyDescent="0.3">
      <c r="A637" s="14">
        <v>45966.572916666664</v>
      </c>
      <c r="B637" s="1">
        <v>-199.42</v>
      </c>
      <c r="C637" s="1">
        <v>24.77</v>
      </c>
      <c r="D637" s="1">
        <v>12</v>
      </c>
      <c r="E637" s="1">
        <v>0</v>
      </c>
      <c r="F637" s="1" cm="1">
        <f t="array" ref="F637">SUM(ABS(B637:E637))</f>
        <v>236.19</v>
      </c>
      <c r="G637" s="1">
        <v>20.07</v>
      </c>
      <c r="H637" s="1">
        <v>214.89</v>
      </c>
      <c r="I637" s="1">
        <v>-29.89</v>
      </c>
      <c r="J637" s="1">
        <v>29.15</v>
      </c>
      <c r="K637" s="1">
        <v>0</v>
      </c>
      <c r="L637" s="1">
        <v>0</v>
      </c>
      <c r="M637" s="1">
        <v>0</v>
      </c>
      <c r="N637" s="1">
        <v>0.13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 cm="1">
        <f t="array" ref="V637">SUM(ABS(G637:U637))</f>
        <v>294.12999999999994</v>
      </c>
      <c r="W637" s="11" cm="1">
        <f t="array" ref="W637">SUM(ABS(B637:E637))+SUM(ABS(G637:U637))</f>
        <v>530.31999999999994</v>
      </c>
    </row>
    <row r="638" spans="1:23" x14ac:dyDescent="0.3">
      <c r="A638" s="14">
        <v>45966.583333333336</v>
      </c>
      <c r="B638" s="1">
        <v>-250.92</v>
      </c>
      <c r="C638" s="1">
        <v>24.81</v>
      </c>
      <c r="D638" s="1">
        <v>12</v>
      </c>
      <c r="E638" s="1">
        <v>0</v>
      </c>
      <c r="F638" s="1" cm="1">
        <f t="array" ref="F638">SUM(ABS(B638:E638))</f>
        <v>287.72999999999996</v>
      </c>
      <c r="G638" s="1">
        <v>30.81</v>
      </c>
      <c r="H638" s="1">
        <v>214.55</v>
      </c>
      <c r="I638" s="1">
        <v>-29.89</v>
      </c>
      <c r="J638" s="1">
        <v>27.96</v>
      </c>
      <c r="K638" s="1">
        <v>0</v>
      </c>
      <c r="L638" s="1">
        <v>0</v>
      </c>
      <c r="M638" s="1">
        <v>0</v>
      </c>
      <c r="N638" s="1">
        <v>0.12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 cm="1">
        <f t="array" ref="V638">SUM(ABS(G638:U638))</f>
        <v>303.33</v>
      </c>
      <c r="W638" s="11" cm="1">
        <f t="array" ref="W638">SUM(ABS(B638:E638))+SUM(ABS(G638:U638))</f>
        <v>591.05999999999995</v>
      </c>
    </row>
    <row r="639" spans="1:23" x14ac:dyDescent="0.3">
      <c r="A639" s="14">
        <v>45966.59375</v>
      </c>
      <c r="B639" s="1">
        <v>-255.69</v>
      </c>
      <c r="C639" s="1">
        <v>24.85</v>
      </c>
      <c r="D639" s="1">
        <v>12</v>
      </c>
      <c r="E639" s="1">
        <v>0</v>
      </c>
      <c r="F639" s="1" cm="1">
        <f t="array" ref="F639">SUM(ABS(B639:E639))</f>
        <v>292.54000000000002</v>
      </c>
      <c r="G639" s="1">
        <v>36.130000000000003</v>
      </c>
      <c r="H639" s="1">
        <v>214.59</v>
      </c>
      <c r="I639" s="1">
        <v>-29.88</v>
      </c>
      <c r="J639" s="1">
        <v>47.75</v>
      </c>
      <c r="K639" s="1">
        <v>0</v>
      </c>
      <c r="L639" s="1">
        <v>0</v>
      </c>
      <c r="M639" s="1">
        <v>0</v>
      </c>
      <c r="N639" s="1">
        <v>0.2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 cm="1">
        <f t="array" ref="V639">SUM(ABS(G639:U639))</f>
        <v>328.55</v>
      </c>
      <c r="W639" s="11" cm="1">
        <f t="array" ref="W639">SUM(ABS(B639:E639))+SUM(ABS(G639:U639))</f>
        <v>621.09</v>
      </c>
    </row>
    <row r="640" spans="1:23" x14ac:dyDescent="0.3">
      <c r="A640" s="14">
        <v>45966.604166666664</v>
      </c>
      <c r="B640" s="1">
        <v>-204.53</v>
      </c>
      <c r="C640" s="1">
        <v>24.88</v>
      </c>
      <c r="D640" s="1">
        <v>12</v>
      </c>
      <c r="E640" s="1">
        <v>0</v>
      </c>
      <c r="F640" s="1" cm="1">
        <f t="array" ref="F640">SUM(ABS(B640:E640))</f>
        <v>241.41</v>
      </c>
      <c r="G640" s="1">
        <v>36.15</v>
      </c>
      <c r="H640" s="1">
        <v>210.22</v>
      </c>
      <c r="I640" s="1">
        <v>-29.87</v>
      </c>
      <c r="J640" s="1">
        <v>29.05</v>
      </c>
      <c r="K640" s="1">
        <v>0</v>
      </c>
      <c r="L640" s="1">
        <v>0</v>
      </c>
      <c r="M640" s="1">
        <v>0</v>
      </c>
      <c r="N640" s="1">
        <v>-7.81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 cm="1">
        <f t="array" ref="V640">SUM(ABS(G640:U640))</f>
        <v>313.10000000000002</v>
      </c>
      <c r="W640" s="11" cm="1">
        <f t="array" ref="W640">SUM(ABS(B640:E640))+SUM(ABS(G640:U640))</f>
        <v>554.51</v>
      </c>
    </row>
    <row r="641" spans="1:23" x14ac:dyDescent="0.3">
      <c r="A641" s="14">
        <v>45966.614583333336</v>
      </c>
      <c r="B641" s="1">
        <v>-225.01</v>
      </c>
      <c r="C641" s="1">
        <v>24.91</v>
      </c>
      <c r="D641" s="1">
        <v>12</v>
      </c>
      <c r="E641" s="1">
        <v>0</v>
      </c>
      <c r="F641" s="1" cm="1">
        <f t="array" ref="F641">SUM(ABS(B641:E641))</f>
        <v>261.91999999999996</v>
      </c>
      <c r="G641" s="1">
        <v>36.15</v>
      </c>
      <c r="H641" s="1">
        <v>213.09</v>
      </c>
      <c r="I641" s="1">
        <v>-29.89</v>
      </c>
      <c r="J641" s="1">
        <v>28.04</v>
      </c>
      <c r="K641" s="1">
        <v>0</v>
      </c>
      <c r="L641" s="1">
        <v>0</v>
      </c>
      <c r="M641" s="1">
        <v>0</v>
      </c>
      <c r="N641" s="1">
        <v>-19.059999999999999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 cm="1">
        <f t="array" ref="V641">SUM(ABS(G641:U641))</f>
        <v>326.23</v>
      </c>
      <c r="W641" s="11" cm="1">
        <f t="array" ref="W641">SUM(ABS(B641:E641))+SUM(ABS(G641:U641))</f>
        <v>588.15</v>
      </c>
    </row>
    <row r="642" spans="1:23" x14ac:dyDescent="0.3">
      <c r="A642" s="14">
        <v>45966.625</v>
      </c>
      <c r="B642" s="1">
        <v>-216.37</v>
      </c>
      <c r="C642" s="1">
        <v>24.94</v>
      </c>
      <c r="D642" s="1">
        <v>12</v>
      </c>
      <c r="E642" s="1">
        <v>0</v>
      </c>
      <c r="F642" s="1" cm="1">
        <f t="array" ref="F642">SUM(ABS(B642:E642))</f>
        <v>253.31</v>
      </c>
      <c r="G642" s="1">
        <v>36.15</v>
      </c>
      <c r="H642" s="1">
        <v>213.13</v>
      </c>
      <c r="I642" s="1">
        <v>-29.85</v>
      </c>
      <c r="J642" s="1">
        <v>28.41</v>
      </c>
      <c r="K642" s="1">
        <v>0</v>
      </c>
      <c r="L642" s="1">
        <v>0</v>
      </c>
      <c r="M642" s="1">
        <v>0</v>
      </c>
      <c r="N642" s="1">
        <v>-30.54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 cm="1">
        <f t="array" ref="V642">SUM(ABS(G642:U642))</f>
        <v>338.08000000000004</v>
      </c>
      <c r="W642" s="11" cm="1">
        <f t="array" ref="W642">SUM(ABS(B642:E642))+SUM(ABS(G642:U642))</f>
        <v>591.3900000000001</v>
      </c>
    </row>
    <row r="643" spans="1:23" x14ac:dyDescent="0.3">
      <c r="A643" s="14">
        <v>45966.635416666664</v>
      </c>
      <c r="B643" s="1">
        <v>-288.3</v>
      </c>
      <c r="C643" s="1">
        <v>5.82</v>
      </c>
      <c r="D643" s="1">
        <v>12</v>
      </c>
      <c r="E643" s="1">
        <v>0</v>
      </c>
      <c r="F643" s="1" cm="1">
        <f t="array" ref="F643">SUM(ABS(B643:E643))</f>
        <v>306.12</v>
      </c>
      <c r="G643" s="1">
        <v>36.159999999999997</v>
      </c>
      <c r="H643" s="1">
        <v>214.33</v>
      </c>
      <c r="I643" s="1">
        <v>-29.87</v>
      </c>
      <c r="J643" s="1">
        <v>29.34</v>
      </c>
      <c r="K643" s="1">
        <v>0</v>
      </c>
      <c r="L643" s="1">
        <v>0</v>
      </c>
      <c r="M643" s="1">
        <v>0</v>
      </c>
      <c r="N643" s="1">
        <v>-30.55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 cm="1">
        <f t="array" ref="V643">SUM(ABS(G643:U643))</f>
        <v>340.25</v>
      </c>
      <c r="W643" s="11" cm="1">
        <f t="array" ref="W643">SUM(ABS(B643:E643))+SUM(ABS(G643:U643))</f>
        <v>646.37</v>
      </c>
    </row>
    <row r="644" spans="1:23" x14ac:dyDescent="0.3">
      <c r="A644" s="14">
        <v>45966.645833333336</v>
      </c>
      <c r="B644" s="1">
        <v>-340.92</v>
      </c>
      <c r="C644" s="1">
        <v>0</v>
      </c>
      <c r="D644" s="1">
        <v>12</v>
      </c>
      <c r="E644" s="1">
        <v>0</v>
      </c>
      <c r="F644" s="1" cm="1">
        <f t="array" ref="F644">SUM(ABS(B644:E644))</f>
        <v>352.92</v>
      </c>
      <c r="G644" s="1">
        <v>36.15</v>
      </c>
      <c r="H644" s="1">
        <v>214.01</v>
      </c>
      <c r="I644" s="1">
        <v>-29.87</v>
      </c>
      <c r="J644" s="1">
        <v>28.71</v>
      </c>
      <c r="K644" s="1">
        <v>0</v>
      </c>
      <c r="L644" s="1">
        <v>0</v>
      </c>
      <c r="M644" s="1">
        <v>0</v>
      </c>
      <c r="N644" s="1">
        <v>-30.54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 cm="1">
        <f t="array" ref="V644">SUM(ABS(G644:U644))</f>
        <v>339.28</v>
      </c>
      <c r="W644" s="11" cm="1">
        <f t="array" ref="W644">SUM(ABS(B644:E644))+SUM(ABS(G644:U644))</f>
        <v>692.2</v>
      </c>
    </row>
    <row r="645" spans="1:23" x14ac:dyDescent="0.3">
      <c r="A645" s="14">
        <v>45966.65625</v>
      </c>
      <c r="B645" s="1">
        <v>-347.17</v>
      </c>
      <c r="C645" s="1">
        <v>3.53</v>
      </c>
      <c r="D645" s="1">
        <v>12</v>
      </c>
      <c r="E645" s="1">
        <v>0</v>
      </c>
      <c r="F645" s="1" cm="1">
        <f t="array" ref="F645">SUM(ABS(B645:E645))</f>
        <v>362.7</v>
      </c>
      <c r="G645" s="1">
        <v>36.15</v>
      </c>
      <c r="H645" s="1">
        <v>213.18</v>
      </c>
      <c r="I645" s="1">
        <v>-29.86</v>
      </c>
      <c r="J645" s="1">
        <v>27.17</v>
      </c>
      <c r="K645" s="1">
        <v>0</v>
      </c>
      <c r="L645" s="1">
        <v>0</v>
      </c>
      <c r="M645" s="1">
        <v>0</v>
      </c>
      <c r="N645" s="1">
        <v>-30.56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 cm="1">
        <f t="array" ref="V645">SUM(ABS(G645:U645))</f>
        <v>336.92</v>
      </c>
      <c r="W645" s="11" cm="1">
        <f t="array" ref="W645">SUM(ABS(B645:E645))+SUM(ABS(G645:U645))</f>
        <v>699.62</v>
      </c>
    </row>
    <row r="646" spans="1:23" x14ac:dyDescent="0.3">
      <c r="A646" s="14">
        <v>45966.666666666664</v>
      </c>
      <c r="B646" s="1">
        <v>-136.80000000000001</v>
      </c>
      <c r="C646" s="1">
        <v>24.37</v>
      </c>
      <c r="D646" s="1">
        <v>12</v>
      </c>
      <c r="E646" s="1">
        <v>0</v>
      </c>
      <c r="F646" s="1" cm="1">
        <f t="array" ref="F646">SUM(ABS(B646:E646))</f>
        <v>173.17000000000002</v>
      </c>
      <c r="G646" s="1">
        <v>24.35</v>
      </c>
      <c r="H646" s="1">
        <v>117.45</v>
      </c>
      <c r="I646" s="1">
        <v>-22.95</v>
      </c>
      <c r="J646" s="1">
        <v>25.08</v>
      </c>
      <c r="K646" s="1">
        <v>0</v>
      </c>
      <c r="L646" s="1">
        <v>0</v>
      </c>
      <c r="M646" s="1">
        <v>0</v>
      </c>
      <c r="N646" s="1">
        <v>-30.52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 cm="1">
        <f t="array" ref="V646">SUM(ABS(G646:U646))</f>
        <v>220.35</v>
      </c>
      <c r="W646" s="11" cm="1">
        <f t="array" ref="W646">SUM(ABS(B646:E646))+SUM(ABS(G646:U646))</f>
        <v>393.52</v>
      </c>
    </row>
    <row r="647" spans="1:23" x14ac:dyDescent="0.3">
      <c r="A647" s="14">
        <v>45966.677083333336</v>
      </c>
      <c r="B647" s="1">
        <v>-140.69999999999999</v>
      </c>
      <c r="C647" s="1">
        <v>24.51</v>
      </c>
      <c r="D647" s="1">
        <v>12</v>
      </c>
      <c r="E647" s="1">
        <v>0</v>
      </c>
      <c r="F647" s="1" cm="1">
        <f t="array" ref="F647">SUM(ABS(B647:E647))</f>
        <v>177.20999999999998</v>
      </c>
      <c r="G647" s="1">
        <v>20.09</v>
      </c>
      <c r="H647" s="1">
        <v>80.67</v>
      </c>
      <c r="I647" s="1">
        <v>-21.06</v>
      </c>
      <c r="J647" s="1">
        <v>25.91</v>
      </c>
      <c r="K647" s="1">
        <v>0</v>
      </c>
      <c r="L647" s="1">
        <v>0</v>
      </c>
      <c r="M647" s="1">
        <v>0</v>
      </c>
      <c r="N647" s="1">
        <v>-30.54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 cm="1">
        <f t="array" ref="V647">SUM(ABS(G647:U647))</f>
        <v>178.27</v>
      </c>
      <c r="W647" s="11" cm="1">
        <f t="array" ref="W647">SUM(ABS(B647:E647))+SUM(ABS(G647:U647))</f>
        <v>355.48</v>
      </c>
    </row>
    <row r="648" spans="1:23" x14ac:dyDescent="0.3">
      <c r="A648" s="14">
        <v>45966.6875</v>
      </c>
      <c r="B648" s="1">
        <v>-451.79</v>
      </c>
      <c r="C648" s="1">
        <v>24.49</v>
      </c>
      <c r="D648" s="1">
        <v>12</v>
      </c>
      <c r="E648" s="1">
        <v>0</v>
      </c>
      <c r="F648" s="1" cm="1">
        <f t="array" ref="F648">SUM(ABS(B648:E648))</f>
        <v>488.28000000000003</v>
      </c>
      <c r="G648" s="1">
        <v>20.079999999999998</v>
      </c>
      <c r="H648" s="1">
        <v>93.58</v>
      </c>
      <c r="I648" s="1">
        <v>-28.16</v>
      </c>
      <c r="J648" s="1">
        <v>25.46</v>
      </c>
      <c r="K648" s="1">
        <v>0</v>
      </c>
      <c r="L648" s="1">
        <v>0</v>
      </c>
      <c r="M648" s="1">
        <v>0</v>
      </c>
      <c r="N648" s="1">
        <v>-30.5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 cm="1">
        <f t="array" ref="V648">SUM(ABS(G648:U648))</f>
        <v>197.78</v>
      </c>
      <c r="W648" s="11" cm="1">
        <f t="array" ref="W648">SUM(ABS(B648:E648))+SUM(ABS(G648:U648))</f>
        <v>686.06000000000006</v>
      </c>
    </row>
    <row r="649" spans="1:23" x14ac:dyDescent="0.3">
      <c r="A649" s="14">
        <v>45966.697916666664</v>
      </c>
      <c r="B649" s="1">
        <v>-525.15</v>
      </c>
      <c r="C649" s="1">
        <v>24.68</v>
      </c>
      <c r="D649" s="1">
        <v>12</v>
      </c>
      <c r="E649" s="1">
        <v>0</v>
      </c>
      <c r="F649" s="1" cm="1">
        <f t="array" ref="F649">SUM(ABS(B649:E649))</f>
        <v>561.82999999999993</v>
      </c>
      <c r="G649" s="1">
        <v>20.07</v>
      </c>
      <c r="H649" s="1">
        <v>130.02000000000001</v>
      </c>
      <c r="I649" s="1">
        <v>-29.86</v>
      </c>
      <c r="J649" s="1">
        <v>32.28</v>
      </c>
      <c r="K649" s="1">
        <v>0</v>
      </c>
      <c r="L649" s="1">
        <v>0</v>
      </c>
      <c r="M649" s="1">
        <v>0</v>
      </c>
      <c r="N649" s="1">
        <v>-30.48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 cm="1">
        <f t="array" ref="V649">SUM(ABS(G649:U649))</f>
        <v>242.70999999999998</v>
      </c>
      <c r="W649" s="11" cm="1">
        <f t="array" ref="W649">SUM(ABS(B649:E649))+SUM(ABS(G649:U649))</f>
        <v>804.54</v>
      </c>
    </row>
    <row r="650" spans="1:23" x14ac:dyDescent="0.3">
      <c r="A650" s="14">
        <v>45966.708333333336</v>
      </c>
      <c r="B650" s="1">
        <v>-548.67999999999995</v>
      </c>
      <c r="C650" s="1">
        <v>24.7</v>
      </c>
      <c r="D650" s="1">
        <v>12</v>
      </c>
      <c r="E650" s="1">
        <v>0</v>
      </c>
      <c r="F650" s="1" cm="1">
        <f t="array" ref="F650">SUM(ABS(B650:E650))</f>
        <v>585.38</v>
      </c>
      <c r="G650" s="1">
        <v>25.02</v>
      </c>
      <c r="H650" s="1">
        <v>160.19</v>
      </c>
      <c r="I650" s="1">
        <v>-30.2</v>
      </c>
      <c r="J650" s="1">
        <v>52.67</v>
      </c>
      <c r="K650" s="1">
        <v>0</v>
      </c>
      <c r="L650" s="1">
        <v>0</v>
      </c>
      <c r="M650" s="1">
        <v>0</v>
      </c>
      <c r="N650" s="1">
        <v>-30.56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 cm="1">
        <f t="array" ref="V650">SUM(ABS(G650:U650))</f>
        <v>298.64</v>
      </c>
      <c r="W650" s="11" cm="1">
        <f t="array" ref="W650">SUM(ABS(B650:E650))+SUM(ABS(G650:U650))</f>
        <v>884.02</v>
      </c>
    </row>
    <row r="651" spans="1:23" x14ac:dyDescent="0.3">
      <c r="A651" s="14">
        <v>45966.71875</v>
      </c>
      <c r="B651" s="1">
        <v>-554.28</v>
      </c>
      <c r="C651" s="1">
        <v>24.69</v>
      </c>
      <c r="D651" s="1">
        <v>12</v>
      </c>
      <c r="E651" s="1">
        <v>0</v>
      </c>
      <c r="F651" s="1" cm="1">
        <f t="array" ref="F651">SUM(ABS(B651:E651))</f>
        <v>590.97</v>
      </c>
      <c r="G651" s="1">
        <v>30.11</v>
      </c>
      <c r="H651" s="1">
        <v>157.78</v>
      </c>
      <c r="I651" s="1">
        <v>-53.2</v>
      </c>
      <c r="J651" s="1">
        <v>52.54</v>
      </c>
      <c r="K651" s="1">
        <v>0</v>
      </c>
      <c r="L651" s="1">
        <v>0</v>
      </c>
      <c r="M651" s="1">
        <v>0</v>
      </c>
      <c r="N651" s="1">
        <v>-30.55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 cm="1">
        <f t="array" ref="V651">SUM(ABS(G651:U651))</f>
        <v>324.18</v>
      </c>
      <c r="W651" s="11" cm="1">
        <f t="array" ref="W651">SUM(ABS(B651:E651))+SUM(ABS(G651:U651))</f>
        <v>915.15000000000009</v>
      </c>
    </row>
    <row r="652" spans="1:23" x14ac:dyDescent="0.3">
      <c r="A652" s="14">
        <v>45966.729166666664</v>
      </c>
      <c r="B652" s="1">
        <v>-344.92</v>
      </c>
      <c r="C652" s="1">
        <v>24.72</v>
      </c>
      <c r="D652" s="1">
        <v>12</v>
      </c>
      <c r="E652" s="1">
        <v>0</v>
      </c>
      <c r="F652" s="1" cm="1">
        <f t="array" ref="F652">SUM(ABS(B652:E652))</f>
        <v>381.64</v>
      </c>
      <c r="G652" s="1">
        <v>30.13</v>
      </c>
      <c r="H652" s="1">
        <v>157.19999999999999</v>
      </c>
      <c r="I652" s="1">
        <v>-54.33</v>
      </c>
      <c r="J652" s="1">
        <v>52.24</v>
      </c>
      <c r="K652" s="1">
        <v>0</v>
      </c>
      <c r="L652" s="1">
        <v>0</v>
      </c>
      <c r="M652" s="1">
        <v>0</v>
      </c>
      <c r="N652" s="1">
        <v>-30.54</v>
      </c>
      <c r="O652" s="1">
        <v>4.2699999999999996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 cm="1">
        <f t="array" ref="V652">SUM(ABS(G652:U652))</f>
        <v>328.71</v>
      </c>
      <c r="W652" s="11" cm="1">
        <f t="array" ref="W652">SUM(ABS(B652:E652))+SUM(ABS(G652:U652))</f>
        <v>710.34999999999991</v>
      </c>
    </row>
    <row r="653" spans="1:23" x14ac:dyDescent="0.3">
      <c r="A653" s="14">
        <v>45966.739583333336</v>
      </c>
      <c r="B653" s="1">
        <v>-527.58000000000004</v>
      </c>
      <c r="C653" s="1">
        <v>24.71</v>
      </c>
      <c r="D653" s="1">
        <v>12.02</v>
      </c>
      <c r="E653" s="1">
        <v>0</v>
      </c>
      <c r="F653" s="1" cm="1">
        <f t="array" ref="F653">SUM(ABS(B653:E653))</f>
        <v>564.31000000000006</v>
      </c>
      <c r="G653" s="1">
        <v>30.11</v>
      </c>
      <c r="H653" s="1">
        <v>176.66</v>
      </c>
      <c r="I653" s="1">
        <v>-54.33</v>
      </c>
      <c r="J653" s="1">
        <v>53.91</v>
      </c>
      <c r="K653" s="1">
        <v>0</v>
      </c>
      <c r="L653" s="1">
        <v>0</v>
      </c>
      <c r="M653" s="1">
        <v>0</v>
      </c>
      <c r="N653" s="1">
        <v>-30.54</v>
      </c>
      <c r="O653" s="1">
        <v>7.42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 cm="1">
        <f t="array" ref="V653">SUM(ABS(G653:U653))</f>
        <v>352.97</v>
      </c>
      <c r="W653" s="11" cm="1">
        <f t="array" ref="W653">SUM(ABS(B653:E653))+SUM(ABS(G653:U653))</f>
        <v>917.28000000000009</v>
      </c>
    </row>
    <row r="654" spans="1:23" x14ac:dyDescent="0.3">
      <c r="A654" s="14">
        <v>45966.75</v>
      </c>
      <c r="B654" s="1">
        <v>-208.13</v>
      </c>
      <c r="C654" s="1">
        <v>24.73</v>
      </c>
      <c r="D654" s="1">
        <v>28.07</v>
      </c>
      <c r="E654" s="1">
        <v>4.54</v>
      </c>
      <c r="F654" s="1" cm="1">
        <f t="array" ref="F654">SUM(ABS(B654:E654))</f>
        <v>265.47000000000003</v>
      </c>
      <c r="G654" s="1">
        <v>30.12</v>
      </c>
      <c r="H654" s="1">
        <v>187.1</v>
      </c>
      <c r="I654" s="1">
        <v>-43.9</v>
      </c>
      <c r="J654" s="1">
        <v>84.9</v>
      </c>
      <c r="K654" s="1">
        <v>0</v>
      </c>
      <c r="L654" s="1">
        <v>0</v>
      </c>
      <c r="M654" s="1">
        <v>0</v>
      </c>
      <c r="N654" s="1">
        <v>-30.54</v>
      </c>
      <c r="O654" s="1">
        <v>9.94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 cm="1">
        <f t="array" ref="V654">SUM(ABS(G654:U654))</f>
        <v>386.5</v>
      </c>
      <c r="W654" s="11" cm="1">
        <f t="array" ref="W654">SUM(ABS(B654:E654))+SUM(ABS(G654:U654))</f>
        <v>651.97</v>
      </c>
    </row>
    <row r="655" spans="1:23" x14ac:dyDescent="0.3">
      <c r="A655" s="14">
        <v>45966.760416666664</v>
      </c>
      <c r="B655" s="1">
        <v>-171.59</v>
      </c>
      <c r="C655" s="1">
        <v>24.73</v>
      </c>
      <c r="D655" s="1">
        <v>48.47</v>
      </c>
      <c r="E655" s="1">
        <v>11.38</v>
      </c>
      <c r="F655" s="1" cm="1">
        <f t="array" ref="F655">SUM(ABS(B655:E655))</f>
        <v>256.17</v>
      </c>
      <c r="G655" s="1">
        <v>29.79</v>
      </c>
      <c r="H655" s="1">
        <v>130.66</v>
      </c>
      <c r="I655" s="1">
        <v>-41.78</v>
      </c>
      <c r="J655" s="1">
        <v>103.26</v>
      </c>
      <c r="K655" s="1">
        <v>4.8600000000000003</v>
      </c>
      <c r="L655" s="1">
        <v>-17.18</v>
      </c>
      <c r="M655" s="1">
        <v>0</v>
      </c>
      <c r="N655" s="1">
        <v>-30.59</v>
      </c>
      <c r="O655" s="1">
        <v>9.9499999999999993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 cm="1">
        <f t="array" ref="V655">SUM(ABS(G655:U655))</f>
        <v>368.07</v>
      </c>
      <c r="W655" s="11" cm="1">
        <f t="array" ref="W655">SUM(ABS(B655:E655))+SUM(ABS(G655:U655))</f>
        <v>624.24</v>
      </c>
    </row>
    <row r="656" spans="1:23" x14ac:dyDescent="0.3">
      <c r="A656" s="14">
        <v>45966.770833333336</v>
      </c>
      <c r="B656" s="1">
        <v>-221.91</v>
      </c>
      <c r="C656" s="1">
        <v>25.25</v>
      </c>
      <c r="D656" s="1">
        <v>48.47</v>
      </c>
      <c r="E656" s="1">
        <v>27.36</v>
      </c>
      <c r="F656" s="1" cm="1">
        <f t="array" ref="F656">SUM(ABS(B656:E656))</f>
        <v>322.99</v>
      </c>
      <c r="G656" s="1">
        <v>30.13</v>
      </c>
      <c r="H656" s="1">
        <v>242.65</v>
      </c>
      <c r="I656" s="1">
        <v>-44.22</v>
      </c>
      <c r="J656" s="1">
        <v>101.88</v>
      </c>
      <c r="K656" s="1">
        <v>47.38</v>
      </c>
      <c r="L656" s="1">
        <v>-43.7</v>
      </c>
      <c r="M656" s="1">
        <v>0</v>
      </c>
      <c r="N656" s="1">
        <v>-30.66</v>
      </c>
      <c r="O656" s="1">
        <v>9.9600000000000009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 cm="1">
        <f t="array" ref="V656">SUM(ABS(G656:U656))</f>
        <v>550.58000000000004</v>
      </c>
      <c r="W656" s="11" cm="1">
        <f t="array" ref="W656">SUM(ABS(B656:E656))+SUM(ABS(G656:U656))</f>
        <v>873.57</v>
      </c>
    </row>
    <row r="657" spans="1:23" x14ac:dyDescent="0.3">
      <c r="A657" s="14">
        <v>45966.78125</v>
      </c>
      <c r="B657" s="1">
        <v>-253.51</v>
      </c>
      <c r="C657" s="1">
        <v>29.91</v>
      </c>
      <c r="D657" s="1">
        <v>48.47</v>
      </c>
      <c r="E657" s="1">
        <v>31.69</v>
      </c>
      <c r="F657" s="1" cm="1">
        <f t="array" ref="F657">SUM(ABS(B657:E657))</f>
        <v>363.58</v>
      </c>
      <c r="G657" s="1">
        <v>34</v>
      </c>
      <c r="H657" s="1">
        <v>215.66</v>
      </c>
      <c r="I657" s="1">
        <v>-46.5</v>
      </c>
      <c r="J657" s="1">
        <v>112.28</v>
      </c>
      <c r="K657" s="1">
        <v>47.23</v>
      </c>
      <c r="L657" s="1">
        <v>-57.23</v>
      </c>
      <c r="M657" s="1">
        <v>0</v>
      </c>
      <c r="N657" s="1">
        <v>-30.67</v>
      </c>
      <c r="O657" s="1">
        <v>9.9600000000000009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 cm="1">
        <f t="array" ref="V657">SUM(ABS(G657:U657))</f>
        <v>553.53</v>
      </c>
      <c r="W657" s="11" cm="1">
        <f t="array" ref="W657">SUM(ABS(B657:E657))+SUM(ABS(G657:U657))</f>
        <v>917.1099999999999</v>
      </c>
    </row>
    <row r="658" spans="1:23" x14ac:dyDescent="0.3">
      <c r="A658" s="14">
        <v>45966.791666666664</v>
      </c>
      <c r="B658" s="1">
        <v>-515.57000000000005</v>
      </c>
      <c r="C658" s="1">
        <v>24.51</v>
      </c>
      <c r="D658" s="1">
        <v>48.47</v>
      </c>
      <c r="E658" s="1">
        <v>36.65</v>
      </c>
      <c r="F658" s="1" cm="1">
        <f t="array" ref="F658">SUM(ABS(B658:E658))</f>
        <v>625.20000000000005</v>
      </c>
      <c r="G658" s="1">
        <v>54.24</v>
      </c>
      <c r="H658" s="1">
        <v>270.61</v>
      </c>
      <c r="I658" s="1">
        <v>-54.32</v>
      </c>
      <c r="J658" s="1">
        <v>154.69</v>
      </c>
      <c r="K658" s="1">
        <v>92.82</v>
      </c>
      <c r="L658" s="1">
        <v>-57.5</v>
      </c>
      <c r="M658" s="1">
        <v>0</v>
      </c>
      <c r="N658" s="1">
        <v>-30.7</v>
      </c>
      <c r="O658" s="1">
        <v>9.9700000000000006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 cm="1">
        <f t="array" ref="V658">SUM(ABS(G658:U658))</f>
        <v>724.85000000000014</v>
      </c>
      <c r="W658" s="11" cm="1">
        <f t="array" ref="W658">SUM(ABS(B658:E658))+SUM(ABS(G658:U658))</f>
        <v>1350.0500000000002</v>
      </c>
    </row>
    <row r="659" spans="1:23" x14ac:dyDescent="0.3">
      <c r="A659" s="14">
        <v>45966.802083333336</v>
      </c>
      <c r="B659" s="1">
        <v>-666.3</v>
      </c>
      <c r="C659" s="1">
        <v>24.7</v>
      </c>
      <c r="D659" s="1">
        <v>53.04</v>
      </c>
      <c r="E659" s="1">
        <v>38.090000000000003</v>
      </c>
      <c r="F659" s="1" cm="1">
        <f t="array" ref="F659">SUM(ABS(B659:E659))</f>
        <v>782.13</v>
      </c>
      <c r="G659" s="1">
        <v>54.26</v>
      </c>
      <c r="H659" s="1">
        <v>272.51</v>
      </c>
      <c r="I659" s="1">
        <v>-54.31</v>
      </c>
      <c r="J659" s="1">
        <v>165.61</v>
      </c>
      <c r="K659" s="1">
        <v>91.77</v>
      </c>
      <c r="L659" s="1">
        <v>-57.92</v>
      </c>
      <c r="M659" s="1">
        <v>0</v>
      </c>
      <c r="N659" s="1">
        <v>-30.69</v>
      </c>
      <c r="O659" s="1">
        <v>9.9700000000000006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 cm="1">
        <f t="array" ref="V659">SUM(ABS(G659:U659))</f>
        <v>737.04000000000008</v>
      </c>
      <c r="W659" s="11" cm="1">
        <f t="array" ref="W659">SUM(ABS(B659:E659))+SUM(ABS(G659:U659))</f>
        <v>1519.17</v>
      </c>
    </row>
    <row r="660" spans="1:23" x14ac:dyDescent="0.3">
      <c r="A660" s="14">
        <v>45966.8125</v>
      </c>
      <c r="B660" s="1">
        <v>-619.22</v>
      </c>
      <c r="C660" s="1">
        <v>23.61</v>
      </c>
      <c r="D660" s="1">
        <v>66.260000000000005</v>
      </c>
      <c r="E660" s="1">
        <v>38.07</v>
      </c>
      <c r="F660" s="1" cm="1">
        <f t="array" ref="F660">SUM(ABS(B660:E660))</f>
        <v>747.16000000000008</v>
      </c>
      <c r="G660" s="1">
        <v>54.26</v>
      </c>
      <c r="H660" s="1">
        <v>272.52</v>
      </c>
      <c r="I660" s="1">
        <v>-54.33</v>
      </c>
      <c r="J660" s="1">
        <v>167.37</v>
      </c>
      <c r="K660" s="1">
        <v>91.83</v>
      </c>
      <c r="L660" s="1">
        <v>-58.33</v>
      </c>
      <c r="M660" s="1">
        <v>0</v>
      </c>
      <c r="N660" s="1">
        <v>-30.7</v>
      </c>
      <c r="O660" s="1">
        <v>9.98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 cm="1">
        <f t="array" ref="V660">SUM(ABS(G660:U660))</f>
        <v>739.32000000000016</v>
      </c>
      <c r="W660" s="11" cm="1">
        <f t="array" ref="W660">SUM(ABS(B660:E660))+SUM(ABS(G660:U660))</f>
        <v>1486.4800000000002</v>
      </c>
    </row>
    <row r="661" spans="1:23" x14ac:dyDescent="0.3">
      <c r="A661" s="14">
        <v>45966.822916666664</v>
      </c>
      <c r="B661" s="1">
        <v>-730.86</v>
      </c>
      <c r="C661" s="1">
        <v>31.58</v>
      </c>
      <c r="D661" s="1">
        <v>66.23</v>
      </c>
      <c r="E661" s="1">
        <v>38.06</v>
      </c>
      <c r="F661" s="1" cm="1">
        <f t="array" ref="F661">SUM(ABS(B661:E661))</f>
        <v>866.73</v>
      </c>
      <c r="G661" s="1">
        <v>54.26</v>
      </c>
      <c r="H661" s="1">
        <v>271.91000000000003</v>
      </c>
      <c r="I661" s="1">
        <v>-54.32</v>
      </c>
      <c r="J661" s="1">
        <v>165.06</v>
      </c>
      <c r="K661" s="1">
        <v>91.7</v>
      </c>
      <c r="L661" s="1">
        <v>-57.7</v>
      </c>
      <c r="M661" s="1">
        <v>0</v>
      </c>
      <c r="N661" s="1">
        <v>-30.69</v>
      </c>
      <c r="O661" s="1">
        <v>9.9700000000000006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 cm="1">
        <f t="array" ref="V661">SUM(ABS(G661:U661))</f>
        <v>735.61000000000013</v>
      </c>
      <c r="W661" s="11" cm="1">
        <f t="array" ref="W661">SUM(ABS(B661:E661))+SUM(ABS(G661:U661))</f>
        <v>1602.3400000000001</v>
      </c>
    </row>
    <row r="662" spans="1:23" x14ac:dyDescent="0.3">
      <c r="A662" s="14">
        <v>45966.833333333336</v>
      </c>
      <c r="B662" s="1">
        <v>-727.5</v>
      </c>
      <c r="C662" s="1">
        <v>35.6</v>
      </c>
      <c r="D662" s="1">
        <v>66.23</v>
      </c>
      <c r="E662" s="1">
        <v>38.06</v>
      </c>
      <c r="F662" s="1" cm="1">
        <f t="array" ref="F662">SUM(ABS(B662:E662))</f>
        <v>867.3900000000001</v>
      </c>
      <c r="G662" s="1">
        <v>54.28</v>
      </c>
      <c r="H662" s="1">
        <v>271.14999999999998</v>
      </c>
      <c r="I662" s="1">
        <v>-54.3</v>
      </c>
      <c r="J662" s="1">
        <v>163.82</v>
      </c>
      <c r="K662" s="1">
        <v>91.64</v>
      </c>
      <c r="L662" s="1">
        <v>-57.24</v>
      </c>
      <c r="M662" s="1">
        <v>0</v>
      </c>
      <c r="N662" s="1">
        <v>-30.71</v>
      </c>
      <c r="O662" s="1">
        <v>9.98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 cm="1">
        <f t="array" ref="V662">SUM(ABS(G662:U662))</f>
        <v>733.12</v>
      </c>
      <c r="W662" s="11" cm="1">
        <f t="array" ref="W662">SUM(ABS(B662:E662))+SUM(ABS(G662:U662))</f>
        <v>1600.5100000000002</v>
      </c>
    </row>
    <row r="663" spans="1:23" x14ac:dyDescent="0.3">
      <c r="A663" s="14">
        <v>45966.84375</v>
      </c>
      <c r="B663" s="1">
        <v>-706.02</v>
      </c>
      <c r="C663" s="1">
        <v>35.61</v>
      </c>
      <c r="D663" s="1">
        <v>66.23</v>
      </c>
      <c r="E663" s="1">
        <v>38.03</v>
      </c>
      <c r="F663" s="1" cm="1">
        <f t="array" ref="F663">SUM(ABS(B663:E663))</f>
        <v>845.89</v>
      </c>
      <c r="G663" s="1">
        <v>54.29</v>
      </c>
      <c r="H663" s="1">
        <v>268.58</v>
      </c>
      <c r="I663" s="1">
        <v>-54.28</v>
      </c>
      <c r="J663" s="1">
        <v>162.52000000000001</v>
      </c>
      <c r="K663" s="1">
        <v>91.57</v>
      </c>
      <c r="L663" s="1">
        <v>-57.02</v>
      </c>
      <c r="M663" s="1">
        <v>0</v>
      </c>
      <c r="N663" s="1">
        <v>-30.71</v>
      </c>
      <c r="O663" s="1">
        <v>9.9700000000000006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 cm="1">
        <f t="array" ref="V663">SUM(ABS(G663:U663))</f>
        <v>728.94</v>
      </c>
      <c r="W663" s="11" cm="1">
        <f t="array" ref="W663">SUM(ABS(B663:E663))+SUM(ABS(G663:U663))</f>
        <v>1574.83</v>
      </c>
    </row>
    <row r="664" spans="1:23" x14ac:dyDescent="0.3">
      <c r="A664" s="14">
        <v>45966.854166666664</v>
      </c>
      <c r="B664" s="1">
        <v>-737.57</v>
      </c>
      <c r="C664" s="1">
        <v>35.64</v>
      </c>
      <c r="D664" s="1">
        <v>66.209999999999994</v>
      </c>
      <c r="E664" s="1">
        <v>38.090000000000003</v>
      </c>
      <c r="F664" s="1" cm="1">
        <f t="array" ref="F664">SUM(ABS(B664:E664))</f>
        <v>877.5100000000001</v>
      </c>
      <c r="G664" s="1">
        <v>54.28</v>
      </c>
      <c r="H664" s="1">
        <v>272</v>
      </c>
      <c r="I664" s="1">
        <v>-54.31</v>
      </c>
      <c r="J664" s="1">
        <v>164.98</v>
      </c>
      <c r="K664" s="1">
        <v>91.59</v>
      </c>
      <c r="L664" s="1">
        <v>-57.64</v>
      </c>
      <c r="M664" s="1">
        <v>0</v>
      </c>
      <c r="N664" s="1">
        <v>-30.73</v>
      </c>
      <c r="O664" s="1">
        <v>9.98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 cm="1">
        <f t="array" ref="V664">SUM(ABS(G664:U664))</f>
        <v>735.51</v>
      </c>
      <c r="W664" s="11" cm="1">
        <f t="array" ref="W664">SUM(ABS(B664:E664))+SUM(ABS(G664:U664))</f>
        <v>1613.02</v>
      </c>
    </row>
    <row r="665" spans="1:23" x14ac:dyDescent="0.3">
      <c r="A665" s="14">
        <v>45966.864583333336</v>
      </c>
      <c r="B665" s="1">
        <v>-737.29</v>
      </c>
      <c r="C665" s="1">
        <v>35.68</v>
      </c>
      <c r="D665" s="1">
        <v>66.22</v>
      </c>
      <c r="E665" s="1">
        <v>38.119999999999997</v>
      </c>
      <c r="F665" s="1" cm="1">
        <f t="array" ref="F665">SUM(ABS(B665:E665))</f>
        <v>877.31</v>
      </c>
      <c r="G665" s="1">
        <v>54.28</v>
      </c>
      <c r="H665" s="1">
        <v>272.57</v>
      </c>
      <c r="I665" s="1">
        <v>-54.3</v>
      </c>
      <c r="J665" s="1">
        <v>166.94</v>
      </c>
      <c r="K665" s="1">
        <v>91.61</v>
      </c>
      <c r="L665" s="1">
        <v>-58.21</v>
      </c>
      <c r="M665" s="1">
        <v>0</v>
      </c>
      <c r="N665" s="1">
        <v>-30.72</v>
      </c>
      <c r="O665" s="1">
        <v>9.9700000000000006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 cm="1">
        <f t="array" ref="V665">SUM(ABS(G665:U665))</f>
        <v>738.60000000000014</v>
      </c>
      <c r="W665" s="11" cm="1">
        <f t="array" ref="W665">SUM(ABS(B665:E665))+SUM(ABS(G665:U665))</f>
        <v>1615.91</v>
      </c>
    </row>
    <row r="666" spans="1:23" x14ac:dyDescent="0.3">
      <c r="A666" s="14">
        <v>45966.875</v>
      </c>
      <c r="B666" s="1">
        <v>-674.75</v>
      </c>
      <c r="C666" s="1">
        <v>35.68</v>
      </c>
      <c r="D666" s="1">
        <v>59.21</v>
      </c>
      <c r="E666" s="1">
        <v>38.08</v>
      </c>
      <c r="F666" s="1" cm="1">
        <f t="array" ref="F666">SUM(ABS(B666:E666))</f>
        <v>807.72</v>
      </c>
      <c r="G666" s="1">
        <v>54.27</v>
      </c>
      <c r="H666" s="1">
        <v>272.38</v>
      </c>
      <c r="I666" s="1">
        <v>-54.28</v>
      </c>
      <c r="J666" s="1">
        <v>166.1</v>
      </c>
      <c r="K666" s="1">
        <v>91.54</v>
      </c>
      <c r="L666" s="1">
        <v>-57.9</v>
      </c>
      <c r="M666" s="1">
        <v>0</v>
      </c>
      <c r="N666" s="1">
        <v>-30.69</v>
      </c>
      <c r="O666" s="1">
        <v>9.98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 cm="1">
        <f t="array" ref="V666">SUM(ABS(G666:U666))</f>
        <v>737.14</v>
      </c>
      <c r="W666" s="11" cm="1">
        <f t="array" ref="W666">SUM(ABS(B666:E666))+SUM(ABS(G666:U666))</f>
        <v>1544.8600000000001</v>
      </c>
    </row>
    <row r="667" spans="1:23" x14ac:dyDescent="0.3">
      <c r="A667" s="14">
        <v>45966.885416666664</v>
      </c>
      <c r="B667" s="1">
        <v>-603.34</v>
      </c>
      <c r="C667" s="1">
        <v>35.67</v>
      </c>
      <c r="D667" s="1">
        <v>48.64</v>
      </c>
      <c r="E667" s="1">
        <v>38.04</v>
      </c>
      <c r="F667" s="1" cm="1">
        <f t="array" ref="F667">SUM(ABS(B667:E667))</f>
        <v>725.68999999999994</v>
      </c>
      <c r="G667" s="1">
        <v>54.28</v>
      </c>
      <c r="H667" s="1">
        <v>271.37</v>
      </c>
      <c r="I667" s="1">
        <v>-54.27</v>
      </c>
      <c r="J667" s="1">
        <v>164.14</v>
      </c>
      <c r="K667" s="1">
        <v>91.46</v>
      </c>
      <c r="L667" s="1">
        <v>-57.3</v>
      </c>
      <c r="M667" s="1">
        <v>0</v>
      </c>
      <c r="N667" s="1">
        <v>-30.68</v>
      </c>
      <c r="O667" s="1">
        <v>9.9700000000000006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 cm="1">
        <f t="array" ref="V667">SUM(ABS(G667:U667))</f>
        <v>733.46999999999991</v>
      </c>
      <c r="W667" s="11" cm="1">
        <f t="array" ref="W667">SUM(ABS(B667:E667))+SUM(ABS(G667:U667))</f>
        <v>1459.1599999999999</v>
      </c>
    </row>
    <row r="668" spans="1:23" x14ac:dyDescent="0.3">
      <c r="A668" s="14">
        <v>45966.895833333336</v>
      </c>
      <c r="B668" s="1">
        <v>-602.92999999999995</v>
      </c>
      <c r="C668" s="1">
        <v>35.69</v>
      </c>
      <c r="D668" s="1">
        <v>48.62</v>
      </c>
      <c r="E668" s="1">
        <v>38.06</v>
      </c>
      <c r="F668" s="1" cm="1">
        <f t="array" ref="F668">SUM(ABS(B668:E668))</f>
        <v>725.3</v>
      </c>
      <c r="G668" s="1">
        <v>54.28</v>
      </c>
      <c r="H668" s="1">
        <v>271.81</v>
      </c>
      <c r="I668" s="1">
        <v>-54.27</v>
      </c>
      <c r="J668" s="1">
        <v>164.2</v>
      </c>
      <c r="K668" s="1">
        <v>91.41</v>
      </c>
      <c r="L668" s="1">
        <v>-57.24</v>
      </c>
      <c r="M668" s="1">
        <v>0</v>
      </c>
      <c r="N668" s="1">
        <v>-30.68</v>
      </c>
      <c r="O668" s="1">
        <v>9.9700000000000006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 cm="1">
        <f t="array" ref="V668">SUM(ABS(G668:U668))</f>
        <v>733.8599999999999</v>
      </c>
      <c r="W668" s="11" cm="1">
        <f t="array" ref="W668">SUM(ABS(B668:E668))+SUM(ABS(G668:U668))</f>
        <v>1459.1599999999999</v>
      </c>
    </row>
    <row r="669" spans="1:23" x14ac:dyDescent="0.3">
      <c r="A669" s="14">
        <v>45966.90625</v>
      </c>
      <c r="B669" s="1">
        <v>-628.53</v>
      </c>
      <c r="C669" s="1">
        <v>35.700000000000003</v>
      </c>
      <c r="D669" s="1">
        <v>48.63</v>
      </c>
      <c r="E669" s="1">
        <v>38.049999999999997</v>
      </c>
      <c r="F669" s="1" cm="1">
        <f t="array" ref="F669">SUM(ABS(B669:E669))</f>
        <v>750.91</v>
      </c>
      <c r="G669" s="1">
        <v>54.28</v>
      </c>
      <c r="H669" s="1">
        <v>211.19</v>
      </c>
      <c r="I669" s="1">
        <v>-54.28</v>
      </c>
      <c r="J669" s="1">
        <v>164.08</v>
      </c>
      <c r="K669" s="1">
        <v>91.39</v>
      </c>
      <c r="L669" s="1">
        <v>-57.33</v>
      </c>
      <c r="M669" s="1">
        <v>0</v>
      </c>
      <c r="N669" s="1">
        <v>-30.68</v>
      </c>
      <c r="O669" s="1">
        <v>9.9700000000000006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 cm="1">
        <f t="array" ref="V669">SUM(ABS(G669:U669))</f>
        <v>673.2</v>
      </c>
      <c r="W669" s="11" cm="1">
        <f t="array" ref="W669">SUM(ABS(B669:E669))+SUM(ABS(G669:U669))</f>
        <v>1424.1100000000001</v>
      </c>
    </row>
    <row r="670" spans="1:23" x14ac:dyDescent="0.3">
      <c r="A670" s="14">
        <v>45966.916666666664</v>
      </c>
      <c r="B670" s="1">
        <v>-717.28</v>
      </c>
      <c r="C670" s="1">
        <v>35.700000000000003</v>
      </c>
      <c r="D670" s="1">
        <v>48.66</v>
      </c>
      <c r="E670" s="1">
        <v>38.049999999999997</v>
      </c>
      <c r="F670" s="1" cm="1">
        <f t="array" ref="F670">SUM(ABS(B670:E670))</f>
        <v>839.68999999999994</v>
      </c>
      <c r="G670" s="1">
        <v>54.28</v>
      </c>
      <c r="H670" s="1">
        <v>247.34</v>
      </c>
      <c r="I670" s="1">
        <v>-54.31</v>
      </c>
      <c r="J670" s="1">
        <v>165.54</v>
      </c>
      <c r="K670" s="1">
        <v>91.4</v>
      </c>
      <c r="L670" s="1">
        <v>-57.75</v>
      </c>
      <c r="M670" s="1">
        <v>0</v>
      </c>
      <c r="N670" s="1">
        <v>-30.71</v>
      </c>
      <c r="O670" s="1">
        <v>9.9700000000000006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 cm="1">
        <f t="array" ref="V670">SUM(ABS(G670:U670))</f>
        <v>711.30000000000007</v>
      </c>
      <c r="W670" s="11" cm="1">
        <f t="array" ref="W670">SUM(ABS(B670:E670))+SUM(ABS(G670:U670))</f>
        <v>1550.99</v>
      </c>
    </row>
    <row r="671" spans="1:23" x14ac:dyDescent="0.3">
      <c r="A671" s="14">
        <v>45966.927083333336</v>
      </c>
      <c r="B671" s="1">
        <v>-734.59</v>
      </c>
      <c r="C671" s="1">
        <v>35.69</v>
      </c>
      <c r="D671" s="1">
        <v>48.65</v>
      </c>
      <c r="E671" s="1">
        <v>38.020000000000003</v>
      </c>
      <c r="F671" s="1" cm="1">
        <f t="array" ref="F671">SUM(ABS(B671:E671))</f>
        <v>856.94999999999993</v>
      </c>
      <c r="G671" s="1">
        <v>54.29</v>
      </c>
      <c r="H671" s="1">
        <v>272.51</v>
      </c>
      <c r="I671" s="1">
        <v>-54.33</v>
      </c>
      <c r="J671" s="1">
        <v>165.62</v>
      </c>
      <c r="K671" s="1">
        <v>91.35</v>
      </c>
      <c r="L671" s="1">
        <v>-57.78</v>
      </c>
      <c r="M671" s="1">
        <v>0</v>
      </c>
      <c r="N671" s="1">
        <v>-30.67</v>
      </c>
      <c r="O671" s="1">
        <v>9.9700000000000006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 cm="1">
        <f t="array" ref="V671">SUM(ABS(G671:U671))</f>
        <v>736.52</v>
      </c>
      <c r="W671" s="11" cm="1">
        <f t="array" ref="W671">SUM(ABS(B671:E671))+SUM(ABS(G671:U671))</f>
        <v>1593.4699999999998</v>
      </c>
    </row>
    <row r="672" spans="1:23" x14ac:dyDescent="0.3">
      <c r="A672" s="14">
        <v>45966.9375</v>
      </c>
      <c r="B672" s="1">
        <v>-736.98</v>
      </c>
      <c r="C672" s="1">
        <v>35.72</v>
      </c>
      <c r="D672" s="1">
        <v>48.67</v>
      </c>
      <c r="E672" s="1">
        <v>38.04</v>
      </c>
      <c r="F672" s="1" cm="1">
        <f t="array" ref="F672">SUM(ABS(B672:E672))</f>
        <v>859.41</v>
      </c>
      <c r="G672" s="1">
        <v>54.28</v>
      </c>
      <c r="H672" s="1">
        <v>272.56</v>
      </c>
      <c r="I672" s="1">
        <v>-54.37</v>
      </c>
      <c r="J672" s="1">
        <v>168.02</v>
      </c>
      <c r="K672" s="1">
        <v>91.36</v>
      </c>
      <c r="L672" s="1">
        <v>-58.44</v>
      </c>
      <c r="M672" s="1">
        <v>0</v>
      </c>
      <c r="N672" s="1">
        <v>-30.7</v>
      </c>
      <c r="O672" s="1">
        <v>9.9700000000000006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 cm="1">
        <f t="array" ref="V672">SUM(ABS(G672:U672))</f>
        <v>739.7</v>
      </c>
      <c r="W672" s="11" cm="1">
        <f t="array" ref="W672">SUM(ABS(B672:E672))+SUM(ABS(G672:U672))</f>
        <v>1599.1100000000001</v>
      </c>
    </row>
    <row r="673" spans="1:23" x14ac:dyDescent="0.3">
      <c r="A673" s="14">
        <v>45966.947916666664</v>
      </c>
      <c r="B673" s="1">
        <v>-736.77</v>
      </c>
      <c r="C673" s="1">
        <v>35.729999999999997</v>
      </c>
      <c r="D673" s="1">
        <v>48.66</v>
      </c>
      <c r="E673" s="1">
        <v>38.020000000000003</v>
      </c>
      <c r="F673" s="1" cm="1">
        <f t="array" ref="F673">SUM(ABS(B673:E673))</f>
        <v>859.18</v>
      </c>
      <c r="G673" s="1">
        <v>54.28</v>
      </c>
      <c r="H673" s="1">
        <v>272.52</v>
      </c>
      <c r="I673" s="1">
        <v>-54.34</v>
      </c>
      <c r="J673" s="1">
        <v>167.58</v>
      </c>
      <c r="K673" s="1">
        <v>91.3</v>
      </c>
      <c r="L673" s="1">
        <v>-58.1</v>
      </c>
      <c r="M673" s="1">
        <v>0</v>
      </c>
      <c r="N673" s="1">
        <v>-30.72</v>
      </c>
      <c r="O673" s="1">
        <v>9.9700000000000006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 cm="1">
        <f t="array" ref="V673">SUM(ABS(G673:U673))</f>
        <v>738.81000000000006</v>
      </c>
      <c r="W673" s="11" cm="1">
        <f t="array" ref="W673">SUM(ABS(B673:E673))+SUM(ABS(G673:U673))</f>
        <v>1597.99</v>
      </c>
    </row>
    <row r="674" spans="1:23" x14ac:dyDescent="0.3">
      <c r="A674" s="14">
        <v>45966.958333333336</v>
      </c>
      <c r="B674" s="1">
        <v>-731.41</v>
      </c>
      <c r="C674" s="1">
        <v>35.75</v>
      </c>
      <c r="D674" s="1">
        <v>59.04</v>
      </c>
      <c r="E674" s="1">
        <v>38.049999999999997</v>
      </c>
      <c r="F674" s="1" cm="1">
        <f t="array" ref="F674">SUM(ABS(B674:E674))</f>
        <v>864.24999999999989</v>
      </c>
      <c r="G674" s="1">
        <v>54.28</v>
      </c>
      <c r="H674" s="1">
        <v>272.62</v>
      </c>
      <c r="I674" s="1">
        <v>-54.36</v>
      </c>
      <c r="J674" s="1">
        <v>169.28</v>
      </c>
      <c r="K674" s="1">
        <v>108.61</v>
      </c>
      <c r="L674" s="1">
        <v>-58.25</v>
      </c>
      <c r="M674" s="1">
        <v>0</v>
      </c>
      <c r="N674" s="1">
        <v>-30.7</v>
      </c>
      <c r="O674" s="1">
        <v>9.9700000000000006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 cm="1">
        <f t="array" ref="V674">SUM(ABS(G674:U674))</f>
        <v>758.07</v>
      </c>
      <c r="W674" s="11" cm="1">
        <f t="array" ref="W674">SUM(ABS(B674:E674))+SUM(ABS(G674:U674))</f>
        <v>1622.32</v>
      </c>
    </row>
    <row r="675" spans="1:23" x14ac:dyDescent="0.3">
      <c r="A675" s="14">
        <v>45966.96875</v>
      </c>
      <c r="B675" s="1">
        <v>-736.68</v>
      </c>
      <c r="C675" s="1">
        <v>35.78</v>
      </c>
      <c r="D675" s="1">
        <v>55.19</v>
      </c>
      <c r="E675" s="1">
        <v>37.99</v>
      </c>
      <c r="F675" s="1" cm="1">
        <f t="array" ref="F675">SUM(ABS(B675:E675))</f>
        <v>865.63999999999987</v>
      </c>
      <c r="G675" s="1">
        <v>54.28</v>
      </c>
      <c r="H675" s="1">
        <v>272.45999999999998</v>
      </c>
      <c r="I675" s="1">
        <v>-54.4</v>
      </c>
      <c r="J675" s="1">
        <v>169.16</v>
      </c>
      <c r="K675" s="1">
        <v>112.84</v>
      </c>
      <c r="L675" s="1">
        <v>-58.59</v>
      </c>
      <c r="M675" s="1">
        <v>0</v>
      </c>
      <c r="N675" s="1">
        <v>-30.73</v>
      </c>
      <c r="O675" s="1">
        <v>9.98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 cm="1">
        <f t="array" ref="V675">SUM(ABS(G675:U675))</f>
        <v>762.44</v>
      </c>
      <c r="W675" s="11" cm="1">
        <f t="array" ref="W675">SUM(ABS(B675:E675))+SUM(ABS(G675:U675))</f>
        <v>1628.08</v>
      </c>
    </row>
    <row r="676" spans="1:23" x14ac:dyDescent="0.3">
      <c r="A676" s="14">
        <v>45966.979166666664</v>
      </c>
      <c r="B676" s="1">
        <v>-727.15</v>
      </c>
      <c r="C676" s="1">
        <v>35.75</v>
      </c>
      <c r="D676" s="1">
        <v>39.18</v>
      </c>
      <c r="E676" s="1">
        <v>37.92</v>
      </c>
      <c r="F676" s="1" cm="1">
        <f t="array" ref="F676">SUM(ABS(B676:E676))</f>
        <v>839.99999999999989</v>
      </c>
      <c r="G676" s="1">
        <v>54.27</v>
      </c>
      <c r="H676" s="1">
        <v>272.27999999999997</v>
      </c>
      <c r="I676" s="1">
        <v>-54.32</v>
      </c>
      <c r="J676" s="1">
        <v>161.80000000000001</v>
      </c>
      <c r="K676" s="1">
        <v>112.7</v>
      </c>
      <c r="L676" s="1">
        <v>-57.65</v>
      </c>
      <c r="M676" s="1">
        <v>0</v>
      </c>
      <c r="N676" s="1">
        <v>-30.67</v>
      </c>
      <c r="O676" s="1">
        <v>9.9499999999999993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 cm="1">
        <f t="array" ref="V676">SUM(ABS(G676:U676))</f>
        <v>753.64</v>
      </c>
      <c r="W676" s="11" cm="1">
        <f t="array" ref="W676">SUM(ABS(B676:E676))+SUM(ABS(G676:U676))</f>
        <v>1593.6399999999999</v>
      </c>
    </row>
    <row r="677" spans="1:23" x14ac:dyDescent="0.3">
      <c r="A677" s="14">
        <v>45966.989583333336</v>
      </c>
      <c r="B677" s="1">
        <v>-724.42</v>
      </c>
      <c r="C677" s="1">
        <v>35.74</v>
      </c>
      <c r="D677" s="1">
        <v>40.04</v>
      </c>
      <c r="E677" s="1">
        <v>37.65</v>
      </c>
      <c r="F677" s="1" cm="1">
        <f t="array" ref="F677">SUM(ABS(B677:E677))</f>
        <v>837.84999999999991</v>
      </c>
      <c r="G677" s="1">
        <v>54.28</v>
      </c>
      <c r="H677" s="1">
        <v>272.10000000000002</v>
      </c>
      <c r="I677" s="1">
        <v>-54.26</v>
      </c>
      <c r="J677" s="1">
        <v>162.49</v>
      </c>
      <c r="K677" s="1">
        <v>112.57</v>
      </c>
      <c r="L677" s="1">
        <v>-57.36</v>
      </c>
      <c r="M677" s="1">
        <v>0</v>
      </c>
      <c r="N677" s="1">
        <v>-30.72</v>
      </c>
      <c r="O677" s="1">
        <v>9.9499999999999993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 cm="1">
        <f t="array" ref="V677">SUM(ABS(G677:U677))</f>
        <v>753.73000000000013</v>
      </c>
      <c r="W677" s="11" cm="1">
        <f t="array" ref="W677">SUM(ABS(B677:E677))+SUM(ABS(G677:U677))</f>
        <v>1591.58</v>
      </c>
    </row>
    <row r="678" spans="1:23" x14ac:dyDescent="0.3">
      <c r="A678" s="14">
        <v>45996</v>
      </c>
      <c r="B678" s="1">
        <v>-729.27</v>
      </c>
      <c r="C678" s="1">
        <v>35.729999999999997</v>
      </c>
      <c r="D678" s="1">
        <v>40.04</v>
      </c>
      <c r="E678" s="1">
        <v>37.299999999999997</v>
      </c>
      <c r="F678" s="1" cm="1">
        <f t="array" ref="F678">SUM(ABS(B678:E678))</f>
        <v>842.33999999999992</v>
      </c>
      <c r="G678" s="1">
        <v>54.28</v>
      </c>
      <c r="H678" s="1">
        <v>271.99</v>
      </c>
      <c r="I678" s="1">
        <v>-54.27</v>
      </c>
      <c r="J678" s="1">
        <v>164.65</v>
      </c>
      <c r="K678" s="1">
        <v>112.5</v>
      </c>
      <c r="L678" s="1">
        <v>-57.62</v>
      </c>
      <c r="M678" s="1">
        <v>0</v>
      </c>
      <c r="N678" s="1">
        <v>-30.74</v>
      </c>
      <c r="O678" s="1">
        <v>9.9499999999999993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 cm="1">
        <f t="array" ref="V678">SUM(ABS(G678:U678))</f>
        <v>756</v>
      </c>
      <c r="W678" s="11" cm="1">
        <f t="array" ref="W678">SUM(ABS(B678:E678))+SUM(ABS(G678:U678))</f>
        <v>1598.34</v>
      </c>
    </row>
    <row r="679" spans="1:23" x14ac:dyDescent="0.3">
      <c r="A679" s="14">
        <v>45996.010416666664</v>
      </c>
      <c r="B679" s="1">
        <v>-728.98</v>
      </c>
      <c r="C679" s="1">
        <v>35.72</v>
      </c>
      <c r="D679" s="1">
        <v>27.85</v>
      </c>
      <c r="E679" s="1">
        <v>37.32</v>
      </c>
      <c r="F679" s="1" cm="1">
        <f t="array" ref="F679">SUM(ABS(B679:E679))</f>
        <v>829.87000000000012</v>
      </c>
      <c r="G679" s="1">
        <v>54.29</v>
      </c>
      <c r="H679" s="1">
        <v>272.11</v>
      </c>
      <c r="I679" s="1">
        <v>-54.27</v>
      </c>
      <c r="J679" s="1">
        <v>164.94</v>
      </c>
      <c r="K679" s="1">
        <v>112.4</v>
      </c>
      <c r="L679" s="1">
        <v>-57.42</v>
      </c>
      <c r="M679" s="1">
        <v>0</v>
      </c>
      <c r="N679" s="1">
        <v>-30.73</v>
      </c>
      <c r="O679" s="1">
        <v>9.94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 cm="1">
        <f t="array" ref="V679">SUM(ABS(G679:U679))</f>
        <v>756.1</v>
      </c>
      <c r="W679" s="11" cm="1">
        <f t="array" ref="W679">SUM(ABS(B679:E679))+SUM(ABS(G679:U679))</f>
        <v>1585.9700000000003</v>
      </c>
    </row>
    <row r="680" spans="1:23" x14ac:dyDescent="0.3">
      <c r="A680" s="14">
        <v>45996.020833333336</v>
      </c>
      <c r="B680" s="1">
        <v>-724.02</v>
      </c>
      <c r="C680" s="1">
        <v>35.72</v>
      </c>
      <c r="D680" s="1">
        <v>12</v>
      </c>
      <c r="E680" s="1">
        <v>37.33</v>
      </c>
      <c r="F680" s="1" cm="1">
        <f t="array" ref="F680">SUM(ABS(B680:E680))</f>
        <v>809.07</v>
      </c>
      <c r="G680" s="1">
        <v>54.28</v>
      </c>
      <c r="H680" s="1">
        <v>267.8</v>
      </c>
      <c r="I680" s="1">
        <v>-54.26</v>
      </c>
      <c r="J680" s="1">
        <v>164.19</v>
      </c>
      <c r="K680" s="1">
        <v>63.79</v>
      </c>
      <c r="L680" s="1">
        <v>-53.28</v>
      </c>
      <c r="M680" s="1">
        <v>0</v>
      </c>
      <c r="N680" s="1">
        <v>-30.73</v>
      </c>
      <c r="O680" s="1">
        <v>9.94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 cm="1">
        <f t="array" ref="V680">SUM(ABS(G680:U680))</f>
        <v>698.27</v>
      </c>
      <c r="W680" s="11" cm="1">
        <f t="array" ref="W680">SUM(ABS(B680:E680))+SUM(ABS(G680:U680))</f>
        <v>1507.3400000000001</v>
      </c>
    </row>
    <row r="681" spans="1:23" x14ac:dyDescent="0.3">
      <c r="A681" s="14">
        <v>45996.03125</v>
      </c>
      <c r="B681" s="1">
        <v>-720.51</v>
      </c>
      <c r="C681" s="1">
        <v>35.72</v>
      </c>
      <c r="D681" s="1">
        <v>12</v>
      </c>
      <c r="E681" s="1">
        <v>37.340000000000003</v>
      </c>
      <c r="F681" s="1" cm="1">
        <f t="array" ref="F681">SUM(ABS(B681:E681))</f>
        <v>805.57</v>
      </c>
      <c r="G681" s="1">
        <v>54.28</v>
      </c>
      <c r="H681" s="1">
        <v>221.27</v>
      </c>
      <c r="I681" s="1">
        <v>-54.26</v>
      </c>
      <c r="J681" s="1">
        <v>154.4</v>
      </c>
      <c r="K681" s="1">
        <v>47.22</v>
      </c>
      <c r="L681" s="1">
        <v>-41.16</v>
      </c>
      <c r="M681" s="1">
        <v>0</v>
      </c>
      <c r="N681" s="1">
        <v>-30.74</v>
      </c>
      <c r="O681" s="1">
        <v>9.9499999999999993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 cm="1">
        <f t="array" ref="V681">SUM(ABS(G681:U681))</f>
        <v>613.28000000000009</v>
      </c>
      <c r="W681" s="11" cm="1">
        <f t="array" ref="W681">SUM(ABS(B681:E681))+SUM(ABS(G681:U681))</f>
        <v>1418.8500000000001</v>
      </c>
    </row>
    <row r="682" spans="1:23" x14ac:dyDescent="0.3">
      <c r="A682" s="14">
        <v>45996.041666666664</v>
      </c>
      <c r="B682" s="1">
        <v>-724.92</v>
      </c>
      <c r="C682" s="1">
        <v>35.71</v>
      </c>
      <c r="D682" s="1">
        <v>12</v>
      </c>
      <c r="E682" s="1">
        <v>29.53</v>
      </c>
      <c r="F682" s="1" cm="1">
        <f t="array" ref="F682">SUM(ABS(B682:E682))</f>
        <v>802.16</v>
      </c>
      <c r="G682" s="1">
        <v>54.27</v>
      </c>
      <c r="H682" s="1">
        <v>259.92</v>
      </c>
      <c r="I682" s="1">
        <v>-54.28</v>
      </c>
      <c r="J682" s="1">
        <v>141.86000000000001</v>
      </c>
      <c r="K682" s="1">
        <v>46.9</v>
      </c>
      <c r="L682" s="1">
        <v>-41.28</v>
      </c>
      <c r="M682" s="1">
        <v>0</v>
      </c>
      <c r="N682" s="1">
        <v>-30.75</v>
      </c>
      <c r="O682" s="1">
        <v>9.9499999999999993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 cm="1">
        <f t="array" ref="V682">SUM(ABS(G682:U682))</f>
        <v>639.21</v>
      </c>
      <c r="W682" s="11" cm="1">
        <f t="array" ref="W682">SUM(ABS(B682:E682))+SUM(ABS(G682:U682))</f>
        <v>1441.37</v>
      </c>
    </row>
    <row r="683" spans="1:23" x14ac:dyDescent="0.3">
      <c r="A683" s="14">
        <v>45996.052083333336</v>
      </c>
      <c r="B683" s="1">
        <v>-730.1</v>
      </c>
      <c r="C683" s="1">
        <v>35.72</v>
      </c>
      <c r="D683" s="1">
        <v>12</v>
      </c>
      <c r="E683" s="1">
        <v>24.64</v>
      </c>
      <c r="F683" s="1" cm="1">
        <f t="array" ref="F683">SUM(ABS(B683:E683))</f>
        <v>802.46</v>
      </c>
      <c r="G683" s="1">
        <v>54.28</v>
      </c>
      <c r="H683" s="1">
        <v>271.44</v>
      </c>
      <c r="I683" s="1">
        <v>-54.29</v>
      </c>
      <c r="J683" s="1">
        <v>137.13999999999999</v>
      </c>
      <c r="K683" s="1">
        <v>46.85</v>
      </c>
      <c r="L683" s="1">
        <v>-41.3</v>
      </c>
      <c r="M683" s="1">
        <v>0</v>
      </c>
      <c r="N683" s="1">
        <v>-30.76</v>
      </c>
      <c r="O683" s="1">
        <v>9.94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 cm="1">
        <f t="array" ref="V683">SUM(ABS(G683:U683))</f>
        <v>646.00000000000011</v>
      </c>
      <c r="W683" s="11" cm="1">
        <f t="array" ref="W683">SUM(ABS(B683:E683))+SUM(ABS(G683:U683))</f>
        <v>1448.46</v>
      </c>
    </row>
    <row r="684" spans="1:23" x14ac:dyDescent="0.3">
      <c r="A684" s="14">
        <v>45996.0625</v>
      </c>
      <c r="B684" s="1">
        <v>-734.84</v>
      </c>
      <c r="C684" s="1">
        <v>35.74</v>
      </c>
      <c r="D684" s="1">
        <v>12</v>
      </c>
      <c r="E684" s="1">
        <v>24.64</v>
      </c>
      <c r="F684" s="1" cm="1">
        <f t="array" ref="F684">SUM(ABS(B684:E684))</f>
        <v>807.22</v>
      </c>
      <c r="G684" s="1">
        <v>54.27</v>
      </c>
      <c r="H684" s="1">
        <v>272.55</v>
      </c>
      <c r="I684" s="1">
        <v>-54.27</v>
      </c>
      <c r="J684" s="1">
        <v>140.99</v>
      </c>
      <c r="K684" s="1">
        <v>46.91</v>
      </c>
      <c r="L684" s="1">
        <v>-41.43</v>
      </c>
      <c r="M684" s="1">
        <v>0</v>
      </c>
      <c r="N684" s="1">
        <v>-30.75</v>
      </c>
      <c r="O684" s="1">
        <v>9.9499999999999993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 cm="1">
        <f t="array" ref="V684">SUM(ABS(G684:U684))</f>
        <v>651.11999999999989</v>
      </c>
      <c r="W684" s="11" cm="1">
        <f t="array" ref="W684">SUM(ABS(B684:E684))+SUM(ABS(G684:U684))</f>
        <v>1458.34</v>
      </c>
    </row>
    <row r="685" spans="1:23" x14ac:dyDescent="0.3">
      <c r="A685" s="14">
        <v>45996.072916666664</v>
      </c>
      <c r="B685" s="1">
        <v>-735.28</v>
      </c>
      <c r="C685" s="1">
        <v>35.770000000000003</v>
      </c>
      <c r="D685" s="1">
        <v>12</v>
      </c>
      <c r="E685" s="1">
        <v>24.64</v>
      </c>
      <c r="F685" s="1" cm="1">
        <f t="array" ref="F685">SUM(ABS(B685:E685))</f>
        <v>807.68999999999994</v>
      </c>
      <c r="G685" s="1">
        <v>54.27</v>
      </c>
      <c r="H685" s="1">
        <v>272.61</v>
      </c>
      <c r="I685" s="1">
        <v>-54.27</v>
      </c>
      <c r="J685" s="1">
        <v>98.43</v>
      </c>
      <c r="K685" s="1">
        <v>46.91</v>
      </c>
      <c r="L685" s="1">
        <v>-41.43</v>
      </c>
      <c r="M685" s="1">
        <v>0</v>
      </c>
      <c r="N685" s="1">
        <v>-30.75</v>
      </c>
      <c r="O685" s="1">
        <v>9.9499999999999993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 cm="1">
        <f t="array" ref="V685">SUM(ABS(G685:U685))</f>
        <v>608.62</v>
      </c>
      <c r="W685" s="11" cm="1">
        <f t="array" ref="W685">SUM(ABS(B685:E685))+SUM(ABS(G685:U685))</f>
        <v>1416.31</v>
      </c>
    </row>
    <row r="686" spans="1:23" x14ac:dyDescent="0.3">
      <c r="A686" s="14">
        <v>45996.083333333336</v>
      </c>
      <c r="B686" s="1">
        <v>-736.47</v>
      </c>
      <c r="C686" s="1">
        <v>35.799999999999997</v>
      </c>
      <c r="D686" s="1">
        <v>12</v>
      </c>
      <c r="E686" s="1">
        <v>24.65</v>
      </c>
      <c r="F686" s="1" cm="1">
        <f t="array" ref="F686">SUM(ABS(B686:E686))</f>
        <v>808.92</v>
      </c>
      <c r="G686" s="1">
        <v>48.13</v>
      </c>
      <c r="H686" s="1">
        <v>272.63</v>
      </c>
      <c r="I686" s="1">
        <v>-54.28</v>
      </c>
      <c r="J686" s="1">
        <v>70.8</v>
      </c>
      <c r="K686" s="1">
        <v>14.6</v>
      </c>
      <c r="L686" s="1">
        <v>-30.94</v>
      </c>
      <c r="M686" s="1">
        <v>0</v>
      </c>
      <c r="N686" s="1">
        <v>-30.77</v>
      </c>
      <c r="O686" s="1">
        <v>9.9499999999999993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 cm="1">
        <f t="array" ref="V686">SUM(ABS(G686:U686))</f>
        <v>532.1</v>
      </c>
      <c r="W686" s="11" cm="1">
        <f t="array" ref="W686">SUM(ABS(B686:E686))+SUM(ABS(G686:U686))</f>
        <v>1341.02</v>
      </c>
    </row>
    <row r="687" spans="1:23" x14ac:dyDescent="0.3">
      <c r="A687" s="14">
        <v>45996.09375</v>
      </c>
      <c r="B687" s="1">
        <v>-732.03</v>
      </c>
      <c r="C687" s="1">
        <v>35.78</v>
      </c>
      <c r="D687" s="1">
        <v>12</v>
      </c>
      <c r="E687" s="1">
        <v>24.66</v>
      </c>
      <c r="F687" s="1" cm="1">
        <f t="array" ref="F687">SUM(ABS(B687:E687))</f>
        <v>804.46999999999991</v>
      </c>
      <c r="G687" s="1">
        <v>36.19</v>
      </c>
      <c r="H687" s="1">
        <v>272.58</v>
      </c>
      <c r="I687" s="1">
        <v>-54.24</v>
      </c>
      <c r="J687" s="1">
        <v>54.3</v>
      </c>
      <c r="K687" s="1">
        <v>0</v>
      </c>
      <c r="L687" s="1">
        <v>-24.53</v>
      </c>
      <c r="M687" s="1">
        <v>0</v>
      </c>
      <c r="N687" s="1">
        <v>-30.74</v>
      </c>
      <c r="O687" s="1">
        <v>9.9499999999999993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 cm="1">
        <f t="array" ref="V687">SUM(ABS(G687:U687))</f>
        <v>482.53000000000003</v>
      </c>
      <c r="W687" s="11" cm="1">
        <f t="array" ref="W687">SUM(ABS(B687:E687))+SUM(ABS(G687:U687))</f>
        <v>1287</v>
      </c>
    </row>
    <row r="688" spans="1:23" x14ac:dyDescent="0.3">
      <c r="A688" s="14">
        <v>45996.104166666664</v>
      </c>
      <c r="B688" s="1">
        <v>-730.71</v>
      </c>
      <c r="C688" s="1">
        <v>35.799999999999997</v>
      </c>
      <c r="D688" s="1">
        <v>12</v>
      </c>
      <c r="E688" s="1">
        <v>24.65</v>
      </c>
      <c r="F688" s="1" cm="1">
        <f t="array" ref="F688">SUM(ABS(B688:E688))</f>
        <v>803.16</v>
      </c>
      <c r="G688" s="1">
        <v>36.18</v>
      </c>
      <c r="H688" s="1">
        <v>272.64</v>
      </c>
      <c r="I688" s="1">
        <v>-54.24</v>
      </c>
      <c r="J688" s="1">
        <v>54.11</v>
      </c>
      <c r="K688" s="1">
        <v>0</v>
      </c>
      <c r="L688" s="1">
        <v>-24.49</v>
      </c>
      <c r="M688" s="1">
        <v>0</v>
      </c>
      <c r="N688" s="1">
        <v>-30.74</v>
      </c>
      <c r="O688" s="1">
        <v>9.94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 cm="1">
        <f t="array" ref="V688">SUM(ABS(G688:U688))</f>
        <v>482.34000000000003</v>
      </c>
      <c r="W688" s="11" cm="1">
        <f t="array" ref="W688">SUM(ABS(B688:E688))+SUM(ABS(G688:U688))</f>
        <v>1285.5</v>
      </c>
    </row>
    <row r="689" spans="1:23" x14ac:dyDescent="0.3">
      <c r="A689" s="14">
        <v>45996.114583333336</v>
      </c>
      <c r="B689" s="1">
        <v>-726.68</v>
      </c>
      <c r="C689" s="1">
        <v>35.799999999999997</v>
      </c>
      <c r="D689" s="1">
        <v>12</v>
      </c>
      <c r="E689" s="1">
        <v>24.64</v>
      </c>
      <c r="F689" s="1" cm="1">
        <f t="array" ref="F689">SUM(ABS(B689:E689))</f>
        <v>799.11999999999989</v>
      </c>
      <c r="G689" s="1">
        <v>36.19</v>
      </c>
      <c r="H689" s="1">
        <v>272.48</v>
      </c>
      <c r="I689" s="1">
        <v>-54.21</v>
      </c>
      <c r="J689" s="1">
        <v>15</v>
      </c>
      <c r="K689" s="1">
        <v>0</v>
      </c>
      <c r="L689" s="1">
        <v>-24.56</v>
      </c>
      <c r="M689" s="1">
        <v>0</v>
      </c>
      <c r="N689" s="1">
        <v>-30.76</v>
      </c>
      <c r="O689" s="1">
        <v>9.93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 cm="1">
        <f t="array" ref="V689">SUM(ABS(G689:U689))</f>
        <v>443.13</v>
      </c>
      <c r="W689" s="11" cm="1">
        <f t="array" ref="W689">SUM(ABS(B689:E689))+SUM(ABS(G689:U689))</f>
        <v>1242.25</v>
      </c>
    </row>
    <row r="690" spans="1:23" x14ac:dyDescent="0.3">
      <c r="A690" s="14">
        <v>45996.125</v>
      </c>
      <c r="B690" s="1">
        <v>-730.97</v>
      </c>
      <c r="C690" s="1">
        <v>35.82</v>
      </c>
      <c r="D690" s="1">
        <v>12</v>
      </c>
      <c r="E690" s="1">
        <v>24.62</v>
      </c>
      <c r="F690" s="1" cm="1">
        <f t="array" ref="F690">SUM(ABS(B690:E690))</f>
        <v>803.41000000000008</v>
      </c>
      <c r="G690" s="1">
        <v>36.18</v>
      </c>
      <c r="H690" s="1">
        <v>272.60000000000002</v>
      </c>
      <c r="I690" s="1">
        <v>-54.22</v>
      </c>
      <c r="J690" s="1">
        <v>0</v>
      </c>
      <c r="K690" s="1">
        <v>0</v>
      </c>
      <c r="L690" s="1">
        <v>-24.5</v>
      </c>
      <c r="M690" s="1">
        <v>0</v>
      </c>
      <c r="N690" s="1">
        <v>-30.76</v>
      </c>
      <c r="O690" s="1">
        <v>9.93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 cm="1">
        <f t="array" ref="V690">SUM(ABS(G690:U690))</f>
        <v>428.19</v>
      </c>
      <c r="W690" s="11" cm="1">
        <f t="array" ref="W690">SUM(ABS(B690:E690))+SUM(ABS(G690:U690))</f>
        <v>1231.6000000000001</v>
      </c>
    </row>
    <row r="691" spans="1:23" x14ac:dyDescent="0.3">
      <c r="A691" s="14">
        <v>45996.135416666664</v>
      </c>
      <c r="B691" s="1">
        <v>-730.22</v>
      </c>
      <c r="C691" s="1">
        <v>35.83</v>
      </c>
      <c r="D691" s="1">
        <v>12</v>
      </c>
      <c r="E691" s="1">
        <v>24.62</v>
      </c>
      <c r="F691" s="1" cm="1">
        <f t="array" ref="F691">SUM(ABS(B691:E691))</f>
        <v>802.67000000000007</v>
      </c>
      <c r="G691" s="1">
        <v>36.18</v>
      </c>
      <c r="H691" s="1">
        <v>272.43</v>
      </c>
      <c r="I691" s="1">
        <v>-54.19</v>
      </c>
      <c r="J691" s="1">
        <v>0</v>
      </c>
      <c r="K691" s="1">
        <v>0</v>
      </c>
      <c r="L691" s="1">
        <v>-24.55</v>
      </c>
      <c r="M691" s="1">
        <v>0</v>
      </c>
      <c r="N691" s="1">
        <v>-30.76</v>
      </c>
      <c r="O691" s="1">
        <v>9.93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 cm="1">
        <f t="array" ref="V691">SUM(ABS(G691:U691))</f>
        <v>428.04</v>
      </c>
      <c r="W691" s="11" cm="1">
        <f t="array" ref="W691">SUM(ABS(B691:E691))+SUM(ABS(G691:U691))</f>
        <v>1230.71</v>
      </c>
    </row>
    <row r="692" spans="1:23" x14ac:dyDescent="0.3">
      <c r="A692" s="14">
        <v>45996.145833333336</v>
      </c>
      <c r="B692" s="1">
        <v>-724.14</v>
      </c>
      <c r="C692" s="1">
        <v>35.85</v>
      </c>
      <c r="D692" s="1">
        <v>12</v>
      </c>
      <c r="E692" s="1">
        <v>24.6</v>
      </c>
      <c r="F692" s="1" cm="1">
        <f t="array" ref="F692">SUM(ABS(B692:E692))</f>
        <v>796.59</v>
      </c>
      <c r="G692" s="1">
        <v>36.18</v>
      </c>
      <c r="H692" s="1">
        <v>271.45999999999998</v>
      </c>
      <c r="I692" s="1">
        <v>-54.18</v>
      </c>
      <c r="J692" s="1">
        <v>0</v>
      </c>
      <c r="K692" s="1">
        <v>0</v>
      </c>
      <c r="L692" s="1">
        <v>-24.5</v>
      </c>
      <c r="M692" s="1">
        <v>0</v>
      </c>
      <c r="N692" s="1">
        <v>-30.75</v>
      </c>
      <c r="O692" s="1">
        <v>9.92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 cm="1">
        <f t="array" ref="V692">SUM(ABS(G692:U692))</f>
        <v>426.99</v>
      </c>
      <c r="W692" s="11" cm="1">
        <f t="array" ref="W692">SUM(ABS(B692:E692))+SUM(ABS(G692:U692))</f>
        <v>1223.58</v>
      </c>
    </row>
    <row r="693" spans="1:23" x14ac:dyDescent="0.3">
      <c r="A693" s="14">
        <v>45996.15625</v>
      </c>
      <c r="B693" s="1">
        <v>-723.81</v>
      </c>
      <c r="C693" s="1">
        <v>35.869999999999997</v>
      </c>
      <c r="D693" s="1">
        <v>12</v>
      </c>
      <c r="E693" s="1">
        <v>17.77</v>
      </c>
      <c r="F693" s="1" cm="1">
        <f t="array" ref="F693">SUM(ABS(B693:E693))</f>
        <v>789.44999999999993</v>
      </c>
      <c r="G693" s="1">
        <v>36.18</v>
      </c>
      <c r="H693" s="1">
        <v>271.3</v>
      </c>
      <c r="I693" s="1">
        <v>-54.17</v>
      </c>
      <c r="J693" s="1">
        <v>0</v>
      </c>
      <c r="K693" s="1">
        <v>0</v>
      </c>
      <c r="L693" s="1">
        <v>-24.55</v>
      </c>
      <c r="M693" s="1">
        <v>0</v>
      </c>
      <c r="N693" s="1">
        <v>-30.75</v>
      </c>
      <c r="O693" s="1">
        <v>9.94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 cm="1">
        <f t="array" ref="V693">SUM(ABS(G693:U693))</f>
        <v>426.89000000000004</v>
      </c>
      <c r="W693" s="11" cm="1">
        <f t="array" ref="W693">SUM(ABS(B693:E693))+SUM(ABS(G693:U693))</f>
        <v>1216.3399999999999</v>
      </c>
    </row>
    <row r="694" spans="1:23" x14ac:dyDescent="0.3">
      <c r="A694" s="14">
        <v>45996.166666666664</v>
      </c>
      <c r="B694" s="1">
        <v>-721.17</v>
      </c>
      <c r="C694" s="1">
        <v>35.869999999999997</v>
      </c>
      <c r="D694" s="1">
        <v>12</v>
      </c>
      <c r="E694" s="1">
        <v>12.82</v>
      </c>
      <c r="F694" s="1" cm="1">
        <f t="array" ref="F694">SUM(ABS(B694:E694))</f>
        <v>781.86</v>
      </c>
      <c r="G694" s="1">
        <v>36.19</v>
      </c>
      <c r="H694" s="1">
        <v>270.79000000000002</v>
      </c>
      <c r="I694" s="1">
        <v>-54.15</v>
      </c>
      <c r="J694" s="1">
        <v>0</v>
      </c>
      <c r="K694" s="1">
        <v>0</v>
      </c>
      <c r="L694" s="1">
        <v>-24.52</v>
      </c>
      <c r="M694" s="1">
        <v>0</v>
      </c>
      <c r="N694" s="1">
        <v>-30.73</v>
      </c>
      <c r="O694" s="1">
        <v>9.94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 cm="1">
        <f t="array" ref="V694">SUM(ABS(G694:U694))</f>
        <v>426.32</v>
      </c>
      <c r="W694" s="11" cm="1">
        <f t="array" ref="W694">SUM(ABS(B694:E694))+SUM(ABS(G694:U694))</f>
        <v>1208.18</v>
      </c>
    </row>
    <row r="695" spans="1:23" x14ac:dyDescent="0.3">
      <c r="A695" s="14">
        <v>45996.177083333336</v>
      </c>
      <c r="B695" s="1">
        <v>-719.31</v>
      </c>
      <c r="C695" s="1">
        <v>35.880000000000003</v>
      </c>
      <c r="D695" s="1">
        <v>12</v>
      </c>
      <c r="E695" s="1">
        <v>12.84</v>
      </c>
      <c r="F695" s="1" cm="1">
        <f t="array" ref="F695">SUM(ABS(B695:E695))</f>
        <v>780.03</v>
      </c>
      <c r="G695" s="1">
        <v>36.18</v>
      </c>
      <c r="H695" s="1">
        <v>270.2</v>
      </c>
      <c r="I695" s="1">
        <v>-54.16</v>
      </c>
      <c r="J695" s="1">
        <v>0</v>
      </c>
      <c r="K695" s="1">
        <v>0</v>
      </c>
      <c r="L695" s="1">
        <v>-24.53</v>
      </c>
      <c r="M695" s="1">
        <v>0</v>
      </c>
      <c r="N695" s="1">
        <v>-30.72</v>
      </c>
      <c r="O695" s="1">
        <v>9.93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 cm="1">
        <f t="array" ref="V695">SUM(ABS(G695:U695))</f>
        <v>425.71999999999997</v>
      </c>
      <c r="W695" s="11" cm="1">
        <f t="array" ref="W695">SUM(ABS(B695:E695))+SUM(ABS(G695:U695))</f>
        <v>1205.75</v>
      </c>
    </row>
    <row r="696" spans="1:23" x14ac:dyDescent="0.3">
      <c r="A696" s="14">
        <v>45996.1875</v>
      </c>
      <c r="B696" s="1">
        <v>-720.17</v>
      </c>
      <c r="C696" s="1">
        <v>35.89</v>
      </c>
      <c r="D696" s="1">
        <v>12</v>
      </c>
      <c r="E696" s="1">
        <v>12.86</v>
      </c>
      <c r="F696" s="1" cm="1">
        <f t="array" ref="F696">SUM(ABS(B696:E696))</f>
        <v>780.92</v>
      </c>
      <c r="G696" s="1">
        <v>36.200000000000003</v>
      </c>
      <c r="H696" s="1">
        <v>270.24</v>
      </c>
      <c r="I696" s="1">
        <v>-54.16</v>
      </c>
      <c r="J696" s="1">
        <v>0</v>
      </c>
      <c r="K696" s="1">
        <v>0</v>
      </c>
      <c r="L696" s="1">
        <v>-24.55</v>
      </c>
      <c r="M696" s="1">
        <v>0</v>
      </c>
      <c r="N696" s="1">
        <v>-30.73</v>
      </c>
      <c r="O696" s="1">
        <v>9.93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 cm="1">
        <f t="array" ref="V696">SUM(ABS(G696:U696))</f>
        <v>425.81000000000006</v>
      </c>
      <c r="W696" s="11" cm="1">
        <f t="array" ref="W696">SUM(ABS(B696:E696))+SUM(ABS(G696:U696))</f>
        <v>1206.73</v>
      </c>
    </row>
    <row r="697" spans="1:23" x14ac:dyDescent="0.3">
      <c r="A697" s="14">
        <v>45996.197916666664</v>
      </c>
      <c r="B697" s="1">
        <v>-720.47</v>
      </c>
      <c r="C697" s="1">
        <v>35.9</v>
      </c>
      <c r="D697" s="1">
        <v>12</v>
      </c>
      <c r="E697" s="1">
        <v>12.85</v>
      </c>
      <c r="F697" s="1" cm="1">
        <f t="array" ref="F697">SUM(ABS(B697:E697))</f>
        <v>781.22</v>
      </c>
      <c r="G697" s="1">
        <v>36.19</v>
      </c>
      <c r="H697" s="1">
        <v>270.01</v>
      </c>
      <c r="I697" s="1">
        <v>-54.15</v>
      </c>
      <c r="J697" s="1">
        <v>0</v>
      </c>
      <c r="K697" s="1">
        <v>0</v>
      </c>
      <c r="L697" s="1">
        <v>-24.57</v>
      </c>
      <c r="M697" s="1">
        <v>0</v>
      </c>
      <c r="N697" s="1">
        <v>-30.71</v>
      </c>
      <c r="O697" s="1">
        <v>9.93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 cm="1">
        <f t="array" ref="V697">SUM(ABS(G697:U697))</f>
        <v>425.55999999999995</v>
      </c>
      <c r="W697" s="11" cm="1">
        <f t="array" ref="W697">SUM(ABS(B697:E697))+SUM(ABS(G697:U697))</f>
        <v>1206.78</v>
      </c>
    </row>
    <row r="698" spans="1:23" x14ac:dyDescent="0.3">
      <c r="A698" s="14">
        <v>45996.208333333336</v>
      </c>
      <c r="B698" s="1">
        <v>-726.96</v>
      </c>
      <c r="C698" s="1">
        <v>35.93</v>
      </c>
      <c r="D698" s="1">
        <v>12</v>
      </c>
      <c r="E698" s="1">
        <v>12.84</v>
      </c>
      <c r="F698" s="1" cm="1">
        <f t="array" ref="F698">SUM(ABS(B698:E698))</f>
        <v>787.73</v>
      </c>
      <c r="G698" s="1">
        <v>36.200000000000003</v>
      </c>
      <c r="H698" s="1">
        <v>271.72000000000003</v>
      </c>
      <c r="I698" s="1">
        <v>-54.16</v>
      </c>
      <c r="J698" s="1">
        <v>0</v>
      </c>
      <c r="K698" s="1">
        <v>0</v>
      </c>
      <c r="L698" s="1">
        <v>-24.48</v>
      </c>
      <c r="M698" s="1">
        <v>0</v>
      </c>
      <c r="N698" s="1">
        <v>-30.73</v>
      </c>
      <c r="O698" s="1">
        <v>9.94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 cm="1">
        <f t="array" ref="V698">SUM(ABS(G698:U698))</f>
        <v>427.23000000000008</v>
      </c>
      <c r="W698" s="11" cm="1">
        <f t="array" ref="W698">SUM(ABS(B698:E698))+SUM(ABS(G698:U698))</f>
        <v>1214.96</v>
      </c>
    </row>
    <row r="699" spans="1:23" x14ac:dyDescent="0.3">
      <c r="A699" s="14">
        <v>45996.21875</v>
      </c>
      <c r="B699" s="1">
        <v>-730.63</v>
      </c>
      <c r="C699" s="1">
        <v>35.950000000000003</v>
      </c>
      <c r="D699" s="1">
        <v>12</v>
      </c>
      <c r="E699" s="1">
        <v>12.84</v>
      </c>
      <c r="F699" s="1" cm="1">
        <f t="array" ref="F699">SUM(ABS(B699:E699))</f>
        <v>791.42000000000007</v>
      </c>
      <c r="G699" s="1">
        <v>36.19</v>
      </c>
      <c r="H699" s="1">
        <v>272.52999999999997</v>
      </c>
      <c r="I699" s="1">
        <v>-54.17</v>
      </c>
      <c r="J699" s="1">
        <v>0</v>
      </c>
      <c r="K699" s="1">
        <v>0</v>
      </c>
      <c r="L699" s="1">
        <v>-24.51</v>
      </c>
      <c r="M699" s="1">
        <v>0</v>
      </c>
      <c r="N699" s="1">
        <v>-30.7</v>
      </c>
      <c r="O699" s="1">
        <v>9.9600000000000009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 cm="1">
        <f t="array" ref="V699">SUM(ABS(G699:U699))</f>
        <v>428.05999999999995</v>
      </c>
      <c r="W699" s="11" cm="1">
        <f t="array" ref="W699">SUM(ABS(B699:E699))+SUM(ABS(G699:U699))</f>
        <v>1219.48</v>
      </c>
    </row>
    <row r="700" spans="1:23" x14ac:dyDescent="0.3">
      <c r="A700" s="14">
        <v>45996.229166666664</v>
      </c>
      <c r="B700" s="1">
        <v>-731.78</v>
      </c>
      <c r="C700" s="1">
        <v>35.97</v>
      </c>
      <c r="D700" s="1">
        <v>12</v>
      </c>
      <c r="E700" s="1">
        <v>12.83</v>
      </c>
      <c r="F700" s="1" cm="1">
        <f t="array" ref="F700">SUM(ABS(B700:E700))</f>
        <v>792.58</v>
      </c>
      <c r="G700" s="1">
        <v>36.200000000000003</v>
      </c>
      <c r="H700" s="1">
        <v>272.44</v>
      </c>
      <c r="I700" s="1">
        <v>-54.19</v>
      </c>
      <c r="J700" s="1">
        <v>0</v>
      </c>
      <c r="K700" s="1">
        <v>0</v>
      </c>
      <c r="L700" s="1">
        <v>-24.52</v>
      </c>
      <c r="M700" s="1">
        <v>0</v>
      </c>
      <c r="N700" s="1">
        <v>-30.71</v>
      </c>
      <c r="O700" s="1">
        <v>9.9600000000000009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 cm="1">
        <f t="array" ref="V700">SUM(ABS(G700:U700))</f>
        <v>428.01999999999992</v>
      </c>
      <c r="W700" s="11" cm="1">
        <f t="array" ref="W700">SUM(ABS(B700:E700))+SUM(ABS(G700:U700))</f>
        <v>1220.5999999999999</v>
      </c>
    </row>
    <row r="701" spans="1:23" x14ac:dyDescent="0.3">
      <c r="A701" s="14">
        <v>45996.239583333336</v>
      </c>
      <c r="B701" s="1">
        <v>-733.29</v>
      </c>
      <c r="C701" s="1">
        <v>35.979999999999997</v>
      </c>
      <c r="D701" s="1">
        <v>12</v>
      </c>
      <c r="E701" s="1">
        <v>12.82</v>
      </c>
      <c r="F701" s="1" cm="1">
        <f t="array" ref="F701">SUM(ABS(B701:E701))</f>
        <v>794.09</v>
      </c>
      <c r="G701" s="1">
        <v>32.93</v>
      </c>
      <c r="H701" s="1">
        <v>272.41000000000003</v>
      </c>
      <c r="I701" s="1">
        <v>-54.2</v>
      </c>
      <c r="J701" s="1">
        <v>0</v>
      </c>
      <c r="K701" s="1">
        <v>0</v>
      </c>
      <c r="L701" s="1">
        <v>-24.47</v>
      </c>
      <c r="M701" s="1">
        <v>0</v>
      </c>
      <c r="N701" s="1">
        <v>-30.69</v>
      </c>
      <c r="O701" s="1">
        <v>9.9600000000000009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 cm="1">
        <f t="array" ref="V701">SUM(ABS(G701:U701))</f>
        <v>424.65999999999997</v>
      </c>
      <c r="W701" s="11" cm="1">
        <f t="array" ref="W701">SUM(ABS(B701:E701))+SUM(ABS(G701:U701))</f>
        <v>1218.75</v>
      </c>
    </row>
    <row r="702" spans="1:23" x14ac:dyDescent="0.3">
      <c r="A702" s="14">
        <v>45996.25</v>
      </c>
      <c r="B702" s="1">
        <v>-730.56</v>
      </c>
      <c r="C702" s="1">
        <v>35.99</v>
      </c>
      <c r="D702" s="1">
        <v>18.8</v>
      </c>
      <c r="E702" s="1">
        <v>14.2</v>
      </c>
      <c r="F702" s="1" cm="1">
        <f t="array" ref="F702">SUM(ABS(B702:E702))</f>
        <v>799.55</v>
      </c>
      <c r="G702" s="1">
        <v>0</v>
      </c>
      <c r="H702" s="1">
        <v>271.41000000000003</v>
      </c>
      <c r="I702" s="1">
        <v>-54.21</v>
      </c>
      <c r="J702" s="1">
        <v>0</v>
      </c>
      <c r="K702" s="1">
        <v>0</v>
      </c>
      <c r="L702" s="1">
        <v>-24.56</v>
      </c>
      <c r="M702" s="1">
        <v>0</v>
      </c>
      <c r="N702" s="1">
        <v>-30.7</v>
      </c>
      <c r="O702" s="1">
        <v>9.9600000000000009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 cm="1">
        <f t="array" ref="V702">SUM(ABS(G702:U702))</f>
        <v>390.84</v>
      </c>
      <c r="W702" s="11" cm="1">
        <f t="array" ref="W702">SUM(ABS(B702:E702))+SUM(ABS(G702:U702))</f>
        <v>1190.3899999999999</v>
      </c>
    </row>
    <row r="703" spans="1:23" x14ac:dyDescent="0.3">
      <c r="A703" s="14">
        <v>45996.260416666664</v>
      </c>
      <c r="B703" s="1">
        <v>-736.61</v>
      </c>
      <c r="C703" s="1">
        <v>36.01</v>
      </c>
      <c r="D703" s="1">
        <v>24</v>
      </c>
      <c r="E703" s="1">
        <v>25.2</v>
      </c>
      <c r="F703" s="1" cm="1">
        <f t="array" ref="F703">SUM(ABS(B703:E703))</f>
        <v>821.82</v>
      </c>
      <c r="G703" s="1">
        <v>0</v>
      </c>
      <c r="H703" s="1">
        <v>272.43</v>
      </c>
      <c r="I703" s="1">
        <v>-54.21</v>
      </c>
      <c r="J703" s="1">
        <v>0</v>
      </c>
      <c r="K703" s="1">
        <v>0</v>
      </c>
      <c r="L703" s="1">
        <v>-24.52</v>
      </c>
      <c r="M703" s="1">
        <v>0</v>
      </c>
      <c r="N703" s="1">
        <v>-30.71</v>
      </c>
      <c r="O703" s="1">
        <v>9.9700000000000006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 cm="1">
        <f t="array" ref="V703">SUM(ABS(G703:U703))</f>
        <v>391.84</v>
      </c>
      <c r="W703" s="11" cm="1">
        <f t="array" ref="W703">SUM(ABS(B703:E703))+SUM(ABS(G703:U703))</f>
        <v>1213.6600000000001</v>
      </c>
    </row>
    <row r="704" spans="1:23" x14ac:dyDescent="0.3">
      <c r="A704" s="14">
        <v>45996.270833333336</v>
      </c>
      <c r="B704" s="1">
        <v>-738.12</v>
      </c>
      <c r="C704" s="1">
        <v>36.03</v>
      </c>
      <c r="D704" s="1">
        <v>23.92</v>
      </c>
      <c r="E704" s="1">
        <v>25.32</v>
      </c>
      <c r="F704" s="1" cm="1">
        <f t="array" ref="F704">SUM(ABS(B704:E704))</f>
        <v>823.39</v>
      </c>
      <c r="G704" s="1">
        <v>26.62</v>
      </c>
      <c r="H704" s="1">
        <v>272.51</v>
      </c>
      <c r="I704" s="1">
        <v>-54.18</v>
      </c>
      <c r="J704" s="1">
        <v>0</v>
      </c>
      <c r="K704" s="1">
        <v>0</v>
      </c>
      <c r="L704" s="1">
        <v>-24.53</v>
      </c>
      <c r="M704" s="1">
        <v>0</v>
      </c>
      <c r="N704" s="1">
        <v>-30.72</v>
      </c>
      <c r="O704" s="1">
        <v>9.9600000000000009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 cm="1">
        <f t="array" ref="V704">SUM(ABS(G704:U704))</f>
        <v>418.52000000000004</v>
      </c>
      <c r="W704" s="11" cm="1">
        <f t="array" ref="W704">SUM(ABS(B704:E704))+SUM(ABS(G704:U704))</f>
        <v>1241.9100000000001</v>
      </c>
    </row>
    <row r="705" spans="1:23" x14ac:dyDescent="0.3">
      <c r="A705" s="14">
        <v>45996.28125</v>
      </c>
      <c r="B705" s="1">
        <v>-622.12</v>
      </c>
      <c r="C705" s="1">
        <v>36.020000000000003</v>
      </c>
      <c r="D705" s="1">
        <v>12</v>
      </c>
      <c r="E705" s="1">
        <v>25.33</v>
      </c>
      <c r="F705" s="1" cm="1">
        <f t="array" ref="F705">SUM(ABS(B705:E705))</f>
        <v>695.47</v>
      </c>
      <c r="G705" s="1">
        <v>36</v>
      </c>
      <c r="H705" s="1">
        <v>272</v>
      </c>
      <c r="I705" s="1">
        <v>-54.19</v>
      </c>
      <c r="J705" s="1">
        <v>0</v>
      </c>
      <c r="K705" s="1">
        <v>0</v>
      </c>
      <c r="L705" s="1">
        <v>-24.52</v>
      </c>
      <c r="M705" s="1">
        <v>0</v>
      </c>
      <c r="N705" s="1">
        <v>-30.7</v>
      </c>
      <c r="O705" s="1">
        <v>9.9499999999999993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 cm="1">
        <f t="array" ref="V705">SUM(ABS(G705:U705))</f>
        <v>427.35999999999996</v>
      </c>
      <c r="W705" s="11" cm="1">
        <f t="array" ref="W705">SUM(ABS(B705:E705))+SUM(ABS(G705:U705))</f>
        <v>1122.83</v>
      </c>
    </row>
    <row r="706" spans="1:23" x14ac:dyDescent="0.3">
      <c r="A706" s="14">
        <v>45996.291666666664</v>
      </c>
      <c r="B706" s="1">
        <v>-536.88</v>
      </c>
      <c r="C706" s="1">
        <v>36.04</v>
      </c>
      <c r="D706" s="1">
        <v>12</v>
      </c>
      <c r="E706" s="1">
        <v>25.34</v>
      </c>
      <c r="F706" s="1" cm="1">
        <f t="array" ref="F706">SUM(ABS(B706:E706))</f>
        <v>610.26</v>
      </c>
      <c r="G706" s="1">
        <v>36</v>
      </c>
      <c r="H706" s="1">
        <v>272.07</v>
      </c>
      <c r="I706" s="1">
        <v>-51.65</v>
      </c>
      <c r="J706" s="1">
        <v>0</v>
      </c>
      <c r="K706" s="1">
        <v>0</v>
      </c>
      <c r="L706" s="1">
        <v>-24.49</v>
      </c>
      <c r="M706" s="1">
        <v>0</v>
      </c>
      <c r="N706" s="1">
        <v>-30.72</v>
      </c>
      <c r="O706" s="1">
        <v>9.9600000000000009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 cm="1">
        <f t="array" ref="V706">SUM(ABS(G706:U706))</f>
        <v>424.88999999999993</v>
      </c>
      <c r="W706" s="11" cm="1">
        <f t="array" ref="W706">SUM(ABS(B706:E706))+SUM(ABS(G706:U706))</f>
        <v>1035.1499999999999</v>
      </c>
    </row>
    <row r="707" spans="1:23" x14ac:dyDescent="0.3">
      <c r="A707" s="14">
        <v>45996.302083333336</v>
      </c>
      <c r="B707" s="1">
        <v>-435.94</v>
      </c>
      <c r="C707" s="1">
        <v>36.049999999999997</v>
      </c>
      <c r="D707" s="1">
        <v>12</v>
      </c>
      <c r="E707" s="1">
        <v>17.260000000000002</v>
      </c>
      <c r="F707" s="1" cm="1">
        <f t="array" ref="F707">SUM(ABS(B707:E707))</f>
        <v>501.25</v>
      </c>
      <c r="G707" s="1">
        <v>36</v>
      </c>
      <c r="H707" s="1">
        <v>272.51</v>
      </c>
      <c r="I707" s="1">
        <v>-40.619999999999997</v>
      </c>
      <c r="J707" s="1">
        <v>0</v>
      </c>
      <c r="K707" s="1">
        <v>0</v>
      </c>
      <c r="L707" s="1">
        <v>-24.51</v>
      </c>
      <c r="M707" s="1">
        <v>0</v>
      </c>
      <c r="N707" s="1">
        <v>-30.65</v>
      </c>
      <c r="O707" s="1">
        <v>9.9600000000000009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 cm="1">
        <f t="array" ref="V707">SUM(ABS(G707:U707))</f>
        <v>414.24999999999994</v>
      </c>
      <c r="W707" s="11" cm="1">
        <f t="array" ref="W707">SUM(ABS(B707:E707))+SUM(ABS(G707:U707))</f>
        <v>915.5</v>
      </c>
    </row>
    <row r="708" spans="1:23" x14ac:dyDescent="0.3">
      <c r="A708" s="14">
        <v>45996.3125</v>
      </c>
      <c r="B708" s="1">
        <v>-403.8</v>
      </c>
      <c r="C708" s="1">
        <v>36.06</v>
      </c>
      <c r="D708" s="1">
        <v>12</v>
      </c>
      <c r="E708" s="1">
        <v>12.78</v>
      </c>
      <c r="F708" s="1" cm="1">
        <f t="array" ref="F708">SUM(ABS(B708:E708))</f>
        <v>464.64</v>
      </c>
      <c r="G708" s="1">
        <v>36</v>
      </c>
      <c r="H708" s="1">
        <v>271.67</v>
      </c>
      <c r="I708" s="1">
        <v>-40.72</v>
      </c>
      <c r="J708" s="1">
        <v>0</v>
      </c>
      <c r="K708" s="1">
        <v>0</v>
      </c>
      <c r="L708" s="1">
        <v>-24.46</v>
      </c>
      <c r="M708" s="1">
        <v>0</v>
      </c>
      <c r="N708" s="1">
        <v>-30.65</v>
      </c>
      <c r="O708" s="1">
        <v>9.9600000000000009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 cm="1">
        <f t="array" ref="V708">SUM(ABS(G708:U708))</f>
        <v>413.45999999999992</v>
      </c>
      <c r="W708" s="11" cm="1">
        <f t="array" ref="W708">SUM(ABS(B708:E708))+SUM(ABS(G708:U708))</f>
        <v>878.09999999999991</v>
      </c>
    </row>
    <row r="709" spans="1:23" x14ac:dyDescent="0.3">
      <c r="A709" s="14">
        <v>45996.322916666664</v>
      </c>
      <c r="B709" s="1">
        <v>-159.75</v>
      </c>
      <c r="C709" s="1">
        <v>36.03</v>
      </c>
      <c r="D709" s="1">
        <v>12</v>
      </c>
      <c r="E709" s="1">
        <v>24.19</v>
      </c>
      <c r="F709" s="1" cm="1">
        <f t="array" ref="F709">SUM(ABS(B709:E709))</f>
        <v>231.97</v>
      </c>
      <c r="G709" s="1">
        <v>36</v>
      </c>
      <c r="H709" s="1">
        <v>264.20999999999998</v>
      </c>
      <c r="I709" s="1">
        <v>-37.17</v>
      </c>
      <c r="J709" s="1">
        <v>0</v>
      </c>
      <c r="K709" s="1">
        <v>0</v>
      </c>
      <c r="L709" s="1">
        <v>-24.47</v>
      </c>
      <c r="M709" s="1">
        <v>0</v>
      </c>
      <c r="N709" s="1">
        <v>-30.68</v>
      </c>
      <c r="O709" s="1">
        <v>9.9499999999999993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 cm="1">
        <f t="array" ref="V709">SUM(ABS(G709:U709))</f>
        <v>402.48</v>
      </c>
      <c r="W709" s="11" cm="1">
        <f t="array" ref="W709">SUM(ABS(B709:E709))+SUM(ABS(G709:U709))</f>
        <v>634.45000000000005</v>
      </c>
    </row>
    <row r="710" spans="1:23" x14ac:dyDescent="0.3">
      <c r="A710" s="14">
        <v>45996.333333333336</v>
      </c>
      <c r="B710" s="1">
        <v>-211.94</v>
      </c>
      <c r="C710" s="1">
        <v>36.06</v>
      </c>
      <c r="D710" s="1">
        <v>12</v>
      </c>
      <c r="E710" s="1">
        <v>25.25</v>
      </c>
      <c r="F710" s="1" cm="1">
        <f t="array" ref="F710">SUM(ABS(B710:E710))</f>
        <v>285.25</v>
      </c>
      <c r="G710" s="1">
        <v>36</v>
      </c>
      <c r="H710" s="1">
        <v>266.17</v>
      </c>
      <c r="I710" s="1">
        <v>-26.97</v>
      </c>
      <c r="J710" s="1">
        <v>0</v>
      </c>
      <c r="K710" s="1">
        <v>0</v>
      </c>
      <c r="L710" s="1">
        <v>-24.51</v>
      </c>
      <c r="M710" s="1">
        <v>0</v>
      </c>
      <c r="N710" s="1">
        <v>-19.29</v>
      </c>
      <c r="O710" s="1">
        <v>9.9499999999999993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 cm="1">
        <f t="array" ref="V710">SUM(ABS(G710:U710))</f>
        <v>382.89</v>
      </c>
      <c r="W710" s="11" cm="1">
        <f t="array" ref="W710">SUM(ABS(B710:E710))+SUM(ABS(G710:U710))</f>
        <v>668.14</v>
      </c>
    </row>
    <row r="711" spans="1:23" x14ac:dyDescent="0.3">
      <c r="A711" s="14">
        <v>45996.34375</v>
      </c>
      <c r="B711" s="1">
        <v>-248.33</v>
      </c>
      <c r="C711" s="1">
        <v>36.090000000000003</v>
      </c>
      <c r="D711" s="1">
        <v>12</v>
      </c>
      <c r="E711" s="1">
        <v>25.18</v>
      </c>
      <c r="F711" s="1" cm="1">
        <f t="array" ref="F711">SUM(ABS(B711:E711))</f>
        <v>321.60000000000002</v>
      </c>
      <c r="G711" s="1">
        <v>36</v>
      </c>
      <c r="H711" s="1">
        <v>273.37</v>
      </c>
      <c r="I711" s="1">
        <v>-28.85</v>
      </c>
      <c r="J711" s="1">
        <v>0</v>
      </c>
      <c r="K711" s="1">
        <v>0</v>
      </c>
      <c r="L711" s="1">
        <v>-24.46</v>
      </c>
      <c r="M711" s="1">
        <v>0</v>
      </c>
      <c r="N711" s="1">
        <v>-15.63</v>
      </c>
      <c r="O711" s="1">
        <v>9.9600000000000009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 cm="1">
        <f t="array" ref="V711">SUM(ABS(G711:U711))</f>
        <v>388.27</v>
      </c>
      <c r="W711" s="11" cm="1">
        <f t="array" ref="W711">SUM(ABS(B711:E711))+SUM(ABS(G711:U711))</f>
        <v>709.87</v>
      </c>
    </row>
    <row r="712" spans="1:23" x14ac:dyDescent="0.3">
      <c r="A712" s="14">
        <v>45996.354166666664</v>
      </c>
      <c r="B712" s="1">
        <v>-127.92</v>
      </c>
      <c r="C712" s="1">
        <v>36.1</v>
      </c>
      <c r="D712" s="1">
        <v>12</v>
      </c>
      <c r="E712" s="1">
        <v>25.19</v>
      </c>
      <c r="F712" s="1" cm="1">
        <f t="array" ref="F712">SUM(ABS(B712:E712))</f>
        <v>201.21</v>
      </c>
      <c r="G712" s="1">
        <v>36</v>
      </c>
      <c r="H712" s="1">
        <v>239.09</v>
      </c>
      <c r="I712" s="1">
        <v>-22.41</v>
      </c>
      <c r="J712" s="1">
        <v>0</v>
      </c>
      <c r="K712" s="1">
        <v>0</v>
      </c>
      <c r="L712" s="1">
        <v>-24.48</v>
      </c>
      <c r="M712" s="1">
        <v>0</v>
      </c>
      <c r="N712" s="1">
        <v>-5.07</v>
      </c>
      <c r="O712" s="1">
        <v>9.9499999999999993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 cm="1">
        <f t="array" ref="V712">SUM(ABS(G712:U712))</f>
        <v>337.00000000000006</v>
      </c>
      <c r="W712" s="11" cm="1">
        <f t="array" ref="W712">SUM(ABS(B712:E712))+SUM(ABS(G712:U712))</f>
        <v>538.21</v>
      </c>
    </row>
    <row r="713" spans="1:23" x14ac:dyDescent="0.3">
      <c r="A713" s="14">
        <v>45996.364583333336</v>
      </c>
      <c r="B713" s="1">
        <v>-115.72</v>
      </c>
      <c r="C713" s="1">
        <v>36.049999999999997</v>
      </c>
      <c r="D713" s="1">
        <v>12</v>
      </c>
      <c r="E713" s="1">
        <v>25.18</v>
      </c>
      <c r="F713" s="1" cm="1">
        <f t="array" ref="F713">SUM(ABS(B713:E713))</f>
        <v>188.95</v>
      </c>
      <c r="G713" s="1">
        <v>36</v>
      </c>
      <c r="H713" s="1">
        <v>193.58</v>
      </c>
      <c r="I713" s="1">
        <v>-20.46</v>
      </c>
      <c r="J713" s="1">
        <v>0</v>
      </c>
      <c r="K713" s="1">
        <v>0</v>
      </c>
      <c r="L713" s="1">
        <v>-24.42</v>
      </c>
      <c r="M713" s="1">
        <v>0</v>
      </c>
      <c r="N713" s="1">
        <v>0.04</v>
      </c>
      <c r="O713" s="1">
        <v>9.9499999999999993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 cm="1">
        <f t="array" ref="V713">SUM(ABS(G713:U713))</f>
        <v>284.45000000000005</v>
      </c>
      <c r="W713" s="11" cm="1">
        <f t="array" ref="W713">SUM(ABS(B713:E713))+SUM(ABS(G713:U713))</f>
        <v>473.40000000000003</v>
      </c>
    </row>
    <row r="714" spans="1:23" x14ac:dyDescent="0.3">
      <c r="A714" s="14">
        <v>45996.375</v>
      </c>
      <c r="B714" s="1">
        <v>-248.52</v>
      </c>
      <c r="C714" s="1">
        <v>36.04</v>
      </c>
      <c r="D714" s="1">
        <v>12</v>
      </c>
      <c r="E714" s="1">
        <v>16.07</v>
      </c>
      <c r="F714" s="1" cm="1">
        <f t="array" ref="F714">SUM(ABS(B714:E714))</f>
        <v>312.63</v>
      </c>
      <c r="G714" s="1">
        <v>36</v>
      </c>
      <c r="H714" s="1">
        <v>185.08</v>
      </c>
      <c r="I714" s="1">
        <v>-20.5</v>
      </c>
      <c r="J714" s="1">
        <v>0</v>
      </c>
      <c r="K714" s="1">
        <v>0</v>
      </c>
      <c r="L714" s="1">
        <v>-24.49</v>
      </c>
      <c r="M714" s="1">
        <v>0</v>
      </c>
      <c r="N714" s="1">
        <v>0.01</v>
      </c>
      <c r="O714" s="1">
        <v>9.9499999999999993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 cm="1">
        <f t="array" ref="V714">SUM(ABS(G714:U714))</f>
        <v>276.02999999999997</v>
      </c>
      <c r="W714" s="11" cm="1">
        <f t="array" ref="W714">SUM(ABS(B714:E714))+SUM(ABS(G714:U714))</f>
        <v>588.66</v>
      </c>
    </row>
    <row r="715" spans="1:23" x14ac:dyDescent="0.3">
      <c r="A715" s="14">
        <v>45996.385416666664</v>
      </c>
      <c r="B715" s="1">
        <v>-306.97000000000003</v>
      </c>
      <c r="C715" s="1">
        <v>36.020000000000003</v>
      </c>
      <c r="D715" s="1">
        <v>12</v>
      </c>
      <c r="E715" s="1">
        <v>12.78</v>
      </c>
      <c r="F715" s="1" cm="1">
        <f t="array" ref="F715">SUM(ABS(B715:E715))</f>
        <v>367.77</v>
      </c>
      <c r="G715" s="1">
        <v>36</v>
      </c>
      <c r="H715" s="1">
        <v>188.75</v>
      </c>
      <c r="I715" s="1">
        <v>-20.49</v>
      </c>
      <c r="J715" s="1">
        <v>0</v>
      </c>
      <c r="K715" s="1">
        <v>0</v>
      </c>
      <c r="L715" s="1">
        <v>-24.44</v>
      </c>
      <c r="M715" s="1">
        <v>0</v>
      </c>
      <c r="N715" s="1">
        <v>0.02</v>
      </c>
      <c r="O715" s="1">
        <v>9.9600000000000009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 cm="1">
        <f t="array" ref="V715">SUM(ABS(G715:U715))</f>
        <v>279.65999999999997</v>
      </c>
      <c r="W715" s="11" cm="1">
        <f t="array" ref="W715">SUM(ABS(B715:E715))+SUM(ABS(G715:U715))</f>
        <v>647.42999999999995</v>
      </c>
    </row>
    <row r="716" spans="1:23" x14ac:dyDescent="0.3">
      <c r="A716" s="14">
        <v>45996.395833333336</v>
      </c>
      <c r="B716" s="1">
        <v>-387.39</v>
      </c>
      <c r="C716" s="1">
        <v>35.99</v>
      </c>
      <c r="D716" s="1">
        <v>12</v>
      </c>
      <c r="E716" s="1">
        <v>12.76</v>
      </c>
      <c r="F716" s="1" cm="1">
        <f t="array" ref="F716">SUM(ABS(B716:E716))</f>
        <v>448.14</v>
      </c>
      <c r="G716" s="1">
        <v>36</v>
      </c>
      <c r="H716" s="1">
        <v>190.08</v>
      </c>
      <c r="I716" s="1">
        <v>-21.8</v>
      </c>
      <c r="J716" s="1">
        <v>0</v>
      </c>
      <c r="K716" s="1">
        <v>0</v>
      </c>
      <c r="L716" s="1">
        <v>-24.44</v>
      </c>
      <c r="M716" s="1">
        <v>0</v>
      </c>
      <c r="N716" s="1">
        <v>0.01</v>
      </c>
      <c r="O716" s="1">
        <v>9.9600000000000009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 cm="1">
        <f t="array" ref="V716">SUM(ABS(G716:U716))</f>
        <v>282.29000000000002</v>
      </c>
      <c r="W716" s="11" cm="1">
        <f t="array" ref="W716">SUM(ABS(B716:E716))+SUM(ABS(G716:U716))</f>
        <v>730.43000000000006</v>
      </c>
    </row>
    <row r="717" spans="1:23" x14ac:dyDescent="0.3">
      <c r="A717" s="14">
        <v>45996.40625</v>
      </c>
      <c r="B717" s="1">
        <v>-490.68</v>
      </c>
      <c r="C717" s="1">
        <v>35.909999999999997</v>
      </c>
      <c r="D717" s="1">
        <v>12</v>
      </c>
      <c r="E717" s="1">
        <v>11.33</v>
      </c>
      <c r="F717" s="1" cm="1">
        <f t="array" ref="F717">SUM(ABS(B717:E717))</f>
        <v>549.92000000000007</v>
      </c>
      <c r="G717" s="1">
        <v>36</v>
      </c>
      <c r="H717" s="1">
        <v>200.67</v>
      </c>
      <c r="I717" s="1">
        <v>-28.85</v>
      </c>
      <c r="J717" s="1">
        <v>0</v>
      </c>
      <c r="K717" s="1">
        <v>0</v>
      </c>
      <c r="L717" s="1">
        <v>-24.45</v>
      </c>
      <c r="M717" s="1">
        <v>0</v>
      </c>
      <c r="N717" s="1">
        <v>-0.01</v>
      </c>
      <c r="O717" s="1">
        <v>9.94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 cm="1">
        <f t="array" ref="V717">SUM(ABS(G717:U717))</f>
        <v>299.91999999999996</v>
      </c>
      <c r="W717" s="11" cm="1">
        <f t="array" ref="W717">SUM(ABS(B717:E717))+SUM(ABS(G717:U717))</f>
        <v>849.84</v>
      </c>
    </row>
    <row r="718" spans="1:23" x14ac:dyDescent="0.3">
      <c r="A718" s="14">
        <v>45996.416666666664</v>
      </c>
      <c r="B718" s="1">
        <v>-480.51</v>
      </c>
      <c r="C718" s="1">
        <v>35.85</v>
      </c>
      <c r="D718" s="1">
        <v>12</v>
      </c>
      <c r="E718" s="1">
        <v>6.32</v>
      </c>
      <c r="F718" s="1" cm="1">
        <f t="array" ref="F718">SUM(ABS(B718:E718))</f>
        <v>534.68000000000006</v>
      </c>
      <c r="G718" s="1">
        <v>36</v>
      </c>
      <c r="H718" s="1">
        <v>198.52</v>
      </c>
      <c r="I718" s="1">
        <v>-28.82</v>
      </c>
      <c r="J718" s="1">
        <v>0</v>
      </c>
      <c r="K718" s="1">
        <v>0</v>
      </c>
      <c r="L718" s="1">
        <v>-24.51</v>
      </c>
      <c r="M718" s="1">
        <v>0</v>
      </c>
      <c r="N718" s="1">
        <v>0</v>
      </c>
      <c r="O718" s="1">
        <v>9.94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 cm="1">
        <f t="array" ref="V718">SUM(ABS(G718:U718))</f>
        <v>297.79000000000002</v>
      </c>
      <c r="W718" s="11" cm="1">
        <f t="array" ref="W718">SUM(ABS(B718:E718))+SUM(ABS(G718:U718))</f>
        <v>832.47</v>
      </c>
    </row>
    <row r="719" spans="1:23" x14ac:dyDescent="0.3">
      <c r="A719" s="14">
        <v>45996.427083333336</v>
      </c>
      <c r="B719" s="1">
        <v>-477.1</v>
      </c>
      <c r="C719" s="1">
        <v>35.799999999999997</v>
      </c>
      <c r="D719" s="1">
        <v>12</v>
      </c>
      <c r="E719" s="1">
        <v>6.38</v>
      </c>
      <c r="F719" s="1" cm="1">
        <f t="array" ref="F719">SUM(ABS(B719:E719))</f>
        <v>531.28</v>
      </c>
      <c r="G719" s="1">
        <v>36</v>
      </c>
      <c r="H719" s="1">
        <v>172.3</v>
      </c>
      <c r="I719" s="1">
        <v>-28.82</v>
      </c>
      <c r="J719" s="1">
        <v>0</v>
      </c>
      <c r="K719" s="1">
        <v>0</v>
      </c>
      <c r="L719" s="1">
        <v>-23.24</v>
      </c>
      <c r="M719" s="1">
        <v>0</v>
      </c>
      <c r="N719" s="1">
        <v>0.01</v>
      </c>
      <c r="O719" s="1">
        <v>9.94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 cm="1">
        <f t="array" ref="V719">SUM(ABS(G719:U719))</f>
        <v>270.31</v>
      </c>
      <c r="W719" s="11" cm="1">
        <f t="array" ref="W719">SUM(ABS(B719:E719))+SUM(ABS(G719:U719))</f>
        <v>801.58999999999992</v>
      </c>
    </row>
    <row r="720" spans="1:23" x14ac:dyDescent="0.3">
      <c r="A720" s="14">
        <v>45996.4375</v>
      </c>
      <c r="B720" s="1">
        <v>-478.63</v>
      </c>
      <c r="C720" s="1">
        <v>35.76</v>
      </c>
      <c r="D720" s="1">
        <v>12</v>
      </c>
      <c r="E720" s="1">
        <v>6.4</v>
      </c>
      <c r="F720" s="1" cm="1">
        <f t="array" ref="F720">SUM(ABS(B720:E720))</f>
        <v>532.79</v>
      </c>
      <c r="G720" s="1">
        <v>36</v>
      </c>
      <c r="H720" s="1">
        <v>181.64</v>
      </c>
      <c r="I720" s="1">
        <v>-28.81</v>
      </c>
      <c r="J720" s="1">
        <v>0</v>
      </c>
      <c r="K720" s="1">
        <v>0</v>
      </c>
      <c r="L720" s="1">
        <v>-24.46</v>
      </c>
      <c r="M720" s="1">
        <v>0</v>
      </c>
      <c r="N720" s="1">
        <v>0</v>
      </c>
      <c r="O720" s="1">
        <v>9.9499999999999993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 cm="1">
        <f t="array" ref="V720">SUM(ABS(G720:U720))</f>
        <v>280.85999999999996</v>
      </c>
      <c r="W720" s="11" cm="1">
        <f t="array" ref="W720">SUM(ABS(B720:E720))+SUM(ABS(G720:U720))</f>
        <v>813.64999999999986</v>
      </c>
    </row>
    <row r="721" spans="1:23" x14ac:dyDescent="0.3">
      <c r="A721" s="14">
        <v>45996.447916666664</v>
      </c>
      <c r="B721" s="1">
        <v>-488.95</v>
      </c>
      <c r="C721" s="1">
        <v>35.729999999999997</v>
      </c>
      <c r="D721" s="1">
        <v>12</v>
      </c>
      <c r="E721" s="1">
        <v>6.42</v>
      </c>
      <c r="F721" s="1" cm="1">
        <f t="array" ref="F721">SUM(ABS(B721:E721))</f>
        <v>543.09999999999991</v>
      </c>
      <c r="G721" s="1">
        <v>36</v>
      </c>
      <c r="H721" s="1">
        <v>139.41999999999999</v>
      </c>
      <c r="I721" s="1">
        <v>-28.8</v>
      </c>
      <c r="J721" s="1">
        <v>0</v>
      </c>
      <c r="K721" s="1">
        <v>0</v>
      </c>
      <c r="L721" s="1">
        <v>-24.5</v>
      </c>
      <c r="M721" s="1">
        <v>0</v>
      </c>
      <c r="N721" s="1">
        <v>0.01</v>
      </c>
      <c r="O721" s="1">
        <v>9.94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 cm="1">
        <f t="array" ref="V721">SUM(ABS(G721:U721))</f>
        <v>238.67</v>
      </c>
      <c r="W721" s="11" cm="1">
        <f t="array" ref="W721">SUM(ABS(B721:E721))+SUM(ABS(G721:U721))</f>
        <v>781.76999999999987</v>
      </c>
    </row>
    <row r="722" spans="1:23" x14ac:dyDescent="0.3">
      <c r="A722" s="14">
        <v>45996.458333333336</v>
      </c>
      <c r="B722" s="1">
        <v>-472.53</v>
      </c>
      <c r="C722" s="1">
        <v>35.65</v>
      </c>
      <c r="D722" s="1">
        <v>12</v>
      </c>
      <c r="E722" s="1">
        <v>6.44</v>
      </c>
      <c r="F722" s="1" cm="1">
        <f t="array" ref="F722">SUM(ABS(B722:E722))</f>
        <v>526.62</v>
      </c>
      <c r="G722" s="1">
        <v>36</v>
      </c>
      <c r="H722" s="1">
        <v>133.58000000000001</v>
      </c>
      <c r="I722" s="1">
        <v>-28.82</v>
      </c>
      <c r="J722" s="1">
        <v>0</v>
      </c>
      <c r="K722" s="1">
        <v>0</v>
      </c>
      <c r="L722" s="1">
        <v>-24.46</v>
      </c>
      <c r="M722" s="1">
        <v>0</v>
      </c>
      <c r="N722" s="1">
        <v>0.01</v>
      </c>
      <c r="O722" s="1">
        <v>9.9499999999999993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 cm="1">
        <f t="array" ref="V722">SUM(ABS(G722:U722))</f>
        <v>232.82</v>
      </c>
      <c r="W722" s="11" cm="1">
        <f t="array" ref="W722">SUM(ABS(B722:E722))+SUM(ABS(G722:U722))</f>
        <v>759.44</v>
      </c>
    </row>
    <row r="723" spans="1:23" x14ac:dyDescent="0.3">
      <c r="A723" s="14">
        <v>45996.46875</v>
      </c>
      <c r="B723" s="1">
        <v>-464.33</v>
      </c>
      <c r="C723" s="1">
        <v>35.6</v>
      </c>
      <c r="D723" s="1">
        <v>12</v>
      </c>
      <c r="E723" s="1">
        <v>6.43</v>
      </c>
      <c r="F723" s="1" cm="1">
        <f t="array" ref="F723">SUM(ABS(B723:E723))</f>
        <v>518.36</v>
      </c>
      <c r="G723" s="1">
        <v>36</v>
      </c>
      <c r="H723" s="1">
        <v>133.75</v>
      </c>
      <c r="I723" s="1">
        <v>-23.56</v>
      </c>
      <c r="J723" s="1">
        <v>0</v>
      </c>
      <c r="K723" s="1">
        <v>0</v>
      </c>
      <c r="L723" s="1">
        <v>-24.41</v>
      </c>
      <c r="M723" s="1">
        <v>0</v>
      </c>
      <c r="N723" s="1">
        <v>0.02</v>
      </c>
      <c r="O723" s="1">
        <v>9.9499999999999993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 cm="1">
        <f t="array" ref="V723">SUM(ABS(G723:U723))</f>
        <v>227.69</v>
      </c>
      <c r="W723" s="11" cm="1">
        <f t="array" ref="W723">SUM(ABS(B723:E723))+SUM(ABS(G723:U723))</f>
        <v>746.05</v>
      </c>
    </row>
    <row r="724" spans="1:23" x14ac:dyDescent="0.3">
      <c r="A724" s="14">
        <v>45996.479166666664</v>
      </c>
      <c r="B724" s="1">
        <v>-422.17</v>
      </c>
      <c r="C724" s="1">
        <v>35.65</v>
      </c>
      <c r="D724" s="1">
        <v>12</v>
      </c>
      <c r="E724" s="1">
        <v>6.42</v>
      </c>
      <c r="F724" s="1" cm="1">
        <f t="array" ref="F724">SUM(ABS(B724:E724))</f>
        <v>476.24</v>
      </c>
      <c r="G724" s="1">
        <v>36</v>
      </c>
      <c r="H724" s="1">
        <v>134.25</v>
      </c>
      <c r="I724" s="1">
        <v>-20.5</v>
      </c>
      <c r="J724" s="1">
        <v>0</v>
      </c>
      <c r="K724" s="1">
        <v>0</v>
      </c>
      <c r="L724" s="1">
        <v>-24.43</v>
      </c>
      <c r="M724" s="1">
        <v>0</v>
      </c>
      <c r="N724" s="1">
        <v>0.02</v>
      </c>
      <c r="O724" s="1">
        <v>9.94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 cm="1">
        <f t="array" ref="V724">SUM(ABS(G724:U724))</f>
        <v>225.14000000000001</v>
      </c>
      <c r="W724" s="11" cm="1">
        <f t="array" ref="W724">SUM(ABS(B724:E724))+SUM(ABS(G724:U724))</f>
        <v>701.38</v>
      </c>
    </row>
    <row r="725" spans="1:23" x14ac:dyDescent="0.3">
      <c r="A725" s="14">
        <v>45996.489583333336</v>
      </c>
      <c r="B725" s="1">
        <v>-414.28</v>
      </c>
      <c r="C725" s="1">
        <v>35.65</v>
      </c>
      <c r="D725" s="1">
        <v>12</v>
      </c>
      <c r="E725" s="1">
        <v>1.99</v>
      </c>
      <c r="F725" s="1" cm="1">
        <f t="array" ref="F725">SUM(ABS(B725:E725))</f>
        <v>463.91999999999996</v>
      </c>
      <c r="G725" s="1">
        <v>36</v>
      </c>
      <c r="H725" s="1">
        <v>134.35</v>
      </c>
      <c r="I725" s="1">
        <v>-20.46</v>
      </c>
      <c r="J725" s="1">
        <v>0</v>
      </c>
      <c r="K725" s="1">
        <v>0</v>
      </c>
      <c r="L725" s="1">
        <v>-24.39</v>
      </c>
      <c r="M725" s="1">
        <v>0</v>
      </c>
      <c r="N725" s="1">
        <v>0.04</v>
      </c>
      <c r="O725" s="1">
        <v>9.94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 cm="1">
        <f t="array" ref="V725">SUM(ABS(G725:U725))</f>
        <v>225.17999999999998</v>
      </c>
      <c r="W725" s="11" cm="1">
        <f t="array" ref="W725">SUM(ABS(B725:E725))+SUM(ABS(G725:U725))</f>
        <v>689.09999999999991</v>
      </c>
    </row>
    <row r="726" spans="1:23" x14ac:dyDescent="0.3">
      <c r="A726" s="14">
        <v>45996.5</v>
      </c>
      <c r="B726" s="1">
        <v>-280.47000000000003</v>
      </c>
      <c r="C726" s="1">
        <v>35.65</v>
      </c>
      <c r="D726" s="1">
        <v>12</v>
      </c>
      <c r="E726" s="1">
        <v>0</v>
      </c>
      <c r="F726" s="1" cm="1">
        <f t="array" ref="F726">SUM(ABS(B726:E726))</f>
        <v>328.12</v>
      </c>
      <c r="G726" s="1">
        <v>22.6</v>
      </c>
      <c r="H726" s="1">
        <v>134.35</v>
      </c>
      <c r="I726" s="1">
        <v>-20.41</v>
      </c>
      <c r="J726" s="1">
        <v>0</v>
      </c>
      <c r="K726" s="1">
        <v>0</v>
      </c>
      <c r="L726" s="1">
        <v>-24.42</v>
      </c>
      <c r="M726" s="1">
        <v>0</v>
      </c>
      <c r="N726" s="1">
        <v>7.0000000000000007E-2</v>
      </c>
      <c r="O726" s="1">
        <v>9.93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 cm="1">
        <f t="array" ref="V726">SUM(ABS(G726:U726))</f>
        <v>211.77999999999997</v>
      </c>
      <c r="W726" s="11" cm="1">
        <f t="array" ref="W726">SUM(ABS(B726:E726))+SUM(ABS(G726:U726))</f>
        <v>539.9</v>
      </c>
    </row>
    <row r="727" spans="1:23" x14ac:dyDescent="0.3">
      <c r="A727" s="14">
        <v>45996.510416666664</v>
      </c>
      <c r="B727" s="1">
        <v>-385.77</v>
      </c>
      <c r="C727" s="1">
        <v>35.65</v>
      </c>
      <c r="D727" s="1">
        <v>12</v>
      </c>
      <c r="E727" s="1">
        <v>0</v>
      </c>
      <c r="F727" s="1" cm="1">
        <f t="array" ref="F727">SUM(ABS(B727:E727))</f>
        <v>433.41999999999996</v>
      </c>
      <c r="G727" s="1">
        <v>20</v>
      </c>
      <c r="H727" s="1">
        <v>134.35</v>
      </c>
      <c r="I727" s="1">
        <v>-20.52</v>
      </c>
      <c r="J727" s="1">
        <v>0</v>
      </c>
      <c r="K727" s="1">
        <v>0</v>
      </c>
      <c r="L727" s="1">
        <v>-24.43</v>
      </c>
      <c r="M727" s="1">
        <v>0</v>
      </c>
      <c r="N727" s="1">
        <v>0.05</v>
      </c>
      <c r="O727" s="1">
        <v>9.93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 cm="1">
        <f t="array" ref="V727">SUM(ABS(G727:U727))</f>
        <v>209.28000000000003</v>
      </c>
      <c r="W727" s="11" cm="1">
        <f t="array" ref="W727">SUM(ABS(B727:E727))+SUM(ABS(G727:U727))</f>
        <v>642.70000000000005</v>
      </c>
    </row>
    <row r="728" spans="1:23" x14ac:dyDescent="0.3">
      <c r="A728" s="14">
        <v>45996.520833333336</v>
      </c>
      <c r="B728" s="1">
        <v>-268.77999999999997</v>
      </c>
      <c r="C728" s="1">
        <v>35.65</v>
      </c>
      <c r="D728" s="1">
        <v>12</v>
      </c>
      <c r="E728" s="1">
        <v>0</v>
      </c>
      <c r="F728" s="1" cm="1">
        <f t="array" ref="F728">SUM(ABS(B728:E728))</f>
        <v>316.42999999999995</v>
      </c>
      <c r="G728" s="1">
        <v>20</v>
      </c>
      <c r="H728" s="1">
        <v>134.35</v>
      </c>
      <c r="I728" s="1">
        <v>-20.51</v>
      </c>
      <c r="J728" s="1">
        <v>0</v>
      </c>
      <c r="K728" s="1">
        <v>0</v>
      </c>
      <c r="L728" s="1">
        <v>-24.39</v>
      </c>
      <c r="M728" s="1">
        <v>0</v>
      </c>
      <c r="N728" s="1">
        <v>0.06</v>
      </c>
      <c r="O728" s="1">
        <v>9.93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 cm="1">
        <f t="array" ref="V728">SUM(ABS(G728:U728))</f>
        <v>209.24</v>
      </c>
      <c r="W728" s="11" cm="1">
        <f t="array" ref="W728">SUM(ABS(B728:E728))+SUM(ABS(G728:U728))</f>
        <v>525.66999999999996</v>
      </c>
    </row>
    <row r="729" spans="1:23" x14ac:dyDescent="0.3">
      <c r="A729" s="14">
        <v>45996.53125</v>
      </c>
      <c r="B729" s="1">
        <v>-257.02</v>
      </c>
      <c r="C729" s="1">
        <v>35.65</v>
      </c>
      <c r="D729" s="1">
        <v>12</v>
      </c>
      <c r="E729" s="1">
        <v>0</v>
      </c>
      <c r="F729" s="1" cm="1">
        <f t="array" ref="F729">SUM(ABS(B729:E729))</f>
        <v>304.66999999999996</v>
      </c>
      <c r="G729" s="1">
        <v>20</v>
      </c>
      <c r="H729" s="1">
        <v>134.35</v>
      </c>
      <c r="I729" s="1">
        <v>-20.5</v>
      </c>
      <c r="J729" s="1">
        <v>0</v>
      </c>
      <c r="K729" s="1">
        <v>0</v>
      </c>
      <c r="L729" s="1">
        <v>-24.45</v>
      </c>
      <c r="M729" s="1">
        <v>0</v>
      </c>
      <c r="N729" s="1">
        <v>0.06</v>
      </c>
      <c r="O729" s="1">
        <v>9.92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 cm="1">
        <f t="array" ref="V729">SUM(ABS(G729:U729))</f>
        <v>209.27999999999997</v>
      </c>
      <c r="W729" s="11" cm="1">
        <f t="array" ref="W729">SUM(ABS(B729:E729))+SUM(ABS(G729:U729))</f>
        <v>513.94999999999993</v>
      </c>
    </row>
    <row r="730" spans="1:23" x14ac:dyDescent="0.3">
      <c r="A730" s="14">
        <v>45996.541666666664</v>
      </c>
      <c r="B730" s="1">
        <v>-155.84</v>
      </c>
      <c r="C730" s="1">
        <v>35.65</v>
      </c>
      <c r="D730" s="1">
        <v>12</v>
      </c>
      <c r="E730" s="1">
        <v>0</v>
      </c>
      <c r="F730" s="1" cm="1">
        <f t="array" ref="F730">SUM(ABS(B730:E730))</f>
        <v>203.49</v>
      </c>
      <c r="G730" s="1">
        <v>20</v>
      </c>
      <c r="H730" s="1">
        <v>134.35</v>
      </c>
      <c r="I730" s="1">
        <v>-20.51</v>
      </c>
      <c r="J730" s="1">
        <v>0</v>
      </c>
      <c r="K730" s="1">
        <v>0</v>
      </c>
      <c r="L730" s="1">
        <v>-24.4</v>
      </c>
      <c r="M730" s="1">
        <v>0</v>
      </c>
      <c r="N730" s="1">
        <v>0.08</v>
      </c>
      <c r="O730" s="1">
        <v>9.92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 cm="1">
        <f t="array" ref="V730">SUM(ABS(G730:U730))</f>
        <v>209.26</v>
      </c>
      <c r="W730" s="11" cm="1">
        <f t="array" ref="W730">SUM(ABS(B730:E730))+SUM(ABS(G730:U730))</f>
        <v>412.75</v>
      </c>
    </row>
    <row r="731" spans="1:23" x14ac:dyDescent="0.3">
      <c r="A731" s="14">
        <v>45996.552083333336</v>
      </c>
      <c r="B731" s="1">
        <v>-139.99</v>
      </c>
      <c r="C731" s="1">
        <v>35.65</v>
      </c>
      <c r="D731" s="1">
        <v>12</v>
      </c>
      <c r="E731" s="1">
        <v>0</v>
      </c>
      <c r="F731" s="1" cm="1">
        <f t="array" ref="F731">SUM(ABS(B731:E731))</f>
        <v>187.64000000000001</v>
      </c>
      <c r="G731" s="1">
        <v>20</v>
      </c>
      <c r="H731" s="1">
        <v>134.35</v>
      </c>
      <c r="I731" s="1">
        <v>-20.52</v>
      </c>
      <c r="J731" s="1">
        <v>0</v>
      </c>
      <c r="K731" s="1">
        <v>0</v>
      </c>
      <c r="L731" s="1">
        <v>-24.43</v>
      </c>
      <c r="M731" s="1">
        <v>0</v>
      </c>
      <c r="N731" s="1">
        <v>0.08</v>
      </c>
      <c r="O731" s="1">
        <v>9.93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 cm="1">
        <f t="array" ref="V731">SUM(ABS(G731:U731))</f>
        <v>209.31000000000003</v>
      </c>
      <c r="W731" s="11" cm="1">
        <f t="array" ref="W731">SUM(ABS(B731:E731))+SUM(ABS(G731:U731))</f>
        <v>396.95000000000005</v>
      </c>
    </row>
    <row r="732" spans="1:23" x14ac:dyDescent="0.3">
      <c r="A732" s="14">
        <v>45996.5625</v>
      </c>
      <c r="B732" s="1">
        <v>-150.04</v>
      </c>
      <c r="C732" s="1">
        <v>35.65</v>
      </c>
      <c r="D732" s="1">
        <v>12</v>
      </c>
      <c r="E732" s="1">
        <v>0</v>
      </c>
      <c r="F732" s="1" cm="1">
        <f t="array" ref="F732">SUM(ABS(B732:E732))</f>
        <v>197.69</v>
      </c>
      <c r="G732" s="1">
        <v>20</v>
      </c>
      <c r="H732" s="1">
        <v>263.41000000000003</v>
      </c>
      <c r="I732" s="1">
        <v>-20.52</v>
      </c>
      <c r="J732" s="1">
        <v>0</v>
      </c>
      <c r="K732" s="1">
        <v>0</v>
      </c>
      <c r="L732" s="1">
        <v>-24.38</v>
      </c>
      <c r="M732" s="1">
        <v>0</v>
      </c>
      <c r="N732" s="1">
        <v>0.09</v>
      </c>
      <c r="O732" s="1">
        <v>9.92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 cm="1">
        <f t="array" ref="V732">SUM(ABS(G732:U732))</f>
        <v>338.32</v>
      </c>
      <c r="W732" s="11" cm="1">
        <f t="array" ref="W732">SUM(ABS(B732:E732))+SUM(ABS(G732:U732))</f>
        <v>536.01</v>
      </c>
    </row>
    <row r="733" spans="1:23" x14ac:dyDescent="0.3">
      <c r="A733" s="14">
        <v>45996.572916666664</v>
      </c>
      <c r="B733" s="1">
        <v>-195.54</v>
      </c>
      <c r="C733" s="1">
        <v>35.65</v>
      </c>
      <c r="D733" s="1">
        <v>12</v>
      </c>
      <c r="E733" s="1">
        <v>0</v>
      </c>
      <c r="F733" s="1" cm="1">
        <f t="array" ref="F733">SUM(ABS(B733:E733))</f>
        <v>243.19</v>
      </c>
      <c r="G733" s="1">
        <v>20</v>
      </c>
      <c r="H733" s="1">
        <v>270</v>
      </c>
      <c r="I733" s="1">
        <v>-28.03</v>
      </c>
      <c r="J733" s="1">
        <v>0</v>
      </c>
      <c r="K733" s="1">
        <v>0</v>
      </c>
      <c r="L733" s="1">
        <v>-24.4</v>
      </c>
      <c r="M733" s="1">
        <v>0</v>
      </c>
      <c r="N733" s="1">
        <v>0.08</v>
      </c>
      <c r="O733" s="1">
        <v>9.93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 cm="1">
        <f t="array" ref="V733">SUM(ABS(G733:U733))</f>
        <v>352.43999999999994</v>
      </c>
      <c r="W733" s="11" cm="1">
        <f t="array" ref="W733">SUM(ABS(B733:E733))+SUM(ABS(G733:U733))</f>
        <v>595.62999999999988</v>
      </c>
    </row>
    <row r="734" spans="1:23" x14ac:dyDescent="0.3">
      <c r="A734" s="14">
        <v>45996.583333333336</v>
      </c>
      <c r="B734" s="1">
        <v>-365.21</v>
      </c>
      <c r="C734" s="1">
        <v>35.65</v>
      </c>
      <c r="D734" s="1">
        <v>12</v>
      </c>
      <c r="E734" s="1">
        <v>0</v>
      </c>
      <c r="F734" s="1" cm="1">
        <f t="array" ref="F734">SUM(ABS(B734:E734))</f>
        <v>412.85999999999996</v>
      </c>
      <c r="G734" s="1">
        <v>20</v>
      </c>
      <c r="H734" s="1">
        <v>270</v>
      </c>
      <c r="I734" s="1">
        <v>-28.66</v>
      </c>
      <c r="J734" s="1">
        <v>0</v>
      </c>
      <c r="K734" s="1">
        <v>0</v>
      </c>
      <c r="L734" s="1">
        <v>-24.42</v>
      </c>
      <c r="M734" s="1">
        <v>0</v>
      </c>
      <c r="N734" s="1">
        <v>0.06</v>
      </c>
      <c r="O734" s="1">
        <v>9.93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 cm="1">
        <f t="array" ref="V734">SUM(ABS(G734:U734))</f>
        <v>353.07000000000005</v>
      </c>
      <c r="W734" s="11" cm="1">
        <f t="array" ref="W734">SUM(ABS(B734:E734))+SUM(ABS(G734:U734))</f>
        <v>765.93000000000006</v>
      </c>
    </row>
    <row r="735" spans="1:23" x14ac:dyDescent="0.3">
      <c r="A735" s="14">
        <v>45996.59375</v>
      </c>
      <c r="B735" s="1">
        <v>-500.72</v>
      </c>
      <c r="C735" s="1">
        <v>35.65</v>
      </c>
      <c r="D735" s="1">
        <v>12</v>
      </c>
      <c r="E735" s="1">
        <v>0</v>
      </c>
      <c r="F735" s="1" cm="1">
        <f t="array" ref="F735">SUM(ABS(B735:E735))</f>
        <v>548.37</v>
      </c>
      <c r="G735" s="1">
        <v>20</v>
      </c>
      <c r="H735" s="1">
        <v>270</v>
      </c>
      <c r="I735" s="1">
        <v>-35.81</v>
      </c>
      <c r="J735" s="1">
        <v>0</v>
      </c>
      <c r="K735" s="1">
        <v>0</v>
      </c>
      <c r="L735" s="1">
        <v>-24.5</v>
      </c>
      <c r="M735" s="1">
        <v>0</v>
      </c>
      <c r="N735" s="1">
        <v>0.05</v>
      </c>
      <c r="O735" s="1">
        <v>9.94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 cm="1">
        <f t="array" ref="V735">SUM(ABS(G735:U735))</f>
        <v>360.3</v>
      </c>
      <c r="W735" s="11" cm="1">
        <f t="array" ref="W735">SUM(ABS(B735:E735))+SUM(ABS(G735:U735))</f>
        <v>908.67000000000007</v>
      </c>
    </row>
    <row r="736" spans="1:23" x14ac:dyDescent="0.3">
      <c r="A736" s="14">
        <v>45996.604166666664</v>
      </c>
      <c r="B736" s="1">
        <v>-590.15</v>
      </c>
      <c r="C736" s="1">
        <v>35.65</v>
      </c>
      <c r="D736" s="1">
        <v>12</v>
      </c>
      <c r="E736" s="1">
        <v>0</v>
      </c>
      <c r="F736" s="1" cm="1">
        <f t="array" ref="F736">SUM(ABS(B736:E736))</f>
        <v>637.79999999999995</v>
      </c>
      <c r="G736" s="1">
        <v>20</v>
      </c>
      <c r="H736" s="1">
        <v>270.60000000000002</v>
      </c>
      <c r="I736" s="1">
        <v>-53.99</v>
      </c>
      <c r="J736" s="1">
        <v>0</v>
      </c>
      <c r="K736" s="1">
        <v>0</v>
      </c>
      <c r="L736" s="1">
        <v>-24.36</v>
      </c>
      <c r="M736" s="1">
        <v>0</v>
      </c>
      <c r="N736" s="1">
        <v>0.06</v>
      </c>
      <c r="O736" s="1">
        <v>9.94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 cm="1">
        <f t="array" ref="V736">SUM(ABS(G736:U736))</f>
        <v>378.95000000000005</v>
      </c>
      <c r="W736" s="11" cm="1">
        <f t="array" ref="W736">SUM(ABS(B736:E736))+SUM(ABS(G736:U736))</f>
        <v>1016.75</v>
      </c>
    </row>
    <row r="737" spans="1:23" x14ac:dyDescent="0.3">
      <c r="A737" s="14">
        <v>45996.614583333336</v>
      </c>
      <c r="B737" s="1">
        <v>-682.89</v>
      </c>
      <c r="C737" s="1">
        <v>35.65</v>
      </c>
      <c r="D737" s="1">
        <v>12</v>
      </c>
      <c r="E737" s="1">
        <v>0</v>
      </c>
      <c r="F737" s="1" cm="1">
        <f t="array" ref="F737">SUM(ABS(B737:E737))</f>
        <v>730.54</v>
      </c>
      <c r="G737" s="1">
        <v>20</v>
      </c>
      <c r="H737" s="1">
        <v>273.57</v>
      </c>
      <c r="I737" s="1">
        <v>-54.23</v>
      </c>
      <c r="J737" s="1">
        <v>2.83</v>
      </c>
      <c r="K737" s="1">
        <v>0</v>
      </c>
      <c r="L737" s="1">
        <v>-24.36</v>
      </c>
      <c r="M737" s="1">
        <v>0</v>
      </c>
      <c r="N737" s="1">
        <v>0.06</v>
      </c>
      <c r="O737" s="1">
        <v>9.93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 cm="1">
        <f t="array" ref="V737">SUM(ABS(G737:U737))</f>
        <v>384.98</v>
      </c>
      <c r="W737" s="11" cm="1">
        <f t="array" ref="W737">SUM(ABS(B737:E737))+SUM(ABS(G737:U737))</f>
        <v>1115.52</v>
      </c>
    </row>
    <row r="738" spans="1:23" x14ac:dyDescent="0.3">
      <c r="A738" s="14">
        <v>45996.625</v>
      </c>
      <c r="B738" s="1">
        <v>-719.02</v>
      </c>
      <c r="C738" s="1">
        <v>35.520000000000003</v>
      </c>
      <c r="D738" s="1">
        <v>12</v>
      </c>
      <c r="E738" s="1">
        <v>0</v>
      </c>
      <c r="F738" s="1" cm="1">
        <f t="array" ref="F738">SUM(ABS(B738:E738))</f>
        <v>766.54</v>
      </c>
      <c r="G738" s="1">
        <v>20</v>
      </c>
      <c r="H738" s="1">
        <v>269.01</v>
      </c>
      <c r="I738" s="1">
        <v>-54.17</v>
      </c>
      <c r="J738" s="1">
        <v>25.46</v>
      </c>
      <c r="K738" s="1">
        <v>0</v>
      </c>
      <c r="L738" s="1">
        <v>-24.37</v>
      </c>
      <c r="M738" s="1">
        <v>0</v>
      </c>
      <c r="N738" s="1">
        <v>0.05</v>
      </c>
      <c r="O738" s="1">
        <v>9.92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 cm="1">
        <f t="array" ref="V738">SUM(ABS(G738:U738))</f>
        <v>402.98</v>
      </c>
      <c r="W738" s="11" cm="1">
        <f t="array" ref="W738">SUM(ABS(B738:E738))+SUM(ABS(G738:U738))</f>
        <v>1169.52</v>
      </c>
    </row>
    <row r="739" spans="1:23" x14ac:dyDescent="0.3">
      <c r="A739" s="14">
        <v>45996.635416666664</v>
      </c>
      <c r="B739" s="1">
        <v>-733.84</v>
      </c>
      <c r="C739" s="1">
        <v>34.9</v>
      </c>
      <c r="D739" s="1">
        <v>12</v>
      </c>
      <c r="E739" s="1">
        <v>0</v>
      </c>
      <c r="F739" s="1" cm="1">
        <f t="array" ref="F739">SUM(ABS(B739:E739))</f>
        <v>780.74</v>
      </c>
      <c r="G739" s="1">
        <v>20</v>
      </c>
      <c r="H739" s="1">
        <v>273.39999999999998</v>
      </c>
      <c r="I739" s="1">
        <v>-54.19</v>
      </c>
      <c r="J739" s="1">
        <v>26.57</v>
      </c>
      <c r="K739" s="1">
        <v>0</v>
      </c>
      <c r="L739" s="1">
        <v>-24.31</v>
      </c>
      <c r="M739" s="1">
        <v>0</v>
      </c>
      <c r="N739" s="1">
        <v>0.12</v>
      </c>
      <c r="O739" s="1">
        <v>9.92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 cm="1">
        <f t="array" ref="V739">SUM(ABS(G739:U739))</f>
        <v>408.51</v>
      </c>
      <c r="W739" s="11" cm="1">
        <f t="array" ref="W739">SUM(ABS(B739:E739))+SUM(ABS(G739:U739))</f>
        <v>1189.25</v>
      </c>
    </row>
    <row r="740" spans="1:23" x14ac:dyDescent="0.3">
      <c r="A740" s="14">
        <v>45996.645833333336</v>
      </c>
      <c r="B740" s="1">
        <v>-651.41</v>
      </c>
      <c r="C740" s="1">
        <v>34.86</v>
      </c>
      <c r="D740" s="1">
        <v>12</v>
      </c>
      <c r="E740" s="1">
        <v>0</v>
      </c>
      <c r="F740" s="1" cm="1">
        <f t="array" ref="F740">SUM(ABS(B740:E740))</f>
        <v>698.27</v>
      </c>
      <c r="G740" s="1">
        <v>20</v>
      </c>
      <c r="H740" s="1">
        <v>272.93</v>
      </c>
      <c r="I740" s="1">
        <v>-54.19</v>
      </c>
      <c r="J740" s="1">
        <v>26.04</v>
      </c>
      <c r="K740" s="1">
        <v>0</v>
      </c>
      <c r="L740" s="1">
        <v>-24.44</v>
      </c>
      <c r="M740" s="1">
        <v>0</v>
      </c>
      <c r="N740" s="1">
        <v>-3.07</v>
      </c>
      <c r="O740" s="1">
        <v>9.91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 cm="1">
        <f t="array" ref="V740">SUM(ABS(G740:U740))</f>
        <v>410.58000000000004</v>
      </c>
      <c r="W740" s="11" cm="1">
        <f t="array" ref="W740">SUM(ABS(B740:E740))+SUM(ABS(G740:U740))</f>
        <v>1108.8499999999999</v>
      </c>
    </row>
    <row r="741" spans="1:23" x14ac:dyDescent="0.3">
      <c r="A741" s="14">
        <v>45996.65625</v>
      </c>
      <c r="B741" s="1">
        <v>-596.71</v>
      </c>
      <c r="C741" s="1">
        <v>34.85</v>
      </c>
      <c r="D741" s="1">
        <v>12</v>
      </c>
      <c r="E741" s="1">
        <v>0</v>
      </c>
      <c r="F741" s="1" cm="1">
        <f t="array" ref="F741">SUM(ABS(B741:E741))</f>
        <v>643.56000000000006</v>
      </c>
      <c r="G741" s="1">
        <v>20</v>
      </c>
      <c r="H741" s="1">
        <v>272.48</v>
      </c>
      <c r="I741" s="1">
        <v>-54.16</v>
      </c>
      <c r="J741" s="1">
        <v>26</v>
      </c>
      <c r="K741" s="1">
        <v>0</v>
      </c>
      <c r="L741" s="1">
        <v>-24.43</v>
      </c>
      <c r="M741" s="1">
        <v>0</v>
      </c>
      <c r="N741" s="1">
        <v>-15.35</v>
      </c>
      <c r="O741" s="1">
        <v>9.92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 cm="1">
        <f t="array" ref="V741">SUM(ABS(G741:U741))</f>
        <v>422.34000000000003</v>
      </c>
      <c r="W741" s="11" cm="1">
        <f t="array" ref="W741">SUM(ABS(B741:E741))+SUM(ABS(G741:U741))</f>
        <v>1065.9000000000001</v>
      </c>
    </row>
    <row r="742" spans="1:23" x14ac:dyDescent="0.3">
      <c r="A742" s="14">
        <v>45996.666666666664</v>
      </c>
      <c r="B742" s="1">
        <v>-487.6</v>
      </c>
      <c r="C742" s="1">
        <v>34.86</v>
      </c>
      <c r="D742" s="1">
        <v>12</v>
      </c>
      <c r="E742" s="1">
        <v>0</v>
      </c>
      <c r="F742" s="1" cm="1">
        <f t="array" ref="F742">SUM(ABS(B742:E742))</f>
        <v>534.46</v>
      </c>
      <c r="G742" s="1">
        <v>20</v>
      </c>
      <c r="H742" s="1">
        <v>270.06</v>
      </c>
      <c r="I742" s="1">
        <v>-54.19</v>
      </c>
      <c r="J742" s="1">
        <v>47.62</v>
      </c>
      <c r="K742" s="1">
        <v>0</v>
      </c>
      <c r="L742" s="1">
        <v>-24.45</v>
      </c>
      <c r="M742" s="1">
        <v>0</v>
      </c>
      <c r="N742" s="1">
        <v>-21.4</v>
      </c>
      <c r="O742" s="1">
        <v>9.9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 cm="1">
        <f t="array" ref="V742">SUM(ABS(G742:U742))</f>
        <v>447.61999999999995</v>
      </c>
      <c r="W742" s="11" cm="1">
        <f t="array" ref="W742">SUM(ABS(B742:E742))+SUM(ABS(G742:U742))</f>
        <v>982.07999999999993</v>
      </c>
    </row>
    <row r="743" spans="1:23" x14ac:dyDescent="0.3">
      <c r="A743" s="14">
        <v>45996.677083333336</v>
      </c>
      <c r="B743" s="1">
        <v>-512.64</v>
      </c>
      <c r="C743" s="1">
        <v>34.9</v>
      </c>
      <c r="D743" s="1">
        <v>12</v>
      </c>
      <c r="E743" s="1">
        <v>0</v>
      </c>
      <c r="F743" s="1" cm="1">
        <f t="array" ref="F743">SUM(ABS(B743:E743))</f>
        <v>559.54</v>
      </c>
      <c r="G743" s="1">
        <v>20</v>
      </c>
      <c r="H743" s="1">
        <v>273.06</v>
      </c>
      <c r="I743" s="1">
        <v>-54.19</v>
      </c>
      <c r="J743" s="1">
        <v>52.25</v>
      </c>
      <c r="K743" s="1">
        <v>0</v>
      </c>
      <c r="L743" s="1">
        <v>-24.37</v>
      </c>
      <c r="M743" s="1">
        <v>0</v>
      </c>
      <c r="N743" s="1">
        <v>-30.71</v>
      </c>
      <c r="O743" s="1">
        <v>9.92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 cm="1">
        <f t="array" ref="V743">SUM(ABS(G743:U743))</f>
        <v>464.5</v>
      </c>
      <c r="W743" s="11" cm="1">
        <f t="array" ref="W743">SUM(ABS(B743:E743))+SUM(ABS(G743:U743))</f>
        <v>1024.04</v>
      </c>
    </row>
    <row r="744" spans="1:23" x14ac:dyDescent="0.3">
      <c r="A744" s="14">
        <v>45996.6875</v>
      </c>
      <c r="B744" s="1">
        <v>-534.64</v>
      </c>
      <c r="C744" s="1">
        <v>34.950000000000003</v>
      </c>
      <c r="D744" s="1">
        <v>12</v>
      </c>
      <c r="E744" s="1">
        <v>0</v>
      </c>
      <c r="F744" s="1" cm="1">
        <f t="array" ref="F744">SUM(ABS(B744:E744))</f>
        <v>581.59</v>
      </c>
      <c r="G744" s="1">
        <v>20</v>
      </c>
      <c r="H744" s="1">
        <v>273.43</v>
      </c>
      <c r="I744" s="1">
        <v>-54.21</v>
      </c>
      <c r="J744" s="1">
        <v>52.73</v>
      </c>
      <c r="K744" s="1">
        <v>0</v>
      </c>
      <c r="L744" s="1">
        <v>-24.37</v>
      </c>
      <c r="M744" s="1">
        <v>0</v>
      </c>
      <c r="N744" s="1">
        <v>-30.72</v>
      </c>
      <c r="O744" s="1">
        <v>9.92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 cm="1">
        <f t="array" ref="V744">SUM(ABS(G744:U744))</f>
        <v>465.38000000000005</v>
      </c>
      <c r="W744" s="11" cm="1">
        <f t="array" ref="W744">SUM(ABS(B744:E744))+SUM(ABS(G744:U744))</f>
        <v>1046.97</v>
      </c>
    </row>
    <row r="745" spans="1:23" x14ac:dyDescent="0.3">
      <c r="A745" s="14">
        <v>45996.697916666664</v>
      </c>
      <c r="B745" s="1">
        <v>-563.73</v>
      </c>
      <c r="C745" s="1">
        <v>35</v>
      </c>
      <c r="D745" s="1">
        <v>12</v>
      </c>
      <c r="E745" s="1">
        <v>0</v>
      </c>
      <c r="F745" s="1" cm="1">
        <f t="array" ref="F745">SUM(ABS(B745:E745))</f>
        <v>610.73</v>
      </c>
      <c r="G745" s="1">
        <v>20</v>
      </c>
      <c r="H745" s="1">
        <v>273.27</v>
      </c>
      <c r="I745" s="1">
        <v>-54.22</v>
      </c>
      <c r="J745" s="1">
        <v>56.39</v>
      </c>
      <c r="K745" s="1">
        <v>0</v>
      </c>
      <c r="L745" s="1">
        <v>-24.38</v>
      </c>
      <c r="M745" s="1">
        <v>0</v>
      </c>
      <c r="N745" s="1">
        <v>-30.7</v>
      </c>
      <c r="O745" s="1">
        <v>9.91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 cm="1">
        <f t="array" ref="V745">SUM(ABS(G745:U745))</f>
        <v>468.87</v>
      </c>
      <c r="W745" s="11" cm="1">
        <f t="array" ref="W745">SUM(ABS(B745:E745))+SUM(ABS(G745:U745))</f>
        <v>1079.5999999999999</v>
      </c>
    </row>
    <row r="746" spans="1:23" x14ac:dyDescent="0.3">
      <c r="A746" s="14">
        <v>45996.708333333336</v>
      </c>
      <c r="B746" s="1">
        <v>-517.04999999999995</v>
      </c>
      <c r="C746" s="1">
        <v>34.979999999999997</v>
      </c>
      <c r="D746" s="1">
        <v>12</v>
      </c>
      <c r="E746" s="1">
        <v>0</v>
      </c>
      <c r="F746" s="1" cm="1">
        <f t="array" ref="F746">SUM(ABS(B746:E746))</f>
        <v>564.03</v>
      </c>
      <c r="G746" s="1">
        <v>20</v>
      </c>
      <c r="H746" s="1">
        <v>271.39999999999998</v>
      </c>
      <c r="I746" s="1">
        <v>-54.17</v>
      </c>
      <c r="J746" s="1">
        <v>50.75</v>
      </c>
      <c r="K746" s="1">
        <v>0</v>
      </c>
      <c r="L746" s="1">
        <v>-24.43</v>
      </c>
      <c r="M746" s="1">
        <v>0</v>
      </c>
      <c r="N746" s="1">
        <v>-30.63</v>
      </c>
      <c r="O746" s="1">
        <v>9.9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 cm="1">
        <f t="array" ref="V746">SUM(ABS(G746:U746))</f>
        <v>461.28</v>
      </c>
      <c r="W746" s="11" cm="1">
        <f t="array" ref="W746">SUM(ABS(B746:E746))+SUM(ABS(G746:U746))</f>
        <v>1025.31</v>
      </c>
    </row>
    <row r="747" spans="1:23" x14ac:dyDescent="0.3">
      <c r="A747" s="14">
        <v>45996.71875</v>
      </c>
      <c r="B747" s="1">
        <v>-526.51</v>
      </c>
      <c r="C747" s="1">
        <v>35.020000000000003</v>
      </c>
      <c r="D747" s="1">
        <v>12</v>
      </c>
      <c r="E747" s="1">
        <v>0</v>
      </c>
      <c r="F747" s="1" cm="1">
        <f t="array" ref="F747">SUM(ABS(B747:E747))</f>
        <v>573.53</v>
      </c>
      <c r="G747" s="1">
        <v>26.15</v>
      </c>
      <c r="H747" s="1">
        <v>272.25</v>
      </c>
      <c r="I747" s="1">
        <v>-54.17</v>
      </c>
      <c r="J747" s="1">
        <v>51.4</v>
      </c>
      <c r="K747" s="1">
        <v>0</v>
      </c>
      <c r="L747" s="1">
        <v>-24.46</v>
      </c>
      <c r="M747" s="1">
        <v>0</v>
      </c>
      <c r="N747" s="1">
        <v>-30.66</v>
      </c>
      <c r="O747" s="1">
        <v>9.9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 cm="1">
        <f t="array" ref="V747">SUM(ABS(G747:U747))</f>
        <v>468.98999999999995</v>
      </c>
      <c r="W747" s="11" cm="1">
        <f t="array" ref="W747">SUM(ABS(B747:E747))+SUM(ABS(G747:U747))</f>
        <v>1042.52</v>
      </c>
    </row>
    <row r="748" spans="1:23" x14ac:dyDescent="0.3">
      <c r="A748" s="14">
        <v>45996.729166666664</v>
      </c>
      <c r="B748" s="1">
        <v>-581.22</v>
      </c>
      <c r="C748" s="1">
        <v>35.020000000000003</v>
      </c>
      <c r="D748" s="1">
        <v>12</v>
      </c>
      <c r="E748" s="1">
        <v>2.0099999999999998</v>
      </c>
      <c r="F748" s="1" cm="1">
        <f t="array" ref="F748">SUM(ABS(B748:E748))</f>
        <v>630.25</v>
      </c>
      <c r="G748" s="1">
        <v>30.04</v>
      </c>
      <c r="H748" s="1">
        <v>270.99</v>
      </c>
      <c r="I748" s="1">
        <v>-54.18</v>
      </c>
      <c r="J748" s="1">
        <v>71.89</v>
      </c>
      <c r="K748" s="1">
        <v>0</v>
      </c>
      <c r="L748" s="1">
        <v>-28.37</v>
      </c>
      <c r="M748" s="1">
        <v>0</v>
      </c>
      <c r="N748" s="1">
        <v>-30.68</v>
      </c>
      <c r="O748" s="1">
        <v>9.89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 cm="1">
        <f t="array" ref="V748">SUM(ABS(G748:U748))</f>
        <v>496.04</v>
      </c>
      <c r="W748" s="11" cm="1">
        <f t="array" ref="W748">SUM(ABS(B748:E748))+SUM(ABS(G748:U748))</f>
        <v>1126.29</v>
      </c>
    </row>
    <row r="749" spans="1:23" x14ac:dyDescent="0.3">
      <c r="A749" s="14">
        <v>45996.739583333336</v>
      </c>
      <c r="B749" s="1">
        <v>-549.45000000000005</v>
      </c>
      <c r="C749" s="1">
        <v>35</v>
      </c>
      <c r="D749" s="1">
        <v>26.1</v>
      </c>
      <c r="E749" s="1">
        <v>16.14</v>
      </c>
      <c r="F749" s="1" cm="1">
        <f t="array" ref="F749">SUM(ABS(B749:E749))</f>
        <v>626.69000000000005</v>
      </c>
      <c r="G749" s="1">
        <v>30.04</v>
      </c>
      <c r="H749" s="1">
        <v>269.3</v>
      </c>
      <c r="I749" s="1">
        <v>-54.16</v>
      </c>
      <c r="J749" s="1">
        <v>89.65</v>
      </c>
      <c r="K749" s="1">
        <v>0</v>
      </c>
      <c r="L749" s="1">
        <v>-49.41</v>
      </c>
      <c r="M749" s="1">
        <v>0</v>
      </c>
      <c r="N749" s="1">
        <v>-30.69</v>
      </c>
      <c r="O749" s="1">
        <v>9.9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 cm="1">
        <f t="array" ref="V749">SUM(ABS(G749:U749))</f>
        <v>533.15</v>
      </c>
      <c r="W749" s="11" cm="1">
        <f t="array" ref="W749">SUM(ABS(B749:E749))+SUM(ABS(G749:U749))</f>
        <v>1159.8400000000001</v>
      </c>
    </row>
    <row r="750" spans="1:23" x14ac:dyDescent="0.3">
      <c r="A750" s="14">
        <v>45996.75</v>
      </c>
      <c r="B750" s="1">
        <v>-381.07</v>
      </c>
      <c r="C750" s="1">
        <v>34.979999999999997</v>
      </c>
      <c r="D750" s="1">
        <v>46.3</v>
      </c>
      <c r="E750" s="1">
        <v>31.64</v>
      </c>
      <c r="F750" s="1" cm="1">
        <f t="array" ref="F750">SUM(ABS(B750:E750))</f>
        <v>493.99</v>
      </c>
      <c r="G750" s="1">
        <v>30.05</v>
      </c>
      <c r="H750" s="1">
        <v>263.2</v>
      </c>
      <c r="I750" s="1">
        <v>-54.12</v>
      </c>
      <c r="J750" s="1">
        <v>98.75</v>
      </c>
      <c r="K750" s="1">
        <v>0</v>
      </c>
      <c r="L750" s="1">
        <v>-56.57</v>
      </c>
      <c r="M750" s="1">
        <v>0</v>
      </c>
      <c r="N750" s="1">
        <v>-30.72</v>
      </c>
      <c r="O750" s="1">
        <v>9.9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 cm="1">
        <f t="array" ref="V750">SUM(ABS(G750:U750))</f>
        <v>543.30999999999995</v>
      </c>
      <c r="W750" s="11" cm="1">
        <f t="array" ref="W750">SUM(ABS(B750:E750))+SUM(ABS(G750:U750))</f>
        <v>1037.3</v>
      </c>
    </row>
    <row r="751" spans="1:23" x14ac:dyDescent="0.3">
      <c r="A751" s="14">
        <v>45996.760416666664</v>
      </c>
      <c r="B751" s="1">
        <v>-350.13</v>
      </c>
      <c r="C751" s="1">
        <v>35.01</v>
      </c>
      <c r="D751" s="1">
        <v>48.51</v>
      </c>
      <c r="E751" s="1">
        <v>32.380000000000003</v>
      </c>
      <c r="F751" s="1" cm="1">
        <f t="array" ref="F751">SUM(ABS(B751:E751))</f>
        <v>466.03</v>
      </c>
      <c r="G751" s="1">
        <v>33.03</v>
      </c>
      <c r="H751" s="1">
        <v>265.55</v>
      </c>
      <c r="I751" s="1">
        <v>-54.14</v>
      </c>
      <c r="J751" s="1">
        <v>101.01</v>
      </c>
      <c r="K751" s="1">
        <v>0</v>
      </c>
      <c r="L751" s="1">
        <v>-56.8</v>
      </c>
      <c r="M751" s="1">
        <v>0</v>
      </c>
      <c r="N751" s="1">
        <v>-30.71</v>
      </c>
      <c r="O751" s="1">
        <v>9.9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 cm="1">
        <f t="array" ref="V751">SUM(ABS(G751:U751))</f>
        <v>551.14</v>
      </c>
      <c r="W751" s="11" cm="1">
        <f t="array" ref="W751">SUM(ABS(B751:E751))+SUM(ABS(G751:U751))</f>
        <v>1017.17</v>
      </c>
    </row>
    <row r="752" spans="1:23" x14ac:dyDescent="0.3">
      <c r="A752" s="14">
        <v>45996.770833333336</v>
      </c>
      <c r="B752" s="1">
        <v>-635.21</v>
      </c>
      <c r="C752" s="1">
        <v>35.03</v>
      </c>
      <c r="D752" s="1">
        <v>54.11</v>
      </c>
      <c r="E752" s="1">
        <v>37.979999999999997</v>
      </c>
      <c r="F752" s="1" cm="1">
        <f t="array" ref="F752">SUM(ABS(B752:E752))</f>
        <v>762.33</v>
      </c>
      <c r="G752" s="1">
        <v>54.23</v>
      </c>
      <c r="H752" s="1">
        <v>268.41000000000003</v>
      </c>
      <c r="I752" s="1">
        <v>-54.15</v>
      </c>
      <c r="J752" s="1">
        <v>106.94</v>
      </c>
      <c r="K752" s="1">
        <v>1.87</v>
      </c>
      <c r="L752" s="1">
        <v>-57.09</v>
      </c>
      <c r="M752" s="1">
        <v>0</v>
      </c>
      <c r="N752" s="1">
        <v>-30.74</v>
      </c>
      <c r="O752" s="1">
        <v>9.9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 cm="1">
        <f t="array" ref="V752">SUM(ABS(G752:U752))</f>
        <v>583.33000000000004</v>
      </c>
      <c r="W752" s="11" cm="1">
        <f t="array" ref="W752">SUM(ABS(B752:E752))+SUM(ABS(G752:U752))</f>
        <v>1345.66</v>
      </c>
    </row>
    <row r="753" spans="1:23" x14ac:dyDescent="0.3">
      <c r="A753" s="14">
        <v>45996.78125</v>
      </c>
      <c r="B753" s="1">
        <v>-731.02</v>
      </c>
      <c r="C753" s="1">
        <v>35.03</v>
      </c>
      <c r="D753" s="1">
        <v>66.209999999999994</v>
      </c>
      <c r="E753" s="1">
        <v>38.03</v>
      </c>
      <c r="F753" s="1" cm="1">
        <f t="array" ref="F753">SUM(ABS(B753:E753))</f>
        <v>870.29</v>
      </c>
      <c r="G753" s="1">
        <v>54.24</v>
      </c>
      <c r="H753" s="1">
        <v>270.87</v>
      </c>
      <c r="I753" s="1">
        <v>-54.17</v>
      </c>
      <c r="J753" s="1">
        <v>163.57</v>
      </c>
      <c r="K753" s="1">
        <v>53.88</v>
      </c>
      <c r="L753" s="1">
        <v>-57.91</v>
      </c>
      <c r="M753" s="1">
        <v>0</v>
      </c>
      <c r="N753" s="1">
        <v>-30.77</v>
      </c>
      <c r="O753" s="1">
        <v>9.9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 cm="1">
        <f t="array" ref="V753">SUM(ABS(G753:U753))</f>
        <v>695.31</v>
      </c>
      <c r="W753" s="11" cm="1">
        <f t="array" ref="W753">SUM(ABS(B753:E753))+SUM(ABS(G753:U753))</f>
        <v>1565.6</v>
      </c>
    </row>
    <row r="754" spans="1:23" x14ac:dyDescent="0.3">
      <c r="A754" s="14">
        <v>45996.791666666664</v>
      </c>
      <c r="B754" s="1">
        <v>-732.07</v>
      </c>
      <c r="C754" s="1">
        <v>35.03</v>
      </c>
      <c r="D754" s="1">
        <v>66.209999999999994</v>
      </c>
      <c r="E754" s="1">
        <v>38.04</v>
      </c>
      <c r="F754" s="1" cm="1">
        <f t="array" ref="F754">SUM(ABS(B754:E754))</f>
        <v>871.35</v>
      </c>
      <c r="G754" s="1">
        <v>54.24</v>
      </c>
      <c r="H754" s="1">
        <v>272.37</v>
      </c>
      <c r="I754" s="1">
        <v>-54.15</v>
      </c>
      <c r="J754" s="1">
        <v>168.92</v>
      </c>
      <c r="K754" s="1">
        <v>110.95</v>
      </c>
      <c r="L754" s="1">
        <v>-57.93</v>
      </c>
      <c r="M754" s="1">
        <v>0</v>
      </c>
      <c r="N754" s="1">
        <v>-30.74</v>
      </c>
      <c r="O754" s="1">
        <v>9.9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 cm="1">
        <f t="array" ref="V754">SUM(ABS(G754:U754))</f>
        <v>759.19999999999993</v>
      </c>
      <c r="W754" s="11" cm="1">
        <f t="array" ref="W754">SUM(ABS(B754:E754))+SUM(ABS(G754:U754))</f>
        <v>1630.55</v>
      </c>
    </row>
    <row r="755" spans="1:23" x14ac:dyDescent="0.3">
      <c r="A755" s="14">
        <v>45996.802083333336</v>
      </c>
      <c r="B755" s="1">
        <v>-730.41</v>
      </c>
      <c r="C755" s="1">
        <v>35.03</v>
      </c>
      <c r="D755" s="1">
        <v>66.19</v>
      </c>
      <c r="E755" s="1">
        <v>38.04</v>
      </c>
      <c r="F755" s="1" cm="1">
        <f t="array" ref="F755">SUM(ABS(B755:E755))</f>
        <v>869.66999999999985</v>
      </c>
      <c r="G755" s="1">
        <v>54.25</v>
      </c>
      <c r="H755" s="1">
        <v>272.5</v>
      </c>
      <c r="I755" s="1">
        <v>-54.15</v>
      </c>
      <c r="J755" s="1">
        <v>168.17</v>
      </c>
      <c r="K755" s="1">
        <v>113.91</v>
      </c>
      <c r="L755" s="1">
        <v>-57.73</v>
      </c>
      <c r="M755" s="1">
        <v>0</v>
      </c>
      <c r="N755" s="1">
        <v>-30.74</v>
      </c>
      <c r="O755" s="1">
        <v>9.9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 cm="1">
        <f t="array" ref="V755">SUM(ABS(G755:U755))</f>
        <v>761.34999999999991</v>
      </c>
      <c r="W755" s="11" cm="1">
        <f t="array" ref="W755">SUM(ABS(B755:E755))+SUM(ABS(G755:U755))</f>
        <v>1631.0199999999998</v>
      </c>
    </row>
    <row r="756" spans="1:23" x14ac:dyDescent="0.3">
      <c r="A756" s="14">
        <v>45996.8125</v>
      </c>
      <c r="B756" s="1">
        <v>-735.4</v>
      </c>
      <c r="C756" s="1">
        <v>35.03</v>
      </c>
      <c r="D756" s="1">
        <v>66.19</v>
      </c>
      <c r="E756" s="1">
        <v>38.049999999999997</v>
      </c>
      <c r="F756" s="1" cm="1">
        <f t="array" ref="F756">SUM(ABS(B756:E756))</f>
        <v>874.66999999999985</v>
      </c>
      <c r="G756" s="1">
        <v>54.24</v>
      </c>
      <c r="H756" s="1">
        <v>272.58</v>
      </c>
      <c r="I756" s="1">
        <v>-54.13</v>
      </c>
      <c r="J756" s="1">
        <v>168.83</v>
      </c>
      <c r="K756" s="1">
        <v>114.19</v>
      </c>
      <c r="L756" s="1">
        <v>-58.02</v>
      </c>
      <c r="M756" s="1">
        <v>0</v>
      </c>
      <c r="N756" s="1">
        <v>-30.75</v>
      </c>
      <c r="O756" s="1">
        <v>9.9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 cm="1">
        <f t="array" ref="V756">SUM(ABS(G756:U756))</f>
        <v>762.64</v>
      </c>
      <c r="W756" s="11" cm="1">
        <f t="array" ref="W756">SUM(ABS(B756:E756))+SUM(ABS(G756:U756))</f>
        <v>1637.31</v>
      </c>
    </row>
    <row r="757" spans="1:23" x14ac:dyDescent="0.3">
      <c r="A757" s="14">
        <v>45996.822916666664</v>
      </c>
      <c r="B757" s="1">
        <v>-736.65</v>
      </c>
      <c r="C757" s="1">
        <v>35.03</v>
      </c>
      <c r="D757" s="1">
        <v>66.180000000000007</v>
      </c>
      <c r="E757" s="1">
        <v>38.01</v>
      </c>
      <c r="F757" s="1" cm="1">
        <f t="array" ref="F757">SUM(ABS(B757:E757))</f>
        <v>875.86999999999989</v>
      </c>
      <c r="G757" s="1">
        <v>54.23</v>
      </c>
      <c r="H757" s="1">
        <v>272.48</v>
      </c>
      <c r="I757" s="1">
        <v>-54.13</v>
      </c>
      <c r="J757" s="1">
        <v>169.66</v>
      </c>
      <c r="K757" s="1">
        <v>114.14</v>
      </c>
      <c r="L757" s="1">
        <v>-58.2</v>
      </c>
      <c r="M757" s="1">
        <v>0</v>
      </c>
      <c r="N757" s="1">
        <v>-30.76</v>
      </c>
      <c r="O757" s="1">
        <v>9.9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 cm="1">
        <f t="array" ref="V757">SUM(ABS(G757:U757))</f>
        <v>763.5</v>
      </c>
      <c r="W757" s="11" cm="1">
        <f t="array" ref="W757">SUM(ABS(B757:E757))+SUM(ABS(G757:U757))</f>
        <v>1639.37</v>
      </c>
    </row>
    <row r="758" spans="1:23" x14ac:dyDescent="0.3">
      <c r="A758" s="14">
        <v>45996.833333333336</v>
      </c>
      <c r="B758" s="1">
        <v>-729.65</v>
      </c>
      <c r="C758" s="1">
        <v>35.03</v>
      </c>
      <c r="D758" s="1">
        <v>66.17</v>
      </c>
      <c r="E758" s="1">
        <v>38.01</v>
      </c>
      <c r="F758" s="1" cm="1">
        <f t="array" ref="F758">SUM(ABS(B758:E758))</f>
        <v>868.8599999999999</v>
      </c>
      <c r="G758" s="1">
        <v>54.26</v>
      </c>
      <c r="H758" s="1">
        <v>272.41000000000003</v>
      </c>
      <c r="I758" s="1">
        <v>-54.12</v>
      </c>
      <c r="J758" s="1">
        <v>167.28</v>
      </c>
      <c r="K758" s="1">
        <v>114.03</v>
      </c>
      <c r="L758" s="1">
        <v>-57.8</v>
      </c>
      <c r="M758" s="1">
        <v>0</v>
      </c>
      <c r="N758" s="1">
        <v>-30.75</v>
      </c>
      <c r="O758" s="1">
        <v>9.9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 cm="1">
        <f t="array" ref="V758">SUM(ABS(G758:U758))</f>
        <v>760.55</v>
      </c>
      <c r="W758" s="11" cm="1">
        <f t="array" ref="W758">SUM(ABS(B758:E758))+SUM(ABS(G758:U758))</f>
        <v>1629.4099999999999</v>
      </c>
    </row>
    <row r="759" spans="1:23" x14ac:dyDescent="0.3">
      <c r="A759" s="14">
        <v>45996.84375</v>
      </c>
      <c r="B759" s="1">
        <v>-729.6</v>
      </c>
      <c r="C759" s="1">
        <v>35.03</v>
      </c>
      <c r="D759" s="1">
        <v>66.180000000000007</v>
      </c>
      <c r="E759" s="1">
        <v>37.979999999999997</v>
      </c>
      <c r="F759" s="1" cm="1">
        <f t="array" ref="F759">SUM(ABS(B759:E759))</f>
        <v>868.79</v>
      </c>
      <c r="G759" s="1">
        <v>54.25</v>
      </c>
      <c r="H759" s="1">
        <v>272.48</v>
      </c>
      <c r="I759" s="1">
        <v>-54.11</v>
      </c>
      <c r="J759" s="1">
        <v>167.35</v>
      </c>
      <c r="K759" s="1">
        <v>113.93</v>
      </c>
      <c r="L759" s="1">
        <v>-57.75</v>
      </c>
      <c r="M759" s="1">
        <v>0</v>
      </c>
      <c r="N759" s="1">
        <v>-30.74</v>
      </c>
      <c r="O759" s="1">
        <v>9.89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 cm="1">
        <f t="array" ref="V759">SUM(ABS(G759:U759))</f>
        <v>760.50000000000011</v>
      </c>
      <c r="W759" s="11" cm="1">
        <f t="array" ref="W759">SUM(ABS(B759:E759))+SUM(ABS(G759:U759))</f>
        <v>1629.29</v>
      </c>
    </row>
    <row r="760" spans="1:23" x14ac:dyDescent="0.3">
      <c r="A760" s="14">
        <v>45996.854166666664</v>
      </c>
      <c r="B760" s="1">
        <v>-732.29</v>
      </c>
      <c r="C760" s="1">
        <v>35.03</v>
      </c>
      <c r="D760" s="1">
        <v>66.14</v>
      </c>
      <c r="E760" s="1">
        <v>38.01</v>
      </c>
      <c r="F760" s="1" cm="1">
        <f t="array" ref="F760">SUM(ABS(B760:E760))</f>
        <v>871.46999999999991</v>
      </c>
      <c r="G760" s="1">
        <v>54.25</v>
      </c>
      <c r="H760" s="1">
        <v>272.44</v>
      </c>
      <c r="I760" s="1">
        <v>-54.11</v>
      </c>
      <c r="J760" s="1">
        <v>168.26</v>
      </c>
      <c r="K760" s="1">
        <v>113.93</v>
      </c>
      <c r="L760" s="1">
        <v>-58.19</v>
      </c>
      <c r="M760" s="1">
        <v>0</v>
      </c>
      <c r="N760" s="1">
        <v>-30.77</v>
      </c>
      <c r="O760" s="1">
        <v>9.89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 cm="1">
        <f t="array" ref="V760">SUM(ABS(G760:U760))</f>
        <v>761.84</v>
      </c>
      <c r="W760" s="11" cm="1">
        <f t="array" ref="W760">SUM(ABS(B760:E760))+SUM(ABS(G760:U760))</f>
        <v>1633.31</v>
      </c>
    </row>
    <row r="761" spans="1:23" x14ac:dyDescent="0.3">
      <c r="A761" s="14">
        <v>45996.864583333336</v>
      </c>
      <c r="B761" s="1">
        <v>-722.49</v>
      </c>
      <c r="C761" s="1">
        <v>35.03</v>
      </c>
      <c r="D761" s="1">
        <v>66.14</v>
      </c>
      <c r="E761" s="1">
        <v>38.03</v>
      </c>
      <c r="F761" s="1" cm="1">
        <f t="array" ref="F761">SUM(ABS(B761:E761))</f>
        <v>861.68999999999994</v>
      </c>
      <c r="G761" s="1">
        <v>54.25</v>
      </c>
      <c r="H761" s="1">
        <v>272.37</v>
      </c>
      <c r="I761" s="1">
        <v>-54.14</v>
      </c>
      <c r="J761" s="1">
        <v>166.65</v>
      </c>
      <c r="K761" s="1">
        <v>113.78</v>
      </c>
      <c r="L761" s="1">
        <v>-57.84</v>
      </c>
      <c r="M761" s="1">
        <v>0</v>
      </c>
      <c r="N761" s="1">
        <v>-30.76</v>
      </c>
      <c r="O761" s="1">
        <v>9.89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 cm="1">
        <f t="array" ref="V761">SUM(ABS(G761:U761))</f>
        <v>759.68</v>
      </c>
      <c r="W761" s="11" cm="1">
        <f t="array" ref="W761">SUM(ABS(B761:E761))+SUM(ABS(G761:U761))</f>
        <v>1621.37</v>
      </c>
    </row>
    <row r="762" spans="1:23" x14ac:dyDescent="0.3">
      <c r="A762" s="14">
        <v>45996.875</v>
      </c>
      <c r="B762" s="1">
        <v>-590.35</v>
      </c>
      <c r="C762" s="1">
        <v>35.03</v>
      </c>
      <c r="D762" s="1">
        <v>66.150000000000006</v>
      </c>
      <c r="E762" s="1">
        <v>37.96</v>
      </c>
      <c r="F762" s="1" cm="1">
        <f t="array" ref="F762">SUM(ABS(B762:E762))</f>
        <v>729.49</v>
      </c>
      <c r="G762" s="1">
        <v>54.25</v>
      </c>
      <c r="H762" s="1">
        <v>271.86</v>
      </c>
      <c r="I762" s="1">
        <v>-54.12</v>
      </c>
      <c r="J762" s="1">
        <v>166.56</v>
      </c>
      <c r="K762" s="1">
        <v>113.67</v>
      </c>
      <c r="L762" s="1">
        <v>-57.57</v>
      </c>
      <c r="M762" s="1">
        <v>0</v>
      </c>
      <c r="N762" s="1">
        <v>-30.76</v>
      </c>
      <c r="O762" s="1">
        <v>9.8800000000000008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 cm="1">
        <f t="array" ref="V762">SUM(ABS(G762:U762))</f>
        <v>758.67</v>
      </c>
      <c r="W762" s="11" cm="1">
        <f t="array" ref="W762">SUM(ABS(B762:E762))+SUM(ABS(G762:U762))</f>
        <v>1488.1599999999999</v>
      </c>
    </row>
    <row r="763" spans="1:23" x14ac:dyDescent="0.3">
      <c r="A763" s="14">
        <v>45996.885416666664</v>
      </c>
      <c r="B763" s="1">
        <v>-544.66</v>
      </c>
      <c r="C763" s="1">
        <v>35.03</v>
      </c>
      <c r="D763" s="1">
        <v>66.14</v>
      </c>
      <c r="E763" s="1">
        <v>38</v>
      </c>
      <c r="F763" s="1" cm="1">
        <f t="array" ref="F763">SUM(ABS(B763:E763))</f>
        <v>683.82999999999993</v>
      </c>
      <c r="G763" s="1">
        <v>54.26</v>
      </c>
      <c r="H763" s="1">
        <v>271.77999999999997</v>
      </c>
      <c r="I763" s="1">
        <v>-54.11</v>
      </c>
      <c r="J763" s="1">
        <v>166.77</v>
      </c>
      <c r="K763" s="1">
        <v>113.61</v>
      </c>
      <c r="L763" s="1">
        <v>-57.62</v>
      </c>
      <c r="M763" s="1">
        <v>0</v>
      </c>
      <c r="N763" s="1">
        <v>-30.52</v>
      </c>
      <c r="O763" s="1">
        <v>9.89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 cm="1">
        <f t="array" ref="V763">SUM(ABS(G763:U763))</f>
        <v>758.56</v>
      </c>
      <c r="W763" s="11" cm="1">
        <f t="array" ref="W763">SUM(ABS(B763:E763))+SUM(ABS(G763:U763))</f>
        <v>1442.3899999999999</v>
      </c>
    </row>
    <row r="764" spans="1:23" x14ac:dyDescent="0.3">
      <c r="A764" s="14">
        <v>45996.895833333336</v>
      </c>
      <c r="B764" s="1">
        <v>-567.45000000000005</v>
      </c>
      <c r="C764" s="1">
        <v>35.03</v>
      </c>
      <c r="D764" s="1">
        <v>66.14</v>
      </c>
      <c r="E764" s="1">
        <v>37.950000000000003</v>
      </c>
      <c r="F764" s="1" cm="1">
        <f t="array" ref="F764">SUM(ABS(B764:E764))</f>
        <v>706.57</v>
      </c>
      <c r="G764" s="1">
        <v>54.27</v>
      </c>
      <c r="H764" s="1">
        <v>272.37</v>
      </c>
      <c r="I764" s="1">
        <v>-54.1</v>
      </c>
      <c r="J764" s="1">
        <v>167.4</v>
      </c>
      <c r="K764" s="1">
        <v>113.58</v>
      </c>
      <c r="L764" s="1">
        <v>-57.81</v>
      </c>
      <c r="M764" s="1">
        <v>0</v>
      </c>
      <c r="N764" s="1">
        <v>-30.39</v>
      </c>
      <c r="O764" s="1">
        <v>9.8800000000000008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 cm="1">
        <f t="array" ref="V764">SUM(ABS(G764:U764))</f>
        <v>759.8</v>
      </c>
      <c r="W764" s="11" cm="1">
        <f t="array" ref="W764">SUM(ABS(B764:E764))+SUM(ABS(G764:U764))</f>
        <v>1466.37</v>
      </c>
    </row>
    <row r="765" spans="1:23" x14ac:dyDescent="0.3">
      <c r="A765" s="14">
        <v>45996.90625</v>
      </c>
      <c r="B765" s="1">
        <v>-682.78</v>
      </c>
      <c r="C765" s="1">
        <v>35.03</v>
      </c>
      <c r="D765" s="1">
        <v>66.14</v>
      </c>
      <c r="E765" s="1">
        <v>37.950000000000003</v>
      </c>
      <c r="F765" s="1" cm="1">
        <f t="array" ref="F765">SUM(ABS(B765:E765))</f>
        <v>821.9</v>
      </c>
      <c r="G765" s="1">
        <v>54.26</v>
      </c>
      <c r="H765" s="1">
        <v>272.36</v>
      </c>
      <c r="I765" s="1">
        <v>-54.12</v>
      </c>
      <c r="J765" s="1">
        <v>167.9</v>
      </c>
      <c r="K765" s="1">
        <v>113.54</v>
      </c>
      <c r="L765" s="1">
        <v>-57.84</v>
      </c>
      <c r="M765" s="1">
        <v>0</v>
      </c>
      <c r="N765" s="1">
        <v>-30.4</v>
      </c>
      <c r="O765" s="1">
        <v>9.89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 cm="1">
        <f t="array" ref="V765">SUM(ABS(G765:U765))</f>
        <v>760.31</v>
      </c>
      <c r="W765" s="11" cm="1">
        <f t="array" ref="W765">SUM(ABS(B765:E765))+SUM(ABS(G765:U765))</f>
        <v>1582.21</v>
      </c>
    </row>
    <row r="766" spans="1:23" x14ac:dyDescent="0.3">
      <c r="A766" s="14">
        <v>45996.916666666664</v>
      </c>
      <c r="B766" s="1">
        <v>-734.96</v>
      </c>
      <c r="C766" s="1">
        <v>35.03</v>
      </c>
      <c r="D766" s="1">
        <v>66.150000000000006</v>
      </c>
      <c r="E766" s="1">
        <v>37.96</v>
      </c>
      <c r="F766" s="1" cm="1">
        <f t="array" ref="F766">SUM(ABS(B766:E766))</f>
        <v>874.1</v>
      </c>
      <c r="G766" s="1">
        <v>54.29</v>
      </c>
      <c r="H766" s="1">
        <v>272.12</v>
      </c>
      <c r="I766" s="1">
        <v>-54.15</v>
      </c>
      <c r="J766" s="1">
        <v>169.38</v>
      </c>
      <c r="K766" s="1">
        <v>113.5</v>
      </c>
      <c r="L766" s="1">
        <v>-58.14</v>
      </c>
      <c r="M766" s="1">
        <v>0</v>
      </c>
      <c r="N766" s="1">
        <v>-30.43</v>
      </c>
      <c r="O766" s="1">
        <v>9.9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 cm="1">
        <f t="array" ref="V766">SUM(ABS(G766:U766))</f>
        <v>761.91</v>
      </c>
      <c r="W766" s="11" cm="1">
        <f t="array" ref="W766">SUM(ABS(B766:E766))+SUM(ABS(G766:U766))</f>
        <v>1636.01</v>
      </c>
    </row>
    <row r="767" spans="1:23" x14ac:dyDescent="0.3">
      <c r="A767" s="14">
        <v>45996.927083333336</v>
      </c>
      <c r="B767" s="1">
        <v>-736.25</v>
      </c>
      <c r="C767" s="1">
        <v>35.03</v>
      </c>
      <c r="D767" s="1">
        <v>66.150000000000006</v>
      </c>
      <c r="E767" s="1">
        <v>37.96</v>
      </c>
      <c r="F767" s="1" cm="1">
        <f t="array" ref="F767">SUM(ABS(B767:E767))</f>
        <v>875.39</v>
      </c>
      <c r="G767" s="1">
        <v>54.28</v>
      </c>
      <c r="H767" s="1">
        <v>272.36</v>
      </c>
      <c r="I767" s="1">
        <v>-54.17</v>
      </c>
      <c r="J767" s="1">
        <v>167.87</v>
      </c>
      <c r="K767" s="1">
        <v>113.36</v>
      </c>
      <c r="L767" s="1">
        <v>-58.5</v>
      </c>
      <c r="M767" s="1">
        <v>0</v>
      </c>
      <c r="N767" s="1">
        <v>-30.38</v>
      </c>
      <c r="O767" s="1">
        <v>9.89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 cm="1">
        <f t="array" ref="V767">SUM(ABS(G767:U767))</f>
        <v>760.81000000000006</v>
      </c>
      <c r="W767" s="11" cm="1">
        <f t="array" ref="W767">SUM(ABS(B767:E767))+SUM(ABS(G767:U767))</f>
        <v>1636.2</v>
      </c>
    </row>
    <row r="768" spans="1:23" x14ac:dyDescent="0.3">
      <c r="A768" s="14">
        <v>45996.9375</v>
      </c>
      <c r="B768" s="1">
        <v>-730.36</v>
      </c>
      <c r="C768" s="1">
        <v>35.03</v>
      </c>
      <c r="D768" s="1">
        <v>66.13</v>
      </c>
      <c r="E768" s="1">
        <v>37.979999999999997</v>
      </c>
      <c r="F768" s="1" cm="1">
        <f t="array" ref="F768">SUM(ABS(B768:E768))</f>
        <v>869.5</v>
      </c>
      <c r="G768" s="1">
        <v>54.27</v>
      </c>
      <c r="H768" s="1">
        <v>272.51</v>
      </c>
      <c r="I768" s="1">
        <v>-54.17</v>
      </c>
      <c r="J768" s="1">
        <v>165.62</v>
      </c>
      <c r="K768" s="1">
        <v>113.26</v>
      </c>
      <c r="L768" s="1">
        <v>-58.13</v>
      </c>
      <c r="M768" s="1">
        <v>0</v>
      </c>
      <c r="N768" s="1">
        <v>-30.4</v>
      </c>
      <c r="O768" s="1">
        <v>9.89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 cm="1">
        <f t="array" ref="V768">SUM(ABS(G768:U768))</f>
        <v>758.24999999999989</v>
      </c>
      <c r="W768" s="11" cm="1">
        <f t="array" ref="W768">SUM(ABS(B768:E768))+SUM(ABS(G768:U768))</f>
        <v>1627.75</v>
      </c>
    </row>
    <row r="769" spans="1:23" x14ac:dyDescent="0.3">
      <c r="A769" s="14">
        <v>45996.947916666664</v>
      </c>
      <c r="B769" s="1">
        <v>-726.21</v>
      </c>
      <c r="C769" s="1">
        <v>35.03</v>
      </c>
      <c r="D769" s="1">
        <v>66.13</v>
      </c>
      <c r="E769" s="1">
        <v>37.979999999999997</v>
      </c>
      <c r="F769" s="1" cm="1">
        <f t="array" ref="F769">SUM(ABS(B769:E769))</f>
        <v>865.35</v>
      </c>
      <c r="G769" s="1">
        <v>54.27</v>
      </c>
      <c r="H769" s="1">
        <v>272.66000000000003</v>
      </c>
      <c r="I769" s="1">
        <v>-54.12</v>
      </c>
      <c r="J769" s="1">
        <v>165.14</v>
      </c>
      <c r="K769" s="1">
        <v>113.17</v>
      </c>
      <c r="L769" s="1">
        <v>-57.82</v>
      </c>
      <c r="M769" s="1">
        <v>0</v>
      </c>
      <c r="N769" s="1">
        <v>-30.42</v>
      </c>
      <c r="O769" s="1">
        <v>9.8800000000000008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 cm="1">
        <f t="array" ref="V769">SUM(ABS(G769:U769))</f>
        <v>757.48</v>
      </c>
      <c r="W769" s="11" cm="1">
        <f t="array" ref="W769">SUM(ABS(B769:E769))+SUM(ABS(G769:U769))</f>
        <v>1622.83</v>
      </c>
    </row>
    <row r="770" spans="1:23" x14ac:dyDescent="0.3">
      <c r="A770" s="14">
        <v>45996.958333333336</v>
      </c>
      <c r="B770" s="1">
        <v>-730.13</v>
      </c>
      <c r="C770" s="1">
        <v>35.03</v>
      </c>
      <c r="D770" s="1">
        <v>66.13</v>
      </c>
      <c r="E770" s="1">
        <v>37.96</v>
      </c>
      <c r="F770" s="1" cm="1">
        <f t="array" ref="F770">SUM(ABS(B770:E770))</f>
        <v>869.25</v>
      </c>
      <c r="G770" s="1">
        <v>54.25</v>
      </c>
      <c r="H770" s="1">
        <v>272.57</v>
      </c>
      <c r="I770" s="1">
        <v>-54.13</v>
      </c>
      <c r="J770" s="1">
        <v>165.19</v>
      </c>
      <c r="K770" s="1">
        <v>113.18</v>
      </c>
      <c r="L770" s="1">
        <v>-57.82</v>
      </c>
      <c r="M770" s="1">
        <v>0</v>
      </c>
      <c r="N770" s="1">
        <v>-30.41</v>
      </c>
      <c r="O770" s="1">
        <v>9.8800000000000008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 cm="1">
        <f t="array" ref="V770">SUM(ABS(G770:U770))</f>
        <v>757.43</v>
      </c>
      <c r="W770" s="11" cm="1">
        <f t="array" ref="W770">SUM(ABS(B770:E770))+SUM(ABS(G770:U770))</f>
        <v>1626.6799999999998</v>
      </c>
    </row>
    <row r="771" spans="1:23" x14ac:dyDescent="0.3">
      <c r="A771" s="14">
        <v>45996.96875</v>
      </c>
      <c r="B771" s="1">
        <v>-730.98</v>
      </c>
      <c r="C771" s="1">
        <v>35.03</v>
      </c>
      <c r="D771" s="1">
        <v>66.14</v>
      </c>
      <c r="E771" s="1">
        <v>37.96</v>
      </c>
      <c r="F771" s="1" cm="1">
        <f t="array" ref="F771">SUM(ABS(B771:E771))</f>
        <v>870.11</v>
      </c>
      <c r="G771" s="1">
        <v>54.26</v>
      </c>
      <c r="H771" s="1">
        <v>272.29000000000002</v>
      </c>
      <c r="I771" s="1">
        <v>-54.06</v>
      </c>
      <c r="J771" s="1">
        <v>166.44</v>
      </c>
      <c r="K771" s="1">
        <v>113.11</v>
      </c>
      <c r="L771" s="1">
        <v>-57.63</v>
      </c>
      <c r="M771" s="1">
        <v>0</v>
      </c>
      <c r="N771" s="1">
        <v>-30.42</v>
      </c>
      <c r="O771" s="1">
        <v>9.8699999999999992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 cm="1">
        <f t="array" ref="V771">SUM(ABS(G771:U771))</f>
        <v>758.07999999999993</v>
      </c>
      <c r="W771" s="11" cm="1">
        <f t="array" ref="W771">SUM(ABS(B771:E771))+SUM(ABS(G771:U771))</f>
        <v>1628.19</v>
      </c>
    </row>
    <row r="772" spans="1:23" x14ac:dyDescent="0.3">
      <c r="A772" s="14">
        <v>45996.979166666664</v>
      </c>
      <c r="B772" s="1">
        <v>-733.87</v>
      </c>
      <c r="C772" s="1">
        <v>35.03</v>
      </c>
      <c r="D772" s="1">
        <v>66.12</v>
      </c>
      <c r="E772" s="1">
        <v>37.950000000000003</v>
      </c>
      <c r="F772" s="1" cm="1">
        <f t="array" ref="F772">SUM(ABS(B772:E772))</f>
        <v>872.97</v>
      </c>
      <c r="G772" s="1">
        <v>54.26</v>
      </c>
      <c r="H772" s="1">
        <v>271.77999999999997</v>
      </c>
      <c r="I772" s="1">
        <v>-54.07</v>
      </c>
      <c r="J772" s="1">
        <v>166</v>
      </c>
      <c r="K772" s="1">
        <v>113</v>
      </c>
      <c r="L772" s="1">
        <v>-57.65</v>
      </c>
      <c r="M772" s="1">
        <v>0</v>
      </c>
      <c r="N772" s="1">
        <v>-30.43</v>
      </c>
      <c r="O772" s="1">
        <v>9.8699999999999992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 cm="1">
        <f t="array" ref="V772">SUM(ABS(G772:U772))</f>
        <v>757.05999999999983</v>
      </c>
      <c r="W772" s="11" cm="1">
        <f t="array" ref="W772">SUM(ABS(B772:E772))+SUM(ABS(G772:U772))</f>
        <v>1630.0299999999997</v>
      </c>
    </row>
    <row r="773" spans="1:23" x14ac:dyDescent="0.3">
      <c r="A773" s="15">
        <v>45996.989583333336</v>
      </c>
      <c r="B773" s="2">
        <v>-730.61</v>
      </c>
      <c r="C773" s="2">
        <v>35.03</v>
      </c>
      <c r="D773" s="2">
        <v>66.12</v>
      </c>
      <c r="E773" s="2">
        <v>37.93</v>
      </c>
      <c r="F773" s="1" cm="1">
        <f t="array" ref="F773">SUM(ABS(B773:E773))</f>
        <v>869.68999999999994</v>
      </c>
      <c r="G773" s="2">
        <v>54.26</v>
      </c>
      <c r="H773" s="2">
        <v>270.31</v>
      </c>
      <c r="I773" s="2">
        <v>-54.06</v>
      </c>
      <c r="J773" s="2">
        <v>165.14</v>
      </c>
      <c r="K773" s="2">
        <v>112.92</v>
      </c>
      <c r="L773" s="2">
        <v>-57.42</v>
      </c>
      <c r="M773" s="2">
        <v>0</v>
      </c>
      <c r="N773" s="2">
        <v>-30.44</v>
      </c>
      <c r="O773" s="2">
        <v>9.8699999999999992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1" cm="1">
        <f t="array" ref="V773">SUM(ABS(G773:U773))</f>
        <v>754.42</v>
      </c>
      <c r="W773" s="11" cm="1">
        <f t="array" ref="W773">SUM(ABS(B773:E773))+SUM(ABS(G773:U773))</f>
        <v>1624.11</v>
      </c>
    </row>
    <row r="774" spans="1:23" x14ac:dyDescent="0.3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7B4E-E89E-4A6F-897D-A9B7F07808B2}">
  <dimension ref="A1:AF772"/>
  <sheetViews>
    <sheetView workbookViewId="0">
      <selection activeCell="K1" sqref="K1"/>
    </sheetView>
  </sheetViews>
  <sheetFormatPr defaultColWidth="8.88671875" defaultRowHeight="14.4" x14ac:dyDescent="0.3"/>
  <cols>
    <col min="1" max="1" width="19" customWidth="1"/>
    <col min="2" max="2" width="16.88671875" customWidth="1"/>
    <col min="3" max="3" width="16.88671875" style="12" customWidth="1"/>
    <col min="4" max="4" width="8.88671875" customWidth="1"/>
    <col min="5" max="5" width="10" style="12" customWidth="1"/>
    <col min="6" max="6" width="8.88671875" customWidth="1"/>
    <col min="7" max="7" width="9.6640625" style="12" customWidth="1"/>
    <col min="8" max="8" width="8.88671875" customWidth="1"/>
    <col min="9" max="9" width="9.6640625" style="12" customWidth="1"/>
    <col min="10" max="10" width="16" customWidth="1"/>
    <col min="11" max="11" width="9.88671875" style="12" customWidth="1"/>
    <col min="12" max="12" width="8.88671875" customWidth="1"/>
    <col min="13" max="13" width="10.109375" style="12" customWidth="1"/>
    <col min="14" max="14" width="8.88671875" customWidth="1"/>
    <col min="15" max="15" width="9.33203125" style="12" customWidth="1"/>
    <col min="16" max="16" width="9.33203125" customWidth="1"/>
    <col min="18" max="18" width="8.88671875" style="12"/>
    <col min="19" max="21" width="8.88671875" style="22"/>
    <col min="22" max="22" width="8.88671875" style="7"/>
    <col min="23" max="24" width="10" style="12" customWidth="1"/>
    <col min="25" max="25" width="12.44140625" customWidth="1"/>
    <col min="28" max="28" width="10.88671875" customWidth="1"/>
    <col min="30" max="30" width="16.77734375" style="1" bestFit="1" customWidth="1"/>
    <col min="31" max="31" width="18.44140625" customWidth="1"/>
    <col min="32" max="32" width="17.77734375" customWidth="1"/>
  </cols>
  <sheetData>
    <row r="1" spans="1:30" x14ac:dyDescent="0.3">
      <c r="H1" s="4"/>
      <c r="J1" s="2" t="s">
        <v>57</v>
      </c>
    </row>
    <row r="2" spans="1:30" x14ac:dyDescent="0.3">
      <c r="B2" s="55" t="s">
        <v>26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6"/>
      <c r="S2" s="59" t="s">
        <v>15</v>
      </c>
      <c r="T2" s="60"/>
      <c r="U2" s="60"/>
      <c r="V2" s="60"/>
      <c r="W2" s="60"/>
      <c r="X2" s="61"/>
      <c r="Y2" s="55" t="s">
        <v>27</v>
      </c>
      <c r="Z2" s="57"/>
      <c r="AA2" s="57"/>
      <c r="AB2" s="57"/>
      <c r="AC2" s="58"/>
    </row>
    <row r="3" spans="1:30" ht="72" x14ac:dyDescent="0.3">
      <c r="A3" s="13" t="s">
        <v>0</v>
      </c>
      <c r="B3" s="3" t="s">
        <v>1</v>
      </c>
      <c r="C3" s="5" t="s">
        <v>2</v>
      </c>
      <c r="D3" s="3" t="s">
        <v>3</v>
      </c>
      <c r="E3" s="5" t="s">
        <v>4</v>
      </c>
      <c r="F3" s="3" t="s">
        <v>5</v>
      </c>
      <c r="G3" s="5" t="s">
        <v>6</v>
      </c>
      <c r="H3" s="6" t="s">
        <v>7</v>
      </c>
      <c r="I3" s="10" t="s">
        <v>8</v>
      </c>
      <c r="J3" s="3" t="s">
        <v>9</v>
      </c>
      <c r="K3" s="10" t="s">
        <v>10</v>
      </c>
      <c r="L3" s="3" t="s">
        <v>11</v>
      </c>
      <c r="M3" s="5" t="s">
        <v>12</v>
      </c>
      <c r="N3" s="3" t="s">
        <v>13</v>
      </c>
      <c r="O3" s="5" t="s">
        <v>14</v>
      </c>
      <c r="P3" s="17" t="s">
        <v>26</v>
      </c>
      <c r="Q3" s="3" t="s">
        <v>19</v>
      </c>
      <c r="R3" s="28" t="s">
        <v>48</v>
      </c>
      <c r="S3" s="18" t="s">
        <v>23</v>
      </c>
      <c r="T3" s="17" t="s">
        <v>24</v>
      </c>
      <c r="U3" s="19" t="s">
        <v>25</v>
      </c>
      <c r="V3" s="9" t="s">
        <v>15</v>
      </c>
      <c r="W3" s="5" t="s">
        <v>16</v>
      </c>
      <c r="X3" s="5" t="s">
        <v>49</v>
      </c>
      <c r="Y3" s="3" t="s">
        <v>18</v>
      </c>
      <c r="Z3" s="3" t="s">
        <v>22</v>
      </c>
      <c r="AA3" s="3" t="s">
        <v>17</v>
      </c>
      <c r="AB3" s="3" t="s">
        <v>20</v>
      </c>
      <c r="AC3" s="13" t="s">
        <v>21</v>
      </c>
      <c r="AD3" s="5" t="s">
        <v>50</v>
      </c>
    </row>
    <row r="4" spans="1:30" x14ac:dyDescent="0.3">
      <c r="A4" s="14">
        <v>45782</v>
      </c>
      <c r="B4" s="1">
        <v>1397.98</v>
      </c>
      <c r="C4" s="11">
        <v>3.2732000000000001</v>
      </c>
      <c r="D4" s="1">
        <v>627.54</v>
      </c>
      <c r="E4" s="11">
        <v>3.0760000000000001</v>
      </c>
      <c r="F4" s="1">
        <v>443.21</v>
      </c>
      <c r="G4" s="11">
        <v>3.53</v>
      </c>
      <c r="H4" s="1">
        <v>-4.8</v>
      </c>
      <c r="I4" s="11">
        <v>4.0705999999999998</v>
      </c>
      <c r="J4" s="1">
        <v>305.87</v>
      </c>
      <c r="K4" s="11">
        <v>3.3670200000000001</v>
      </c>
      <c r="L4" s="1">
        <v>0</v>
      </c>
      <c r="M4" s="11">
        <v>6.2</v>
      </c>
      <c r="N4" s="1">
        <v>60.42</v>
      </c>
      <c r="O4" s="11">
        <v>2.8224999999999998</v>
      </c>
      <c r="P4" s="1">
        <f>(B4+D4+F4+H4+J4+L4+N4)</f>
        <v>2830.22</v>
      </c>
      <c r="Q4" s="1">
        <v>2807.67</v>
      </c>
      <c r="R4" s="16">
        <f>(((B4*C4)+(D4*E4)+(F4*G4)+(H4*I4)+(J4*K4)+(L4*M4)+(N4*O4))*(1000/4))</f>
        <v>2312894.8633499998</v>
      </c>
      <c r="S4" s="20">
        <v>1638.6000000000001</v>
      </c>
      <c r="T4" s="21">
        <v>0.24</v>
      </c>
      <c r="U4" s="21">
        <v>6.0799999999999992</v>
      </c>
      <c r="V4" s="8">
        <v>1644.92</v>
      </c>
      <c r="W4" s="25">
        <v>1.238</v>
      </c>
      <c r="X4" s="25">
        <f>((V4*W4*1000)/4)</f>
        <v>509102.74000000005</v>
      </c>
      <c r="Y4" s="1">
        <f>B4+D4+F4+H4+J4+L4+N4+V4</f>
        <v>4475.1399999999994</v>
      </c>
      <c r="Z4" s="1">
        <f>Q4+V4</f>
        <v>4452.59</v>
      </c>
      <c r="AA4" s="1">
        <v>4477.38</v>
      </c>
      <c r="AB4" s="1">
        <f t="shared" ref="AB4:AB67" si="0">Y4-AA4</f>
        <v>-2.2400000000006912</v>
      </c>
      <c r="AC4" s="29">
        <f>AA4-Z4</f>
        <v>24.789999999999964</v>
      </c>
      <c r="AD4" s="11">
        <f>(R4+X4)</f>
        <v>2821997.60335</v>
      </c>
    </row>
    <row r="5" spans="1:30" x14ac:dyDescent="0.3">
      <c r="A5" s="14">
        <v>45782.010416666664</v>
      </c>
      <c r="B5" s="1">
        <v>1398.23</v>
      </c>
      <c r="C5" s="11">
        <v>3.2732000000000001</v>
      </c>
      <c r="D5" s="1">
        <v>627.63</v>
      </c>
      <c r="E5" s="11">
        <v>3.0760000000000001</v>
      </c>
      <c r="F5" s="1">
        <v>422.7</v>
      </c>
      <c r="G5" s="11">
        <v>3.53</v>
      </c>
      <c r="H5" s="1">
        <v>-4.8</v>
      </c>
      <c r="I5" s="11">
        <v>4.0003700000000002</v>
      </c>
      <c r="J5" s="1">
        <v>286.24</v>
      </c>
      <c r="K5" s="11">
        <v>3.41493</v>
      </c>
      <c r="L5" s="1">
        <v>0</v>
      </c>
      <c r="M5" s="11">
        <v>6.2</v>
      </c>
      <c r="N5" s="1">
        <v>60.06</v>
      </c>
      <c r="O5" s="11">
        <v>2.8224999999999998</v>
      </c>
      <c r="P5" s="1">
        <f t="shared" ref="P5:P68" si="1">(B5+D5+F5+H5+J5+L5+N5)</f>
        <v>2790.06</v>
      </c>
      <c r="Q5" s="1">
        <v>2802.32</v>
      </c>
      <c r="R5" s="16">
        <f t="shared" ref="R5:R68" si="2">(((B5*C5)+(D5*E5)+(F5*G5)+(H5*I5)+(J5*K5)+(L5*M5)+(N5*O5))*(1000/4))</f>
        <v>2281803.6132999999</v>
      </c>
      <c r="S5" s="20">
        <v>1592.6400000000003</v>
      </c>
      <c r="T5" s="21">
        <v>0.24</v>
      </c>
      <c r="U5" s="21">
        <v>5.67</v>
      </c>
      <c r="V5" s="8">
        <v>1598.5500000000004</v>
      </c>
      <c r="W5" s="25">
        <v>1.238</v>
      </c>
      <c r="X5" s="25">
        <f t="shared" ref="X5:X68" si="3">((V5*W5*1000)/4)</f>
        <v>494751.22500000015</v>
      </c>
      <c r="Y5" s="1">
        <f t="shared" ref="Y5:Y68" si="4">B5+D5+F5+H5+J5+L5+N5+V5</f>
        <v>4388.6100000000006</v>
      </c>
      <c r="Z5" s="1">
        <f t="shared" ref="Z5:Z68" si="5">Q5+V5</f>
        <v>4400.8700000000008</v>
      </c>
      <c r="AA5" s="1">
        <v>4403.97</v>
      </c>
      <c r="AB5" s="1">
        <f t="shared" si="0"/>
        <v>-15.359999999999673</v>
      </c>
      <c r="AC5" s="29">
        <f t="shared" ref="AC5:AC68" si="6">AA5-Z5</f>
        <v>3.0999999999994543</v>
      </c>
      <c r="AD5" s="11">
        <f t="shared" ref="AD5:AD68" si="7">(R5+X5)</f>
        <v>2776554.8382999999</v>
      </c>
    </row>
    <row r="6" spans="1:30" x14ac:dyDescent="0.3">
      <c r="A6" s="14">
        <v>45782.020833333336</v>
      </c>
      <c r="B6" s="1">
        <v>1398.23</v>
      </c>
      <c r="C6" s="11">
        <v>3.2732000000000001</v>
      </c>
      <c r="D6" s="1">
        <v>627.63</v>
      </c>
      <c r="E6" s="11">
        <v>3.0760000000000001</v>
      </c>
      <c r="F6" s="1">
        <v>422.7</v>
      </c>
      <c r="G6" s="11">
        <v>3.53</v>
      </c>
      <c r="H6" s="1">
        <v>-4.8</v>
      </c>
      <c r="I6" s="11">
        <v>3.96997</v>
      </c>
      <c r="J6" s="1">
        <v>203.27</v>
      </c>
      <c r="K6" s="11">
        <v>3.2901400000000001</v>
      </c>
      <c r="L6" s="1">
        <v>0</v>
      </c>
      <c r="M6" s="11">
        <v>6.2</v>
      </c>
      <c r="N6" s="1">
        <v>37.840000000000003</v>
      </c>
      <c r="O6" s="11">
        <v>2.8224999999999998</v>
      </c>
      <c r="P6" s="1">
        <f t="shared" si="1"/>
        <v>2684.87</v>
      </c>
      <c r="Q6" s="1">
        <v>2772.19</v>
      </c>
      <c r="R6" s="16">
        <f t="shared" si="2"/>
        <v>2188985.4044499998</v>
      </c>
      <c r="S6" s="20">
        <v>1563.0800000000004</v>
      </c>
      <c r="T6" s="21">
        <v>0.25</v>
      </c>
      <c r="U6" s="21">
        <v>4.8099999999999996</v>
      </c>
      <c r="V6" s="8">
        <v>1568.1400000000003</v>
      </c>
      <c r="W6" s="25">
        <v>1.238</v>
      </c>
      <c r="X6" s="25">
        <f t="shared" si="3"/>
        <v>485339.33000000007</v>
      </c>
      <c r="Y6" s="1">
        <f t="shared" si="4"/>
        <v>4253.01</v>
      </c>
      <c r="Z6" s="1">
        <f t="shared" si="5"/>
        <v>4340.33</v>
      </c>
      <c r="AA6" s="1">
        <v>4345.54</v>
      </c>
      <c r="AB6" s="1">
        <f t="shared" si="0"/>
        <v>-92.529999999999745</v>
      </c>
      <c r="AC6" s="29">
        <f t="shared" si="6"/>
        <v>5.2100000000000364</v>
      </c>
      <c r="AD6" s="11">
        <f t="shared" si="7"/>
        <v>2674324.7344499999</v>
      </c>
    </row>
    <row r="7" spans="1:30" x14ac:dyDescent="0.3">
      <c r="A7" s="14">
        <v>45782.03125</v>
      </c>
      <c r="B7" s="1">
        <v>1398.23</v>
      </c>
      <c r="C7" s="11">
        <v>3.2732000000000001</v>
      </c>
      <c r="D7" s="1">
        <v>627.63</v>
      </c>
      <c r="E7" s="11">
        <v>3.0760000000000001</v>
      </c>
      <c r="F7" s="1">
        <v>422.7</v>
      </c>
      <c r="G7" s="11">
        <v>3.53</v>
      </c>
      <c r="H7" s="1">
        <v>-4.8</v>
      </c>
      <c r="I7" s="11">
        <v>4.0002899999999997</v>
      </c>
      <c r="J7" s="1">
        <v>143.19999999999999</v>
      </c>
      <c r="K7" s="11">
        <v>2.9808499999999998</v>
      </c>
      <c r="L7" s="1">
        <v>0</v>
      </c>
      <c r="M7" s="11">
        <v>6.2</v>
      </c>
      <c r="N7" s="1">
        <v>34.6</v>
      </c>
      <c r="O7" s="11">
        <v>2.8224999999999998</v>
      </c>
      <c r="P7" s="1">
        <f t="shared" si="1"/>
        <v>2621.5599999999995</v>
      </c>
      <c r="Q7" s="1">
        <v>2696.36</v>
      </c>
      <c r="R7" s="16">
        <f t="shared" si="2"/>
        <v>2126180.5359999994</v>
      </c>
      <c r="S7" s="20">
        <v>1545.8300000000002</v>
      </c>
      <c r="T7" s="21">
        <v>0.25</v>
      </c>
      <c r="U7" s="21">
        <v>0.69000000000000006</v>
      </c>
      <c r="V7" s="8">
        <v>1546.7700000000002</v>
      </c>
      <c r="W7" s="25">
        <v>1.238</v>
      </c>
      <c r="X7" s="25">
        <f t="shared" si="3"/>
        <v>478725.31500000006</v>
      </c>
      <c r="Y7" s="1">
        <f t="shared" si="4"/>
        <v>4168.33</v>
      </c>
      <c r="Z7" s="1">
        <f t="shared" si="5"/>
        <v>4243.13</v>
      </c>
      <c r="AA7" s="1">
        <v>4242.91</v>
      </c>
      <c r="AB7" s="1">
        <f t="shared" si="0"/>
        <v>-74.579999999999927</v>
      </c>
      <c r="AC7" s="29">
        <f t="shared" si="6"/>
        <v>-0.22000000000025466</v>
      </c>
      <c r="AD7" s="11">
        <f t="shared" si="7"/>
        <v>2604905.8509999993</v>
      </c>
    </row>
    <row r="8" spans="1:30" x14ac:dyDescent="0.3">
      <c r="A8" s="14">
        <v>45782.041666666664</v>
      </c>
      <c r="B8" s="1">
        <v>1402.27</v>
      </c>
      <c r="C8" s="11">
        <v>3.2732000000000001</v>
      </c>
      <c r="D8" s="1">
        <v>627.63</v>
      </c>
      <c r="E8" s="11">
        <v>3.0760000000000001</v>
      </c>
      <c r="F8" s="1">
        <v>422.7</v>
      </c>
      <c r="G8" s="11">
        <v>3.53</v>
      </c>
      <c r="H8" s="1">
        <v>-4.8</v>
      </c>
      <c r="I8" s="11">
        <v>3.9365799999999997</v>
      </c>
      <c r="J8" s="1">
        <v>138.69999999999999</v>
      </c>
      <c r="K8" s="11">
        <v>2.4002300000000001</v>
      </c>
      <c r="L8" s="1">
        <v>0</v>
      </c>
      <c r="M8" s="11">
        <v>6.2</v>
      </c>
      <c r="N8" s="1">
        <v>34.5</v>
      </c>
      <c r="O8" s="11">
        <v>2.8224999999999998</v>
      </c>
      <c r="P8" s="1">
        <f t="shared" si="1"/>
        <v>2620.9999999999995</v>
      </c>
      <c r="Q8" s="1">
        <v>2624.24</v>
      </c>
      <c r="R8" s="16">
        <f t="shared" si="2"/>
        <v>2106005.9027499999</v>
      </c>
      <c r="S8" s="20">
        <v>1538.3400000000004</v>
      </c>
      <c r="T8" s="21">
        <v>0.24</v>
      </c>
      <c r="U8" s="21">
        <v>0.14000000000000001</v>
      </c>
      <c r="V8" s="8">
        <v>1538.7200000000005</v>
      </c>
      <c r="W8" s="25">
        <v>1.238</v>
      </c>
      <c r="X8" s="25">
        <f t="shared" si="3"/>
        <v>476233.84000000014</v>
      </c>
      <c r="Y8" s="1">
        <f t="shared" si="4"/>
        <v>4159.72</v>
      </c>
      <c r="Z8" s="1">
        <f t="shared" si="5"/>
        <v>4162.96</v>
      </c>
      <c r="AA8" s="1">
        <v>4167.46</v>
      </c>
      <c r="AB8" s="1">
        <f t="shared" si="0"/>
        <v>-7.7399999999997817</v>
      </c>
      <c r="AC8" s="29">
        <f t="shared" si="6"/>
        <v>4.5</v>
      </c>
      <c r="AD8" s="11">
        <f t="shared" si="7"/>
        <v>2582239.7427500002</v>
      </c>
    </row>
    <row r="9" spans="1:30" x14ac:dyDescent="0.3">
      <c r="A9" s="14">
        <v>45782.052083333336</v>
      </c>
      <c r="B9" s="1">
        <v>1402.58</v>
      </c>
      <c r="C9" s="11">
        <v>3.2732000000000001</v>
      </c>
      <c r="D9" s="1">
        <v>627.63</v>
      </c>
      <c r="E9" s="11">
        <v>3.0760000000000001</v>
      </c>
      <c r="F9" s="1">
        <v>422.7</v>
      </c>
      <c r="G9" s="11">
        <v>3.53</v>
      </c>
      <c r="H9" s="1">
        <v>-4.8</v>
      </c>
      <c r="I9" s="11">
        <v>3.6107100000000001</v>
      </c>
      <c r="J9" s="1">
        <v>138.69999999999999</v>
      </c>
      <c r="K9" s="11">
        <v>2.34911</v>
      </c>
      <c r="L9" s="1">
        <v>0</v>
      </c>
      <c r="M9" s="11">
        <v>6.2</v>
      </c>
      <c r="N9" s="1">
        <v>34.5</v>
      </c>
      <c r="O9" s="11">
        <v>2.8224999999999998</v>
      </c>
      <c r="P9" s="1">
        <f t="shared" si="1"/>
        <v>2621.3099999999995</v>
      </c>
      <c r="Q9" s="1">
        <v>2593.94</v>
      </c>
      <c r="R9" s="16">
        <f t="shared" si="2"/>
        <v>2104878.0337499995</v>
      </c>
      <c r="S9" s="20">
        <v>1512.0900000000001</v>
      </c>
      <c r="T9" s="21">
        <v>0.24</v>
      </c>
      <c r="U9" s="21">
        <v>0.13999999999999999</v>
      </c>
      <c r="V9" s="8">
        <v>1512.4700000000003</v>
      </c>
      <c r="W9" s="25">
        <v>1.238</v>
      </c>
      <c r="X9" s="25">
        <f t="shared" si="3"/>
        <v>468109.46500000008</v>
      </c>
      <c r="Y9" s="1">
        <f t="shared" si="4"/>
        <v>4133.78</v>
      </c>
      <c r="Z9" s="1">
        <f t="shared" si="5"/>
        <v>4106.41</v>
      </c>
      <c r="AA9" s="1">
        <v>4109.08</v>
      </c>
      <c r="AB9" s="1">
        <f t="shared" si="0"/>
        <v>24.699999999999818</v>
      </c>
      <c r="AC9" s="29">
        <f t="shared" si="6"/>
        <v>2.6700000000000728</v>
      </c>
      <c r="AD9" s="11">
        <f t="shared" si="7"/>
        <v>2572987.4987499993</v>
      </c>
    </row>
    <row r="10" spans="1:30" x14ac:dyDescent="0.3">
      <c r="A10" s="14">
        <v>45782.0625</v>
      </c>
      <c r="B10" s="1">
        <v>1402.58</v>
      </c>
      <c r="C10" s="11">
        <v>3.2732000000000001</v>
      </c>
      <c r="D10" s="1">
        <v>627.63</v>
      </c>
      <c r="E10" s="11">
        <v>3.0760000000000001</v>
      </c>
      <c r="F10" s="1">
        <v>422.7</v>
      </c>
      <c r="G10" s="11">
        <v>3.53</v>
      </c>
      <c r="H10" s="1">
        <v>-4.8</v>
      </c>
      <c r="I10" s="11">
        <v>3.5516900000000002</v>
      </c>
      <c r="J10" s="1">
        <v>94.02</v>
      </c>
      <c r="K10" s="11">
        <v>2.4004099999999999</v>
      </c>
      <c r="L10" s="1">
        <v>0</v>
      </c>
      <c r="M10" s="11">
        <v>6.2</v>
      </c>
      <c r="N10" s="1">
        <v>59.49</v>
      </c>
      <c r="O10" s="11">
        <v>2.8224999999999998</v>
      </c>
      <c r="P10" s="1">
        <f t="shared" si="1"/>
        <v>2601.6199999999994</v>
      </c>
      <c r="Q10" s="1">
        <v>2583.98</v>
      </c>
      <c r="R10" s="16">
        <f t="shared" si="2"/>
        <v>2097548.6742999991</v>
      </c>
      <c r="S10" s="20">
        <v>1463.53</v>
      </c>
      <c r="T10" s="21">
        <v>0.24</v>
      </c>
      <c r="U10" s="21">
        <v>0.9900000000000001</v>
      </c>
      <c r="V10" s="8">
        <v>1464.76</v>
      </c>
      <c r="W10" s="25">
        <v>1.238</v>
      </c>
      <c r="X10" s="25">
        <f t="shared" si="3"/>
        <v>453343.22</v>
      </c>
      <c r="Y10" s="1">
        <f t="shared" si="4"/>
        <v>4066.3799999999992</v>
      </c>
      <c r="Z10" s="1">
        <f t="shared" si="5"/>
        <v>4048.74</v>
      </c>
      <c r="AA10" s="1">
        <v>4052.77</v>
      </c>
      <c r="AB10" s="1">
        <f t="shared" si="0"/>
        <v>13.609999999999218</v>
      </c>
      <c r="AC10" s="29">
        <f t="shared" si="6"/>
        <v>4.0300000000002001</v>
      </c>
      <c r="AD10" s="11">
        <f t="shared" si="7"/>
        <v>2550891.8942999989</v>
      </c>
    </row>
    <row r="11" spans="1:30" x14ac:dyDescent="0.3">
      <c r="A11" s="14">
        <v>45782.072916666664</v>
      </c>
      <c r="B11" s="1">
        <v>1402.58</v>
      </c>
      <c r="C11" s="11">
        <v>3.2732000000000001</v>
      </c>
      <c r="D11" s="1">
        <v>627.63</v>
      </c>
      <c r="E11" s="11">
        <v>3.0760000000000001</v>
      </c>
      <c r="F11" s="1">
        <v>422.7</v>
      </c>
      <c r="G11" s="11">
        <v>3.53</v>
      </c>
      <c r="H11" s="1">
        <v>-4.8</v>
      </c>
      <c r="I11" s="11">
        <v>3.5609600000000001</v>
      </c>
      <c r="J11" s="1">
        <v>90.43</v>
      </c>
      <c r="K11" s="11">
        <v>2.3003</v>
      </c>
      <c r="L11" s="1">
        <v>0</v>
      </c>
      <c r="M11" s="11">
        <v>6.2</v>
      </c>
      <c r="N11" s="1">
        <v>60.1</v>
      </c>
      <c r="O11" s="11">
        <v>2.8224999999999998</v>
      </c>
      <c r="P11" s="1">
        <f t="shared" si="1"/>
        <v>2598.6399999999994</v>
      </c>
      <c r="Q11" s="1">
        <v>2560.69</v>
      </c>
      <c r="R11" s="16">
        <f t="shared" si="2"/>
        <v>2093550.3767500001</v>
      </c>
      <c r="S11" s="20">
        <v>1409.31</v>
      </c>
      <c r="T11" s="21">
        <v>0.25</v>
      </c>
      <c r="U11" s="21">
        <v>11.750000000000002</v>
      </c>
      <c r="V11" s="8">
        <v>1421.31</v>
      </c>
      <c r="W11" s="25">
        <v>1.238</v>
      </c>
      <c r="X11" s="25">
        <f t="shared" si="3"/>
        <v>439895.44500000001</v>
      </c>
      <c r="Y11" s="1">
        <f t="shared" si="4"/>
        <v>4019.9499999999994</v>
      </c>
      <c r="Z11" s="1">
        <f t="shared" si="5"/>
        <v>3982</v>
      </c>
      <c r="AA11" s="1">
        <v>3985.22</v>
      </c>
      <c r="AB11" s="1">
        <f t="shared" si="0"/>
        <v>34.729999999999563</v>
      </c>
      <c r="AC11" s="29">
        <f t="shared" si="6"/>
        <v>3.2199999999997999</v>
      </c>
      <c r="AD11" s="11">
        <f t="shared" si="7"/>
        <v>2533445.8217500001</v>
      </c>
    </row>
    <row r="12" spans="1:30" x14ac:dyDescent="0.3">
      <c r="A12" s="14">
        <v>45782.083333333336</v>
      </c>
      <c r="B12" s="1">
        <v>1400.94</v>
      </c>
      <c r="C12" s="11">
        <v>3.2732000000000001</v>
      </c>
      <c r="D12" s="1">
        <v>627.63</v>
      </c>
      <c r="E12" s="11">
        <v>3.0760000000000001</v>
      </c>
      <c r="F12" s="1">
        <v>400.29</v>
      </c>
      <c r="G12" s="11">
        <v>3.53</v>
      </c>
      <c r="H12" s="1">
        <v>-4.8</v>
      </c>
      <c r="I12" s="11">
        <v>3.5541</v>
      </c>
      <c r="J12" s="1">
        <v>6.53</v>
      </c>
      <c r="K12" s="11">
        <v>1.9407000000000001</v>
      </c>
      <c r="L12" s="1">
        <v>0</v>
      </c>
      <c r="M12" s="11">
        <v>6.2</v>
      </c>
      <c r="N12" s="1">
        <v>58.61</v>
      </c>
      <c r="O12" s="11">
        <v>2.8224999999999998</v>
      </c>
      <c r="P12" s="1">
        <f t="shared" si="1"/>
        <v>2489.2000000000003</v>
      </c>
      <c r="Q12" s="1">
        <v>2505.5300000000002</v>
      </c>
      <c r="R12" s="16">
        <f t="shared" si="2"/>
        <v>2022552.551</v>
      </c>
      <c r="S12" s="20">
        <v>1410.7100000000003</v>
      </c>
      <c r="T12" s="21">
        <v>0.24999999999999997</v>
      </c>
      <c r="U12" s="21">
        <v>12.02</v>
      </c>
      <c r="V12" s="8">
        <v>1422.9800000000002</v>
      </c>
      <c r="W12" s="25">
        <v>1.238</v>
      </c>
      <c r="X12" s="25">
        <f t="shared" si="3"/>
        <v>440412.31000000006</v>
      </c>
      <c r="Y12" s="1">
        <f t="shared" si="4"/>
        <v>3912.1800000000003</v>
      </c>
      <c r="Z12" s="1">
        <f t="shared" si="5"/>
        <v>3928.51</v>
      </c>
      <c r="AA12" s="1">
        <v>3926.71</v>
      </c>
      <c r="AB12" s="1">
        <f t="shared" si="0"/>
        <v>-14.529999999999745</v>
      </c>
      <c r="AC12" s="29">
        <f t="shared" si="6"/>
        <v>-1.8000000000001819</v>
      </c>
      <c r="AD12" s="11">
        <f t="shared" si="7"/>
        <v>2462964.861</v>
      </c>
    </row>
    <row r="13" spans="1:30" x14ac:dyDescent="0.3">
      <c r="A13" s="14">
        <v>45782.09375</v>
      </c>
      <c r="B13" s="1">
        <v>1400.81</v>
      </c>
      <c r="C13" s="11">
        <v>3.2732000000000001</v>
      </c>
      <c r="D13" s="1">
        <v>627.63</v>
      </c>
      <c r="E13" s="11">
        <v>3.0760000000000001</v>
      </c>
      <c r="F13" s="1">
        <v>398.57</v>
      </c>
      <c r="G13" s="11">
        <v>3.53</v>
      </c>
      <c r="H13" s="1">
        <v>-4.8</v>
      </c>
      <c r="I13" s="11">
        <v>3.5546199999999999</v>
      </c>
      <c r="J13" s="1">
        <v>47.98</v>
      </c>
      <c r="K13" s="11">
        <v>1.9994000000000001</v>
      </c>
      <c r="L13" s="1">
        <v>0</v>
      </c>
      <c r="M13" s="11">
        <v>6.2</v>
      </c>
      <c r="N13" s="1">
        <v>57.11</v>
      </c>
      <c r="O13" s="11">
        <v>2.8224999999999998</v>
      </c>
      <c r="P13" s="1">
        <f t="shared" si="1"/>
        <v>2527.3000000000002</v>
      </c>
      <c r="Q13" s="1">
        <v>2464.19</v>
      </c>
      <c r="R13" s="16">
        <f t="shared" si="2"/>
        <v>2040683.82075</v>
      </c>
      <c r="S13" s="20">
        <v>1404.2400000000005</v>
      </c>
      <c r="T13" s="21">
        <v>0.24</v>
      </c>
      <c r="U13" s="21">
        <v>5.38</v>
      </c>
      <c r="V13" s="8">
        <v>1409.8600000000006</v>
      </c>
      <c r="W13" s="25">
        <v>1.238</v>
      </c>
      <c r="X13" s="25">
        <f t="shared" si="3"/>
        <v>436351.67000000016</v>
      </c>
      <c r="Y13" s="1">
        <f t="shared" si="4"/>
        <v>3937.1600000000008</v>
      </c>
      <c r="Z13" s="1">
        <f t="shared" si="5"/>
        <v>3874.0500000000006</v>
      </c>
      <c r="AA13" s="1">
        <v>3872.18</v>
      </c>
      <c r="AB13" s="1">
        <f t="shared" si="0"/>
        <v>64.980000000000928</v>
      </c>
      <c r="AC13" s="29">
        <f t="shared" si="6"/>
        <v>-1.8700000000008004</v>
      </c>
      <c r="AD13" s="11">
        <f t="shared" si="7"/>
        <v>2477035.4907499999</v>
      </c>
    </row>
    <row r="14" spans="1:30" x14ac:dyDescent="0.3">
      <c r="A14" s="14">
        <v>45782.104166666664</v>
      </c>
      <c r="B14" s="1">
        <v>1400.81</v>
      </c>
      <c r="C14" s="11">
        <v>3.2732000000000001</v>
      </c>
      <c r="D14" s="1">
        <v>627.63</v>
      </c>
      <c r="E14" s="11">
        <v>3.0760000000000001</v>
      </c>
      <c r="F14" s="1">
        <v>398.57</v>
      </c>
      <c r="G14" s="11">
        <v>3.53</v>
      </c>
      <c r="H14" s="1">
        <v>-4.8</v>
      </c>
      <c r="I14" s="11">
        <v>3.56704</v>
      </c>
      <c r="J14" s="1">
        <v>142.11000000000001</v>
      </c>
      <c r="K14" s="11">
        <v>2.4995500000000002</v>
      </c>
      <c r="L14" s="1">
        <v>0</v>
      </c>
      <c r="M14" s="11">
        <v>6.2</v>
      </c>
      <c r="N14" s="1">
        <v>50.07</v>
      </c>
      <c r="O14" s="11">
        <v>2.8224999999999998</v>
      </c>
      <c r="P14" s="1">
        <f t="shared" si="1"/>
        <v>2614.3900000000003</v>
      </c>
      <c r="Q14" s="1">
        <v>2621.38</v>
      </c>
      <c r="R14" s="16">
        <f t="shared" si="2"/>
        <v>2100521.2763749999</v>
      </c>
      <c r="S14" s="20">
        <v>1184.0299999999997</v>
      </c>
      <c r="T14" s="21">
        <v>0.24</v>
      </c>
      <c r="U14" s="21">
        <v>7.0600000000000005</v>
      </c>
      <c r="V14" s="8">
        <v>1191.3299999999997</v>
      </c>
      <c r="W14" s="25">
        <v>1.238</v>
      </c>
      <c r="X14" s="25">
        <f t="shared" si="3"/>
        <v>368716.63499999989</v>
      </c>
      <c r="Y14" s="1">
        <f t="shared" si="4"/>
        <v>3805.7200000000003</v>
      </c>
      <c r="Z14" s="1">
        <f t="shared" si="5"/>
        <v>3812.71</v>
      </c>
      <c r="AA14" s="1">
        <v>3818.41</v>
      </c>
      <c r="AB14" s="1">
        <f t="shared" si="0"/>
        <v>-12.6899999999996</v>
      </c>
      <c r="AC14" s="29">
        <f t="shared" si="6"/>
        <v>5.6999999999998181</v>
      </c>
      <c r="AD14" s="11">
        <f t="shared" si="7"/>
        <v>2469237.9113749997</v>
      </c>
    </row>
    <row r="15" spans="1:30" x14ac:dyDescent="0.3">
      <c r="A15" s="14">
        <v>45782.114583333336</v>
      </c>
      <c r="B15" s="1">
        <v>1400.81</v>
      </c>
      <c r="C15" s="11">
        <v>3.2732000000000001</v>
      </c>
      <c r="D15" s="1">
        <v>627.63</v>
      </c>
      <c r="E15" s="11">
        <v>3.0760000000000001</v>
      </c>
      <c r="F15" s="1">
        <v>398.57</v>
      </c>
      <c r="G15" s="11">
        <v>3.53</v>
      </c>
      <c r="H15" s="1">
        <v>-4.8</v>
      </c>
      <c r="I15" s="11">
        <v>3.55125</v>
      </c>
      <c r="J15" s="1">
        <v>138.69999999999999</v>
      </c>
      <c r="K15" s="11">
        <v>2.3004600000000002</v>
      </c>
      <c r="L15" s="1">
        <v>0</v>
      </c>
      <c r="M15" s="11">
        <v>6.2</v>
      </c>
      <c r="N15" s="1">
        <v>48.38</v>
      </c>
      <c r="O15" s="11">
        <v>2.8224999999999998</v>
      </c>
      <c r="P15" s="1">
        <f t="shared" si="1"/>
        <v>2609.29</v>
      </c>
      <c r="Q15" s="1">
        <v>2616.67</v>
      </c>
      <c r="R15" s="16">
        <f t="shared" si="2"/>
        <v>2090313.4060000002</v>
      </c>
      <c r="S15" s="20">
        <v>1135.31</v>
      </c>
      <c r="T15" s="21">
        <v>0.24</v>
      </c>
      <c r="U15" s="21">
        <v>5.9200000000000008</v>
      </c>
      <c r="V15" s="8">
        <v>1141.47</v>
      </c>
      <c r="W15" s="25">
        <v>1.238</v>
      </c>
      <c r="X15" s="25">
        <f t="shared" si="3"/>
        <v>353284.96500000003</v>
      </c>
      <c r="Y15" s="1">
        <f t="shared" si="4"/>
        <v>3750.76</v>
      </c>
      <c r="Z15" s="1">
        <f t="shared" si="5"/>
        <v>3758.1400000000003</v>
      </c>
      <c r="AA15" s="1">
        <v>3750.84</v>
      </c>
      <c r="AB15" s="1">
        <f t="shared" si="0"/>
        <v>-7.999999999992724E-2</v>
      </c>
      <c r="AC15" s="29">
        <f t="shared" si="6"/>
        <v>-7.3000000000001819</v>
      </c>
      <c r="AD15" s="11">
        <f t="shared" si="7"/>
        <v>2443598.3710000003</v>
      </c>
    </row>
    <row r="16" spans="1:30" x14ac:dyDescent="0.3">
      <c r="A16" s="14">
        <v>45782.125</v>
      </c>
      <c r="B16" s="1">
        <v>1415.93</v>
      </c>
      <c r="C16" s="11">
        <v>3.2732000000000001</v>
      </c>
      <c r="D16" s="1">
        <v>994.31</v>
      </c>
      <c r="E16" s="11">
        <v>3.0760000000000001</v>
      </c>
      <c r="F16" s="1">
        <v>31.89</v>
      </c>
      <c r="G16" s="11">
        <v>3.53</v>
      </c>
      <c r="H16" s="1">
        <v>-4.8</v>
      </c>
      <c r="I16" s="11">
        <v>3.4099699999999999</v>
      </c>
      <c r="J16" s="1">
        <v>112.06</v>
      </c>
      <c r="K16" s="11">
        <v>2.6495500000000001</v>
      </c>
      <c r="L16" s="1">
        <v>0</v>
      </c>
      <c r="M16" s="11">
        <v>6.2</v>
      </c>
      <c r="N16" s="1">
        <v>30.08</v>
      </c>
      <c r="O16" s="11">
        <v>2.8224999999999998</v>
      </c>
      <c r="P16" s="1">
        <f t="shared" si="1"/>
        <v>2579.4699999999993</v>
      </c>
      <c r="Q16" s="1">
        <v>2582.14</v>
      </c>
      <c r="R16" s="16">
        <f t="shared" si="2"/>
        <v>2042783.2132500003</v>
      </c>
      <c r="S16" s="20">
        <v>1111.75</v>
      </c>
      <c r="T16" s="21">
        <v>0.24</v>
      </c>
      <c r="U16" s="21">
        <v>3.35</v>
      </c>
      <c r="V16" s="8">
        <v>1115.3399999999999</v>
      </c>
      <c r="W16" s="25">
        <v>1.238</v>
      </c>
      <c r="X16" s="25">
        <f t="shared" si="3"/>
        <v>345197.73</v>
      </c>
      <c r="Y16" s="1">
        <f t="shared" si="4"/>
        <v>3694.8099999999995</v>
      </c>
      <c r="Z16" s="1">
        <f t="shared" si="5"/>
        <v>3697.4799999999996</v>
      </c>
      <c r="AA16" s="1">
        <v>3693.07</v>
      </c>
      <c r="AB16" s="1">
        <f t="shared" si="0"/>
        <v>1.739999999999327</v>
      </c>
      <c r="AC16" s="29">
        <f t="shared" si="6"/>
        <v>-4.4099999999993997</v>
      </c>
      <c r="AD16" s="11">
        <f t="shared" si="7"/>
        <v>2387980.9432500005</v>
      </c>
    </row>
    <row r="17" spans="1:30" x14ac:dyDescent="0.3">
      <c r="A17" s="14">
        <v>45782.135416666664</v>
      </c>
      <c r="B17" s="1">
        <v>1427.8</v>
      </c>
      <c r="C17" s="11">
        <v>3.2732000000000001</v>
      </c>
      <c r="D17" s="1">
        <v>1026.2</v>
      </c>
      <c r="E17" s="11">
        <v>3.0760000000000001</v>
      </c>
      <c r="F17" s="1">
        <v>0</v>
      </c>
      <c r="G17" s="11">
        <v>3.53</v>
      </c>
      <c r="H17" s="1">
        <v>-4.8</v>
      </c>
      <c r="I17" s="11">
        <v>3.4091499999999999</v>
      </c>
      <c r="J17" s="1">
        <v>91.78</v>
      </c>
      <c r="K17" s="11">
        <v>2.4998299999999998</v>
      </c>
      <c r="L17" s="1">
        <v>0</v>
      </c>
      <c r="M17" s="11">
        <v>6.2</v>
      </c>
      <c r="N17" s="1">
        <v>27.1</v>
      </c>
      <c r="O17" s="11">
        <v>2.8224999999999998</v>
      </c>
      <c r="P17" s="1">
        <f t="shared" si="1"/>
        <v>2568.08</v>
      </c>
      <c r="Q17" s="1">
        <v>2549.17</v>
      </c>
      <c r="R17" s="16">
        <f t="shared" si="2"/>
        <v>2029906.5968500001</v>
      </c>
      <c r="S17" s="20">
        <v>1066.32</v>
      </c>
      <c r="T17" s="21">
        <v>0.25</v>
      </c>
      <c r="U17" s="21">
        <v>2.5100000000000002</v>
      </c>
      <c r="V17" s="8">
        <v>1069.08</v>
      </c>
      <c r="W17" s="25">
        <v>1.238</v>
      </c>
      <c r="X17" s="25">
        <f t="shared" si="3"/>
        <v>330880.25999999995</v>
      </c>
      <c r="Y17" s="1">
        <f t="shared" si="4"/>
        <v>3637.16</v>
      </c>
      <c r="Z17" s="1">
        <f t="shared" si="5"/>
        <v>3618.25</v>
      </c>
      <c r="AA17" s="1">
        <v>3617.06</v>
      </c>
      <c r="AB17" s="1">
        <f t="shared" si="0"/>
        <v>20.099999999999909</v>
      </c>
      <c r="AC17" s="29">
        <f t="shared" si="6"/>
        <v>-1.1900000000000546</v>
      </c>
      <c r="AD17" s="11">
        <f t="shared" si="7"/>
        <v>2360786.8568500001</v>
      </c>
    </row>
    <row r="18" spans="1:30" x14ac:dyDescent="0.3">
      <c r="A18" s="14">
        <v>45782.145833333336</v>
      </c>
      <c r="B18" s="1">
        <v>1439.09</v>
      </c>
      <c r="C18" s="11">
        <v>3.2732000000000001</v>
      </c>
      <c r="D18" s="1">
        <v>1026.2</v>
      </c>
      <c r="E18" s="11">
        <v>3.0760000000000001</v>
      </c>
      <c r="F18" s="1">
        <v>0</v>
      </c>
      <c r="G18" s="11">
        <v>3.53</v>
      </c>
      <c r="H18" s="1">
        <v>-4.8</v>
      </c>
      <c r="I18" s="11">
        <v>3.34192</v>
      </c>
      <c r="J18" s="1">
        <v>72.58</v>
      </c>
      <c r="K18" s="11">
        <v>2.8494699999999997</v>
      </c>
      <c r="L18" s="1">
        <v>0</v>
      </c>
      <c r="M18" s="11">
        <v>6.2</v>
      </c>
      <c r="N18" s="1">
        <v>10.36</v>
      </c>
      <c r="O18" s="11">
        <v>2.8224999999999998</v>
      </c>
      <c r="P18" s="1">
        <f t="shared" si="1"/>
        <v>2543.4299999999998</v>
      </c>
      <c r="Q18" s="1">
        <v>2532.16</v>
      </c>
      <c r="R18" s="16">
        <f t="shared" si="2"/>
        <v>2021758.7511500001</v>
      </c>
      <c r="S18" s="20">
        <v>1036.25</v>
      </c>
      <c r="T18" s="21">
        <v>0.25</v>
      </c>
      <c r="U18" s="21">
        <v>0.96</v>
      </c>
      <c r="V18" s="8">
        <v>1037.46</v>
      </c>
      <c r="W18" s="25">
        <v>1.238</v>
      </c>
      <c r="X18" s="25">
        <f t="shared" si="3"/>
        <v>321093.87</v>
      </c>
      <c r="Y18" s="1">
        <f t="shared" si="4"/>
        <v>3580.89</v>
      </c>
      <c r="Z18" s="1">
        <f t="shared" si="5"/>
        <v>3569.62</v>
      </c>
      <c r="AA18" s="1">
        <v>3566.94</v>
      </c>
      <c r="AB18" s="1">
        <f t="shared" si="0"/>
        <v>13.949999999999818</v>
      </c>
      <c r="AC18" s="29">
        <f t="shared" si="6"/>
        <v>-2.6799999999998363</v>
      </c>
      <c r="AD18" s="11">
        <f t="shared" si="7"/>
        <v>2342852.62115</v>
      </c>
    </row>
    <row r="19" spans="1:30" x14ac:dyDescent="0.3">
      <c r="A19" s="14">
        <v>45782.15625</v>
      </c>
      <c r="B19" s="1">
        <v>1449.93</v>
      </c>
      <c r="C19" s="11">
        <v>3.2732000000000001</v>
      </c>
      <c r="D19" s="1">
        <v>1026.2</v>
      </c>
      <c r="E19" s="11">
        <v>3.0760000000000001</v>
      </c>
      <c r="F19" s="1">
        <v>0</v>
      </c>
      <c r="G19" s="11">
        <v>3.53</v>
      </c>
      <c r="H19" s="1">
        <v>-4.8</v>
      </c>
      <c r="I19" s="11">
        <v>3.34152</v>
      </c>
      <c r="J19" s="1">
        <v>71.12</v>
      </c>
      <c r="K19" s="11">
        <v>2.79915</v>
      </c>
      <c r="L19" s="1">
        <v>0</v>
      </c>
      <c r="M19" s="11">
        <v>6.2</v>
      </c>
      <c r="N19" s="1">
        <v>9</v>
      </c>
      <c r="O19" s="11">
        <v>2.8224999999999998</v>
      </c>
      <c r="P19" s="1">
        <f t="shared" si="1"/>
        <v>2551.4499999999998</v>
      </c>
      <c r="Q19" s="1">
        <v>2488.23</v>
      </c>
      <c r="R19" s="16">
        <f t="shared" si="2"/>
        <v>2027735.2070000002</v>
      </c>
      <c r="S19" s="20">
        <v>1021.82</v>
      </c>
      <c r="T19" s="21">
        <v>0.25</v>
      </c>
      <c r="U19" s="21">
        <v>1.98</v>
      </c>
      <c r="V19" s="8">
        <v>1024.05</v>
      </c>
      <c r="W19" s="25">
        <v>1.238</v>
      </c>
      <c r="X19" s="25">
        <f t="shared" si="3"/>
        <v>316943.47499999998</v>
      </c>
      <c r="Y19" s="1">
        <f t="shared" si="4"/>
        <v>3575.5</v>
      </c>
      <c r="Z19" s="1">
        <f t="shared" si="5"/>
        <v>3512.2799999999997</v>
      </c>
      <c r="AA19" s="1">
        <v>3510.06</v>
      </c>
      <c r="AB19" s="1">
        <f t="shared" si="0"/>
        <v>65.440000000000055</v>
      </c>
      <c r="AC19" s="29">
        <f t="shared" si="6"/>
        <v>-2.2199999999997999</v>
      </c>
      <c r="AD19" s="11">
        <f t="shared" si="7"/>
        <v>2344678.682</v>
      </c>
    </row>
    <row r="20" spans="1:30" x14ac:dyDescent="0.3">
      <c r="A20" s="14">
        <v>45782.166666666664</v>
      </c>
      <c r="B20" s="1">
        <v>1454.66</v>
      </c>
      <c r="C20" s="11">
        <v>3.2732000000000001</v>
      </c>
      <c r="D20" s="1">
        <v>1026.2</v>
      </c>
      <c r="E20" s="11">
        <v>3.0760000000000001</v>
      </c>
      <c r="F20" s="1">
        <v>0</v>
      </c>
      <c r="G20" s="11">
        <v>3.53</v>
      </c>
      <c r="H20" s="1">
        <v>-4.8</v>
      </c>
      <c r="I20" s="11">
        <v>3.3247199999999997</v>
      </c>
      <c r="J20" s="1">
        <v>5.77</v>
      </c>
      <c r="K20" s="11">
        <v>2.98068</v>
      </c>
      <c r="L20" s="1">
        <v>0</v>
      </c>
      <c r="M20" s="11">
        <v>6.2</v>
      </c>
      <c r="N20" s="1">
        <v>9</v>
      </c>
      <c r="O20" s="11">
        <v>2.8224999999999998</v>
      </c>
      <c r="P20" s="1">
        <f t="shared" si="1"/>
        <v>2490.83</v>
      </c>
      <c r="Q20" s="1">
        <v>2503.1</v>
      </c>
      <c r="R20" s="16">
        <f t="shared" si="2"/>
        <v>1986156.6699000003</v>
      </c>
      <c r="S20" s="20">
        <v>920.33</v>
      </c>
      <c r="T20" s="21">
        <v>0.25</v>
      </c>
      <c r="U20" s="21">
        <v>1.81</v>
      </c>
      <c r="V20" s="8">
        <v>922.39</v>
      </c>
      <c r="W20" s="25">
        <v>1.238</v>
      </c>
      <c r="X20" s="25">
        <f t="shared" si="3"/>
        <v>285479.70499999996</v>
      </c>
      <c r="Y20" s="1">
        <f t="shared" si="4"/>
        <v>3413.22</v>
      </c>
      <c r="Z20" s="1">
        <f t="shared" si="5"/>
        <v>3425.49</v>
      </c>
      <c r="AA20" s="1">
        <v>3430.48</v>
      </c>
      <c r="AB20" s="1">
        <f t="shared" si="0"/>
        <v>-17.260000000000218</v>
      </c>
      <c r="AC20" s="29">
        <f t="shared" si="6"/>
        <v>4.9900000000002365</v>
      </c>
      <c r="AD20" s="11">
        <f t="shared" si="7"/>
        <v>2271636.3749000002</v>
      </c>
    </row>
    <row r="21" spans="1:30" x14ac:dyDescent="0.3">
      <c r="A21" s="14">
        <v>45782.177083333336</v>
      </c>
      <c r="B21" s="1">
        <v>1455.04</v>
      </c>
      <c r="C21" s="11">
        <v>3.2732000000000001</v>
      </c>
      <c r="D21" s="1">
        <v>1026.2</v>
      </c>
      <c r="E21" s="11">
        <v>3.0760000000000001</v>
      </c>
      <c r="F21" s="1">
        <v>0</v>
      </c>
      <c r="G21" s="11">
        <v>3.53</v>
      </c>
      <c r="H21" s="1">
        <v>-4.8</v>
      </c>
      <c r="I21" s="11">
        <v>3.3244000000000002</v>
      </c>
      <c r="J21" s="1">
        <v>0</v>
      </c>
      <c r="K21" s="11">
        <v>3.05552</v>
      </c>
      <c r="L21" s="1">
        <v>0</v>
      </c>
      <c r="M21" s="11">
        <v>6.2</v>
      </c>
      <c r="N21" s="1">
        <v>9</v>
      </c>
      <c r="O21" s="11">
        <v>2.8224999999999998</v>
      </c>
      <c r="P21" s="1">
        <f t="shared" si="1"/>
        <v>2485.4399999999996</v>
      </c>
      <c r="Q21" s="1">
        <v>2526.27</v>
      </c>
      <c r="R21" s="16">
        <f t="shared" si="2"/>
        <v>1982168.3770000001</v>
      </c>
      <c r="S21" s="20">
        <v>864.7700000000001</v>
      </c>
      <c r="T21" s="21">
        <v>0.25</v>
      </c>
      <c r="U21" s="21">
        <v>3.72</v>
      </c>
      <c r="V21" s="8">
        <v>868.74000000000012</v>
      </c>
      <c r="W21" s="25">
        <v>1.238</v>
      </c>
      <c r="X21" s="25">
        <f t="shared" si="3"/>
        <v>268875.03000000003</v>
      </c>
      <c r="Y21" s="1">
        <f t="shared" si="4"/>
        <v>3354.18</v>
      </c>
      <c r="Z21" s="1">
        <f t="shared" si="5"/>
        <v>3395.01</v>
      </c>
      <c r="AA21" s="1">
        <v>3396.17</v>
      </c>
      <c r="AB21" s="1">
        <f t="shared" si="0"/>
        <v>-41.990000000000236</v>
      </c>
      <c r="AC21" s="29">
        <f t="shared" si="6"/>
        <v>1.1599999999998545</v>
      </c>
      <c r="AD21" s="11">
        <f t="shared" si="7"/>
        <v>2251043.4070000001</v>
      </c>
    </row>
    <row r="22" spans="1:30" x14ac:dyDescent="0.3">
      <c r="A22" s="14">
        <v>45782.1875</v>
      </c>
      <c r="B22" s="1">
        <v>1455.04</v>
      </c>
      <c r="C22" s="11">
        <v>3.2732000000000001</v>
      </c>
      <c r="D22" s="1">
        <v>1026.2</v>
      </c>
      <c r="E22" s="11">
        <v>3.0760000000000001</v>
      </c>
      <c r="F22" s="1">
        <v>0</v>
      </c>
      <c r="G22" s="11">
        <v>3.53</v>
      </c>
      <c r="H22" s="1">
        <v>-4.8</v>
      </c>
      <c r="I22" s="11">
        <v>3.3241999999999998</v>
      </c>
      <c r="J22" s="1">
        <v>0</v>
      </c>
      <c r="K22" s="11">
        <v>3.2959899999999998</v>
      </c>
      <c r="L22" s="1">
        <v>0</v>
      </c>
      <c r="M22" s="11">
        <v>6.2</v>
      </c>
      <c r="N22" s="1">
        <v>9</v>
      </c>
      <c r="O22" s="11">
        <v>2.8224999999999998</v>
      </c>
      <c r="P22" s="1">
        <f t="shared" si="1"/>
        <v>2485.4399999999996</v>
      </c>
      <c r="Q22" s="1">
        <v>2510.81</v>
      </c>
      <c r="R22" s="16">
        <f t="shared" si="2"/>
        <v>1982168.6170000003</v>
      </c>
      <c r="S22" s="20">
        <v>860.75000000000011</v>
      </c>
      <c r="T22" s="21">
        <v>0.24</v>
      </c>
      <c r="U22" s="21">
        <v>6.2899999999999991</v>
      </c>
      <c r="V22" s="8">
        <v>867.28000000000009</v>
      </c>
      <c r="W22" s="25">
        <v>1.238</v>
      </c>
      <c r="X22" s="25">
        <f t="shared" si="3"/>
        <v>268423.16000000003</v>
      </c>
      <c r="Y22" s="1">
        <f t="shared" si="4"/>
        <v>3352.72</v>
      </c>
      <c r="Z22" s="1">
        <f t="shared" si="5"/>
        <v>3378.09</v>
      </c>
      <c r="AA22" s="1">
        <v>3384.6</v>
      </c>
      <c r="AB22" s="1">
        <f t="shared" si="0"/>
        <v>-31.880000000000109</v>
      </c>
      <c r="AC22" s="29">
        <f t="shared" si="6"/>
        <v>6.5099999999997635</v>
      </c>
      <c r="AD22" s="11">
        <f t="shared" si="7"/>
        <v>2250591.7770000002</v>
      </c>
    </row>
    <row r="23" spans="1:30" x14ac:dyDescent="0.3">
      <c r="A23" s="14">
        <v>45782.197916666664</v>
      </c>
      <c r="B23" s="1">
        <v>1455.04</v>
      </c>
      <c r="C23" s="11">
        <v>3.2732000000000001</v>
      </c>
      <c r="D23" s="1">
        <v>1026.2</v>
      </c>
      <c r="E23" s="11">
        <v>3.0760000000000001</v>
      </c>
      <c r="F23" s="1">
        <v>0</v>
      </c>
      <c r="G23" s="11">
        <v>3.53</v>
      </c>
      <c r="H23" s="1">
        <v>-4.8</v>
      </c>
      <c r="I23" s="11">
        <v>3.3242399999999996</v>
      </c>
      <c r="J23" s="1">
        <v>0</v>
      </c>
      <c r="K23" s="11">
        <v>3.3219000000000003</v>
      </c>
      <c r="L23" s="1">
        <v>0</v>
      </c>
      <c r="M23" s="11">
        <v>6.2</v>
      </c>
      <c r="N23" s="1">
        <v>9</v>
      </c>
      <c r="O23" s="11">
        <v>2.8224999999999998</v>
      </c>
      <c r="P23" s="1">
        <f t="shared" si="1"/>
        <v>2485.4399999999996</v>
      </c>
      <c r="Q23" s="1">
        <v>2524</v>
      </c>
      <c r="R23" s="16">
        <f t="shared" si="2"/>
        <v>1982168.5690000001</v>
      </c>
      <c r="S23" s="20">
        <v>801.72000000000014</v>
      </c>
      <c r="T23" s="21">
        <v>0.24</v>
      </c>
      <c r="U23" s="21">
        <v>6.25</v>
      </c>
      <c r="V23" s="8">
        <v>808.21000000000015</v>
      </c>
      <c r="W23" s="25">
        <v>1.238</v>
      </c>
      <c r="X23" s="25">
        <f t="shared" si="3"/>
        <v>250140.99500000002</v>
      </c>
      <c r="Y23" s="1">
        <f t="shared" si="4"/>
        <v>3293.6499999999996</v>
      </c>
      <c r="Z23" s="1">
        <f t="shared" si="5"/>
        <v>3332.21</v>
      </c>
      <c r="AA23" s="1">
        <v>3335.14</v>
      </c>
      <c r="AB23" s="1">
        <f t="shared" si="0"/>
        <v>-41.490000000000236</v>
      </c>
      <c r="AC23" s="29">
        <f t="shared" si="6"/>
        <v>2.9299999999998363</v>
      </c>
      <c r="AD23" s="11">
        <f t="shared" si="7"/>
        <v>2232309.5640000002</v>
      </c>
    </row>
    <row r="24" spans="1:30" x14ac:dyDescent="0.3">
      <c r="A24" s="14">
        <v>45782.208333333336</v>
      </c>
      <c r="B24" s="1">
        <v>1455.04</v>
      </c>
      <c r="C24" s="11">
        <v>3.2732000000000001</v>
      </c>
      <c r="D24" s="1">
        <v>1026.2</v>
      </c>
      <c r="E24" s="11">
        <v>3.0760000000000001</v>
      </c>
      <c r="F24" s="1">
        <v>0</v>
      </c>
      <c r="G24" s="11">
        <v>3.53</v>
      </c>
      <c r="H24" s="1">
        <v>-4.8</v>
      </c>
      <c r="I24" s="11">
        <v>3.0808200000000001</v>
      </c>
      <c r="J24" s="1">
        <v>0</v>
      </c>
      <c r="K24" s="11">
        <v>2.62906</v>
      </c>
      <c r="L24" s="1">
        <v>0</v>
      </c>
      <c r="M24" s="11">
        <v>6.2</v>
      </c>
      <c r="N24" s="1">
        <v>9</v>
      </c>
      <c r="O24" s="11">
        <v>2.8224999999999998</v>
      </c>
      <c r="P24" s="1">
        <f t="shared" si="1"/>
        <v>2485.4399999999996</v>
      </c>
      <c r="Q24" s="1">
        <v>2528.6999999999998</v>
      </c>
      <c r="R24" s="16">
        <f t="shared" si="2"/>
        <v>1982460.6730000002</v>
      </c>
      <c r="S24" s="20">
        <v>790.21</v>
      </c>
      <c r="T24" s="21">
        <v>0.23</v>
      </c>
      <c r="U24" s="21">
        <v>3.2800000000000002</v>
      </c>
      <c r="V24" s="8">
        <v>793.72</v>
      </c>
      <c r="W24" s="25">
        <v>1.238</v>
      </c>
      <c r="X24" s="25">
        <f t="shared" si="3"/>
        <v>245656.34</v>
      </c>
      <c r="Y24" s="1">
        <f t="shared" si="4"/>
        <v>3279.16</v>
      </c>
      <c r="Z24" s="1">
        <f t="shared" si="5"/>
        <v>3322.42</v>
      </c>
      <c r="AA24" s="1">
        <v>3324.17</v>
      </c>
      <c r="AB24" s="1">
        <f t="shared" si="0"/>
        <v>-45.010000000000218</v>
      </c>
      <c r="AC24" s="29">
        <f t="shared" si="6"/>
        <v>1.75</v>
      </c>
      <c r="AD24" s="11">
        <f t="shared" si="7"/>
        <v>2228117.0130000003</v>
      </c>
    </row>
    <row r="25" spans="1:30" x14ac:dyDescent="0.3">
      <c r="A25" s="14">
        <v>45782.21875</v>
      </c>
      <c r="B25" s="1">
        <v>1455.04</v>
      </c>
      <c r="C25" s="11">
        <v>3.2732000000000001</v>
      </c>
      <c r="D25" s="1">
        <v>1026.2</v>
      </c>
      <c r="E25" s="11">
        <v>3.0760000000000001</v>
      </c>
      <c r="F25" s="1">
        <v>0</v>
      </c>
      <c r="G25" s="11">
        <v>3.53</v>
      </c>
      <c r="H25" s="1">
        <v>-4.8</v>
      </c>
      <c r="I25" s="11">
        <v>3.2717199999999997</v>
      </c>
      <c r="J25" s="1">
        <v>10.87</v>
      </c>
      <c r="K25" s="11">
        <v>2.98075</v>
      </c>
      <c r="L25" s="1">
        <v>0</v>
      </c>
      <c r="M25" s="11">
        <v>6.2</v>
      </c>
      <c r="N25" s="1">
        <v>18.12</v>
      </c>
      <c r="O25" s="11">
        <v>2.8224999999999998</v>
      </c>
      <c r="P25" s="1">
        <f t="shared" si="1"/>
        <v>2505.4299999999994</v>
      </c>
      <c r="Q25" s="1">
        <v>2531.6799999999998</v>
      </c>
      <c r="R25" s="16">
        <f t="shared" si="2"/>
        <v>1996767.081125</v>
      </c>
      <c r="S25" s="20">
        <v>789.74</v>
      </c>
      <c r="T25" s="21">
        <v>0.22000000000000003</v>
      </c>
      <c r="U25" s="21">
        <v>3.8299999999999996</v>
      </c>
      <c r="V25" s="8">
        <v>793.79000000000008</v>
      </c>
      <c r="W25" s="25">
        <v>1.238</v>
      </c>
      <c r="X25" s="25">
        <f t="shared" si="3"/>
        <v>245678.005</v>
      </c>
      <c r="Y25" s="1">
        <f t="shared" si="4"/>
        <v>3299.2199999999993</v>
      </c>
      <c r="Z25" s="1">
        <f t="shared" si="5"/>
        <v>3325.47</v>
      </c>
      <c r="AA25" s="1">
        <v>3329.08</v>
      </c>
      <c r="AB25" s="1">
        <f t="shared" si="0"/>
        <v>-29.860000000000582</v>
      </c>
      <c r="AC25" s="29">
        <f t="shared" si="6"/>
        <v>3.6100000000001273</v>
      </c>
      <c r="AD25" s="11">
        <f t="shared" si="7"/>
        <v>2242445.0861249999</v>
      </c>
    </row>
    <row r="26" spans="1:30" x14ac:dyDescent="0.3">
      <c r="A26" s="14">
        <v>45782.229166666664</v>
      </c>
      <c r="B26" s="1">
        <v>1455.04</v>
      </c>
      <c r="C26" s="11">
        <v>3.2732000000000001</v>
      </c>
      <c r="D26" s="1">
        <v>1026.2</v>
      </c>
      <c r="E26" s="11">
        <v>3.0760000000000001</v>
      </c>
      <c r="F26" s="1">
        <v>0</v>
      </c>
      <c r="G26" s="11">
        <v>3.53</v>
      </c>
      <c r="H26" s="1">
        <v>-4.8</v>
      </c>
      <c r="I26" s="11">
        <v>3.4001900000000003</v>
      </c>
      <c r="J26" s="1">
        <v>42.16</v>
      </c>
      <c r="K26" s="11">
        <v>2.85093</v>
      </c>
      <c r="L26" s="1">
        <v>0</v>
      </c>
      <c r="M26" s="11">
        <v>6.2</v>
      </c>
      <c r="N26" s="1">
        <v>31.02</v>
      </c>
      <c r="O26" s="11">
        <v>2.8224999999999998</v>
      </c>
      <c r="P26" s="1">
        <f t="shared" si="1"/>
        <v>2549.6199999999994</v>
      </c>
      <c r="Q26" s="1">
        <v>2580.9</v>
      </c>
      <c r="R26" s="16">
        <f t="shared" si="2"/>
        <v>2027664.0937000001</v>
      </c>
      <c r="S26" s="20">
        <v>776.68999999999994</v>
      </c>
      <c r="T26" s="21">
        <v>0.22000000000000003</v>
      </c>
      <c r="U26" s="21">
        <v>6.41</v>
      </c>
      <c r="V26" s="8">
        <v>783.31999999999994</v>
      </c>
      <c r="W26" s="25">
        <v>1.238</v>
      </c>
      <c r="X26" s="25">
        <f t="shared" si="3"/>
        <v>242437.53999999998</v>
      </c>
      <c r="Y26" s="1">
        <f t="shared" si="4"/>
        <v>3332.9399999999996</v>
      </c>
      <c r="Z26" s="1">
        <f t="shared" si="5"/>
        <v>3364.2200000000003</v>
      </c>
      <c r="AA26" s="1">
        <v>3367.66</v>
      </c>
      <c r="AB26" s="1">
        <f t="shared" si="0"/>
        <v>-34.720000000000255</v>
      </c>
      <c r="AC26" s="29">
        <f t="shared" si="6"/>
        <v>3.4399999999995998</v>
      </c>
      <c r="AD26" s="11">
        <f t="shared" si="7"/>
        <v>2270101.6337000001</v>
      </c>
    </row>
    <row r="27" spans="1:30" x14ac:dyDescent="0.3">
      <c r="A27" s="14">
        <v>45782.239583333336</v>
      </c>
      <c r="B27" s="1">
        <v>1456.73</v>
      </c>
      <c r="C27" s="11">
        <v>3.2732000000000001</v>
      </c>
      <c r="D27" s="1">
        <v>1026.2</v>
      </c>
      <c r="E27" s="11">
        <v>3.0760000000000001</v>
      </c>
      <c r="F27" s="1">
        <v>0</v>
      </c>
      <c r="G27" s="11">
        <v>3.53</v>
      </c>
      <c r="H27" s="1">
        <v>-4.8</v>
      </c>
      <c r="I27" s="11">
        <v>3.4375300000000002</v>
      </c>
      <c r="J27" s="1">
        <v>42.16</v>
      </c>
      <c r="K27" s="11">
        <v>2.7739699999999998</v>
      </c>
      <c r="L27" s="1">
        <v>0</v>
      </c>
      <c r="M27" s="11">
        <v>6.2</v>
      </c>
      <c r="N27" s="1">
        <v>29.07</v>
      </c>
      <c r="O27" s="11">
        <v>2.8224999999999998</v>
      </c>
      <c r="P27" s="1">
        <f t="shared" si="1"/>
        <v>2549.36</v>
      </c>
      <c r="Q27" s="1">
        <v>2552.9</v>
      </c>
      <c r="R27" s="16">
        <f t="shared" si="2"/>
        <v>2026815.0855500002</v>
      </c>
      <c r="S27" s="20">
        <v>841.32</v>
      </c>
      <c r="T27" s="21">
        <v>0.22999999999999998</v>
      </c>
      <c r="U27" s="21">
        <v>2.93</v>
      </c>
      <c r="V27" s="8">
        <v>844.48</v>
      </c>
      <c r="W27" s="25">
        <v>1.238</v>
      </c>
      <c r="X27" s="25">
        <f t="shared" si="3"/>
        <v>261366.56</v>
      </c>
      <c r="Y27" s="1">
        <f t="shared" si="4"/>
        <v>3393.84</v>
      </c>
      <c r="Z27" s="1">
        <f t="shared" si="5"/>
        <v>3397.38</v>
      </c>
      <c r="AA27" s="1">
        <v>3397.96</v>
      </c>
      <c r="AB27" s="1">
        <f t="shared" si="0"/>
        <v>-4.1199999999998909</v>
      </c>
      <c r="AC27" s="29">
        <f t="shared" si="6"/>
        <v>0.57999999999992724</v>
      </c>
      <c r="AD27" s="11">
        <f t="shared" si="7"/>
        <v>2288181.64555</v>
      </c>
    </row>
    <row r="28" spans="1:30" x14ac:dyDescent="0.3">
      <c r="A28" s="14">
        <v>45782.25</v>
      </c>
      <c r="B28" s="1">
        <v>1459.99</v>
      </c>
      <c r="C28" s="11">
        <v>3.2732000000000001</v>
      </c>
      <c r="D28" s="1">
        <v>654.64</v>
      </c>
      <c r="E28" s="11">
        <v>3.0760000000000001</v>
      </c>
      <c r="F28" s="1">
        <v>371.56</v>
      </c>
      <c r="G28" s="11">
        <v>3.53</v>
      </c>
      <c r="H28" s="1">
        <v>-0.87</v>
      </c>
      <c r="I28" s="11">
        <v>3.9300700000000002</v>
      </c>
      <c r="J28" s="1">
        <v>55.14</v>
      </c>
      <c r="K28" s="11">
        <v>3.0940700000000003</v>
      </c>
      <c r="L28" s="1">
        <v>0</v>
      </c>
      <c r="M28" s="11">
        <v>6.2</v>
      </c>
      <c r="N28" s="1">
        <v>40.090000000000003</v>
      </c>
      <c r="O28" s="11">
        <v>2.8224999999999998</v>
      </c>
      <c r="P28" s="1">
        <f t="shared" si="1"/>
        <v>2580.5500000000002</v>
      </c>
      <c r="Q28" s="1">
        <v>2573.56</v>
      </c>
      <c r="R28" s="16">
        <f t="shared" si="2"/>
        <v>2096115.1479750001</v>
      </c>
      <c r="S28" s="20">
        <v>871.42</v>
      </c>
      <c r="T28" s="21">
        <v>0.24</v>
      </c>
      <c r="U28" s="21">
        <v>1.53</v>
      </c>
      <c r="V28" s="8">
        <v>873.18999999999994</v>
      </c>
      <c r="W28" s="25">
        <v>1.238</v>
      </c>
      <c r="X28" s="25">
        <f t="shared" si="3"/>
        <v>270252.30499999999</v>
      </c>
      <c r="Y28" s="1">
        <f t="shared" si="4"/>
        <v>3453.7400000000002</v>
      </c>
      <c r="Z28" s="1">
        <f t="shared" si="5"/>
        <v>3446.75</v>
      </c>
      <c r="AA28" s="1">
        <v>3448.95</v>
      </c>
      <c r="AB28" s="1">
        <f t="shared" si="0"/>
        <v>4.7900000000004184</v>
      </c>
      <c r="AC28" s="29">
        <f t="shared" si="6"/>
        <v>2.1999999999998181</v>
      </c>
      <c r="AD28" s="11">
        <f t="shared" si="7"/>
        <v>2366367.4529750003</v>
      </c>
    </row>
    <row r="29" spans="1:30" x14ac:dyDescent="0.3">
      <c r="A29" s="14">
        <v>45782.260416666664</v>
      </c>
      <c r="B29" s="1">
        <v>1467.14</v>
      </c>
      <c r="C29" s="11">
        <v>3.2732000000000001</v>
      </c>
      <c r="D29" s="1">
        <v>627.63</v>
      </c>
      <c r="E29" s="11">
        <v>3.0760000000000001</v>
      </c>
      <c r="F29" s="1">
        <v>398.57</v>
      </c>
      <c r="G29" s="11">
        <v>3.53</v>
      </c>
      <c r="H29" s="1">
        <v>19.329999999999998</v>
      </c>
      <c r="I29" s="11">
        <v>3.65</v>
      </c>
      <c r="J29" s="1">
        <v>44.44</v>
      </c>
      <c r="K29" s="11">
        <v>3.1057299999999999</v>
      </c>
      <c r="L29" s="1">
        <v>0</v>
      </c>
      <c r="M29" s="11">
        <v>6.2</v>
      </c>
      <c r="N29" s="1">
        <v>44.3</v>
      </c>
      <c r="O29" s="11">
        <v>2.8224999999999998</v>
      </c>
      <c r="P29" s="1">
        <f t="shared" si="1"/>
        <v>2601.4100000000003</v>
      </c>
      <c r="Q29" s="1">
        <v>2597.1999999999998</v>
      </c>
      <c r="R29" s="16">
        <f t="shared" si="2"/>
        <v>2118348.6298000002</v>
      </c>
      <c r="S29" s="20">
        <v>872.4</v>
      </c>
      <c r="T29" s="21">
        <v>2.34</v>
      </c>
      <c r="U29" s="21">
        <v>1.58</v>
      </c>
      <c r="V29" s="8">
        <v>876.32</v>
      </c>
      <c r="W29" s="25">
        <v>1.238</v>
      </c>
      <c r="X29" s="25">
        <f t="shared" si="3"/>
        <v>271221.04000000004</v>
      </c>
      <c r="Y29" s="1">
        <f t="shared" si="4"/>
        <v>3477.7300000000005</v>
      </c>
      <c r="Z29" s="1">
        <f t="shared" si="5"/>
        <v>3473.52</v>
      </c>
      <c r="AA29" s="1">
        <v>3476.21</v>
      </c>
      <c r="AB29" s="1">
        <f t="shared" si="0"/>
        <v>1.5200000000004366</v>
      </c>
      <c r="AC29" s="29">
        <f t="shared" si="6"/>
        <v>2.6900000000000546</v>
      </c>
      <c r="AD29" s="11">
        <f t="shared" si="7"/>
        <v>2389569.6698000003</v>
      </c>
    </row>
    <row r="30" spans="1:30" x14ac:dyDescent="0.3">
      <c r="A30" s="14">
        <v>45782.270833333336</v>
      </c>
      <c r="B30" s="1">
        <v>1470.85</v>
      </c>
      <c r="C30" s="11">
        <v>3.2732000000000001</v>
      </c>
      <c r="D30" s="1">
        <v>627.63</v>
      </c>
      <c r="E30" s="11">
        <v>3.0760000000000001</v>
      </c>
      <c r="F30" s="1">
        <v>398.57</v>
      </c>
      <c r="G30" s="11">
        <v>3.53</v>
      </c>
      <c r="H30" s="1">
        <v>26.46</v>
      </c>
      <c r="I30" s="11">
        <v>3.5102699999999998</v>
      </c>
      <c r="J30" s="1">
        <v>89.43</v>
      </c>
      <c r="K30" s="11">
        <v>2.98082</v>
      </c>
      <c r="L30" s="1">
        <v>0</v>
      </c>
      <c r="M30" s="11">
        <v>6.2</v>
      </c>
      <c r="N30" s="1">
        <v>49.37</v>
      </c>
      <c r="O30" s="11">
        <v>2.8224999999999998</v>
      </c>
      <c r="P30" s="1">
        <f t="shared" si="1"/>
        <v>2662.31</v>
      </c>
      <c r="Q30" s="1">
        <v>2588.84</v>
      </c>
      <c r="R30" s="16">
        <f t="shared" si="2"/>
        <v>2162682.8754500002</v>
      </c>
      <c r="S30" s="20">
        <v>887.7299999999999</v>
      </c>
      <c r="T30" s="21">
        <v>7.8900000000000006</v>
      </c>
      <c r="U30" s="21">
        <v>1.3</v>
      </c>
      <c r="V30" s="8">
        <v>896.91999999999985</v>
      </c>
      <c r="W30" s="25">
        <v>1.238</v>
      </c>
      <c r="X30" s="25">
        <f t="shared" si="3"/>
        <v>277596.73999999993</v>
      </c>
      <c r="Y30" s="1">
        <f t="shared" si="4"/>
        <v>3559.2299999999996</v>
      </c>
      <c r="Z30" s="1">
        <f t="shared" si="5"/>
        <v>3485.76</v>
      </c>
      <c r="AA30" s="1">
        <v>3486.14</v>
      </c>
      <c r="AB30" s="1">
        <f t="shared" si="0"/>
        <v>73.089999999999691</v>
      </c>
      <c r="AC30" s="29">
        <f t="shared" si="6"/>
        <v>0.37999999999965439</v>
      </c>
      <c r="AD30" s="11">
        <f t="shared" si="7"/>
        <v>2440279.6154499999</v>
      </c>
    </row>
    <row r="31" spans="1:30" x14ac:dyDescent="0.3">
      <c r="A31" s="14">
        <v>45782.28125</v>
      </c>
      <c r="B31" s="1">
        <v>1471.12</v>
      </c>
      <c r="C31" s="11">
        <v>3.2732000000000001</v>
      </c>
      <c r="D31" s="1">
        <v>627.63</v>
      </c>
      <c r="E31" s="11">
        <v>3.0760000000000001</v>
      </c>
      <c r="F31" s="1">
        <v>398.57</v>
      </c>
      <c r="G31" s="11">
        <v>3.53</v>
      </c>
      <c r="H31" s="1">
        <v>48.77</v>
      </c>
      <c r="I31" s="11">
        <v>3.4220199999999998</v>
      </c>
      <c r="J31" s="1">
        <v>75.150000000000006</v>
      </c>
      <c r="K31" s="11">
        <v>2.6291199999999999</v>
      </c>
      <c r="L31" s="1">
        <v>0</v>
      </c>
      <c r="M31" s="11">
        <v>6.2</v>
      </c>
      <c r="N31" s="1">
        <v>58.68</v>
      </c>
      <c r="O31" s="11">
        <v>2.8224999999999998</v>
      </c>
      <c r="P31" s="1">
        <f t="shared" si="1"/>
        <v>2679.92</v>
      </c>
      <c r="Q31" s="1">
        <v>2670.35</v>
      </c>
      <c r="R31" s="16">
        <f t="shared" si="2"/>
        <v>2170726.6368499999</v>
      </c>
      <c r="S31" s="20">
        <v>827.18999999999994</v>
      </c>
      <c r="T31" s="21">
        <v>13.82</v>
      </c>
      <c r="U31" s="21">
        <v>0.88</v>
      </c>
      <c r="V31" s="8">
        <v>841.89</v>
      </c>
      <c r="W31" s="25">
        <v>1.238</v>
      </c>
      <c r="X31" s="25">
        <f t="shared" si="3"/>
        <v>260564.95499999999</v>
      </c>
      <c r="Y31" s="1">
        <f t="shared" si="4"/>
        <v>3521.81</v>
      </c>
      <c r="Z31" s="1">
        <f t="shared" si="5"/>
        <v>3512.24</v>
      </c>
      <c r="AA31" s="1">
        <v>3515.68</v>
      </c>
      <c r="AB31" s="1">
        <f t="shared" si="0"/>
        <v>6.1300000000001091</v>
      </c>
      <c r="AC31" s="29">
        <f t="shared" si="6"/>
        <v>3.4400000000000546</v>
      </c>
      <c r="AD31" s="11">
        <f t="shared" si="7"/>
        <v>2431291.59185</v>
      </c>
    </row>
    <row r="32" spans="1:30" x14ac:dyDescent="0.3">
      <c r="A32" s="14">
        <v>45782.291666666664</v>
      </c>
      <c r="B32" s="1">
        <v>1469.82</v>
      </c>
      <c r="C32" s="11">
        <v>3.2732000000000001</v>
      </c>
      <c r="D32" s="1">
        <v>627.63</v>
      </c>
      <c r="E32" s="11">
        <v>3.0760000000000001</v>
      </c>
      <c r="F32" s="1">
        <v>398.57</v>
      </c>
      <c r="G32" s="11">
        <v>3.53</v>
      </c>
      <c r="H32" s="1">
        <v>67.73</v>
      </c>
      <c r="I32" s="11">
        <v>3.1889600000000002</v>
      </c>
      <c r="J32" s="1">
        <v>96.87</v>
      </c>
      <c r="K32" s="11">
        <v>2.49932</v>
      </c>
      <c r="L32" s="1">
        <v>0</v>
      </c>
      <c r="M32" s="11">
        <v>6.2</v>
      </c>
      <c r="N32" s="1">
        <v>66.92</v>
      </c>
      <c r="O32" s="11">
        <v>2.8224999999999998</v>
      </c>
      <c r="P32" s="1">
        <f t="shared" si="1"/>
        <v>2727.54</v>
      </c>
      <c r="Q32" s="1">
        <v>2674.3</v>
      </c>
      <c r="R32" s="16">
        <f t="shared" si="2"/>
        <v>2198883.9733000002</v>
      </c>
      <c r="S32" s="20">
        <v>813.86000000000013</v>
      </c>
      <c r="T32" s="21">
        <v>18.850000000000001</v>
      </c>
      <c r="U32" s="21">
        <v>1</v>
      </c>
      <c r="V32" s="8">
        <v>833.71000000000015</v>
      </c>
      <c r="W32" s="25">
        <v>1.238</v>
      </c>
      <c r="X32" s="25">
        <f t="shared" si="3"/>
        <v>258033.24500000002</v>
      </c>
      <c r="Y32" s="1">
        <f t="shared" si="4"/>
        <v>3561.25</v>
      </c>
      <c r="Z32" s="1">
        <f t="shared" si="5"/>
        <v>3508.01</v>
      </c>
      <c r="AA32" s="1">
        <v>3504.97</v>
      </c>
      <c r="AB32" s="1">
        <f t="shared" si="0"/>
        <v>56.2800000000002</v>
      </c>
      <c r="AC32" s="29">
        <f t="shared" si="6"/>
        <v>-3.0400000000004184</v>
      </c>
      <c r="AD32" s="11">
        <f t="shared" si="7"/>
        <v>2456917.2183000003</v>
      </c>
    </row>
    <row r="33" spans="1:30" x14ac:dyDescent="0.3">
      <c r="A33" s="14">
        <v>45782.302083333336</v>
      </c>
      <c r="B33" s="1">
        <v>1469.71</v>
      </c>
      <c r="C33" s="11">
        <v>3.2732000000000001</v>
      </c>
      <c r="D33" s="1">
        <v>627.63</v>
      </c>
      <c r="E33" s="11">
        <v>3.0760000000000001</v>
      </c>
      <c r="F33" s="1">
        <v>398.57</v>
      </c>
      <c r="G33" s="11">
        <v>3.53</v>
      </c>
      <c r="H33" s="1">
        <v>74.22</v>
      </c>
      <c r="I33" s="11">
        <v>2.9482399999999997</v>
      </c>
      <c r="J33" s="1">
        <v>93.83</v>
      </c>
      <c r="K33" s="11">
        <v>2.266</v>
      </c>
      <c r="L33" s="1">
        <v>0</v>
      </c>
      <c r="M33" s="11">
        <v>6.2</v>
      </c>
      <c r="N33" s="1">
        <v>85.97</v>
      </c>
      <c r="O33" s="11">
        <v>2.8224999999999998</v>
      </c>
      <c r="P33" s="1">
        <f t="shared" si="1"/>
        <v>2749.93</v>
      </c>
      <c r="Q33" s="1">
        <v>2652.71</v>
      </c>
      <c r="R33" s="16">
        <f t="shared" si="2"/>
        <v>2205571.0574500002</v>
      </c>
      <c r="S33" s="20">
        <v>813.49</v>
      </c>
      <c r="T33" s="21">
        <v>27.4</v>
      </c>
      <c r="U33" s="21">
        <v>0.31000000000000005</v>
      </c>
      <c r="V33" s="8">
        <v>841.19999999999993</v>
      </c>
      <c r="W33" s="25">
        <v>1.238</v>
      </c>
      <c r="X33" s="25">
        <f t="shared" si="3"/>
        <v>260351.39999999997</v>
      </c>
      <c r="Y33" s="1">
        <f t="shared" si="4"/>
        <v>3591.1299999999997</v>
      </c>
      <c r="Z33" s="1">
        <f t="shared" si="5"/>
        <v>3493.91</v>
      </c>
      <c r="AA33" s="1">
        <v>3490.98</v>
      </c>
      <c r="AB33" s="1">
        <f t="shared" si="0"/>
        <v>100.14999999999964</v>
      </c>
      <c r="AC33" s="29">
        <f t="shared" si="6"/>
        <v>-2.9299999999998363</v>
      </c>
      <c r="AD33" s="11">
        <f t="shared" si="7"/>
        <v>2465922.4574500001</v>
      </c>
    </row>
    <row r="34" spans="1:30" x14ac:dyDescent="0.3">
      <c r="A34" s="14">
        <v>45782.3125</v>
      </c>
      <c r="B34" s="1">
        <v>1467.86</v>
      </c>
      <c r="C34" s="11">
        <v>3.2732000000000001</v>
      </c>
      <c r="D34" s="1">
        <v>627.63</v>
      </c>
      <c r="E34" s="11">
        <v>3.0760000000000001</v>
      </c>
      <c r="F34" s="1">
        <v>398.57</v>
      </c>
      <c r="G34" s="11">
        <v>3.53</v>
      </c>
      <c r="H34" s="1">
        <v>75.849999999999994</v>
      </c>
      <c r="I34" s="11">
        <v>2.7506399999999998</v>
      </c>
      <c r="J34" s="1">
        <v>93.45</v>
      </c>
      <c r="K34" s="11">
        <v>1.9952999999999999</v>
      </c>
      <c r="L34" s="1">
        <v>0</v>
      </c>
      <c r="M34" s="11">
        <v>6.2</v>
      </c>
      <c r="N34" s="1">
        <v>99.34</v>
      </c>
      <c r="O34" s="11">
        <v>2.8224999999999998</v>
      </c>
      <c r="P34" s="1">
        <f t="shared" si="1"/>
        <v>2762.7</v>
      </c>
      <c r="Q34" s="1">
        <v>2779.35</v>
      </c>
      <c r="R34" s="16">
        <f t="shared" si="2"/>
        <v>2204406.3277500002</v>
      </c>
      <c r="S34" s="20">
        <v>641.62</v>
      </c>
      <c r="T34" s="21">
        <v>38.279999999999994</v>
      </c>
      <c r="U34" s="21">
        <v>0.05</v>
      </c>
      <c r="V34" s="8">
        <v>679.94999999999993</v>
      </c>
      <c r="W34" s="25">
        <v>1.238</v>
      </c>
      <c r="X34" s="25">
        <f t="shared" si="3"/>
        <v>210444.52499999997</v>
      </c>
      <c r="Y34" s="1">
        <f t="shared" si="4"/>
        <v>3442.6499999999996</v>
      </c>
      <c r="Z34" s="1">
        <f t="shared" si="5"/>
        <v>3459.2999999999997</v>
      </c>
      <c r="AA34" s="1">
        <v>3461.86</v>
      </c>
      <c r="AB34" s="1">
        <f t="shared" si="0"/>
        <v>-19.210000000000491</v>
      </c>
      <c r="AC34" s="29">
        <f t="shared" si="6"/>
        <v>2.5600000000004002</v>
      </c>
      <c r="AD34" s="11">
        <f t="shared" si="7"/>
        <v>2414850.8527500001</v>
      </c>
    </row>
    <row r="35" spans="1:30" x14ac:dyDescent="0.3">
      <c r="A35" s="14">
        <v>45782.322916666664</v>
      </c>
      <c r="B35" s="1">
        <v>1467.68</v>
      </c>
      <c r="C35" s="11">
        <v>3.2732000000000001</v>
      </c>
      <c r="D35" s="1">
        <v>627.63</v>
      </c>
      <c r="E35" s="11">
        <v>3.0760000000000001</v>
      </c>
      <c r="F35" s="1">
        <v>398.57</v>
      </c>
      <c r="G35" s="11">
        <v>3.53</v>
      </c>
      <c r="H35" s="1">
        <v>75.88</v>
      </c>
      <c r="I35" s="11">
        <v>2.3962300000000001</v>
      </c>
      <c r="J35" s="1">
        <v>93.45</v>
      </c>
      <c r="K35" s="11">
        <v>1.79721</v>
      </c>
      <c r="L35" s="1">
        <v>0</v>
      </c>
      <c r="M35" s="11">
        <v>6.2</v>
      </c>
      <c r="N35" s="1">
        <v>120.66</v>
      </c>
      <c r="O35" s="11">
        <v>2.8224999999999998</v>
      </c>
      <c r="P35" s="1">
        <f t="shared" si="1"/>
        <v>2783.87</v>
      </c>
      <c r="Q35" s="1">
        <v>2742.31</v>
      </c>
      <c r="R35" s="16">
        <f t="shared" si="2"/>
        <v>2207972.5532250004</v>
      </c>
      <c r="S35" s="20">
        <v>644.08000000000004</v>
      </c>
      <c r="T35" s="21">
        <v>55.7</v>
      </c>
      <c r="U35" s="21">
        <v>0.12</v>
      </c>
      <c r="V35" s="8">
        <v>699.90000000000009</v>
      </c>
      <c r="W35" s="25">
        <v>1.238</v>
      </c>
      <c r="X35" s="25">
        <f t="shared" si="3"/>
        <v>216619.05000000002</v>
      </c>
      <c r="Y35" s="1">
        <f t="shared" si="4"/>
        <v>3483.77</v>
      </c>
      <c r="Z35" s="1">
        <f t="shared" si="5"/>
        <v>3442.21</v>
      </c>
      <c r="AA35" s="1">
        <v>3440.71</v>
      </c>
      <c r="AB35" s="1">
        <f t="shared" si="0"/>
        <v>43.059999999999945</v>
      </c>
      <c r="AC35" s="29">
        <f t="shared" si="6"/>
        <v>-1.5</v>
      </c>
      <c r="AD35" s="11">
        <f t="shared" si="7"/>
        <v>2424591.6032250002</v>
      </c>
    </row>
    <row r="36" spans="1:30" x14ac:dyDescent="0.3">
      <c r="A36" s="14">
        <v>45782.333333333336</v>
      </c>
      <c r="B36" s="1">
        <v>1445.54</v>
      </c>
      <c r="C36" s="11">
        <v>3.2732000000000001</v>
      </c>
      <c r="D36" s="1">
        <v>627.63</v>
      </c>
      <c r="E36" s="11">
        <v>3.0760000000000001</v>
      </c>
      <c r="F36" s="1">
        <v>398.57</v>
      </c>
      <c r="G36" s="11">
        <v>3.53</v>
      </c>
      <c r="H36" s="1">
        <v>58.78</v>
      </c>
      <c r="I36" s="11">
        <v>1.9994400000000001</v>
      </c>
      <c r="J36" s="1">
        <v>62.9</v>
      </c>
      <c r="K36" s="11">
        <v>1.7669000000000001</v>
      </c>
      <c r="L36" s="1">
        <v>51.08</v>
      </c>
      <c r="M36" s="11">
        <v>6.2</v>
      </c>
      <c r="N36" s="1">
        <v>145.35</v>
      </c>
      <c r="O36" s="11">
        <v>2.8224999999999998</v>
      </c>
      <c r="P36" s="1">
        <f t="shared" si="1"/>
        <v>2789.8500000000004</v>
      </c>
      <c r="Q36" s="1">
        <v>2745.12</v>
      </c>
      <c r="R36" s="16">
        <f t="shared" si="2"/>
        <v>2256173.7440499999</v>
      </c>
      <c r="S36" s="20">
        <v>642.45000000000005</v>
      </c>
      <c r="T36" s="21">
        <v>68.23</v>
      </c>
      <c r="U36" s="21">
        <v>0.12</v>
      </c>
      <c r="V36" s="8">
        <v>710.80000000000007</v>
      </c>
      <c r="W36" s="25">
        <v>1.238</v>
      </c>
      <c r="X36" s="25">
        <f t="shared" si="3"/>
        <v>219992.6</v>
      </c>
      <c r="Y36" s="1">
        <f t="shared" si="4"/>
        <v>3500.6500000000005</v>
      </c>
      <c r="Z36" s="1">
        <f t="shared" si="5"/>
        <v>3455.92</v>
      </c>
      <c r="AA36" s="1">
        <v>3452.78</v>
      </c>
      <c r="AB36" s="1">
        <f t="shared" si="0"/>
        <v>47.870000000000346</v>
      </c>
      <c r="AC36" s="29">
        <f t="shared" si="6"/>
        <v>-3.1399999999998727</v>
      </c>
      <c r="AD36" s="11">
        <f t="shared" si="7"/>
        <v>2476166.34405</v>
      </c>
    </row>
    <row r="37" spans="1:30" x14ac:dyDescent="0.3">
      <c r="A37" s="14">
        <v>45782.34375</v>
      </c>
      <c r="B37" s="1">
        <v>1418.52</v>
      </c>
      <c r="C37" s="11">
        <v>3.2732000000000001</v>
      </c>
      <c r="D37" s="1">
        <v>627.63</v>
      </c>
      <c r="E37" s="11">
        <v>3.0760000000000001</v>
      </c>
      <c r="F37" s="1">
        <v>398.57</v>
      </c>
      <c r="G37" s="11">
        <v>3.53</v>
      </c>
      <c r="H37" s="1">
        <v>49.99</v>
      </c>
      <c r="I37" s="11">
        <v>1.9996099999999999</v>
      </c>
      <c r="J37" s="1">
        <v>59.96</v>
      </c>
      <c r="K37" s="11">
        <v>1.9758900000000001</v>
      </c>
      <c r="L37" s="1">
        <v>62.88</v>
      </c>
      <c r="M37" s="11">
        <v>6.2</v>
      </c>
      <c r="N37" s="1">
        <v>172.21</v>
      </c>
      <c r="O37" s="11">
        <v>2.8224999999999998</v>
      </c>
      <c r="P37" s="1">
        <f t="shared" si="1"/>
        <v>2789.76</v>
      </c>
      <c r="Q37" s="1">
        <v>2764.53</v>
      </c>
      <c r="R37" s="16">
        <f t="shared" si="2"/>
        <v>2268748.8093250003</v>
      </c>
      <c r="S37" s="20">
        <v>633.52</v>
      </c>
      <c r="T37" s="21">
        <v>79.84</v>
      </c>
      <c r="U37" s="21">
        <v>0.1</v>
      </c>
      <c r="V37" s="8">
        <v>713.46</v>
      </c>
      <c r="W37" s="25">
        <v>1.238</v>
      </c>
      <c r="X37" s="25">
        <f t="shared" si="3"/>
        <v>220815.87000000002</v>
      </c>
      <c r="Y37" s="1">
        <f t="shared" si="4"/>
        <v>3503.2200000000003</v>
      </c>
      <c r="Z37" s="1">
        <f t="shared" si="5"/>
        <v>3477.9900000000002</v>
      </c>
      <c r="AA37" s="1">
        <v>3479.82</v>
      </c>
      <c r="AB37" s="1">
        <f t="shared" si="0"/>
        <v>23.400000000000091</v>
      </c>
      <c r="AC37" s="29">
        <f t="shared" si="6"/>
        <v>1.8299999999999272</v>
      </c>
      <c r="AD37" s="11">
        <f t="shared" si="7"/>
        <v>2489564.6793250004</v>
      </c>
    </row>
    <row r="38" spans="1:30" x14ac:dyDescent="0.3">
      <c r="A38" s="14">
        <v>45782.354166666664</v>
      </c>
      <c r="B38" s="1">
        <v>1349.17</v>
      </c>
      <c r="C38" s="11">
        <v>3.2732000000000001</v>
      </c>
      <c r="D38" s="1">
        <v>627.63</v>
      </c>
      <c r="E38" s="11">
        <v>3.0760000000000001</v>
      </c>
      <c r="F38" s="1">
        <v>398.57</v>
      </c>
      <c r="G38" s="11">
        <v>3.53</v>
      </c>
      <c r="H38" s="1">
        <v>49.42</v>
      </c>
      <c r="I38" s="11">
        <v>1.8045199999999999</v>
      </c>
      <c r="J38" s="1">
        <v>59.96</v>
      </c>
      <c r="K38" s="11">
        <v>2.02135</v>
      </c>
      <c r="L38" s="1">
        <v>63.96</v>
      </c>
      <c r="M38" s="11">
        <v>6.2</v>
      </c>
      <c r="N38" s="1">
        <v>200.31</v>
      </c>
      <c r="O38" s="11">
        <v>2.8224999999999998</v>
      </c>
      <c r="P38" s="1">
        <f t="shared" si="1"/>
        <v>2749.0200000000004</v>
      </c>
      <c r="Q38" s="1">
        <v>2766.52</v>
      </c>
      <c r="R38" s="16">
        <f t="shared" si="2"/>
        <v>2231487.9308500006</v>
      </c>
      <c r="S38" s="20">
        <v>624.07000000000005</v>
      </c>
      <c r="T38" s="21">
        <v>94.02000000000001</v>
      </c>
      <c r="U38" s="21">
        <v>0.21999999999999997</v>
      </c>
      <c r="V38" s="8">
        <v>718.31000000000006</v>
      </c>
      <c r="W38" s="25">
        <v>1.238</v>
      </c>
      <c r="X38" s="25">
        <f t="shared" si="3"/>
        <v>222316.94500000001</v>
      </c>
      <c r="Y38" s="1">
        <f t="shared" si="4"/>
        <v>3467.3300000000004</v>
      </c>
      <c r="Z38" s="1">
        <f t="shared" si="5"/>
        <v>3484.83</v>
      </c>
      <c r="AA38" s="1">
        <v>3486.59</v>
      </c>
      <c r="AB38" s="1">
        <f t="shared" si="0"/>
        <v>-19.259999999999764</v>
      </c>
      <c r="AC38" s="29">
        <f t="shared" si="6"/>
        <v>1.7600000000002183</v>
      </c>
      <c r="AD38" s="11">
        <f t="shared" si="7"/>
        <v>2453804.8758500004</v>
      </c>
    </row>
    <row r="39" spans="1:30" x14ac:dyDescent="0.3">
      <c r="A39" s="14">
        <v>45782.364583333336</v>
      </c>
      <c r="B39" s="1">
        <v>1328.54</v>
      </c>
      <c r="C39" s="11">
        <v>3.2732000000000001</v>
      </c>
      <c r="D39" s="1">
        <v>627.63</v>
      </c>
      <c r="E39" s="11">
        <v>3.0760000000000001</v>
      </c>
      <c r="F39" s="1">
        <v>398.57</v>
      </c>
      <c r="G39" s="11">
        <v>3.53</v>
      </c>
      <c r="H39" s="1">
        <v>31.15</v>
      </c>
      <c r="I39" s="11">
        <v>1.7940199999999999</v>
      </c>
      <c r="J39" s="1">
        <v>59.96</v>
      </c>
      <c r="K39" s="11">
        <v>2.0354999999999999</v>
      </c>
      <c r="L39" s="1">
        <v>82</v>
      </c>
      <c r="M39" s="11">
        <v>6.2</v>
      </c>
      <c r="N39" s="1">
        <v>215.73</v>
      </c>
      <c r="O39" s="11">
        <v>2.8224999999999998</v>
      </c>
      <c r="P39" s="1">
        <f t="shared" si="1"/>
        <v>2743.5800000000004</v>
      </c>
      <c r="Q39" s="1">
        <v>2802.58</v>
      </c>
      <c r="R39" s="16">
        <f t="shared" si="2"/>
        <v>2245337.3339999998</v>
      </c>
      <c r="S39" s="20">
        <v>587.37</v>
      </c>
      <c r="T39" s="21">
        <v>106.89999999999999</v>
      </c>
      <c r="U39" s="21">
        <v>0.2</v>
      </c>
      <c r="V39" s="8">
        <v>694.47</v>
      </c>
      <c r="W39" s="25">
        <v>1.238</v>
      </c>
      <c r="X39" s="25">
        <f t="shared" si="3"/>
        <v>214938.465</v>
      </c>
      <c r="Y39" s="1">
        <f t="shared" si="4"/>
        <v>3438.05</v>
      </c>
      <c r="Z39" s="1">
        <f t="shared" si="5"/>
        <v>3497.05</v>
      </c>
      <c r="AA39" s="1">
        <v>3506.4</v>
      </c>
      <c r="AB39" s="1">
        <f t="shared" si="0"/>
        <v>-68.349999999999909</v>
      </c>
      <c r="AC39" s="29">
        <f t="shared" si="6"/>
        <v>9.3499999999999091</v>
      </c>
      <c r="AD39" s="11">
        <f t="shared" si="7"/>
        <v>2460275.7989999996</v>
      </c>
    </row>
    <row r="40" spans="1:30" x14ac:dyDescent="0.3">
      <c r="A40" s="14">
        <v>45782.375</v>
      </c>
      <c r="B40" s="1">
        <v>1132.95</v>
      </c>
      <c r="C40" s="11">
        <v>3.2732000000000001</v>
      </c>
      <c r="D40" s="1">
        <v>627.63</v>
      </c>
      <c r="E40" s="11">
        <v>3.0760000000000001</v>
      </c>
      <c r="F40" s="1">
        <v>398.57</v>
      </c>
      <c r="G40" s="11">
        <v>3.53</v>
      </c>
      <c r="H40" s="1">
        <v>32.06</v>
      </c>
      <c r="I40" s="11">
        <v>1.75708</v>
      </c>
      <c r="J40" s="1">
        <v>122.58</v>
      </c>
      <c r="K40" s="11">
        <v>2.27536</v>
      </c>
      <c r="L40" s="1">
        <v>83.85</v>
      </c>
      <c r="M40" s="11">
        <v>6.2</v>
      </c>
      <c r="N40" s="1">
        <v>241.84</v>
      </c>
      <c r="O40" s="11">
        <v>2.8224999999999998</v>
      </c>
      <c r="P40" s="1">
        <f t="shared" si="1"/>
        <v>2639.48</v>
      </c>
      <c r="Q40" s="1">
        <v>2806.04</v>
      </c>
      <c r="R40" s="16">
        <f t="shared" si="2"/>
        <v>2145905.7334000003</v>
      </c>
      <c r="S40" s="20">
        <v>614.54</v>
      </c>
      <c r="T40" s="21">
        <v>120.23</v>
      </c>
      <c r="U40" s="21">
        <v>0.12000000000000001</v>
      </c>
      <c r="V40" s="8">
        <v>734.89</v>
      </c>
      <c r="W40" s="25">
        <v>1.238</v>
      </c>
      <c r="X40" s="25">
        <f t="shared" si="3"/>
        <v>227448.45499999999</v>
      </c>
      <c r="Y40" s="1">
        <f t="shared" si="4"/>
        <v>3374.37</v>
      </c>
      <c r="Z40" s="1">
        <f t="shared" si="5"/>
        <v>3540.93</v>
      </c>
      <c r="AA40" s="1">
        <v>3546.37</v>
      </c>
      <c r="AB40" s="1">
        <f t="shared" si="0"/>
        <v>-172</v>
      </c>
      <c r="AC40" s="29">
        <f t="shared" si="6"/>
        <v>5.4400000000000546</v>
      </c>
      <c r="AD40" s="11">
        <f t="shared" si="7"/>
        <v>2373354.1884000003</v>
      </c>
    </row>
    <row r="41" spans="1:30" x14ac:dyDescent="0.3">
      <c r="A41" s="14">
        <v>45782.385416666664</v>
      </c>
      <c r="B41" s="1">
        <v>1075.3</v>
      </c>
      <c r="C41" s="11">
        <v>3.2732000000000001</v>
      </c>
      <c r="D41" s="1">
        <v>627.63</v>
      </c>
      <c r="E41" s="11">
        <v>3.0760000000000001</v>
      </c>
      <c r="F41" s="1">
        <v>398.57</v>
      </c>
      <c r="G41" s="11">
        <v>3.53</v>
      </c>
      <c r="H41" s="1">
        <v>32.24</v>
      </c>
      <c r="I41" s="11">
        <v>1.76633</v>
      </c>
      <c r="J41" s="1">
        <v>178.22</v>
      </c>
      <c r="K41" s="11">
        <v>2.5103200000000001</v>
      </c>
      <c r="L41" s="1">
        <v>84.07</v>
      </c>
      <c r="M41" s="11">
        <v>6.2</v>
      </c>
      <c r="N41" s="1">
        <v>262.89999999999998</v>
      </c>
      <c r="O41" s="11">
        <v>2.8224999999999998</v>
      </c>
      <c r="P41" s="1">
        <f t="shared" si="1"/>
        <v>2658.93</v>
      </c>
      <c r="Q41" s="1">
        <v>2879.38</v>
      </c>
      <c r="R41" s="16">
        <f t="shared" si="2"/>
        <v>2156204.7248999998</v>
      </c>
      <c r="S41" s="20">
        <v>587.71</v>
      </c>
      <c r="T41" s="21">
        <v>132.35000000000002</v>
      </c>
      <c r="U41" s="21">
        <v>0.09</v>
      </c>
      <c r="V41" s="8">
        <v>720.15000000000009</v>
      </c>
      <c r="W41" s="25">
        <v>1.238</v>
      </c>
      <c r="X41" s="25">
        <f t="shared" si="3"/>
        <v>222886.42500000002</v>
      </c>
      <c r="Y41" s="1">
        <f t="shared" si="4"/>
        <v>3379.08</v>
      </c>
      <c r="Z41" s="1">
        <f t="shared" si="5"/>
        <v>3599.53</v>
      </c>
      <c r="AA41" s="1">
        <v>3604.39</v>
      </c>
      <c r="AB41" s="1">
        <f t="shared" si="0"/>
        <v>-225.30999999999995</v>
      </c>
      <c r="AC41" s="29">
        <f t="shared" si="6"/>
        <v>4.8599999999996726</v>
      </c>
      <c r="AD41" s="11">
        <f t="shared" si="7"/>
        <v>2379091.1498999996</v>
      </c>
    </row>
    <row r="42" spans="1:30" x14ac:dyDescent="0.3">
      <c r="A42" s="14">
        <v>45782.395833333336</v>
      </c>
      <c r="B42" s="1">
        <v>1072.1199999999999</v>
      </c>
      <c r="C42" s="11">
        <v>3.2732000000000001</v>
      </c>
      <c r="D42" s="1">
        <v>627.63</v>
      </c>
      <c r="E42" s="11">
        <v>3.0760000000000001</v>
      </c>
      <c r="F42" s="1">
        <v>398.57</v>
      </c>
      <c r="G42" s="11">
        <v>3.53</v>
      </c>
      <c r="H42" s="1">
        <v>27.76</v>
      </c>
      <c r="I42" s="11">
        <v>1.6995100000000001</v>
      </c>
      <c r="J42" s="1">
        <v>24.46</v>
      </c>
      <c r="K42" s="11">
        <v>2.5257299999999998</v>
      </c>
      <c r="L42" s="1">
        <v>84.35</v>
      </c>
      <c r="M42" s="11">
        <v>6.2</v>
      </c>
      <c r="N42" s="1">
        <v>318.26</v>
      </c>
      <c r="O42" s="11">
        <v>2.8224999999999998</v>
      </c>
      <c r="P42" s="1">
        <f t="shared" si="1"/>
        <v>2553.1500000000005</v>
      </c>
      <c r="Q42" s="1">
        <v>2838.02</v>
      </c>
      <c r="R42" s="16">
        <f t="shared" si="2"/>
        <v>2094255.4418499998</v>
      </c>
      <c r="S42" s="20">
        <v>637.12</v>
      </c>
      <c r="T42" s="21">
        <v>143.40999999999997</v>
      </c>
      <c r="U42" s="21">
        <v>0.09</v>
      </c>
      <c r="V42" s="8">
        <v>780.62</v>
      </c>
      <c r="W42" s="25">
        <v>1.238</v>
      </c>
      <c r="X42" s="25">
        <f t="shared" si="3"/>
        <v>241601.88999999998</v>
      </c>
      <c r="Y42" s="1">
        <f t="shared" si="4"/>
        <v>3333.7700000000004</v>
      </c>
      <c r="Z42" s="1">
        <f t="shared" si="5"/>
        <v>3618.64</v>
      </c>
      <c r="AA42" s="1">
        <v>3615.37</v>
      </c>
      <c r="AB42" s="1">
        <f t="shared" si="0"/>
        <v>-281.59999999999945</v>
      </c>
      <c r="AC42" s="29">
        <f t="shared" si="6"/>
        <v>-3.2699999999999818</v>
      </c>
      <c r="AD42" s="11">
        <f t="shared" si="7"/>
        <v>2335857.3318499997</v>
      </c>
    </row>
    <row r="43" spans="1:30" x14ac:dyDescent="0.3">
      <c r="A43" s="14">
        <v>45782.40625</v>
      </c>
      <c r="B43" s="1">
        <v>1073.3499999999999</v>
      </c>
      <c r="C43" s="11">
        <v>3.2732000000000001</v>
      </c>
      <c r="D43" s="1">
        <v>627.63</v>
      </c>
      <c r="E43" s="11">
        <v>3.0760000000000001</v>
      </c>
      <c r="F43" s="1">
        <v>398.57</v>
      </c>
      <c r="G43" s="11">
        <v>3.53</v>
      </c>
      <c r="H43" s="1">
        <v>28.31</v>
      </c>
      <c r="I43" s="11">
        <v>1.6996600000000002</v>
      </c>
      <c r="J43" s="1">
        <v>101.24</v>
      </c>
      <c r="K43" s="11">
        <v>2.0766399999999998</v>
      </c>
      <c r="L43" s="1">
        <v>84.28</v>
      </c>
      <c r="M43" s="11">
        <v>6.2</v>
      </c>
      <c r="N43" s="1">
        <v>349.43</v>
      </c>
      <c r="O43" s="11">
        <v>2.8224999999999998</v>
      </c>
      <c r="P43" s="1">
        <f t="shared" si="1"/>
        <v>2662.81</v>
      </c>
      <c r="Q43" s="1">
        <v>2687.64</v>
      </c>
      <c r="R43" s="16">
        <f t="shared" si="2"/>
        <v>2154497.4458000003</v>
      </c>
      <c r="S43" s="20">
        <v>788.07</v>
      </c>
      <c r="T43" s="21">
        <v>148.97000000000003</v>
      </c>
      <c r="U43" s="21">
        <v>0.09</v>
      </c>
      <c r="V43" s="8">
        <v>937.13000000000011</v>
      </c>
      <c r="W43" s="25">
        <v>1.238</v>
      </c>
      <c r="X43" s="25">
        <f t="shared" si="3"/>
        <v>290041.73500000004</v>
      </c>
      <c r="Y43" s="1">
        <f t="shared" si="4"/>
        <v>3599.94</v>
      </c>
      <c r="Z43" s="1">
        <f t="shared" si="5"/>
        <v>3624.77</v>
      </c>
      <c r="AA43" s="1">
        <v>3640.08</v>
      </c>
      <c r="AB43" s="1">
        <f t="shared" si="0"/>
        <v>-40.139999999999873</v>
      </c>
      <c r="AC43" s="29">
        <f t="shared" si="6"/>
        <v>15.309999999999945</v>
      </c>
      <c r="AD43" s="11">
        <f t="shared" si="7"/>
        <v>2444539.1808000002</v>
      </c>
    </row>
    <row r="44" spans="1:30" x14ac:dyDescent="0.3">
      <c r="A44" s="14">
        <v>45782.416666666664</v>
      </c>
      <c r="B44" s="1">
        <v>1072.5</v>
      </c>
      <c r="C44" s="11">
        <v>3.2732000000000001</v>
      </c>
      <c r="D44" s="1">
        <v>627.63</v>
      </c>
      <c r="E44" s="11">
        <v>3.0760000000000001</v>
      </c>
      <c r="F44" s="1">
        <v>398.57</v>
      </c>
      <c r="G44" s="11">
        <v>3.53</v>
      </c>
      <c r="H44" s="1">
        <v>26.67</v>
      </c>
      <c r="I44" s="11">
        <v>1.69922</v>
      </c>
      <c r="J44" s="1">
        <v>66.13</v>
      </c>
      <c r="K44" s="11">
        <v>2.0769499999999996</v>
      </c>
      <c r="L44" s="1">
        <v>84.54</v>
      </c>
      <c r="M44" s="11">
        <v>6.2</v>
      </c>
      <c r="N44" s="1">
        <v>398.08</v>
      </c>
      <c r="O44" s="11">
        <v>2.8224999999999998</v>
      </c>
      <c r="P44" s="1">
        <f t="shared" si="1"/>
        <v>2674.1200000000003</v>
      </c>
      <c r="Q44" s="1">
        <v>2850.98</v>
      </c>
      <c r="R44" s="16">
        <f t="shared" si="2"/>
        <v>2169611.170225</v>
      </c>
      <c r="S44" s="20">
        <v>627.89</v>
      </c>
      <c r="T44" s="21">
        <v>163.67000000000002</v>
      </c>
      <c r="U44" s="21">
        <v>0.09</v>
      </c>
      <c r="V44" s="8">
        <v>791.65</v>
      </c>
      <c r="W44" s="25">
        <v>1.238</v>
      </c>
      <c r="X44" s="25">
        <f t="shared" si="3"/>
        <v>245015.67499999999</v>
      </c>
      <c r="Y44" s="1">
        <f t="shared" si="4"/>
        <v>3465.7700000000004</v>
      </c>
      <c r="Z44" s="1">
        <f t="shared" si="5"/>
        <v>3642.63</v>
      </c>
      <c r="AA44" s="1">
        <v>3643.65</v>
      </c>
      <c r="AB44" s="1">
        <f t="shared" si="0"/>
        <v>-177.87999999999965</v>
      </c>
      <c r="AC44" s="29">
        <f t="shared" si="6"/>
        <v>1.0199999999999818</v>
      </c>
      <c r="AD44" s="11">
        <f t="shared" si="7"/>
        <v>2414626.8452249998</v>
      </c>
    </row>
    <row r="45" spans="1:30" x14ac:dyDescent="0.3">
      <c r="A45" s="14">
        <v>45782.427083333336</v>
      </c>
      <c r="B45" s="1">
        <v>1075.01</v>
      </c>
      <c r="C45" s="11">
        <v>3.2732000000000001</v>
      </c>
      <c r="D45" s="1">
        <v>627.63</v>
      </c>
      <c r="E45" s="11">
        <v>3.0760000000000001</v>
      </c>
      <c r="F45" s="1">
        <v>398.57</v>
      </c>
      <c r="G45" s="11">
        <v>3.53</v>
      </c>
      <c r="H45" s="1">
        <v>28.32</v>
      </c>
      <c r="I45" s="11">
        <v>1.71973</v>
      </c>
      <c r="J45" s="1">
        <v>62.85</v>
      </c>
      <c r="K45" s="11">
        <v>2.0255899999999998</v>
      </c>
      <c r="L45" s="1">
        <v>84.47</v>
      </c>
      <c r="M45" s="11">
        <v>6.2</v>
      </c>
      <c r="N45" s="1">
        <v>426.23</v>
      </c>
      <c r="O45" s="11">
        <v>2.8224999999999998</v>
      </c>
      <c r="P45" s="1">
        <f t="shared" si="1"/>
        <v>2703.08</v>
      </c>
      <c r="Q45" s="1">
        <v>2772.26</v>
      </c>
      <c r="R45" s="16">
        <f t="shared" si="2"/>
        <v>2189755.9930249997</v>
      </c>
      <c r="S45" s="20">
        <v>711.67</v>
      </c>
      <c r="T45" s="21">
        <v>173.94000000000003</v>
      </c>
      <c r="U45" s="21">
        <v>0.09</v>
      </c>
      <c r="V45" s="8">
        <v>885.7</v>
      </c>
      <c r="W45" s="25">
        <v>1.238</v>
      </c>
      <c r="X45" s="25">
        <f t="shared" si="3"/>
        <v>274124.14999999997</v>
      </c>
      <c r="Y45" s="1">
        <f t="shared" si="4"/>
        <v>3588.7799999999997</v>
      </c>
      <c r="Z45" s="1">
        <f t="shared" si="5"/>
        <v>3657.96</v>
      </c>
      <c r="AA45" s="1">
        <v>3667.17</v>
      </c>
      <c r="AB45" s="1">
        <f t="shared" si="0"/>
        <v>-78.390000000000327</v>
      </c>
      <c r="AC45" s="29">
        <f t="shared" si="6"/>
        <v>9.2100000000000364</v>
      </c>
      <c r="AD45" s="11">
        <f t="shared" si="7"/>
        <v>2463880.1430249996</v>
      </c>
    </row>
    <row r="46" spans="1:30" x14ac:dyDescent="0.3">
      <c r="A46" s="14">
        <v>45782.4375</v>
      </c>
      <c r="B46" s="1">
        <v>1076.72</v>
      </c>
      <c r="C46" s="11">
        <v>3.2732000000000001</v>
      </c>
      <c r="D46" s="1">
        <v>627.63</v>
      </c>
      <c r="E46" s="11">
        <v>3.0760000000000001</v>
      </c>
      <c r="F46" s="1">
        <v>398.57</v>
      </c>
      <c r="G46" s="11">
        <v>3.53</v>
      </c>
      <c r="H46" s="1">
        <v>29.37</v>
      </c>
      <c r="I46" s="11">
        <v>1.6996600000000002</v>
      </c>
      <c r="J46" s="1">
        <v>63.75</v>
      </c>
      <c r="K46" s="11">
        <v>2.0353300000000001</v>
      </c>
      <c r="L46" s="1">
        <v>84.92</v>
      </c>
      <c r="M46" s="11">
        <v>6.2</v>
      </c>
      <c r="N46" s="1">
        <v>451.08</v>
      </c>
      <c r="O46" s="11">
        <v>2.8224999999999998</v>
      </c>
      <c r="P46" s="1">
        <f t="shared" si="1"/>
        <v>2732.04</v>
      </c>
      <c r="Q46" s="1">
        <v>2777.96</v>
      </c>
      <c r="R46" s="16">
        <f t="shared" si="2"/>
        <v>2210302.621425</v>
      </c>
      <c r="S46" s="20">
        <v>718.36</v>
      </c>
      <c r="T46" s="21">
        <v>177.54</v>
      </c>
      <c r="U46" s="21">
        <v>0.09</v>
      </c>
      <c r="V46" s="8">
        <v>895.99</v>
      </c>
      <c r="W46" s="25">
        <v>1.238</v>
      </c>
      <c r="X46" s="25">
        <f t="shared" si="3"/>
        <v>277308.90499999997</v>
      </c>
      <c r="Y46" s="1">
        <f t="shared" si="4"/>
        <v>3628.0299999999997</v>
      </c>
      <c r="Z46" s="1">
        <f t="shared" si="5"/>
        <v>3673.95</v>
      </c>
      <c r="AA46" s="1">
        <v>3679.21</v>
      </c>
      <c r="AB46" s="1">
        <f t="shared" si="0"/>
        <v>-51.180000000000291</v>
      </c>
      <c r="AC46" s="29">
        <f t="shared" si="6"/>
        <v>5.2600000000002183</v>
      </c>
      <c r="AD46" s="11">
        <f t="shared" si="7"/>
        <v>2487611.5264249998</v>
      </c>
    </row>
    <row r="47" spans="1:30" x14ac:dyDescent="0.3">
      <c r="A47" s="14">
        <v>45782.447916666664</v>
      </c>
      <c r="B47" s="1">
        <v>1077.46</v>
      </c>
      <c r="C47" s="11">
        <v>3.2732000000000001</v>
      </c>
      <c r="D47" s="1">
        <v>627.63</v>
      </c>
      <c r="E47" s="11">
        <v>3.0760000000000001</v>
      </c>
      <c r="F47" s="1">
        <v>398.57</v>
      </c>
      <c r="G47" s="11">
        <v>3.53</v>
      </c>
      <c r="H47" s="1">
        <v>31.23</v>
      </c>
      <c r="I47" s="11">
        <v>1.6996300000000002</v>
      </c>
      <c r="J47" s="1">
        <v>65.44</v>
      </c>
      <c r="K47" s="11">
        <v>2.0109900000000001</v>
      </c>
      <c r="L47" s="1">
        <v>84.59</v>
      </c>
      <c r="M47" s="11">
        <v>6.2</v>
      </c>
      <c r="N47" s="1">
        <v>462.98</v>
      </c>
      <c r="O47" s="11">
        <v>2.8224999999999998</v>
      </c>
      <c r="P47" s="1">
        <f t="shared" si="1"/>
        <v>2747.9000000000005</v>
      </c>
      <c r="Q47" s="1">
        <v>2765.3</v>
      </c>
      <c r="R47" s="16">
        <f t="shared" si="2"/>
        <v>2220045.4331250004</v>
      </c>
      <c r="S47" s="20">
        <v>722.13</v>
      </c>
      <c r="T47" s="21">
        <v>177.87</v>
      </c>
      <c r="U47" s="21">
        <v>0.09</v>
      </c>
      <c r="V47" s="8">
        <v>900.09</v>
      </c>
      <c r="W47" s="25">
        <v>1.238</v>
      </c>
      <c r="X47" s="25">
        <f t="shared" si="3"/>
        <v>278577.85499999998</v>
      </c>
      <c r="Y47" s="1">
        <f t="shared" si="4"/>
        <v>3647.9900000000007</v>
      </c>
      <c r="Z47" s="1">
        <f t="shared" si="5"/>
        <v>3665.3900000000003</v>
      </c>
      <c r="AA47" s="1">
        <v>3671.19</v>
      </c>
      <c r="AB47" s="1">
        <f t="shared" si="0"/>
        <v>-23.199999999999363</v>
      </c>
      <c r="AC47" s="29">
        <f t="shared" si="6"/>
        <v>5.7999999999997272</v>
      </c>
      <c r="AD47" s="11">
        <f t="shared" si="7"/>
        <v>2498623.2881250004</v>
      </c>
    </row>
    <row r="48" spans="1:30" x14ac:dyDescent="0.3">
      <c r="A48" s="14">
        <v>45782.458333333336</v>
      </c>
      <c r="B48" s="1">
        <v>1078.1400000000001</v>
      </c>
      <c r="C48" s="11">
        <v>3.2732000000000001</v>
      </c>
      <c r="D48" s="1">
        <v>627.63</v>
      </c>
      <c r="E48" s="11">
        <v>3.0760000000000001</v>
      </c>
      <c r="F48" s="1">
        <v>398.57</v>
      </c>
      <c r="G48" s="11">
        <v>3.53</v>
      </c>
      <c r="H48" s="1">
        <v>32.26</v>
      </c>
      <c r="I48" s="11">
        <v>1.67442</v>
      </c>
      <c r="J48" s="1">
        <v>305.62</v>
      </c>
      <c r="K48" s="11">
        <v>1.7666300000000001</v>
      </c>
      <c r="L48" s="1">
        <v>85.1</v>
      </c>
      <c r="M48" s="11">
        <v>6.2</v>
      </c>
      <c r="N48" s="1">
        <v>464.29</v>
      </c>
      <c r="O48" s="11">
        <v>2.8224999999999998</v>
      </c>
      <c r="P48" s="1">
        <f t="shared" si="1"/>
        <v>2991.61</v>
      </c>
      <c r="Q48" s="1">
        <v>2755.3</v>
      </c>
      <c r="R48" s="16">
        <f t="shared" si="2"/>
        <v>2324630.6507000001</v>
      </c>
      <c r="S48" s="20">
        <v>715.31000000000017</v>
      </c>
      <c r="T48" s="21">
        <v>180.30999999999997</v>
      </c>
      <c r="U48" s="21">
        <v>0.09</v>
      </c>
      <c r="V48" s="8">
        <v>895.71000000000015</v>
      </c>
      <c r="W48" s="25">
        <v>1.238</v>
      </c>
      <c r="X48" s="25">
        <f t="shared" si="3"/>
        <v>277222.24500000005</v>
      </c>
      <c r="Y48" s="1">
        <f t="shared" si="4"/>
        <v>3887.32</v>
      </c>
      <c r="Z48" s="1">
        <f t="shared" si="5"/>
        <v>3651.01</v>
      </c>
      <c r="AA48" s="1">
        <v>3664.77</v>
      </c>
      <c r="AB48" s="1">
        <f t="shared" si="0"/>
        <v>222.55000000000018</v>
      </c>
      <c r="AC48" s="29">
        <f t="shared" si="6"/>
        <v>13.759999999999764</v>
      </c>
      <c r="AD48" s="11">
        <f t="shared" si="7"/>
        <v>2601852.8957000002</v>
      </c>
    </row>
    <row r="49" spans="1:30" x14ac:dyDescent="0.3">
      <c r="A49" s="14">
        <v>45782.46875</v>
      </c>
      <c r="B49" s="1">
        <v>1078.82</v>
      </c>
      <c r="C49" s="11">
        <v>3.2732000000000001</v>
      </c>
      <c r="D49" s="1">
        <v>627.63</v>
      </c>
      <c r="E49" s="11">
        <v>3.0760000000000001</v>
      </c>
      <c r="F49" s="1">
        <v>398.57</v>
      </c>
      <c r="G49" s="11">
        <v>3.53</v>
      </c>
      <c r="H49" s="1">
        <v>32.33</v>
      </c>
      <c r="I49" s="11">
        <v>1.64317</v>
      </c>
      <c r="J49" s="1">
        <v>342.87</v>
      </c>
      <c r="K49" s="11">
        <v>1.7757499999999999</v>
      </c>
      <c r="L49" s="1">
        <v>85.23</v>
      </c>
      <c r="M49" s="11">
        <v>6.2</v>
      </c>
      <c r="N49" s="1">
        <v>460.53</v>
      </c>
      <c r="O49" s="11">
        <v>2.8224999999999998</v>
      </c>
      <c r="P49" s="1">
        <f t="shared" si="1"/>
        <v>3025.9799999999996</v>
      </c>
      <c r="Q49" s="1">
        <v>2932.4</v>
      </c>
      <c r="R49" s="16">
        <f t="shared" si="2"/>
        <v>2339745.6544000003</v>
      </c>
      <c r="S49" s="20">
        <v>502.36</v>
      </c>
      <c r="T49" s="21">
        <v>180.4</v>
      </c>
      <c r="U49" s="21">
        <v>0.09</v>
      </c>
      <c r="V49" s="8">
        <v>682.85</v>
      </c>
      <c r="W49" s="25">
        <v>1.238</v>
      </c>
      <c r="X49" s="25">
        <f t="shared" si="3"/>
        <v>211342.07499999998</v>
      </c>
      <c r="Y49" s="1">
        <f t="shared" si="4"/>
        <v>3708.8299999999995</v>
      </c>
      <c r="Z49" s="1">
        <f t="shared" si="5"/>
        <v>3615.25</v>
      </c>
      <c r="AA49" s="1">
        <v>3633.41</v>
      </c>
      <c r="AB49" s="1">
        <f t="shared" si="0"/>
        <v>75.419999999999618</v>
      </c>
      <c r="AC49" s="29">
        <f t="shared" si="6"/>
        <v>18.159999999999854</v>
      </c>
      <c r="AD49" s="11">
        <f t="shared" si="7"/>
        <v>2551087.7294000005</v>
      </c>
    </row>
    <row r="50" spans="1:30" x14ac:dyDescent="0.3">
      <c r="A50" s="14">
        <v>45782.479166666664</v>
      </c>
      <c r="B50" s="1">
        <v>1079.5</v>
      </c>
      <c r="C50" s="11">
        <v>3.2732000000000001</v>
      </c>
      <c r="D50" s="1">
        <v>627.63</v>
      </c>
      <c r="E50" s="11">
        <v>3.0760000000000001</v>
      </c>
      <c r="F50" s="1">
        <v>398.57</v>
      </c>
      <c r="G50" s="11">
        <v>3.53</v>
      </c>
      <c r="H50" s="1">
        <v>32.33</v>
      </c>
      <c r="I50" s="11">
        <v>1.6439300000000001</v>
      </c>
      <c r="J50" s="1">
        <v>308.42</v>
      </c>
      <c r="K50" s="11">
        <v>1.4995399999999999</v>
      </c>
      <c r="L50" s="1">
        <v>85.15</v>
      </c>
      <c r="M50" s="11">
        <v>6.2</v>
      </c>
      <c r="N50" s="1">
        <v>472.76</v>
      </c>
      <c r="O50" s="11">
        <v>2.8224999999999998</v>
      </c>
      <c r="P50" s="1">
        <f t="shared" si="1"/>
        <v>3004.3600000000006</v>
      </c>
      <c r="Q50" s="1">
        <v>2977.79</v>
      </c>
      <c r="R50" s="16">
        <f t="shared" si="2"/>
        <v>2312223.2159250001</v>
      </c>
      <c r="S50" s="20">
        <v>492.44000000000005</v>
      </c>
      <c r="T50" s="21">
        <v>175.25</v>
      </c>
      <c r="U50" s="21">
        <v>0.1</v>
      </c>
      <c r="V50" s="8">
        <v>667.79000000000008</v>
      </c>
      <c r="W50" s="25">
        <v>1.238</v>
      </c>
      <c r="X50" s="25">
        <f t="shared" si="3"/>
        <v>206681.00500000003</v>
      </c>
      <c r="Y50" s="1">
        <f t="shared" si="4"/>
        <v>3672.1500000000005</v>
      </c>
      <c r="Z50" s="1">
        <f t="shared" si="5"/>
        <v>3645.58</v>
      </c>
      <c r="AA50" s="1">
        <v>3654.61</v>
      </c>
      <c r="AB50" s="1">
        <f t="shared" si="0"/>
        <v>17.540000000000418</v>
      </c>
      <c r="AC50" s="29">
        <f t="shared" si="6"/>
        <v>9.0300000000002001</v>
      </c>
      <c r="AD50" s="11">
        <f t="shared" si="7"/>
        <v>2518904.220925</v>
      </c>
    </row>
    <row r="51" spans="1:30" x14ac:dyDescent="0.3">
      <c r="A51" s="14">
        <v>45782.489583333336</v>
      </c>
      <c r="B51" s="1">
        <v>1080.18</v>
      </c>
      <c r="C51" s="11">
        <v>3.2732000000000001</v>
      </c>
      <c r="D51" s="1">
        <v>627.63</v>
      </c>
      <c r="E51" s="11">
        <v>3.0760000000000001</v>
      </c>
      <c r="F51" s="1">
        <v>398.57</v>
      </c>
      <c r="G51" s="11">
        <v>3.53</v>
      </c>
      <c r="H51" s="1">
        <v>32.33</v>
      </c>
      <c r="I51" s="11">
        <v>1.67432</v>
      </c>
      <c r="J51" s="1">
        <v>305.63</v>
      </c>
      <c r="K51" s="11">
        <v>1.7663499999999999</v>
      </c>
      <c r="L51" s="1">
        <v>85.41</v>
      </c>
      <c r="M51" s="11">
        <v>6.2</v>
      </c>
      <c r="N51" s="1">
        <v>478.87</v>
      </c>
      <c r="O51" s="11">
        <v>2.8224999999999998</v>
      </c>
      <c r="P51" s="1">
        <f t="shared" si="1"/>
        <v>3008.62</v>
      </c>
      <c r="Q51" s="1">
        <v>2960.58</v>
      </c>
      <c r="R51" s="16">
        <f t="shared" si="2"/>
        <v>2337080.011775</v>
      </c>
      <c r="S51" s="20">
        <v>515.64</v>
      </c>
      <c r="T51" s="21">
        <v>192.97</v>
      </c>
      <c r="U51" s="21">
        <v>6.0000000000000005E-2</v>
      </c>
      <c r="V51" s="8">
        <v>708.67</v>
      </c>
      <c r="W51" s="25">
        <v>1.238</v>
      </c>
      <c r="X51" s="25">
        <f t="shared" si="3"/>
        <v>219333.36499999999</v>
      </c>
      <c r="Y51" s="1">
        <f t="shared" si="4"/>
        <v>3717.29</v>
      </c>
      <c r="Z51" s="1">
        <f t="shared" si="5"/>
        <v>3669.25</v>
      </c>
      <c r="AA51" s="1">
        <v>3679.09</v>
      </c>
      <c r="AB51" s="1">
        <f t="shared" si="0"/>
        <v>38.199999999999818</v>
      </c>
      <c r="AC51" s="29">
        <f t="shared" si="6"/>
        <v>9.8400000000001455</v>
      </c>
      <c r="AD51" s="11">
        <f t="shared" si="7"/>
        <v>2556413.3767750002</v>
      </c>
    </row>
    <row r="52" spans="1:30" x14ac:dyDescent="0.3">
      <c r="A52" s="14">
        <v>45782.5</v>
      </c>
      <c r="B52" s="1">
        <v>1080.8499999999999</v>
      </c>
      <c r="C52" s="11">
        <v>3.2732000000000001</v>
      </c>
      <c r="D52" s="1">
        <v>627.63</v>
      </c>
      <c r="E52" s="11">
        <v>3.0760000000000001</v>
      </c>
      <c r="F52" s="1">
        <v>398.57</v>
      </c>
      <c r="G52" s="11">
        <v>3.53</v>
      </c>
      <c r="H52" s="1">
        <v>31.88</v>
      </c>
      <c r="I52" s="11">
        <v>1.6760299999999999</v>
      </c>
      <c r="J52" s="1">
        <v>215.78</v>
      </c>
      <c r="K52" s="11">
        <v>1.92144</v>
      </c>
      <c r="L52" s="1">
        <v>84.35</v>
      </c>
      <c r="M52" s="11">
        <v>6.2</v>
      </c>
      <c r="N52" s="1">
        <v>413.2</v>
      </c>
      <c r="O52" s="11">
        <v>2.8224999999999998</v>
      </c>
      <c r="P52" s="1">
        <f t="shared" si="1"/>
        <v>2852.26</v>
      </c>
      <c r="Q52" s="1">
        <v>2970.28</v>
      </c>
      <c r="R52" s="16">
        <f t="shared" si="2"/>
        <v>2258161.8399</v>
      </c>
      <c r="S52" s="20">
        <v>530.55000000000007</v>
      </c>
      <c r="T52" s="21">
        <v>197.44</v>
      </c>
      <c r="U52" s="21">
        <v>0.05</v>
      </c>
      <c r="V52" s="8">
        <v>728.04</v>
      </c>
      <c r="W52" s="25">
        <v>1.238</v>
      </c>
      <c r="X52" s="25">
        <f t="shared" si="3"/>
        <v>225328.37999999998</v>
      </c>
      <c r="Y52" s="1">
        <f t="shared" si="4"/>
        <v>3580.3</v>
      </c>
      <c r="Z52" s="1">
        <f t="shared" si="5"/>
        <v>3698.32</v>
      </c>
      <c r="AA52" s="1">
        <v>3708.19</v>
      </c>
      <c r="AB52" s="1">
        <f t="shared" si="0"/>
        <v>-127.88999999999987</v>
      </c>
      <c r="AC52" s="29">
        <f t="shared" si="6"/>
        <v>9.8699999999998909</v>
      </c>
      <c r="AD52" s="11">
        <f t="shared" si="7"/>
        <v>2483490.2198999999</v>
      </c>
    </row>
    <row r="53" spans="1:30" x14ac:dyDescent="0.3">
      <c r="A53" s="14">
        <v>45782.510416666664</v>
      </c>
      <c r="B53" s="1">
        <v>1081.54</v>
      </c>
      <c r="C53" s="11">
        <v>3.2732000000000001</v>
      </c>
      <c r="D53" s="1">
        <v>627.63</v>
      </c>
      <c r="E53" s="11">
        <v>3.0760000000000001</v>
      </c>
      <c r="F53" s="1">
        <v>398.57</v>
      </c>
      <c r="G53" s="11">
        <v>3.53</v>
      </c>
      <c r="H53" s="1">
        <v>31.85</v>
      </c>
      <c r="I53" s="11">
        <v>1.67648</v>
      </c>
      <c r="J53" s="1">
        <v>208.9</v>
      </c>
      <c r="K53" s="11">
        <v>1.9802299999999999</v>
      </c>
      <c r="L53" s="1">
        <v>84.18</v>
      </c>
      <c r="M53" s="11">
        <v>6.2</v>
      </c>
      <c r="N53" s="1">
        <v>409.75</v>
      </c>
      <c r="O53" s="11">
        <v>2.8224999999999998</v>
      </c>
      <c r="P53" s="1">
        <f t="shared" si="1"/>
        <v>2842.42</v>
      </c>
      <c r="Q53" s="1">
        <v>2984.81</v>
      </c>
      <c r="R53" s="16">
        <f t="shared" si="2"/>
        <v>2255785.0044999998</v>
      </c>
      <c r="S53" s="20">
        <v>569.83999999999992</v>
      </c>
      <c r="T53" s="21">
        <v>194.19000000000003</v>
      </c>
      <c r="U53" s="21">
        <v>0.1</v>
      </c>
      <c r="V53" s="8">
        <v>764.13</v>
      </c>
      <c r="W53" s="25">
        <v>1.238</v>
      </c>
      <c r="X53" s="25">
        <f t="shared" si="3"/>
        <v>236498.23499999999</v>
      </c>
      <c r="Y53" s="1">
        <f t="shared" si="4"/>
        <v>3606.55</v>
      </c>
      <c r="Z53" s="1">
        <f t="shared" si="5"/>
        <v>3748.94</v>
      </c>
      <c r="AA53" s="1">
        <v>3757.72</v>
      </c>
      <c r="AB53" s="1">
        <f t="shared" si="0"/>
        <v>-151.16999999999962</v>
      </c>
      <c r="AC53" s="29">
        <f t="shared" si="6"/>
        <v>8.7799999999997453</v>
      </c>
      <c r="AD53" s="11">
        <f t="shared" si="7"/>
        <v>2492283.2394999997</v>
      </c>
    </row>
    <row r="54" spans="1:30" x14ac:dyDescent="0.3">
      <c r="A54" s="14">
        <v>45782.520833333336</v>
      </c>
      <c r="B54" s="1">
        <v>1049.8599999999999</v>
      </c>
      <c r="C54" s="11">
        <v>3.2732000000000001</v>
      </c>
      <c r="D54" s="1">
        <v>627.63</v>
      </c>
      <c r="E54" s="11">
        <v>3.0760000000000001</v>
      </c>
      <c r="F54" s="1">
        <v>398.57</v>
      </c>
      <c r="G54" s="11">
        <v>3.53</v>
      </c>
      <c r="H54" s="1">
        <v>28.32</v>
      </c>
      <c r="I54" s="11">
        <v>1.6763800000000002</v>
      </c>
      <c r="J54" s="1">
        <v>295.61</v>
      </c>
      <c r="K54" s="11">
        <v>1.7948</v>
      </c>
      <c r="L54" s="1">
        <v>84.09</v>
      </c>
      <c r="M54" s="11">
        <v>6.2</v>
      </c>
      <c r="N54" s="1">
        <v>431.37</v>
      </c>
      <c r="O54" s="11">
        <v>2.8224999999999998</v>
      </c>
      <c r="P54" s="1">
        <f t="shared" si="1"/>
        <v>2915.4500000000003</v>
      </c>
      <c r="Q54" s="1">
        <v>3017.74</v>
      </c>
      <c r="R54" s="16">
        <f t="shared" si="2"/>
        <v>2272719.8666499997</v>
      </c>
      <c r="S54" s="20">
        <v>555.98</v>
      </c>
      <c r="T54" s="21">
        <v>191.45999999999998</v>
      </c>
      <c r="U54" s="21">
        <v>0.39</v>
      </c>
      <c r="V54" s="8">
        <v>747.83</v>
      </c>
      <c r="W54" s="25">
        <v>1.238</v>
      </c>
      <c r="X54" s="25">
        <f t="shared" si="3"/>
        <v>231453.38500000001</v>
      </c>
      <c r="Y54" s="1">
        <f t="shared" si="4"/>
        <v>3663.28</v>
      </c>
      <c r="Z54" s="1">
        <f t="shared" si="5"/>
        <v>3765.5699999999997</v>
      </c>
      <c r="AA54" s="1">
        <v>3781.62</v>
      </c>
      <c r="AB54" s="1">
        <f t="shared" si="0"/>
        <v>-118.33999999999969</v>
      </c>
      <c r="AC54" s="29">
        <f t="shared" si="6"/>
        <v>16.050000000000182</v>
      </c>
      <c r="AD54" s="11">
        <f t="shared" si="7"/>
        <v>2504173.25165</v>
      </c>
    </row>
    <row r="55" spans="1:30" x14ac:dyDescent="0.3">
      <c r="A55" s="14">
        <v>45782.53125</v>
      </c>
      <c r="B55" s="1">
        <v>1024.71</v>
      </c>
      <c r="C55" s="11">
        <v>3.2732000000000001</v>
      </c>
      <c r="D55" s="1">
        <v>627.63</v>
      </c>
      <c r="E55" s="11">
        <v>3.0760000000000001</v>
      </c>
      <c r="F55" s="1">
        <v>398.57</v>
      </c>
      <c r="G55" s="11">
        <v>3.53</v>
      </c>
      <c r="H55" s="1">
        <v>31.56</v>
      </c>
      <c r="I55" s="11">
        <v>1.67642</v>
      </c>
      <c r="J55" s="1">
        <v>303.54000000000002</v>
      </c>
      <c r="K55" s="11">
        <v>1.7975099999999999</v>
      </c>
      <c r="L55" s="1">
        <v>83.36</v>
      </c>
      <c r="M55" s="11">
        <v>6.2</v>
      </c>
      <c r="N55" s="1">
        <v>447.92</v>
      </c>
      <c r="O55" s="11">
        <v>2.8224999999999998</v>
      </c>
      <c r="P55" s="1">
        <f t="shared" si="1"/>
        <v>2917.2900000000004</v>
      </c>
      <c r="Q55" s="1">
        <v>3052.05</v>
      </c>
      <c r="R55" s="16">
        <f t="shared" si="2"/>
        <v>2267808.2381500001</v>
      </c>
      <c r="S55" s="20">
        <v>526.28</v>
      </c>
      <c r="T55" s="21">
        <v>203.13</v>
      </c>
      <c r="U55" s="21">
        <v>0.71000000000000008</v>
      </c>
      <c r="V55" s="8">
        <v>730.12</v>
      </c>
      <c r="W55" s="25">
        <v>1.238</v>
      </c>
      <c r="X55" s="25">
        <f t="shared" si="3"/>
        <v>225972.13999999998</v>
      </c>
      <c r="Y55" s="1">
        <f t="shared" si="4"/>
        <v>3647.4100000000003</v>
      </c>
      <c r="Z55" s="1">
        <f t="shared" si="5"/>
        <v>3782.17</v>
      </c>
      <c r="AA55" s="1">
        <v>3791.92</v>
      </c>
      <c r="AB55" s="1">
        <f t="shared" si="0"/>
        <v>-144.50999999999976</v>
      </c>
      <c r="AC55" s="29">
        <f t="shared" si="6"/>
        <v>9.75</v>
      </c>
      <c r="AD55" s="11">
        <f t="shared" si="7"/>
        <v>2493780.3781500002</v>
      </c>
    </row>
    <row r="56" spans="1:30" x14ac:dyDescent="0.3">
      <c r="A56" s="14">
        <v>45782.541666666664</v>
      </c>
      <c r="B56" s="1">
        <v>1025.06</v>
      </c>
      <c r="C56" s="11">
        <v>3.2732000000000001</v>
      </c>
      <c r="D56" s="1">
        <v>627.63</v>
      </c>
      <c r="E56" s="11">
        <v>3.0760000000000001</v>
      </c>
      <c r="F56" s="1">
        <v>398.57</v>
      </c>
      <c r="G56" s="11">
        <v>3.53</v>
      </c>
      <c r="H56" s="1">
        <v>32.479999999999997</v>
      </c>
      <c r="I56" s="11">
        <v>1.67452</v>
      </c>
      <c r="J56" s="1">
        <v>168.64</v>
      </c>
      <c r="K56" s="11">
        <v>1.5997000000000001</v>
      </c>
      <c r="L56" s="1">
        <v>84.2</v>
      </c>
      <c r="M56" s="11">
        <v>6.2</v>
      </c>
      <c r="N56" s="1">
        <v>454.54</v>
      </c>
      <c r="O56" s="11">
        <v>2.8224999999999998</v>
      </c>
      <c r="P56" s="1">
        <f t="shared" si="1"/>
        <v>2791.12</v>
      </c>
      <c r="Q56" s="1">
        <v>3114.65</v>
      </c>
      <c r="R56" s="16">
        <f t="shared" si="2"/>
        <v>2205477.3349000001</v>
      </c>
      <c r="S56" s="20">
        <v>460.04999999999995</v>
      </c>
      <c r="T56" s="21">
        <v>200.07999999999998</v>
      </c>
      <c r="U56" s="21">
        <v>1.3099999999999998</v>
      </c>
      <c r="V56" s="8">
        <v>661.43999999999983</v>
      </c>
      <c r="W56" s="25">
        <v>1.238</v>
      </c>
      <c r="X56" s="25">
        <f t="shared" si="3"/>
        <v>204715.67999999993</v>
      </c>
      <c r="Y56" s="1">
        <f t="shared" si="4"/>
        <v>3452.5599999999995</v>
      </c>
      <c r="Z56" s="1">
        <f t="shared" si="5"/>
        <v>3776.09</v>
      </c>
      <c r="AA56" s="1">
        <v>3792.38</v>
      </c>
      <c r="AB56" s="1">
        <f t="shared" si="0"/>
        <v>-339.82000000000062</v>
      </c>
      <c r="AC56" s="29">
        <f t="shared" si="6"/>
        <v>16.289999999999964</v>
      </c>
      <c r="AD56" s="11">
        <f t="shared" si="7"/>
        <v>2410193.0148999998</v>
      </c>
    </row>
    <row r="57" spans="1:30" x14ac:dyDescent="0.3">
      <c r="A57" s="14">
        <v>45782.552083333336</v>
      </c>
      <c r="B57" s="1">
        <v>1024.44</v>
      </c>
      <c r="C57" s="11">
        <v>3.2732000000000001</v>
      </c>
      <c r="D57" s="1">
        <v>627.63</v>
      </c>
      <c r="E57" s="11">
        <v>3.0760000000000001</v>
      </c>
      <c r="F57" s="1">
        <v>398.57</v>
      </c>
      <c r="G57" s="11">
        <v>3.53</v>
      </c>
      <c r="H57" s="1">
        <v>32.53</v>
      </c>
      <c r="I57" s="11">
        <v>1.6740599999999999</v>
      </c>
      <c r="J57" s="1">
        <v>158.31</v>
      </c>
      <c r="K57" s="11">
        <v>1.79474</v>
      </c>
      <c r="L57" s="1">
        <v>83.73</v>
      </c>
      <c r="M57" s="11">
        <v>6.2</v>
      </c>
      <c r="N57" s="1">
        <v>459.1</v>
      </c>
      <c r="O57" s="11">
        <v>2.8224999999999998</v>
      </c>
      <c r="P57" s="1">
        <f t="shared" si="1"/>
        <v>2784.3100000000004</v>
      </c>
      <c r="Q57" s="1">
        <v>3146.42</v>
      </c>
      <c r="R57" s="16">
        <f t="shared" si="2"/>
        <v>2211064.2998000002</v>
      </c>
      <c r="S57" s="20">
        <v>454.62000000000006</v>
      </c>
      <c r="T57" s="21">
        <v>197.42</v>
      </c>
      <c r="U57" s="21">
        <v>2.21</v>
      </c>
      <c r="V57" s="8">
        <v>654.25000000000011</v>
      </c>
      <c r="W57" s="25">
        <v>1.238</v>
      </c>
      <c r="X57" s="25">
        <f t="shared" si="3"/>
        <v>202490.37500000003</v>
      </c>
      <c r="Y57" s="1">
        <f t="shared" si="4"/>
        <v>3438.5600000000004</v>
      </c>
      <c r="Z57" s="1">
        <f t="shared" si="5"/>
        <v>3800.67</v>
      </c>
      <c r="AA57" s="1">
        <v>3808.68</v>
      </c>
      <c r="AB57" s="1">
        <f t="shared" si="0"/>
        <v>-370.11999999999944</v>
      </c>
      <c r="AC57" s="29">
        <f t="shared" si="6"/>
        <v>8.0099999999997635</v>
      </c>
      <c r="AD57" s="11">
        <f t="shared" si="7"/>
        <v>2413554.6748000002</v>
      </c>
    </row>
    <row r="58" spans="1:30" x14ac:dyDescent="0.3">
      <c r="A58" s="14">
        <v>45782.5625</v>
      </c>
      <c r="B58" s="1">
        <v>1029.8900000000001</v>
      </c>
      <c r="C58" s="11">
        <v>3.2732000000000001</v>
      </c>
      <c r="D58" s="1">
        <v>658.73</v>
      </c>
      <c r="E58" s="11">
        <v>3.0760000000000001</v>
      </c>
      <c r="F58" s="1">
        <v>398.57</v>
      </c>
      <c r="G58" s="11">
        <v>3.53</v>
      </c>
      <c r="H58" s="1">
        <v>32.53</v>
      </c>
      <c r="I58" s="11">
        <v>1.6748499999999999</v>
      </c>
      <c r="J58" s="1">
        <v>129.51</v>
      </c>
      <c r="K58" s="11">
        <v>1.99526</v>
      </c>
      <c r="L58" s="1">
        <v>83.34</v>
      </c>
      <c r="M58" s="11">
        <v>6.2</v>
      </c>
      <c r="N58" s="1">
        <v>439.98</v>
      </c>
      <c r="O58" s="11">
        <v>2.8224999999999998</v>
      </c>
      <c r="P58" s="1">
        <f t="shared" si="1"/>
        <v>2772.5500000000006</v>
      </c>
      <c r="Q58" s="1">
        <v>2775.19</v>
      </c>
      <c r="R58" s="16">
        <f t="shared" si="2"/>
        <v>2218920.5177750001</v>
      </c>
      <c r="S58" s="20">
        <v>882.0100000000001</v>
      </c>
      <c r="T58" s="21">
        <v>185.9</v>
      </c>
      <c r="U58" s="21">
        <v>3.33</v>
      </c>
      <c r="V58" s="8">
        <v>1071.24</v>
      </c>
      <c r="W58" s="25">
        <v>1.238</v>
      </c>
      <c r="X58" s="25">
        <f t="shared" si="3"/>
        <v>331548.78000000003</v>
      </c>
      <c r="Y58" s="1">
        <f t="shared" si="4"/>
        <v>3843.7900000000009</v>
      </c>
      <c r="Z58" s="1">
        <f t="shared" si="5"/>
        <v>3846.4300000000003</v>
      </c>
      <c r="AA58" s="1">
        <v>3846.7</v>
      </c>
      <c r="AB58" s="1">
        <f t="shared" si="0"/>
        <v>-2.909999999998945</v>
      </c>
      <c r="AC58" s="29">
        <f t="shared" si="6"/>
        <v>0.26999999999952706</v>
      </c>
      <c r="AD58" s="11">
        <f t="shared" si="7"/>
        <v>2550469.2977750003</v>
      </c>
    </row>
    <row r="59" spans="1:30" x14ac:dyDescent="0.3">
      <c r="A59" s="14">
        <v>45782.572916666664</v>
      </c>
      <c r="B59" s="1">
        <v>1046.8499999999999</v>
      </c>
      <c r="C59" s="11">
        <v>3.2732000000000001</v>
      </c>
      <c r="D59" s="1">
        <v>679.76</v>
      </c>
      <c r="E59" s="11">
        <v>3.0760000000000001</v>
      </c>
      <c r="F59" s="1">
        <v>398.57</v>
      </c>
      <c r="G59" s="11">
        <v>3.53</v>
      </c>
      <c r="H59" s="1">
        <v>50.6</v>
      </c>
      <c r="I59" s="11">
        <v>1.67631</v>
      </c>
      <c r="J59" s="1">
        <v>21.03</v>
      </c>
      <c r="K59" s="11">
        <v>2.4993000000000003</v>
      </c>
      <c r="L59" s="1">
        <v>65.97</v>
      </c>
      <c r="M59" s="11">
        <v>6.2</v>
      </c>
      <c r="N59" s="1">
        <v>418.58</v>
      </c>
      <c r="O59" s="11">
        <v>2.8224999999999998</v>
      </c>
      <c r="P59" s="1">
        <f t="shared" si="1"/>
        <v>2681.3599999999997</v>
      </c>
      <c r="Q59" s="1">
        <v>2785.64</v>
      </c>
      <c r="R59" s="16">
        <f t="shared" si="2"/>
        <v>2163070.2237499999</v>
      </c>
      <c r="S59" s="20">
        <v>933.40000000000009</v>
      </c>
      <c r="T59" s="21">
        <v>173.95999999999998</v>
      </c>
      <c r="U59" s="21">
        <v>4.82</v>
      </c>
      <c r="V59" s="8">
        <v>1112.18</v>
      </c>
      <c r="W59" s="25">
        <v>1.238</v>
      </c>
      <c r="X59" s="25">
        <f t="shared" si="3"/>
        <v>344219.71</v>
      </c>
      <c r="Y59" s="1">
        <f t="shared" si="4"/>
        <v>3793.54</v>
      </c>
      <c r="Z59" s="1">
        <f t="shared" si="5"/>
        <v>3897.8199999999997</v>
      </c>
      <c r="AA59" s="1">
        <v>3908.11</v>
      </c>
      <c r="AB59" s="1">
        <f t="shared" si="0"/>
        <v>-114.57000000000016</v>
      </c>
      <c r="AC59" s="29">
        <f t="shared" si="6"/>
        <v>10.290000000000418</v>
      </c>
      <c r="AD59" s="11">
        <f t="shared" si="7"/>
        <v>2507289.9337499999</v>
      </c>
    </row>
    <row r="60" spans="1:30" x14ac:dyDescent="0.3">
      <c r="A60" s="14">
        <v>45782.583333333336</v>
      </c>
      <c r="B60" s="1">
        <v>1128.6400000000001</v>
      </c>
      <c r="C60" s="11">
        <v>3.2732000000000001</v>
      </c>
      <c r="D60" s="1">
        <v>679.76</v>
      </c>
      <c r="E60" s="11">
        <v>3.0760000000000001</v>
      </c>
      <c r="F60" s="1">
        <v>398.57</v>
      </c>
      <c r="G60" s="11">
        <v>3.53</v>
      </c>
      <c r="H60" s="1">
        <v>79.040000000000006</v>
      </c>
      <c r="I60" s="11">
        <v>1.9990899999999998</v>
      </c>
      <c r="J60" s="1">
        <v>11.38</v>
      </c>
      <c r="K60" s="11">
        <v>2.8101400000000001</v>
      </c>
      <c r="L60" s="1">
        <v>34.99</v>
      </c>
      <c r="M60" s="11">
        <v>6.2</v>
      </c>
      <c r="N60" s="1">
        <v>365.52</v>
      </c>
      <c r="O60" s="11">
        <v>2.8224999999999998</v>
      </c>
      <c r="P60" s="1">
        <f t="shared" si="1"/>
        <v>2697.9</v>
      </c>
      <c r="Q60" s="1">
        <v>2803.43</v>
      </c>
      <c r="R60" s="16">
        <f t="shared" si="2"/>
        <v>2157690.9937</v>
      </c>
      <c r="S60" s="20">
        <v>980.36999999999989</v>
      </c>
      <c r="T60" s="21">
        <v>180.39000000000001</v>
      </c>
      <c r="U60" s="21">
        <v>4.22</v>
      </c>
      <c r="V60" s="8">
        <v>1164.98</v>
      </c>
      <c r="W60" s="25">
        <v>1.238</v>
      </c>
      <c r="X60" s="25">
        <f t="shared" si="3"/>
        <v>360561.31</v>
      </c>
      <c r="Y60" s="1">
        <f t="shared" si="4"/>
        <v>3862.88</v>
      </c>
      <c r="Z60" s="1">
        <f t="shared" si="5"/>
        <v>3968.41</v>
      </c>
      <c r="AA60" s="1">
        <v>3979.82</v>
      </c>
      <c r="AB60" s="1">
        <f t="shared" si="0"/>
        <v>-116.94000000000005</v>
      </c>
      <c r="AC60" s="29">
        <f t="shared" si="6"/>
        <v>11.410000000000309</v>
      </c>
      <c r="AD60" s="11">
        <f t="shared" si="7"/>
        <v>2518252.3037</v>
      </c>
    </row>
    <row r="61" spans="1:30" x14ac:dyDescent="0.3">
      <c r="A61" s="14">
        <v>45782.59375</v>
      </c>
      <c r="B61" s="1">
        <v>1175.56</v>
      </c>
      <c r="C61" s="11">
        <v>3.2732000000000001</v>
      </c>
      <c r="D61" s="1">
        <v>679.76</v>
      </c>
      <c r="E61" s="11">
        <v>3.0760000000000001</v>
      </c>
      <c r="F61" s="1">
        <v>398.57</v>
      </c>
      <c r="G61" s="11">
        <v>3.53</v>
      </c>
      <c r="H61" s="1">
        <v>81.27</v>
      </c>
      <c r="I61" s="11">
        <v>1.9994700000000001</v>
      </c>
      <c r="J61" s="1">
        <v>11.2</v>
      </c>
      <c r="K61" s="11">
        <v>2.6492499999999999</v>
      </c>
      <c r="L61" s="1">
        <v>32.47</v>
      </c>
      <c r="M61" s="11">
        <v>6.2</v>
      </c>
      <c r="N61" s="1">
        <v>353.1</v>
      </c>
      <c r="O61" s="11">
        <v>2.8224999999999998</v>
      </c>
      <c r="P61" s="1">
        <f t="shared" si="1"/>
        <v>2731.9299999999994</v>
      </c>
      <c r="Q61" s="1">
        <v>2786.22</v>
      </c>
      <c r="R61" s="16">
        <f t="shared" si="2"/>
        <v>2183961.0322250002</v>
      </c>
      <c r="S61" s="20">
        <v>1060.6199999999999</v>
      </c>
      <c r="T61" s="21">
        <v>180.68000000000004</v>
      </c>
      <c r="U61" s="21">
        <v>4.16</v>
      </c>
      <c r="V61" s="8">
        <v>1245.46</v>
      </c>
      <c r="W61" s="25">
        <v>1.238</v>
      </c>
      <c r="X61" s="25">
        <f t="shared" si="3"/>
        <v>385469.87</v>
      </c>
      <c r="Y61" s="1">
        <f t="shared" si="4"/>
        <v>3977.3899999999994</v>
      </c>
      <c r="Z61" s="1">
        <f t="shared" si="5"/>
        <v>4031.68</v>
      </c>
      <c r="AA61" s="1">
        <v>4043.8</v>
      </c>
      <c r="AB61" s="1">
        <f t="shared" si="0"/>
        <v>-66.410000000000764</v>
      </c>
      <c r="AC61" s="29">
        <f t="shared" si="6"/>
        <v>12.120000000000346</v>
      </c>
      <c r="AD61" s="11">
        <f t="shared" si="7"/>
        <v>2569430.9022250003</v>
      </c>
    </row>
    <row r="62" spans="1:30" x14ac:dyDescent="0.3">
      <c r="A62" s="14">
        <v>45782.604166666664</v>
      </c>
      <c r="B62" s="1">
        <v>1253.28</v>
      </c>
      <c r="C62" s="11">
        <v>3.2732000000000001</v>
      </c>
      <c r="D62" s="1">
        <v>679.76</v>
      </c>
      <c r="E62" s="11">
        <v>3.0760000000000001</v>
      </c>
      <c r="F62" s="1">
        <v>398.57</v>
      </c>
      <c r="G62" s="11">
        <v>3.53</v>
      </c>
      <c r="H62" s="1">
        <v>81.27</v>
      </c>
      <c r="I62" s="11">
        <v>1.9999899999999999</v>
      </c>
      <c r="J62" s="1">
        <v>12.57</v>
      </c>
      <c r="K62" s="11">
        <v>2.5005799999999998</v>
      </c>
      <c r="L62" s="1">
        <v>32.08</v>
      </c>
      <c r="M62" s="11">
        <v>6.2</v>
      </c>
      <c r="N62" s="1">
        <v>339.27</v>
      </c>
      <c r="O62" s="11">
        <v>2.8224999999999998</v>
      </c>
      <c r="P62" s="1">
        <f t="shared" si="1"/>
        <v>2796.8</v>
      </c>
      <c r="Q62" s="1">
        <v>2837.36</v>
      </c>
      <c r="R62" s="16">
        <f t="shared" si="2"/>
        <v>2237646.7522249999</v>
      </c>
      <c r="S62" s="20">
        <v>1078.67</v>
      </c>
      <c r="T62" s="21">
        <v>176.78</v>
      </c>
      <c r="U62" s="21">
        <v>5.22</v>
      </c>
      <c r="V62" s="8">
        <v>1260.67</v>
      </c>
      <c r="W62" s="25">
        <v>1.238</v>
      </c>
      <c r="X62" s="25">
        <f t="shared" si="3"/>
        <v>390177.36499999999</v>
      </c>
      <c r="Y62" s="1">
        <f t="shared" si="4"/>
        <v>4057.4700000000003</v>
      </c>
      <c r="Z62" s="1">
        <f t="shared" si="5"/>
        <v>4098.0300000000007</v>
      </c>
      <c r="AA62" s="1">
        <v>4106.6099999999997</v>
      </c>
      <c r="AB62" s="1">
        <f t="shared" si="0"/>
        <v>-49.139999999999418</v>
      </c>
      <c r="AC62" s="29">
        <f t="shared" si="6"/>
        <v>8.5799999999990177</v>
      </c>
      <c r="AD62" s="11">
        <f t="shared" si="7"/>
        <v>2627824.1172249997</v>
      </c>
    </row>
    <row r="63" spans="1:30" x14ac:dyDescent="0.3">
      <c r="A63" s="14">
        <v>45782.614583333336</v>
      </c>
      <c r="B63" s="1">
        <v>1293.04</v>
      </c>
      <c r="C63" s="11">
        <v>3.2732000000000001</v>
      </c>
      <c r="D63" s="1">
        <v>679.76</v>
      </c>
      <c r="E63" s="11">
        <v>3.0760000000000001</v>
      </c>
      <c r="F63" s="1">
        <v>398.57</v>
      </c>
      <c r="G63" s="11">
        <v>3.53</v>
      </c>
      <c r="H63" s="1">
        <v>81.27</v>
      </c>
      <c r="I63" s="11">
        <v>2.0003699999999998</v>
      </c>
      <c r="J63" s="1">
        <v>13.52</v>
      </c>
      <c r="K63" s="11">
        <v>2.5942699999999999</v>
      </c>
      <c r="L63" s="1">
        <v>31.85</v>
      </c>
      <c r="M63" s="11">
        <v>6.2</v>
      </c>
      <c r="N63" s="1">
        <v>319.05</v>
      </c>
      <c r="O63" s="11">
        <v>2.8224999999999998</v>
      </c>
      <c r="P63" s="1">
        <f t="shared" si="1"/>
        <v>2817.06</v>
      </c>
      <c r="Q63" s="1">
        <v>2867.04</v>
      </c>
      <c r="R63" s="16">
        <f t="shared" si="2"/>
        <v>2256476.4033250003</v>
      </c>
      <c r="S63" s="20">
        <v>1085.5</v>
      </c>
      <c r="T63" s="21">
        <v>174.79000000000002</v>
      </c>
      <c r="U63" s="21">
        <v>5.4399999999999995</v>
      </c>
      <c r="V63" s="8">
        <v>1265.73</v>
      </c>
      <c r="W63" s="25">
        <v>1.238</v>
      </c>
      <c r="X63" s="25">
        <f t="shared" si="3"/>
        <v>391743.435</v>
      </c>
      <c r="Y63" s="1">
        <f t="shared" si="4"/>
        <v>4082.79</v>
      </c>
      <c r="Z63" s="1">
        <f t="shared" si="5"/>
        <v>4132.7700000000004</v>
      </c>
      <c r="AA63" s="1">
        <v>4142.84</v>
      </c>
      <c r="AB63" s="1">
        <f t="shared" si="0"/>
        <v>-60.050000000000182</v>
      </c>
      <c r="AC63" s="29">
        <f t="shared" si="6"/>
        <v>10.069999999999709</v>
      </c>
      <c r="AD63" s="11">
        <f t="shared" si="7"/>
        <v>2648219.8383250004</v>
      </c>
    </row>
    <row r="64" spans="1:30" x14ac:dyDescent="0.3">
      <c r="A64" s="14">
        <v>45782.625</v>
      </c>
      <c r="B64" s="1">
        <v>1348.47</v>
      </c>
      <c r="C64" s="11">
        <v>3.2732000000000001</v>
      </c>
      <c r="D64" s="1">
        <v>679.76</v>
      </c>
      <c r="E64" s="11">
        <v>3.0760000000000001</v>
      </c>
      <c r="F64" s="1">
        <v>398.57</v>
      </c>
      <c r="G64" s="11">
        <v>3.53</v>
      </c>
      <c r="H64" s="1">
        <v>52.61</v>
      </c>
      <c r="I64" s="11">
        <v>2.39682</v>
      </c>
      <c r="J64" s="1">
        <v>129.94999999999999</v>
      </c>
      <c r="K64" s="11">
        <v>1.79436</v>
      </c>
      <c r="L64" s="1">
        <v>33.56</v>
      </c>
      <c r="M64" s="11">
        <v>6.2</v>
      </c>
      <c r="N64" s="1">
        <v>305.81</v>
      </c>
      <c r="O64" s="11">
        <v>2.8224999999999998</v>
      </c>
      <c r="P64" s="1">
        <f t="shared" si="1"/>
        <v>2948.73</v>
      </c>
      <c r="Q64" s="1">
        <v>2942.46</v>
      </c>
      <c r="R64" s="16">
        <f t="shared" si="2"/>
        <v>2335550.0928000002</v>
      </c>
      <c r="S64" s="20">
        <v>1086.5000000000002</v>
      </c>
      <c r="T64" s="21">
        <v>152.42000000000002</v>
      </c>
      <c r="U64" s="21">
        <v>5.25</v>
      </c>
      <c r="V64" s="8">
        <v>1244.1700000000003</v>
      </c>
      <c r="W64" s="25">
        <v>1.238</v>
      </c>
      <c r="X64" s="25">
        <f t="shared" si="3"/>
        <v>385070.61500000011</v>
      </c>
      <c r="Y64" s="1">
        <f t="shared" si="4"/>
        <v>4192.9000000000005</v>
      </c>
      <c r="Z64" s="1">
        <f t="shared" si="5"/>
        <v>4186.63</v>
      </c>
      <c r="AA64" s="1">
        <v>4201.72</v>
      </c>
      <c r="AB64" s="1">
        <f t="shared" si="0"/>
        <v>-8.819999999999709</v>
      </c>
      <c r="AC64" s="29">
        <f t="shared" si="6"/>
        <v>15.090000000000146</v>
      </c>
      <c r="AD64" s="11">
        <f t="shared" si="7"/>
        <v>2720620.7078000004</v>
      </c>
    </row>
    <row r="65" spans="1:30" x14ac:dyDescent="0.3">
      <c r="A65" s="14">
        <v>45782.635416666664</v>
      </c>
      <c r="B65" s="1">
        <v>1358.47</v>
      </c>
      <c r="C65" s="11">
        <v>3.2732000000000001</v>
      </c>
      <c r="D65" s="1">
        <v>679.76</v>
      </c>
      <c r="E65" s="11">
        <v>3.0760000000000001</v>
      </c>
      <c r="F65" s="1">
        <v>398.57</v>
      </c>
      <c r="G65" s="11">
        <v>3.53</v>
      </c>
      <c r="H65" s="1">
        <v>49.24</v>
      </c>
      <c r="I65" s="11">
        <v>2.4004499999999998</v>
      </c>
      <c r="J65" s="1">
        <v>137.63999999999999</v>
      </c>
      <c r="K65" s="11">
        <v>1.9957</v>
      </c>
      <c r="L65" s="1">
        <v>33.520000000000003</v>
      </c>
      <c r="M65" s="11">
        <v>6.2</v>
      </c>
      <c r="N65" s="1">
        <v>298.27999999999997</v>
      </c>
      <c r="O65" s="11">
        <v>2.8224999999999998</v>
      </c>
      <c r="P65" s="1">
        <f t="shared" si="1"/>
        <v>2955.4799999999996</v>
      </c>
      <c r="Q65" s="1">
        <v>2938.84</v>
      </c>
      <c r="R65" s="16">
        <f t="shared" si="2"/>
        <v>2346760.8675000006</v>
      </c>
      <c r="S65" s="20">
        <v>1136.4899999999998</v>
      </c>
      <c r="T65" s="21">
        <v>130.07999999999998</v>
      </c>
      <c r="U65" s="21">
        <v>8</v>
      </c>
      <c r="V65" s="8">
        <v>1274.5699999999997</v>
      </c>
      <c r="W65" s="25">
        <v>1.238</v>
      </c>
      <c r="X65" s="25">
        <f t="shared" si="3"/>
        <v>394479.41499999992</v>
      </c>
      <c r="Y65" s="1">
        <f t="shared" si="4"/>
        <v>4230.0499999999993</v>
      </c>
      <c r="Z65" s="1">
        <f t="shared" si="5"/>
        <v>4213.41</v>
      </c>
      <c r="AA65" s="1">
        <v>4226.28</v>
      </c>
      <c r="AB65" s="1">
        <f t="shared" si="0"/>
        <v>3.7699999999995271</v>
      </c>
      <c r="AC65" s="29">
        <f t="shared" si="6"/>
        <v>12.869999999999891</v>
      </c>
      <c r="AD65" s="11">
        <f t="shared" si="7"/>
        <v>2741240.2825000007</v>
      </c>
    </row>
    <row r="66" spans="1:30" x14ac:dyDescent="0.3">
      <c r="A66" s="14">
        <v>45782.645833333336</v>
      </c>
      <c r="B66" s="1">
        <v>1370.42</v>
      </c>
      <c r="C66" s="11">
        <v>3.2732000000000001</v>
      </c>
      <c r="D66" s="1">
        <v>679.76</v>
      </c>
      <c r="E66" s="11">
        <v>3.0760000000000001</v>
      </c>
      <c r="F66" s="1">
        <v>398.57</v>
      </c>
      <c r="G66" s="11">
        <v>3.53</v>
      </c>
      <c r="H66" s="1">
        <v>50.81</v>
      </c>
      <c r="I66" s="11">
        <v>2.8006500000000001</v>
      </c>
      <c r="J66" s="1">
        <v>62.07</v>
      </c>
      <c r="K66" s="11">
        <v>2.9807399999999999</v>
      </c>
      <c r="L66" s="1">
        <v>30.35</v>
      </c>
      <c r="M66" s="11">
        <v>6.2</v>
      </c>
      <c r="N66" s="1">
        <v>284.82</v>
      </c>
      <c r="O66" s="11">
        <v>2.8224999999999998</v>
      </c>
      <c r="P66" s="1">
        <f t="shared" si="1"/>
        <v>2876.8000000000006</v>
      </c>
      <c r="Q66" s="1">
        <v>2897.66</v>
      </c>
      <c r="R66" s="16">
        <f t="shared" si="2"/>
        <v>2325735.6530750003</v>
      </c>
      <c r="S66" s="20">
        <v>1179.43</v>
      </c>
      <c r="T66" s="21">
        <v>119.58</v>
      </c>
      <c r="U66" s="21">
        <v>7.42</v>
      </c>
      <c r="V66" s="8">
        <v>1306.43</v>
      </c>
      <c r="W66" s="25">
        <v>1.238</v>
      </c>
      <c r="X66" s="25">
        <f t="shared" si="3"/>
        <v>404340.08500000002</v>
      </c>
      <c r="Y66" s="1">
        <f t="shared" si="4"/>
        <v>4183.2300000000005</v>
      </c>
      <c r="Z66" s="1">
        <f t="shared" si="5"/>
        <v>4204.09</v>
      </c>
      <c r="AA66" s="1">
        <v>4209.4799999999996</v>
      </c>
      <c r="AB66" s="1">
        <f t="shared" si="0"/>
        <v>-26.249999999999091</v>
      </c>
      <c r="AC66" s="29">
        <f t="shared" si="6"/>
        <v>5.3899999999994179</v>
      </c>
      <c r="AD66" s="11">
        <f t="shared" si="7"/>
        <v>2730075.7380750002</v>
      </c>
    </row>
    <row r="67" spans="1:30" x14ac:dyDescent="0.3">
      <c r="A67" s="14">
        <v>45782.65625</v>
      </c>
      <c r="B67" s="1">
        <v>1388.8</v>
      </c>
      <c r="C67" s="11">
        <v>3.2732000000000001</v>
      </c>
      <c r="D67" s="1">
        <v>679.76</v>
      </c>
      <c r="E67" s="11">
        <v>3.0760000000000001</v>
      </c>
      <c r="F67" s="1">
        <v>398.57</v>
      </c>
      <c r="G67" s="11">
        <v>3.53</v>
      </c>
      <c r="H67" s="1">
        <v>55.09</v>
      </c>
      <c r="I67" s="11">
        <v>2.8490100000000003</v>
      </c>
      <c r="J67" s="1">
        <v>11.4</v>
      </c>
      <c r="K67" s="11">
        <v>3.10501</v>
      </c>
      <c r="L67" s="1">
        <v>29</v>
      </c>
      <c r="M67" s="11">
        <v>6.2</v>
      </c>
      <c r="N67" s="1">
        <v>263.27</v>
      </c>
      <c r="O67" s="11">
        <v>2.8224999999999998</v>
      </c>
      <c r="P67" s="1">
        <f t="shared" si="1"/>
        <v>2825.8900000000003</v>
      </c>
      <c r="Q67" s="1">
        <v>2879.49</v>
      </c>
      <c r="R67" s="16">
        <f t="shared" si="2"/>
        <v>2289735.667475</v>
      </c>
      <c r="S67" s="20">
        <v>1208.8800000000003</v>
      </c>
      <c r="T67" s="21">
        <v>112.43</v>
      </c>
      <c r="U67" s="21">
        <v>8.5599999999999987</v>
      </c>
      <c r="V67" s="8">
        <v>1329.8700000000003</v>
      </c>
      <c r="W67" s="25">
        <v>1.238</v>
      </c>
      <c r="X67" s="25">
        <f t="shared" si="3"/>
        <v>411594.76500000013</v>
      </c>
      <c r="Y67" s="1">
        <f t="shared" si="4"/>
        <v>4155.76</v>
      </c>
      <c r="Z67" s="1">
        <f t="shared" si="5"/>
        <v>4209.3600000000006</v>
      </c>
      <c r="AA67" s="1">
        <v>4218.7</v>
      </c>
      <c r="AB67" s="1">
        <f t="shared" si="0"/>
        <v>-62.9399999999996</v>
      </c>
      <c r="AC67" s="29">
        <f t="shared" si="6"/>
        <v>9.339999999999236</v>
      </c>
      <c r="AD67" s="11">
        <f t="shared" si="7"/>
        <v>2701330.4324750002</v>
      </c>
    </row>
    <row r="68" spans="1:30" x14ac:dyDescent="0.3">
      <c r="A68" s="14">
        <v>45782.666666666664</v>
      </c>
      <c r="B68" s="1">
        <v>1405.41</v>
      </c>
      <c r="C68" s="11">
        <v>3.2732000000000001</v>
      </c>
      <c r="D68" s="1">
        <v>679.76</v>
      </c>
      <c r="E68" s="11">
        <v>3.0760000000000001</v>
      </c>
      <c r="F68" s="1">
        <v>694.47</v>
      </c>
      <c r="G68" s="11">
        <v>3.53</v>
      </c>
      <c r="H68" s="1">
        <v>65.89</v>
      </c>
      <c r="I68" s="11">
        <v>2.9028299999999998</v>
      </c>
      <c r="J68" s="1">
        <v>11.4</v>
      </c>
      <c r="K68" s="11">
        <v>2.8038699999999999</v>
      </c>
      <c r="L68" s="1">
        <v>18.75</v>
      </c>
      <c r="M68" s="11">
        <v>6.2</v>
      </c>
      <c r="N68" s="1">
        <v>273.94</v>
      </c>
      <c r="O68" s="11">
        <v>2.8224999999999998</v>
      </c>
      <c r="P68" s="1">
        <f t="shared" si="1"/>
        <v>3149.6200000000003</v>
      </c>
      <c r="Q68" s="1">
        <v>3097.93</v>
      </c>
      <c r="R68" s="16">
        <f t="shared" si="2"/>
        <v>2563821.5271749999</v>
      </c>
      <c r="S68" s="20">
        <v>1000.5</v>
      </c>
      <c r="T68" s="21">
        <v>105.56</v>
      </c>
      <c r="U68" s="21">
        <v>9.41</v>
      </c>
      <c r="V68" s="8">
        <v>1115.47</v>
      </c>
      <c r="W68" s="25">
        <v>1.238</v>
      </c>
      <c r="X68" s="25">
        <f t="shared" si="3"/>
        <v>345237.96500000003</v>
      </c>
      <c r="Y68" s="1">
        <f t="shared" si="4"/>
        <v>4265.09</v>
      </c>
      <c r="Z68" s="1">
        <f t="shared" si="5"/>
        <v>4213.3999999999996</v>
      </c>
      <c r="AA68" s="1">
        <v>4231.21</v>
      </c>
      <c r="AB68" s="1">
        <f t="shared" ref="AB68:AB131" si="8">Y68-AA68</f>
        <v>33.880000000000109</v>
      </c>
      <c r="AC68" s="29">
        <f t="shared" si="6"/>
        <v>17.8100000000004</v>
      </c>
      <c r="AD68" s="11">
        <f t="shared" si="7"/>
        <v>2909059.4921749998</v>
      </c>
    </row>
    <row r="69" spans="1:30" x14ac:dyDescent="0.3">
      <c r="A69" s="14">
        <v>45782.677083333336</v>
      </c>
      <c r="B69" s="1">
        <v>1426.1</v>
      </c>
      <c r="C69" s="11">
        <v>3.2732000000000001</v>
      </c>
      <c r="D69" s="1">
        <v>679.76</v>
      </c>
      <c r="E69" s="11">
        <v>3.0760000000000001</v>
      </c>
      <c r="F69" s="1">
        <v>717.12</v>
      </c>
      <c r="G69" s="11">
        <v>3.53</v>
      </c>
      <c r="H69" s="1">
        <v>69.02</v>
      </c>
      <c r="I69" s="11">
        <v>3.1504599999999998</v>
      </c>
      <c r="J69" s="1">
        <v>18.45</v>
      </c>
      <c r="K69" s="11">
        <v>2.4300000000000002</v>
      </c>
      <c r="L69" s="1">
        <v>10.8</v>
      </c>
      <c r="M69" s="11">
        <v>6.2</v>
      </c>
      <c r="N69" s="1">
        <v>254.42</v>
      </c>
      <c r="O69" s="11">
        <v>2.8224999999999998</v>
      </c>
      <c r="P69" s="1">
        <f t="shared" ref="P69:P132" si="9">(B69+D69+F69+H69+J69+L69+N69)</f>
        <v>3175.6699999999996</v>
      </c>
      <c r="Q69" s="1">
        <v>3188.06</v>
      </c>
      <c r="R69" s="16">
        <f t="shared" ref="R69:R132" si="10">(((B69*C69)+(D69*E69)+(F69*G69)+(H69*I69)+(J69*K69)+(L69*M69)+(N69*O69))*(1000/4))</f>
        <v>2584406.1447999999</v>
      </c>
      <c r="S69" s="20">
        <v>948.7399999999999</v>
      </c>
      <c r="T69" s="21">
        <v>95.05</v>
      </c>
      <c r="U69" s="21">
        <v>9.94</v>
      </c>
      <c r="V69" s="8">
        <v>1053.73</v>
      </c>
      <c r="W69" s="25">
        <v>1.238</v>
      </c>
      <c r="X69" s="25">
        <f t="shared" ref="X69:X132" si="11">((V69*W69*1000)/4)</f>
        <v>326129.435</v>
      </c>
      <c r="Y69" s="1">
        <f t="shared" ref="Y69:Y132" si="12">B69+D69+F69+H69+J69+L69+N69+V69</f>
        <v>4229.3999999999996</v>
      </c>
      <c r="Z69" s="1">
        <f t="shared" ref="Z69:Z132" si="13">Q69+V69</f>
        <v>4241.79</v>
      </c>
      <c r="AA69" s="1">
        <v>4249.18</v>
      </c>
      <c r="AB69" s="1">
        <f t="shared" si="8"/>
        <v>-19.780000000000655</v>
      </c>
      <c r="AC69" s="29">
        <f t="shared" ref="AC69:AC132" si="14">AA69-Z69</f>
        <v>7.3900000000003274</v>
      </c>
      <c r="AD69" s="11">
        <f t="shared" ref="AD69:AD132" si="15">(R69+X69)</f>
        <v>2910535.5797999999</v>
      </c>
    </row>
    <row r="70" spans="1:30" x14ac:dyDescent="0.3">
      <c r="A70" s="14">
        <v>45782.6875</v>
      </c>
      <c r="B70" s="1">
        <v>1452.34</v>
      </c>
      <c r="C70" s="11">
        <v>3.2732000000000001</v>
      </c>
      <c r="D70" s="1">
        <v>679.76</v>
      </c>
      <c r="E70" s="11">
        <v>3.0760000000000001</v>
      </c>
      <c r="F70" s="1">
        <v>717.12</v>
      </c>
      <c r="G70" s="11">
        <v>3.53</v>
      </c>
      <c r="H70" s="1">
        <v>73.69</v>
      </c>
      <c r="I70" s="11">
        <v>3.2009799999999999</v>
      </c>
      <c r="J70" s="1">
        <v>135.72999999999999</v>
      </c>
      <c r="K70" s="11">
        <v>1.7976300000000001</v>
      </c>
      <c r="L70" s="1">
        <v>6.91</v>
      </c>
      <c r="M70" s="11">
        <v>6.2</v>
      </c>
      <c r="N70" s="1">
        <v>270.75</v>
      </c>
      <c r="O70" s="11">
        <v>2.8224999999999998</v>
      </c>
      <c r="P70" s="1">
        <f t="shared" si="9"/>
        <v>3336.2999999999997</v>
      </c>
      <c r="Q70" s="1">
        <v>3330.07</v>
      </c>
      <c r="R70" s="16">
        <f t="shared" si="10"/>
        <v>2665770.264775</v>
      </c>
      <c r="S70" s="20">
        <v>806.00000000000011</v>
      </c>
      <c r="T70" s="21">
        <v>80.62</v>
      </c>
      <c r="U70" s="21">
        <v>9.48</v>
      </c>
      <c r="V70" s="8">
        <v>896.10000000000014</v>
      </c>
      <c r="W70" s="25">
        <v>1.238</v>
      </c>
      <c r="X70" s="25">
        <f t="shared" si="11"/>
        <v>277342.95</v>
      </c>
      <c r="Y70" s="1">
        <f t="shared" si="12"/>
        <v>4232.3999999999996</v>
      </c>
      <c r="Z70" s="1">
        <f t="shared" si="13"/>
        <v>4226.17</v>
      </c>
      <c r="AA70" s="1">
        <v>4236.49</v>
      </c>
      <c r="AB70" s="1">
        <f t="shared" si="8"/>
        <v>-4.0900000000001455</v>
      </c>
      <c r="AC70" s="29">
        <f t="shared" si="14"/>
        <v>10.319999999999709</v>
      </c>
      <c r="AD70" s="11">
        <f t="shared" si="15"/>
        <v>2943113.2147750002</v>
      </c>
    </row>
    <row r="71" spans="1:30" x14ac:dyDescent="0.3">
      <c r="A71" s="14">
        <v>45782.697916666664</v>
      </c>
      <c r="B71" s="1">
        <v>1454.17</v>
      </c>
      <c r="C71" s="11">
        <v>3.2732000000000001</v>
      </c>
      <c r="D71" s="1">
        <v>679.76</v>
      </c>
      <c r="E71" s="11">
        <v>3.0760000000000001</v>
      </c>
      <c r="F71" s="1">
        <v>717.12</v>
      </c>
      <c r="G71" s="11">
        <v>3.53</v>
      </c>
      <c r="H71" s="1">
        <v>75.83</v>
      </c>
      <c r="I71" s="11">
        <v>3.2004200000000003</v>
      </c>
      <c r="J71" s="1">
        <v>147.19999999999999</v>
      </c>
      <c r="K71" s="11">
        <v>1.7972699999999999</v>
      </c>
      <c r="L71" s="1">
        <v>3.97</v>
      </c>
      <c r="M71" s="11">
        <v>6.2</v>
      </c>
      <c r="N71" s="1">
        <v>245.17</v>
      </c>
      <c r="O71" s="11">
        <v>2.8224999999999998</v>
      </c>
      <c r="P71" s="1">
        <f t="shared" si="9"/>
        <v>3323.22</v>
      </c>
      <c r="Q71" s="1">
        <v>3337.43</v>
      </c>
      <c r="R71" s="16">
        <f t="shared" si="10"/>
        <v>2651504.2304000002</v>
      </c>
      <c r="S71" s="20">
        <v>809.19</v>
      </c>
      <c r="T71" s="21">
        <v>67.72</v>
      </c>
      <c r="U71" s="21">
        <v>10.450000000000001</v>
      </c>
      <c r="V71" s="8">
        <v>887.36000000000013</v>
      </c>
      <c r="W71" s="25">
        <v>1.238</v>
      </c>
      <c r="X71" s="25">
        <f t="shared" si="11"/>
        <v>274637.92000000004</v>
      </c>
      <c r="Y71" s="1">
        <f t="shared" si="12"/>
        <v>4210.58</v>
      </c>
      <c r="Z71" s="1">
        <f t="shared" si="13"/>
        <v>4224.79</v>
      </c>
      <c r="AA71" s="1">
        <v>4234.18</v>
      </c>
      <c r="AB71" s="1">
        <f t="shared" si="8"/>
        <v>-23.600000000000364</v>
      </c>
      <c r="AC71" s="29">
        <f t="shared" si="14"/>
        <v>9.3900000000003274</v>
      </c>
      <c r="AD71" s="11">
        <f t="shared" si="15"/>
        <v>2926142.1504000002</v>
      </c>
    </row>
    <row r="72" spans="1:30" x14ac:dyDescent="0.3">
      <c r="A72" s="14">
        <v>45782.708333333336</v>
      </c>
      <c r="B72" s="1">
        <v>1452.31</v>
      </c>
      <c r="C72" s="11">
        <v>3.2732000000000001</v>
      </c>
      <c r="D72" s="1">
        <v>679.76</v>
      </c>
      <c r="E72" s="11">
        <v>3.0760000000000001</v>
      </c>
      <c r="F72" s="1">
        <v>717.12</v>
      </c>
      <c r="G72" s="11">
        <v>3.53</v>
      </c>
      <c r="H72" s="1">
        <v>73.11</v>
      </c>
      <c r="I72" s="11">
        <v>3.3008299999999999</v>
      </c>
      <c r="J72" s="1">
        <v>148.30000000000001</v>
      </c>
      <c r="K72" s="11">
        <v>2.0998200000000002</v>
      </c>
      <c r="L72" s="1">
        <v>4.75</v>
      </c>
      <c r="M72" s="11">
        <v>6.2</v>
      </c>
      <c r="N72" s="1">
        <v>222.74</v>
      </c>
      <c r="O72" s="11">
        <v>2.8224999999999998</v>
      </c>
      <c r="P72" s="1">
        <f t="shared" si="9"/>
        <v>3298.09</v>
      </c>
      <c r="Q72" s="1">
        <v>3317.09</v>
      </c>
      <c r="R72" s="16">
        <f t="shared" si="10"/>
        <v>2646734.2723250003</v>
      </c>
      <c r="S72" s="20">
        <v>804.89</v>
      </c>
      <c r="T72" s="21">
        <v>51.53</v>
      </c>
      <c r="U72" s="21">
        <v>10.55</v>
      </c>
      <c r="V72" s="8">
        <v>866.96999999999991</v>
      </c>
      <c r="W72" s="25">
        <v>1.238</v>
      </c>
      <c r="X72" s="25">
        <f t="shared" si="11"/>
        <v>268327.21499999997</v>
      </c>
      <c r="Y72" s="1">
        <f t="shared" si="12"/>
        <v>4165.0600000000004</v>
      </c>
      <c r="Z72" s="1">
        <f t="shared" si="13"/>
        <v>4184.0600000000004</v>
      </c>
      <c r="AA72" s="1">
        <v>4187.74</v>
      </c>
      <c r="AB72" s="1">
        <f t="shared" si="8"/>
        <v>-22.679999999999382</v>
      </c>
      <c r="AC72" s="29">
        <f t="shared" si="14"/>
        <v>3.6799999999993815</v>
      </c>
      <c r="AD72" s="11">
        <f t="shared" si="15"/>
        <v>2915061.4873250001</v>
      </c>
    </row>
    <row r="73" spans="1:30" x14ac:dyDescent="0.3">
      <c r="A73" s="14">
        <v>45782.71875</v>
      </c>
      <c r="B73" s="1">
        <v>1452.16</v>
      </c>
      <c r="C73" s="11">
        <v>3.2732000000000001</v>
      </c>
      <c r="D73" s="1">
        <v>679.76</v>
      </c>
      <c r="E73" s="11">
        <v>3.0760000000000001</v>
      </c>
      <c r="F73" s="1">
        <v>717.12</v>
      </c>
      <c r="G73" s="11">
        <v>3.53</v>
      </c>
      <c r="H73" s="1">
        <v>72.69</v>
      </c>
      <c r="I73" s="11">
        <v>3.4221200000000001</v>
      </c>
      <c r="J73" s="1">
        <v>59.56</v>
      </c>
      <c r="K73" s="11">
        <v>2.9034899999999997</v>
      </c>
      <c r="L73" s="1">
        <v>2.13</v>
      </c>
      <c r="M73" s="11">
        <v>6.2</v>
      </c>
      <c r="N73" s="1">
        <v>197.27</v>
      </c>
      <c r="O73" s="11">
        <v>2.8224999999999998</v>
      </c>
      <c r="P73" s="1">
        <f t="shared" si="9"/>
        <v>3180.69</v>
      </c>
      <c r="Q73" s="1">
        <v>3205.73</v>
      </c>
      <c r="R73" s="16">
        <f t="shared" si="10"/>
        <v>2591817.9535499997</v>
      </c>
      <c r="S73" s="20">
        <v>921.55</v>
      </c>
      <c r="T73" s="21">
        <v>36.39</v>
      </c>
      <c r="U73" s="21">
        <v>7.46</v>
      </c>
      <c r="V73" s="8">
        <v>965.4</v>
      </c>
      <c r="W73" s="25">
        <v>1.238</v>
      </c>
      <c r="X73" s="25">
        <f t="shared" si="11"/>
        <v>298791.3</v>
      </c>
      <c r="Y73" s="1">
        <f t="shared" si="12"/>
        <v>4146.09</v>
      </c>
      <c r="Z73" s="1">
        <f t="shared" si="13"/>
        <v>4171.13</v>
      </c>
      <c r="AA73" s="1">
        <v>4175.4799999999996</v>
      </c>
      <c r="AB73" s="1">
        <f t="shared" si="8"/>
        <v>-29.389999999999418</v>
      </c>
      <c r="AC73" s="29">
        <f t="shared" si="14"/>
        <v>4.3499999999994543</v>
      </c>
      <c r="AD73" s="11">
        <f t="shared" si="15"/>
        <v>2890609.2535499996</v>
      </c>
    </row>
    <row r="74" spans="1:30" x14ac:dyDescent="0.3">
      <c r="A74" s="14">
        <v>45782.729166666664</v>
      </c>
      <c r="B74" s="1">
        <v>1452.16</v>
      </c>
      <c r="C74" s="11">
        <v>3.2732000000000001</v>
      </c>
      <c r="D74" s="1">
        <v>679.76</v>
      </c>
      <c r="E74" s="11">
        <v>3.0760000000000001</v>
      </c>
      <c r="F74" s="1">
        <v>717.12</v>
      </c>
      <c r="G74" s="11">
        <v>3.53</v>
      </c>
      <c r="H74" s="1">
        <v>74.19</v>
      </c>
      <c r="I74" s="11">
        <v>3.4227600000000002</v>
      </c>
      <c r="J74" s="1">
        <v>6.3</v>
      </c>
      <c r="K74" s="11">
        <v>3.3909400000000001</v>
      </c>
      <c r="L74" s="1">
        <v>0.16</v>
      </c>
      <c r="M74" s="11">
        <v>6.2</v>
      </c>
      <c r="N74" s="1">
        <v>161.07</v>
      </c>
      <c r="O74" s="11">
        <v>2.8224999999999998</v>
      </c>
      <c r="P74" s="1">
        <f t="shared" si="9"/>
        <v>3090.76</v>
      </c>
      <c r="Q74" s="1">
        <v>3162.58</v>
      </c>
      <c r="R74" s="16">
        <f t="shared" si="10"/>
        <v>2526623.7583500007</v>
      </c>
      <c r="S74" s="20">
        <v>958.69000000000017</v>
      </c>
      <c r="T74" s="21">
        <v>29.46</v>
      </c>
      <c r="U74" s="21">
        <v>5.76</v>
      </c>
      <c r="V74" s="8">
        <v>993.9100000000002</v>
      </c>
      <c r="W74" s="25">
        <v>1.238</v>
      </c>
      <c r="X74" s="25">
        <f t="shared" si="11"/>
        <v>307615.14500000002</v>
      </c>
      <c r="Y74" s="1">
        <f t="shared" si="12"/>
        <v>4084.6700000000005</v>
      </c>
      <c r="Z74" s="1">
        <f t="shared" si="13"/>
        <v>4156.49</v>
      </c>
      <c r="AA74" s="1">
        <v>4171.1899999999996</v>
      </c>
      <c r="AB74" s="1">
        <f t="shared" si="8"/>
        <v>-86.519999999999072</v>
      </c>
      <c r="AC74" s="29">
        <f t="shared" si="14"/>
        <v>14.699999999999818</v>
      </c>
      <c r="AD74" s="11">
        <f t="shared" si="15"/>
        <v>2834238.9033500007</v>
      </c>
    </row>
    <row r="75" spans="1:30" x14ac:dyDescent="0.3">
      <c r="A75" s="14">
        <v>45782.739583333336</v>
      </c>
      <c r="B75" s="1">
        <v>1452.16</v>
      </c>
      <c r="C75" s="11">
        <v>3.2732000000000001</v>
      </c>
      <c r="D75" s="1">
        <v>679.76</v>
      </c>
      <c r="E75" s="11">
        <v>3.0760000000000001</v>
      </c>
      <c r="F75" s="1">
        <v>717.12</v>
      </c>
      <c r="G75" s="11">
        <v>3.53</v>
      </c>
      <c r="H75" s="1">
        <v>56.19</v>
      </c>
      <c r="I75" s="11">
        <v>3.4998899999999997</v>
      </c>
      <c r="J75" s="1">
        <v>16.7</v>
      </c>
      <c r="K75" s="11">
        <v>3.4225700000000003</v>
      </c>
      <c r="L75" s="1">
        <v>0</v>
      </c>
      <c r="M75" s="11">
        <v>6.2</v>
      </c>
      <c r="N75" s="1">
        <v>127.24</v>
      </c>
      <c r="O75" s="11">
        <v>2.8224999999999998</v>
      </c>
      <c r="P75" s="1">
        <f t="shared" si="9"/>
        <v>3049.1699999999996</v>
      </c>
      <c r="Q75" s="1">
        <v>3224.3</v>
      </c>
      <c r="R75" s="16">
        <f t="shared" si="10"/>
        <v>2497134.0275249993</v>
      </c>
      <c r="S75" s="20">
        <v>892.29000000000019</v>
      </c>
      <c r="T75" s="21">
        <v>20.82</v>
      </c>
      <c r="U75" s="21">
        <v>6.89</v>
      </c>
      <c r="V75" s="8">
        <v>920.00000000000023</v>
      </c>
      <c r="W75" s="25">
        <v>1.238</v>
      </c>
      <c r="X75" s="25">
        <f t="shared" si="11"/>
        <v>284740.00000000006</v>
      </c>
      <c r="Y75" s="1">
        <f t="shared" si="12"/>
        <v>3969.17</v>
      </c>
      <c r="Z75" s="1">
        <f t="shared" si="13"/>
        <v>4144.3</v>
      </c>
      <c r="AA75" s="1">
        <v>4170.96</v>
      </c>
      <c r="AB75" s="1">
        <f t="shared" si="8"/>
        <v>-201.78999999999996</v>
      </c>
      <c r="AC75" s="29">
        <f t="shared" si="14"/>
        <v>26.659999999999854</v>
      </c>
      <c r="AD75" s="11">
        <f t="shared" si="15"/>
        <v>2781874.0275249993</v>
      </c>
    </row>
    <row r="76" spans="1:30" x14ac:dyDescent="0.3">
      <c r="A76" s="14">
        <v>45782.75</v>
      </c>
      <c r="B76" s="1">
        <v>1454.01</v>
      </c>
      <c r="C76" s="11">
        <v>3.2732000000000001</v>
      </c>
      <c r="D76" s="1">
        <v>679.76</v>
      </c>
      <c r="E76" s="11">
        <v>3.0760000000000001</v>
      </c>
      <c r="F76" s="1">
        <v>672.29</v>
      </c>
      <c r="G76" s="11">
        <v>3.53</v>
      </c>
      <c r="H76" s="1">
        <v>97.62</v>
      </c>
      <c r="I76" s="11">
        <v>3.5496099999999999</v>
      </c>
      <c r="J76" s="1">
        <v>11.47</v>
      </c>
      <c r="K76" s="11">
        <v>3.0006699999999999</v>
      </c>
      <c r="L76" s="1">
        <v>15.69</v>
      </c>
      <c r="M76" s="11">
        <v>6.2</v>
      </c>
      <c r="N76" s="1">
        <v>104.56</v>
      </c>
      <c r="O76" s="11">
        <v>2.8224999999999998</v>
      </c>
      <c r="P76" s="1">
        <f t="shared" si="9"/>
        <v>3035.3999999999996</v>
      </c>
      <c r="Q76" s="1">
        <v>3346.81</v>
      </c>
      <c r="R76" s="16">
        <f t="shared" si="10"/>
        <v>2499180.051275</v>
      </c>
      <c r="S76" s="20">
        <v>773.06999999999994</v>
      </c>
      <c r="T76" s="21">
        <v>11.999999999999998</v>
      </c>
      <c r="U76" s="21">
        <v>7.7100000000000009</v>
      </c>
      <c r="V76" s="8">
        <v>792.78</v>
      </c>
      <c r="W76" s="25">
        <v>1.238</v>
      </c>
      <c r="X76" s="25">
        <f t="shared" si="11"/>
        <v>245365.41</v>
      </c>
      <c r="Y76" s="1">
        <f t="shared" si="12"/>
        <v>3828.1799999999994</v>
      </c>
      <c r="Z76" s="1">
        <f t="shared" si="13"/>
        <v>4139.59</v>
      </c>
      <c r="AA76" s="1">
        <v>4159.6099999999997</v>
      </c>
      <c r="AB76" s="1">
        <f t="shared" si="8"/>
        <v>-331.43000000000029</v>
      </c>
      <c r="AC76" s="29">
        <f t="shared" si="14"/>
        <v>20.019999999999527</v>
      </c>
      <c r="AD76" s="11">
        <f t="shared" si="15"/>
        <v>2744545.4612750001</v>
      </c>
    </row>
    <row r="77" spans="1:30" x14ac:dyDescent="0.3">
      <c r="A77" s="14">
        <v>45782.760416666664</v>
      </c>
      <c r="B77" s="1">
        <v>1455.07</v>
      </c>
      <c r="C77" s="11">
        <v>3.2732000000000001</v>
      </c>
      <c r="D77" s="1">
        <v>679.76</v>
      </c>
      <c r="E77" s="11">
        <v>3.0760000000000001</v>
      </c>
      <c r="F77" s="1">
        <v>668.86</v>
      </c>
      <c r="G77" s="11">
        <v>3.53</v>
      </c>
      <c r="H77" s="1">
        <v>106.8</v>
      </c>
      <c r="I77" s="11">
        <v>3.6926600000000001</v>
      </c>
      <c r="J77" s="1">
        <v>13.84</v>
      </c>
      <c r="K77" s="11">
        <v>3.0946100000000003</v>
      </c>
      <c r="L77" s="1">
        <v>8.1199999999999992</v>
      </c>
      <c r="M77" s="11">
        <v>6.2</v>
      </c>
      <c r="N77" s="1">
        <v>81.19</v>
      </c>
      <c r="O77" s="11">
        <v>2.8224999999999998</v>
      </c>
      <c r="P77" s="1">
        <f t="shared" si="9"/>
        <v>3013.6400000000003</v>
      </c>
      <c r="Q77" s="1">
        <v>3257.46</v>
      </c>
      <c r="R77" s="16">
        <f t="shared" si="10"/>
        <v>2482865.2373500001</v>
      </c>
      <c r="S77" s="20">
        <v>905.41</v>
      </c>
      <c r="T77" s="21">
        <v>5.6499999999999995</v>
      </c>
      <c r="U77" s="21">
        <v>6.7399999999999993</v>
      </c>
      <c r="V77" s="8">
        <v>917.8</v>
      </c>
      <c r="W77" s="25">
        <v>1.238</v>
      </c>
      <c r="X77" s="25">
        <f t="shared" si="11"/>
        <v>284059.09999999998</v>
      </c>
      <c r="Y77" s="1">
        <f t="shared" si="12"/>
        <v>3931.4400000000005</v>
      </c>
      <c r="Z77" s="1">
        <f t="shared" si="13"/>
        <v>4175.26</v>
      </c>
      <c r="AA77" s="1">
        <v>4190.41</v>
      </c>
      <c r="AB77" s="1">
        <f t="shared" si="8"/>
        <v>-258.96999999999935</v>
      </c>
      <c r="AC77" s="29">
        <f t="shared" si="14"/>
        <v>15.149999999999636</v>
      </c>
      <c r="AD77" s="11">
        <f t="shared" si="15"/>
        <v>2766924.3373500002</v>
      </c>
    </row>
    <row r="78" spans="1:30" x14ac:dyDescent="0.3">
      <c r="A78" s="14">
        <v>45782.770833333336</v>
      </c>
      <c r="B78" s="1">
        <v>1458.38</v>
      </c>
      <c r="C78" s="11">
        <v>3.2732000000000001</v>
      </c>
      <c r="D78" s="1">
        <v>679.76</v>
      </c>
      <c r="E78" s="11">
        <v>3.0760000000000001</v>
      </c>
      <c r="F78" s="1">
        <v>668.86</v>
      </c>
      <c r="G78" s="11">
        <v>3.53</v>
      </c>
      <c r="H78" s="1">
        <v>108.62</v>
      </c>
      <c r="I78" s="11">
        <v>3.93004</v>
      </c>
      <c r="J78" s="1">
        <v>11.38</v>
      </c>
      <c r="K78" s="11">
        <v>2.50041</v>
      </c>
      <c r="L78" s="1">
        <v>2.3199999999999998</v>
      </c>
      <c r="M78" s="11">
        <v>6.2</v>
      </c>
      <c r="N78" s="1">
        <v>69</v>
      </c>
      <c r="O78" s="11">
        <v>2.8224999999999998</v>
      </c>
      <c r="P78" s="1">
        <f t="shared" si="9"/>
        <v>2998.3200000000006</v>
      </c>
      <c r="Q78" s="1">
        <v>3175</v>
      </c>
      <c r="R78" s="16">
        <f t="shared" si="10"/>
        <v>2472514.77165</v>
      </c>
      <c r="S78" s="20">
        <v>1127.6500000000001</v>
      </c>
      <c r="T78" s="21">
        <v>1.24</v>
      </c>
      <c r="U78" s="21">
        <v>6.63</v>
      </c>
      <c r="V78" s="8">
        <v>1135.5200000000002</v>
      </c>
      <c r="W78" s="25">
        <v>1.238</v>
      </c>
      <c r="X78" s="25">
        <f t="shared" si="11"/>
        <v>351443.44000000006</v>
      </c>
      <c r="Y78" s="1">
        <f t="shared" si="12"/>
        <v>4133.8400000000011</v>
      </c>
      <c r="Z78" s="1">
        <f t="shared" si="13"/>
        <v>4310.5200000000004</v>
      </c>
      <c r="AA78" s="1">
        <v>4362.7</v>
      </c>
      <c r="AB78" s="1">
        <f t="shared" si="8"/>
        <v>-228.85999999999876</v>
      </c>
      <c r="AC78" s="29">
        <f t="shared" si="14"/>
        <v>52.179999999999382</v>
      </c>
      <c r="AD78" s="11">
        <f t="shared" si="15"/>
        <v>2823958.21165</v>
      </c>
    </row>
    <row r="79" spans="1:30" x14ac:dyDescent="0.3">
      <c r="A79" s="14">
        <v>45782.78125</v>
      </c>
      <c r="B79" s="1">
        <v>1461.47</v>
      </c>
      <c r="C79" s="11">
        <v>3.2732000000000001</v>
      </c>
      <c r="D79" s="1">
        <v>679.76</v>
      </c>
      <c r="E79" s="11">
        <v>3.0760000000000001</v>
      </c>
      <c r="F79" s="1">
        <v>668.86</v>
      </c>
      <c r="G79" s="11">
        <v>3.53</v>
      </c>
      <c r="H79" s="1">
        <v>111.38</v>
      </c>
      <c r="I79" s="11">
        <v>3.8406700000000003</v>
      </c>
      <c r="J79" s="1">
        <v>37.78</v>
      </c>
      <c r="K79" s="11">
        <v>3.2501899999999999</v>
      </c>
      <c r="L79" s="1">
        <v>1.93</v>
      </c>
      <c r="M79" s="11">
        <v>6.2</v>
      </c>
      <c r="N79" s="1">
        <v>52.65</v>
      </c>
      <c r="O79" s="11">
        <v>2.8224999999999998</v>
      </c>
      <c r="P79" s="1">
        <f t="shared" si="9"/>
        <v>3013.8300000000004</v>
      </c>
      <c r="Q79" s="1">
        <v>3093.7</v>
      </c>
      <c r="R79" s="16">
        <f t="shared" si="10"/>
        <v>2486709.4479499999</v>
      </c>
      <c r="S79" s="20">
        <v>1442.7000000000003</v>
      </c>
      <c r="T79" s="21">
        <v>0.33999999999999997</v>
      </c>
      <c r="U79" s="21">
        <v>7.7299999999999986</v>
      </c>
      <c r="V79" s="8">
        <v>1450.7700000000002</v>
      </c>
      <c r="W79" s="25">
        <v>1.238</v>
      </c>
      <c r="X79" s="25">
        <f t="shared" si="11"/>
        <v>449013.31500000006</v>
      </c>
      <c r="Y79" s="1">
        <f t="shared" si="12"/>
        <v>4464.6000000000004</v>
      </c>
      <c r="Z79" s="1">
        <f t="shared" si="13"/>
        <v>4544.47</v>
      </c>
      <c r="AA79" s="1">
        <v>4593.47</v>
      </c>
      <c r="AB79" s="1">
        <f t="shared" si="8"/>
        <v>-128.86999999999989</v>
      </c>
      <c r="AC79" s="29">
        <f t="shared" si="14"/>
        <v>49</v>
      </c>
      <c r="AD79" s="11">
        <f t="shared" si="15"/>
        <v>2935722.7629499999</v>
      </c>
    </row>
    <row r="80" spans="1:30" x14ac:dyDescent="0.3">
      <c r="A80" s="14">
        <v>45782.791666666664</v>
      </c>
      <c r="B80" s="1">
        <v>1462.68</v>
      </c>
      <c r="C80" s="11">
        <v>3.2732000000000001</v>
      </c>
      <c r="D80" s="1">
        <v>679.76</v>
      </c>
      <c r="E80" s="11">
        <v>3.0760000000000001</v>
      </c>
      <c r="F80" s="1">
        <v>668.86</v>
      </c>
      <c r="G80" s="11">
        <v>3.53</v>
      </c>
      <c r="H80" s="1">
        <v>70.680000000000007</v>
      </c>
      <c r="I80" s="11">
        <v>4.5828500000000005</v>
      </c>
      <c r="J80" s="1">
        <v>225.47</v>
      </c>
      <c r="K80" s="11">
        <v>4.1508500000000002</v>
      </c>
      <c r="L80" s="1">
        <v>0.14000000000000001</v>
      </c>
      <c r="M80" s="11">
        <v>6.2</v>
      </c>
      <c r="N80" s="1">
        <v>47.7</v>
      </c>
      <c r="O80" s="11">
        <v>2.8224999999999998</v>
      </c>
      <c r="P80" s="1">
        <f t="shared" si="9"/>
        <v>3155.2899999999995</v>
      </c>
      <c r="Q80" s="1">
        <v>3203.17</v>
      </c>
      <c r="R80" s="16">
        <f t="shared" si="10"/>
        <v>2658742.743375001</v>
      </c>
      <c r="S80" s="20">
        <v>1432.54</v>
      </c>
      <c r="T80" s="21">
        <v>0.26</v>
      </c>
      <c r="U80" s="21">
        <v>7.59</v>
      </c>
      <c r="V80" s="8">
        <v>1440.3899999999999</v>
      </c>
      <c r="W80" s="25">
        <v>1.238</v>
      </c>
      <c r="X80" s="25">
        <f t="shared" si="11"/>
        <v>445800.70499999996</v>
      </c>
      <c r="Y80" s="1">
        <f t="shared" si="12"/>
        <v>4595.6799999999994</v>
      </c>
      <c r="Z80" s="1">
        <f t="shared" si="13"/>
        <v>4643.5599999999995</v>
      </c>
      <c r="AA80" s="1">
        <v>4703.29</v>
      </c>
      <c r="AB80" s="1">
        <f t="shared" si="8"/>
        <v>-107.61000000000058</v>
      </c>
      <c r="AC80" s="29">
        <f t="shared" si="14"/>
        <v>59.730000000000473</v>
      </c>
      <c r="AD80" s="11">
        <f t="shared" si="15"/>
        <v>3104543.4483750011</v>
      </c>
    </row>
    <row r="81" spans="1:30" x14ac:dyDescent="0.3">
      <c r="A81" s="14">
        <v>45782.802083333336</v>
      </c>
      <c r="B81" s="1">
        <v>1462.82</v>
      </c>
      <c r="C81" s="11">
        <v>3.2732000000000001</v>
      </c>
      <c r="D81" s="1">
        <v>679.76</v>
      </c>
      <c r="E81" s="11">
        <v>3.0760000000000001</v>
      </c>
      <c r="F81" s="1">
        <v>668.86</v>
      </c>
      <c r="G81" s="11">
        <v>3.53</v>
      </c>
      <c r="H81" s="1">
        <v>67.510000000000005</v>
      </c>
      <c r="I81" s="11">
        <v>5.2009399999999992</v>
      </c>
      <c r="J81" s="1">
        <v>239.66</v>
      </c>
      <c r="K81" s="11">
        <v>3.9709400000000001</v>
      </c>
      <c r="L81" s="1">
        <v>0</v>
      </c>
      <c r="M81" s="11">
        <v>6.2</v>
      </c>
      <c r="N81" s="1">
        <v>48.8</v>
      </c>
      <c r="O81" s="11">
        <v>2.8224999999999998</v>
      </c>
      <c r="P81" s="1">
        <f t="shared" si="9"/>
        <v>3167.4100000000003</v>
      </c>
      <c r="Q81" s="1">
        <v>3189.09</v>
      </c>
      <c r="R81" s="16">
        <f t="shared" si="10"/>
        <v>2670162.2309499998</v>
      </c>
      <c r="S81" s="20">
        <v>1474.8200000000002</v>
      </c>
      <c r="T81" s="21">
        <v>0.24</v>
      </c>
      <c r="U81" s="21">
        <v>8.1</v>
      </c>
      <c r="V81" s="8">
        <v>1483.16</v>
      </c>
      <c r="W81" s="25">
        <v>1.238</v>
      </c>
      <c r="X81" s="25">
        <f t="shared" si="11"/>
        <v>459038.02</v>
      </c>
      <c r="Y81" s="1">
        <f t="shared" si="12"/>
        <v>4650.5700000000006</v>
      </c>
      <c r="Z81" s="1">
        <f t="shared" si="13"/>
        <v>4672.25</v>
      </c>
      <c r="AA81" s="1">
        <v>4719.2</v>
      </c>
      <c r="AB81" s="1">
        <f t="shared" si="8"/>
        <v>-68.6299999999992</v>
      </c>
      <c r="AC81" s="29">
        <f t="shared" si="14"/>
        <v>46.949999999999818</v>
      </c>
      <c r="AD81" s="11">
        <f t="shared" si="15"/>
        <v>3129200.2509499998</v>
      </c>
    </row>
    <row r="82" spans="1:30" x14ac:dyDescent="0.3">
      <c r="A82" s="14">
        <v>45782.8125</v>
      </c>
      <c r="B82" s="1">
        <v>1462.83</v>
      </c>
      <c r="C82" s="11">
        <v>3.2732000000000001</v>
      </c>
      <c r="D82" s="1">
        <v>679.76</v>
      </c>
      <c r="E82" s="11">
        <v>3.0760000000000001</v>
      </c>
      <c r="F82" s="1">
        <v>690.64</v>
      </c>
      <c r="G82" s="11">
        <v>3.53</v>
      </c>
      <c r="H82" s="1">
        <v>26.68</v>
      </c>
      <c r="I82" s="11">
        <v>6.7005299999999997</v>
      </c>
      <c r="J82" s="1">
        <v>266.39999999999998</v>
      </c>
      <c r="K82" s="11">
        <v>3.4736100000000003</v>
      </c>
      <c r="L82" s="1">
        <v>0</v>
      </c>
      <c r="M82" s="11">
        <v>6.2</v>
      </c>
      <c r="N82" s="1">
        <v>54.44</v>
      </c>
      <c r="O82" s="11">
        <v>2.8224999999999998</v>
      </c>
      <c r="P82" s="1">
        <f t="shared" si="9"/>
        <v>3180.75</v>
      </c>
      <c r="Q82" s="1">
        <v>3150.09</v>
      </c>
      <c r="R82" s="16">
        <f t="shared" si="10"/>
        <v>2643708.2151000001</v>
      </c>
      <c r="S82" s="20">
        <v>1487.8700000000001</v>
      </c>
      <c r="T82" s="21">
        <v>0.21000000000000002</v>
      </c>
      <c r="U82" s="21">
        <v>10.41</v>
      </c>
      <c r="V82" s="8">
        <v>1498.4900000000002</v>
      </c>
      <c r="W82" s="25">
        <v>1.238</v>
      </c>
      <c r="X82" s="25">
        <f t="shared" si="11"/>
        <v>463782.65500000009</v>
      </c>
      <c r="Y82" s="1">
        <f t="shared" si="12"/>
        <v>4679.24</v>
      </c>
      <c r="Z82" s="1">
        <f t="shared" si="13"/>
        <v>4648.58</v>
      </c>
      <c r="AA82" s="1">
        <v>4699.55</v>
      </c>
      <c r="AB82" s="1">
        <f t="shared" si="8"/>
        <v>-20.3100000000004</v>
      </c>
      <c r="AC82" s="29">
        <f t="shared" si="14"/>
        <v>50.970000000000255</v>
      </c>
      <c r="AD82" s="11">
        <f t="shared" si="15"/>
        <v>3107490.8701000004</v>
      </c>
    </row>
    <row r="83" spans="1:30" x14ac:dyDescent="0.3">
      <c r="A83" s="14">
        <v>45782.822916666664</v>
      </c>
      <c r="B83" s="1">
        <v>1462.83</v>
      </c>
      <c r="C83" s="11">
        <v>3.2732000000000001</v>
      </c>
      <c r="D83" s="1">
        <v>679.76</v>
      </c>
      <c r="E83" s="11">
        <v>3.0760000000000001</v>
      </c>
      <c r="F83" s="1">
        <v>692.45</v>
      </c>
      <c r="G83" s="11">
        <v>3.53</v>
      </c>
      <c r="H83" s="1">
        <v>-215.55</v>
      </c>
      <c r="I83" s="11">
        <v>9.9095700000000004</v>
      </c>
      <c r="J83" s="1">
        <v>457.75</v>
      </c>
      <c r="K83" s="11">
        <v>4.2506000000000004</v>
      </c>
      <c r="L83" s="1">
        <v>0</v>
      </c>
      <c r="M83" s="11">
        <v>6.2</v>
      </c>
      <c r="N83" s="1">
        <v>58.22</v>
      </c>
      <c r="O83" s="11">
        <v>2.8224999999999998</v>
      </c>
      <c r="P83" s="1">
        <f t="shared" si="9"/>
        <v>3135.4599999999996</v>
      </c>
      <c r="Q83" s="1">
        <v>3142.96</v>
      </c>
      <c r="R83" s="16">
        <f t="shared" si="10"/>
        <v>2324363.9256249997</v>
      </c>
      <c r="S83" s="20">
        <v>1494.42</v>
      </c>
      <c r="T83" s="21">
        <v>0.21000000000000002</v>
      </c>
      <c r="U83" s="21">
        <v>11.09</v>
      </c>
      <c r="V83" s="8">
        <v>1505.72</v>
      </c>
      <c r="W83" s="25">
        <v>1.238</v>
      </c>
      <c r="X83" s="25">
        <f t="shared" si="11"/>
        <v>466020.33999999997</v>
      </c>
      <c r="Y83" s="1">
        <f t="shared" si="12"/>
        <v>4641.1799999999994</v>
      </c>
      <c r="Z83" s="1">
        <f t="shared" si="13"/>
        <v>4648.68</v>
      </c>
      <c r="AA83" s="1">
        <v>4700.9399999999996</v>
      </c>
      <c r="AB83" s="1">
        <f t="shared" si="8"/>
        <v>-59.760000000000218</v>
      </c>
      <c r="AC83" s="29">
        <f t="shared" si="14"/>
        <v>52.259999999999309</v>
      </c>
      <c r="AD83" s="11">
        <f t="shared" si="15"/>
        <v>2790384.2656249995</v>
      </c>
    </row>
    <row r="84" spans="1:30" x14ac:dyDescent="0.3">
      <c r="A84" s="14">
        <v>45782.833333333336</v>
      </c>
      <c r="B84" s="1">
        <v>1462.83</v>
      </c>
      <c r="C84" s="11">
        <v>3.2732000000000001</v>
      </c>
      <c r="D84" s="1">
        <v>679.76</v>
      </c>
      <c r="E84" s="11">
        <v>3.0760000000000001</v>
      </c>
      <c r="F84" s="1">
        <v>692.45</v>
      </c>
      <c r="G84" s="11">
        <v>3.53</v>
      </c>
      <c r="H84" s="1">
        <v>-299.08999999999997</v>
      </c>
      <c r="I84" s="11">
        <v>10</v>
      </c>
      <c r="J84" s="1">
        <v>581.05999999999995</v>
      </c>
      <c r="K84" s="11">
        <v>3.4994000000000001</v>
      </c>
      <c r="L84" s="1">
        <v>0</v>
      </c>
      <c r="M84" s="11">
        <v>6.2</v>
      </c>
      <c r="N84" s="1">
        <v>58.78</v>
      </c>
      <c r="O84" s="11">
        <v>2.8224999999999998</v>
      </c>
      <c r="P84" s="1">
        <f t="shared" si="9"/>
        <v>3175.79</v>
      </c>
      <c r="Q84" s="1">
        <v>3163.38</v>
      </c>
      <c r="R84" s="16">
        <f t="shared" si="10"/>
        <v>2132948.3325</v>
      </c>
      <c r="S84" s="20">
        <v>1448.88</v>
      </c>
      <c r="T84" s="21">
        <v>0.21000000000000002</v>
      </c>
      <c r="U84" s="21">
        <v>9.7899999999999991</v>
      </c>
      <c r="V84" s="8">
        <v>1458.88</v>
      </c>
      <c r="W84" s="26">
        <v>1.238</v>
      </c>
      <c r="X84" s="25">
        <f t="shared" si="11"/>
        <v>451523.36000000004</v>
      </c>
      <c r="Y84" s="1">
        <f t="shared" si="12"/>
        <v>4634.67</v>
      </c>
      <c r="Z84" s="1">
        <f t="shared" si="13"/>
        <v>4622.26</v>
      </c>
      <c r="AA84" s="1">
        <v>4673.6000000000004</v>
      </c>
      <c r="AB84" s="1">
        <f t="shared" si="8"/>
        <v>-38.930000000000291</v>
      </c>
      <c r="AC84" s="29">
        <f t="shared" si="14"/>
        <v>51.340000000000146</v>
      </c>
      <c r="AD84" s="11">
        <f t="shared" si="15"/>
        <v>2584471.6924999999</v>
      </c>
    </row>
    <row r="85" spans="1:30" x14ac:dyDescent="0.3">
      <c r="A85" s="14">
        <v>45782.84375</v>
      </c>
      <c r="B85" s="1">
        <v>1463.99</v>
      </c>
      <c r="C85" s="11">
        <v>3.2732000000000001</v>
      </c>
      <c r="D85" s="1">
        <v>679.76</v>
      </c>
      <c r="E85" s="11">
        <v>3.0760000000000001</v>
      </c>
      <c r="F85" s="1">
        <v>692.45</v>
      </c>
      <c r="G85" s="11">
        <v>3.53</v>
      </c>
      <c r="H85" s="1">
        <v>-304.8</v>
      </c>
      <c r="I85" s="11">
        <v>10</v>
      </c>
      <c r="J85" s="1">
        <v>598.47</v>
      </c>
      <c r="K85" s="11">
        <v>3.4147699999999999</v>
      </c>
      <c r="L85" s="1">
        <v>0</v>
      </c>
      <c r="M85" s="11">
        <v>6.2</v>
      </c>
      <c r="N85" s="1">
        <v>56.86</v>
      </c>
      <c r="O85" s="11">
        <v>2.8224999999999998</v>
      </c>
      <c r="P85" s="1">
        <f t="shared" si="9"/>
        <v>3186.73</v>
      </c>
      <c r="Q85" s="1">
        <v>3168.55</v>
      </c>
      <c r="R85" s="16">
        <f t="shared" si="10"/>
        <v>2120836.7699749996</v>
      </c>
      <c r="S85" s="20">
        <v>1426.1899999999998</v>
      </c>
      <c r="T85" s="21">
        <v>0.21000000000000002</v>
      </c>
      <c r="U85" s="21">
        <v>9.11</v>
      </c>
      <c r="V85" s="8">
        <v>1435.5099999999998</v>
      </c>
      <c r="W85" s="26">
        <v>1.238</v>
      </c>
      <c r="X85" s="25">
        <f t="shared" si="11"/>
        <v>444290.34499999997</v>
      </c>
      <c r="Y85" s="1">
        <f t="shared" si="12"/>
        <v>4622.24</v>
      </c>
      <c r="Z85" s="1">
        <f t="shared" si="13"/>
        <v>4604.0599999999995</v>
      </c>
      <c r="AA85" s="1">
        <v>4659.0200000000004</v>
      </c>
      <c r="AB85" s="1">
        <f t="shared" si="8"/>
        <v>-36.780000000000655</v>
      </c>
      <c r="AC85" s="29">
        <f t="shared" si="14"/>
        <v>54.960000000000946</v>
      </c>
      <c r="AD85" s="11">
        <f t="shared" si="15"/>
        <v>2565127.1149749998</v>
      </c>
    </row>
    <row r="86" spans="1:30" x14ac:dyDescent="0.3">
      <c r="A86" s="14">
        <v>45782.854166666664</v>
      </c>
      <c r="B86" s="1">
        <v>1464.18</v>
      </c>
      <c r="C86" s="11">
        <v>3.2732000000000001</v>
      </c>
      <c r="D86" s="1">
        <v>679.76</v>
      </c>
      <c r="E86" s="11">
        <v>3.0760000000000001</v>
      </c>
      <c r="F86" s="1">
        <v>692.45</v>
      </c>
      <c r="G86" s="11">
        <v>3.53</v>
      </c>
      <c r="H86" s="1">
        <v>-304.8</v>
      </c>
      <c r="I86" s="11">
        <v>10</v>
      </c>
      <c r="J86" s="1">
        <v>606.38</v>
      </c>
      <c r="K86" s="11">
        <v>2.34985</v>
      </c>
      <c r="L86" s="1">
        <v>0</v>
      </c>
      <c r="M86" s="11">
        <v>6.2</v>
      </c>
      <c r="N86" s="1">
        <v>55.03</v>
      </c>
      <c r="O86" s="11">
        <v>2.8224999999999998</v>
      </c>
      <c r="P86" s="1">
        <f t="shared" si="9"/>
        <v>3193.0000000000005</v>
      </c>
      <c r="Q86" s="1">
        <v>3072.47</v>
      </c>
      <c r="R86" s="16">
        <f t="shared" si="10"/>
        <v>1965017.1135000002</v>
      </c>
      <c r="S86" s="20">
        <v>1498.37</v>
      </c>
      <c r="T86" s="21">
        <v>0.21000000000000002</v>
      </c>
      <c r="U86" s="21">
        <v>10.210000000000001</v>
      </c>
      <c r="V86" s="8">
        <v>1508.79</v>
      </c>
      <c r="W86" s="25">
        <v>1.238</v>
      </c>
      <c r="X86" s="25">
        <f t="shared" si="11"/>
        <v>466970.505</v>
      </c>
      <c r="Y86" s="1">
        <f t="shared" si="12"/>
        <v>4701.7900000000009</v>
      </c>
      <c r="Z86" s="1">
        <f t="shared" si="13"/>
        <v>4581.26</v>
      </c>
      <c r="AA86" s="1">
        <v>4629.7299999999996</v>
      </c>
      <c r="AB86" s="1">
        <f t="shared" si="8"/>
        <v>72.06000000000131</v>
      </c>
      <c r="AC86" s="29">
        <f t="shared" si="14"/>
        <v>48.469999999999345</v>
      </c>
      <c r="AD86" s="11">
        <f t="shared" si="15"/>
        <v>2431987.6185000003</v>
      </c>
    </row>
    <row r="87" spans="1:30" x14ac:dyDescent="0.3">
      <c r="A87" s="14">
        <v>45782.864583333336</v>
      </c>
      <c r="B87" s="1">
        <v>1464.19</v>
      </c>
      <c r="C87" s="11">
        <v>3.2732000000000001</v>
      </c>
      <c r="D87" s="1">
        <v>679.76</v>
      </c>
      <c r="E87" s="11">
        <v>3.0760000000000001</v>
      </c>
      <c r="F87" s="1">
        <v>692.45</v>
      </c>
      <c r="G87" s="11">
        <v>3.53</v>
      </c>
      <c r="H87" s="1">
        <v>-304.8</v>
      </c>
      <c r="I87" s="11">
        <v>10</v>
      </c>
      <c r="J87" s="1">
        <v>606.07000000000005</v>
      </c>
      <c r="K87" s="11">
        <v>2.2049699999999999</v>
      </c>
      <c r="L87" s="1">
        <v>0</v>
      </c>
      <c r="M87" s="11">
        <v>6.2</v>
      </c>
      <c r="N87" s="1">
        <v>52.69</v>
      </c>
      <c r="O87" s="11">
        <v>2.8224999999999998</v>
      </c>
      <c r="P87" s="1">
        <f t="shared" si="9"/>
        <v>3190.3599999999997</v>
      </c>
      <c r="Q87" s="1">
        <v>3037</v>
      </c>
      <c r="R87" s="16">
        <f t="shared" si="10"/>
        <v>1941240.1652250001</v>
      </c>
      <c r="S87" s="20">
        <v>1519.49</v>
      </c>
      <c r="T87" s="21">
        <v>0.2</v>
      </c>
      <c r="U87" s="21">
        <v>11.69</v>
      </c>
      <c r="V87" s="8">
        <v>1531.38</v>
      </c>
      <c r="W87" s="25">
        <v>1.238</v>
      </c>
      <c r="X87" s="25">
        <f t="shared" si="11"/>
        <v>473962.11000000004</v>
      </c>
      <c r="Y87" s="1">
        <f t="shared" si="12"/>
        <v>4721.74</v>
      </c>
      <c r="Z87" s="1">
        <f t="shared" si="13"/>
        <v>4568.38</v>
      </c>
      <c r="AA87" s="1">
        <v>4623.76</v>
      </c>
      <c r="AB87" s="1">
        <f t="shared" si="8"/>
        <v>97.979999999999563</v>
      </c>
      <c r="AC87" s="29">
        <f t="shared" si="14"/>
        <v>55.380000000000109</v>
      </c>
      <c r="AD87" s="11">
        <f t="shared" si="15"/>
        <v>2415202.275225</v>
      </c>
    </row>
    <row r="88" spans="1:30" x14ac:dyDescent="0.3">
      <c r="A88" s="14">
        <v>45782.875</v>
      </c>
      <c r="B88" s="1">
        <v>1464.19</v>
      </c>
      <c r="C88" s="11">
        <v>3.2732000000000001</v>
      </c>
      <c r="D88" s="1">
        <v>679.76</v>
      </c>
      <c r="E88" s="11">
        <v>3.0760000000000001</v>
      </c>
      <c r="F88" s="1">
        <v>692.45</v>
      </c>
      <c r="G88" s="11">
        <v>3.53</v>
      </c>
      <c r="H88" s="1">
        <v>-304.8</v>
      </c>
      <c r="I88" s="11">
        <v>10</v>
      </c>
      <c r="J88" s="1">
        <v>569.46</v>
      </c>
      <c r="K88" s="11">
        <v>2.8279699999999997</v>
      </c>
      <c r="L88" s="1">
        <v>0</v>
      </c>
      <c r="M88" s="11">
        <v>6.2</v>
      </c>
      <c r="N88" s="1">
        <v>55.56</v>
      </c>
      <c r="O88" s="11">
        <v>2.8224999999999998</v>
      </c>
      <c r="P88" s="1">
        <f t="shared" si="9"/>
        <v>3156.6199999999994</v>
      </c>
      <c r="Q88" s="1">
        <v>3037.06</v>
      </c>
      <c r="R88" s="16">
        <f t="shared" si="10"/>
        <v>2011777.7160500002</v>
      </c>
      <c r="S88" s="20">
        <v>1524.5700000000002</v>
      </c>
      <c r="T88" s="21">
        <v>0.2</v>
      </c>
      <c r="U88" s="21">
        <v>11.84</v>
      </c>
      <c r="V88" s="8">
        <v>1536.6100000000001</v>
      </c>
      <c r="W88" s="25">
        <v>1.238</v>
      </c>
      <c r="X88" s="25">
        <f t="shared" si="11"/>
        <v>475580.79500000004</v>
      </c>
      <c r="Y88" s="1">
        <f t="shared" si="12"/>
        <v>4693.2299999999996</v>
      </c>
      <c r="Z88" s="1">
        <f t="shared" si="13"/>
        <v>4573.67</v>
      </c>
      <c r="AA88" s="1">
        <v>4629.6899999999996</v>
      </c>
      <c r="AB88" s="1">
        <f t="shared" si="8"/>
        <v>63.539999999999964</v>
      </c>
      <c r="AC88" s="29">
        <f t="shared" si="14"/>
        <v>56.019999999999527</v>
      </c>
      <c r="AD88" s="11">
        <f t="shared" si="15"/>
        <v>2487358.5110500003</v>
      </c>
    </row>
    <row r="89" spans="1:30" x14ac:dyDescent="0.3">
      <c r="A89" s="14">
        <v>45782.885416666664</v>
      </c>
      <c r="B89" s="1">
        <v>1464.19</v>
      </c>
      <c r="C89" s="11">
        <v>3.2732000000000001</v>
      </c>
      <c r="D89" s="1">
        <v>679.76</v>
      </c>
      <c r="E89" s="11">
        <v>3.0760000000000001</v>
      </c>
      <c r="F89" s="1">
        <v>692.45</v>
      </c>
      <c r="G89" s="11">
        <v>3.53</v>
      </c>
      <c r="H89" s="1">
        <v>-304.8</v>
      </c>
      <c r="I89" s="11">
        <v>10</v>
      </c>
      <c r="J89" s="1">
        <v>585.45000000000005</v>
      </c>
      <c r="K89" s="11">
        <v>3.29542</v>
      </c>
      <c r="L89" s="1">
        <v>0</v>
      </c>
      <c r="M89" s="11">
        <v>6.2</v>
      </c>
      <c r="N89" s="1">
        <v>58.85</v>
      </c>
      <c r="O89" s="11">
        <v>2.8224999999999998</v>
      </c>
      <c r="P89" s="1">
        <f t="shared" si="9"/>
        <v>3175.8999999999992</v>
      </c>
      <c r="Q89" s="1">
        <v>3140.85</v>
      </c>
      <c r="R89" s="16">
        <f t="shared" si="10"/>
        <v>2093821.183</v>
      </c>
      <c r="S89" s="20">
        <v>1484.67</v>
      </c>
      <c r="T89" s="21">
        <v>0.2</v>
      </c>
      <c r="U89" s="21">
        <v>10.91</v>
      </c>
      <c r="V89" s="8">
        <v>1495.7800000000002</v>
      </c>
      <c r="W89" s="26">
        <v>1.238</v>
      </c>
      <c r="X89" s="25">
        <f t="shared" si="11"/>
        <v>462943.91000000009</v>
      </c>
      <c r="Y89" s="1">
        <f t="shared" si="12"/>
        <v>4671.6799999999994</v>
      </c>
      <c r="Z89" s="1">
        <f t="shared" si="13"/>
        <v>4636.63</v>
      </c>
      <c r="AA89" s="1">
        <v>4686.03</v>
      </c>
      <c r="AB89" s="1">
        <f t="shared" si="8"/>
        <v>-14.350000000000364</v>
      </c>
      <c r="AC89" s="29">
        <f t="shared" si="14"/>
        <v>49.399999999999636</v>
      </c>
      <c r="AD89" s="11">
        <f t="shared" si="15"/>
        <v>2556765.0929999999</v>
      </c>
    </row>
    <row r="90" spans="1:30" x14ac:dyDescent="0.3">
      <c r="A90" s="14">
        <v>45782.895833333336</v>
      </c>
      <c r="B90" s="1">
        <v>1464.19</v>
      </c>
      <c r="C90" s="11">
        <v>3.2732000000000001</v>
      </c>
      <c r="D90" s="1">
        <v>679.76</v>
      </c>
      <c r="E90" s="11">
        <v>3.0760000000000001</v>
      </c>
      <c r="F90" s="1">
        <v>692.45</v>
      </c>
      <c r="G90" s="11">
        <v>3.53</v>
      </c>
      <c r="H90" s="1">
        <v>-304.8</v>
      </c>
      <c r="I90" s="11">
        <v>10</v>
      </c>
      <c r="J90" s="1">
        <v>603.12</v>
      </c>
      <c r="K90" s="11">
        <v>3.17414</v>
      </c>
      <c r="L90" s="1">
        <v>0</v>
      </c>
      <c r="M90" s="11">
        <v>6.2</v>
      </c>
      <c r="N90" s="1">
        <v>61.88</v>
      </c>
      <c r="O90" s="11">
        <v>2.8224999999999998</v>
      </c>
      <c r="P90" s="1">
        <f t="shared" si="9"/>
        <v>3196.5999999999995</v>
      </c>
      <c r="Q90" s="1">
        <v>3159.23</v>
      </c>
      <c r="R90" s="16">
        <f t="shared" si="10"/>
        <v>2092230.1462000001</v>
      </c>
      <c r="S90" s="20">
        <v>1507.26</v>
      </c>
      <c r="T90" s="21">
        <v>0.2</v>
      </c>
      <c r="U90" s="21">
        <v>11.7</v>
      </c>
      <c r="V90" s="8">
        <v>1519.16</v>
      </c>
      <c r="W90" s="26">
        <v>1.238</v>
      </c>
      <c r="X90" s="25">
        <f t="shared" si="11"/>
        <v>470180.02</v>
      </c>
      <c r="Y90" s="1">
        <f t="shared" si="12"/>
        <v>4715.7599999999993</v>
      </c>
      <c r="Z90" s="1">
        <f t="shared" si="13"/>
        <v>4678.3900000000003</v>
      </c>
      <c r="AA90" s="1">
        <v>4724.8599999999997</v>
      </c>
      <c r="AB90" s="1">
        <f t="shared" si="8"/>
        <v>-9.1000000000003638</v>
      </c>
      <c r="AC90" s="29">
        <f t="shared" si="14"/>
        <v>46.469999999999345</v>
      </c>
      <c r="AD90" s="11">
        <f t="shared" si="15"/>
        <v>2562410.1661999999</v>
      </c>
    </row>
    <row r="91" spans="1:30" x14ac:dyDescent="0.3">
      <c r="A91" s="14">
        <v>45782.90625</v>
      </c>
      <c r="B91" s="1">
        <v>1464.19</v>
      </c>
      <c r="C91" s="11">
        <v>3.2732000000000001</v>
      </c>
      <c r="D91" s="1">
        <v>679.76</v>
      </c>
      <c r="E91" s="11">
        <v>3.0760000000000001</v>
      </c>
      <c r="F91" s="1">
        <v>692.45</v>
      </c>
      <c r="G91" s="11">
        <v>3.53</v>
      </c>
      <c r="H91" s="1">
        <v>-304.8</v>
      </c>
      <c r="I91" s="11">
        <v>10</v>
      </c>
      <c r="J91" s="1">
        <v>659.56</v>
      </c>
      <c r="K91" s="11">
        <v>3.0941700000000001</v>
      </c>
      <c r="L91" s="1">
        <v>0</v>
      </c>
      <c r="M91" s="11">
        <v>6.2</v>
      </c>
      <c r="N91" s="1">
        <v>65.16</v>
      </c>
      <c r="O91" s="11">
        <v>2.8224999999999998</v>
      </c>
      <c r="P91" s="1">
        <f t="shared" si="9"/>
        <v>3256.3199999999993</v>
      </c>
      <c r="Q91" s="1">
        <v>3197.14</v>
      </c>
      <c r="R91" s="16">
        <f t="shared" si="10"/>
        <v>2126145.4583000001</v>
      </c>
      <c r="S91" s="20">
        <v>1521.34</v>
      </c>
      <c r="T91" s="21">
        <v>0.2</v>
      </c>
      <c r="U91" s="21">
        <v>11.870000000000001</v>
      </c>
      <c r="V91" s="8">
        <v>1533.4099999999999</v>
      </c>
      <c r="W91" s="26">
        <v>1.238</v>
      </c>
      <c r="X91" s="25">
        <f t="shared" si="11"/>
        <v>474590.39499999996</v>
      </c>
      <c r="Y91" s="1">
        <f t="shared" si="12"/>
        <v>4789.7299999999996</v>
      </c>
      <c r="Z91" s="1">
        <f t="shared" si="13"/>
        <v>4730.5499999999993</v>
      </c>
      <c r="AA91" s="1">
        <v>4776.3599999999997</v>
      </c>
      <c r="AB91" s="1">
        <f t="shared" si="8"/>
        <v>13.369999999999891</v>
      </c>
      <c r="AC91" s="29">
        <f t="shared" si="14"/>
        <v>45.8100000000004</v>
      </c>
      <c r="AD91" s="11">
        <f t="shared" si="15"/>
        <v>2600735.8533000001</v>
      </c>
    </row>
    <row r="92" spans="1:30" x14ac:dyDescent="0.3">
      <c r="A92" s="14">
        <v>45782.916666666664</v>
      </c>
      <c r="B92" s="1">
        <v>1465.95</v>
      </c>
      <c r="C92" s="11">
        <v>3.2732000000000001</v>
      </c>
      <c r="D92" s="1">
        <v>679.76</v>
      </c>
      <c r="E92" s="11">
        <v>3.0760000000000001</v>
      </c>
      <c r="F92" s="1">
        <v>692.45</v>
      </c>
      <c r="G92" s="11">
        <v>3.53</v>
      </c>
      <c r="H92" s="1">
        <v>-212.24</v>
      </c>
      <c r="I92" s="11">
        <v>10</v>
      </c>
      <c r="J92" s="1">
        <v>579.62</v>
      </c>
      <c r="K92" s="11">
        <v>3.2934299999999999</v>
      </c>
      <c r="L92" s="1">
        <v>0</v>
      </c>
      <c r="M92" s="11">
        <v>6.2</v>
      </c>
      <c r="N92" s="1">
        <v>65.12</v>
      </c>
      <c r="O92" s="11">
        <v>2.8224999999999998</v>
      </c>
      <c r="P92" s="1">
        <f t="shared" si="9"/>
        <v>3270.66</v>
      </c>
      <c r="Q92" s="1">
        <v>3238.93</v>
      </c>
      <c r="R92" s="16">
        <f t="shared" si="10"/>
        <v>2325994.2241500001</v>
      </c>
      <c r="S92" s="20">
        <v>1551.3000000000002</v>
      </c>
      <c r="T92" s="21">
        <v>0.2</v>
      </c>
      <c r="U92" s="21">
        <v>11.55</v>
      </c>
      <c r="V92" s="8">
        <v>1563.0500000000002</v>
      </c>
      <c r="W92" s="26">
        <v>1.238</v>
      </c>
      <c r="X92" s="25">
        <f t="shared" si="11"/>
        <v>483763.97500000009</v>
      </c>
      <c r="Y92" s="1">
        <f t="shared" si="12"/>
        <v>4833.71</v>
      </c>
      <c r="Z92" s="1">
        <f t="shared" si="13"/>
        <v>4801.9799999999996</v>
      </c>
      <c r="AA92" s="1">
        <v>4851.4799999999996</v>
      </c>
      <c r="AB92" s="1">
        <f t="shared" si="8"/>
        <v>-17.769999999999527</v>
      </c>
      <c r="AC92" s="29">
        <f t="shared" si="14"/>
        <v>49.5</v>
      </c>
      <c r="AD92" s="11">
        <f t="shared" si="15"/>
        <v>2809758.1991500002</v>
      </c>
    </row>
    <row r="93" spans="1:30" x14ac:dyDescent="0.3">
      <c r="A93" s="14">
        <v>45782.927083333336</v>
      </c>
      <c r="B93" s="1">
        <v>1466.34</v>
      </c>
      <c r="C93" s="11">
        <v>3.2732000000000001</v>
      </c>
      <c r="D93" s="1">
        <v>679.76</v>
      </c>
      <c r="E93" s="11">
        <v>3.0760000000000001</v>
      </c>
      <c r="F93" s="1">
        <v>692.45</v>
      </c>
      <c r="G93" s="11">
        <v>3.53</v>
      </c>
      <c r="H93" s="1">
        <v>-204.8</v>
      </c>
      <c r="I93" s="11">
        <v>10</v>
      </c>
      <c r="J93" s="1">
        <v>505.14</v>
      </c>
      <c r="K93" s="11">
        <v>3.17421</v>
      </c>
      <c r="L93" s="1">
        <v>0</v>
      </c>
      <c r="M93" s="11">
        <v>6.2</v>
      </c>
      <c r="N93" s="1">
        <v>64.540000000000006</v>
      </c>
      <c r="O93" s="11">
        <v>2.8224999999999998</v>
      </c>
      <c r="P93" s="1">
        <f t="shared" si="9"/>
        <v>3203.43</v>
      </c>
      <c r="Q93" s="1">
        <v>3040.64</v>
      </c>
      <c r="R93" s="16">
        <f t="shared" si="10"/>
        <v>2268124.73435</v>
      </c>
      <c r="S93" s="20">
        <v>1631.6799999999998</v>
      </c>
      <c r="T93" s="21">
        <v>0.19</v>
      </c>
      <c r="U93" s="21">
        <v>12.17</v>
      </c>
      <c r="V93" s="8">
        <v>1644.04</v>
      </c>
      <c r="W93" s="26">
        <v>1.238</v>
      </c>
      <c r="X93" s="25">
        <f t="shared" si="11"/>
        <v>508830.38</v>
      </c>
      <c r="Y93" s="1">
        <f t="shared" si="12"/>
        <v>4847.4699999999993</v>
      </c>
      <c r="Z93" s="1">
        <f t="shared" si="13"/>
        <v>4684.68</v>
      </c>
      <c r="AA93" s="1">
        <v>4763.68</v>
      </c>
      <c r="AB93" s="1">
        <f t="shared" si="8"/>
        <v>83.789999999999054</v>
      </c>
      <c r="AC93" s="29">
        <f t="shared" si="14"/>
        <v>79</v>
      </c>
      <c r="AD93" s="11">
        <f t="shared" si="15"/>
        <v>2776955.1143499999</v>
      </c>
    </row>
    <row r="94" spans="1:30" x14ac:dyDescent="0.3">
      <c r="A94" s="14">
        <v>45782.9375</v>
      </c>
      <c r="B94" s="1">
        <v>1466.36</v>
      </c>
      <c r="C94" s="11">
        <v>3.2732000000000001</v>
      </c>
      <c r="D94" s="1">
        <v>679.76</v>
      </c>
      <c r="E94" s="11">
        <v>3.0760000000000001</v>
      </c>
      <c r="F94" s="1">
        <v>692.45</v>
      </c>
      <c r="G94" s="11">
        <v>3.53</v>
      </c>
      <c r="H94" s="1">
        <v>-204.8</v>
      </c>
      <c r="I94" s="11">
        <v>10</v>
      </c>
      <c r="J94" s="1">
        <v>625.47</v>
      </c>
      <c r="K94" s="11">
        <v>3.4224399999999999</v>
      </c>
      <c r="L94" s="1">
        <v>0</v>
      </c>
      <c r="M94" s="11">
        <v>6.2</v>
      </c>
      <c r="N94" s="1">
        <v>46.45</v>
      </c>
      <c r="O94" s="11">
        <v>2.8224999999999998</v>
      </c>
      <c r="P94" s="1">
        <f t="shared" si="9"/>
        <v>3305.6899999999996</v>
      </c>
      <c r="Q94" s="1">
        <v>3055.72</v>
      </c>
      <c r="R94" s="16">
        <f t="shared" si="10"/>
        <v>2389679.6209499999</v>
      </c>
      <c r="S94" s="20">
        <v>1472.2900000000002</v>
      </c>
      <c r="T94" s="21">
        <v>0.19</v>
      </c>
      <c r="U94" s="21">
        <v>12.33</v>
      </c>
      <c r="V94" s="8">
        <v>1484.8100000000002</v>
      </c>
      <c r="W94" s="26">
        <v>1.238</v>
      </c>
      <c r="X94" s="25">
        <f t="shared" si="11"/>
        <v>459548.69500000007</v>
      </c>
      <c r="Y94" s="1">
        <f t="shared" si="12"/>
        <v>4790.5</v>
      </c>
      <c r="Z94" s="1">
        <f t="shared" si="13"/>
        <v>4540.53</v>
      </c>
      <c r="AA94" s="1">
        <v>4620.2</v>
      </c>
      <c r="AB94" s="1">
        <f t="shared" si="8"/>
        <v>170.30000000000018</v>
      </c>
      <c r="AC94" s="29">
        <f t="shared" si="14"/>
        <v>79.670000000000073</v>
      </c>
      <c r="AD94" s="11">
        <f t="shared" si="15"/>
        <v>2849228.3159499997</v>
      </c>
    </row>
    <row r="95" spans="1:30" x14ac:dyDescent="0.3">
      <c r="A95" s="14">
        <v>45782.947916666664</v>
      </c>
      <c r="B95" s="1">
        <v>1464.65</v>
      </c>
      <c r="C95" s="11">
        <v>3.2732000000000001</v>
      </c>
      <c r="D95" s="1">
        <v>679.76</v>
      </c>
      <c r="E95" s="11">
        <v>3.0760000000000001</v>
      </c>
      <c r="F95" s="1">
        <v>692.45</v>
      </c>
      <c r="G95" s="11">
        <v>3.53</v>
      </c>
      <c r="H95" s="1">
        <v>-204.8</v>
      </c>
      <c r="I95" s="11">
        <v>10</v>
      </c>
      <c r="J95" s="1">
        <v>799.13</v>
      </c>
      <c r="K95" s="11">
        <v>3.42299</v>
      </c>
      <c r="L95" s="1">
        <v>0</v>
      </c>
      <c r="M95" s="11">
        <v>6.2</v>
      </c>
      <c r="N95" s="1">
        <v>45</v>
      </c>
      <c r="O95" s="11">
        <v>2.8224999999999998</v>
      </c>
      <c r="P95" s="1">
        <f t="shared" si="9"/>
        <v>3476.1899999999996</v>
      </c>
      <c r="Q95" s="1">
        <v>3201.65</v>
      </c>
      <c r="R95" s="16">
        <f t="shared" si="10"/>
        <v>2535952.2846750002</v>
      </c>
      <c r="S95" s="20">
        <v>1354.88</v>
      </c>
      <c r="T95" s="21">
        <v>0.2</v>
      </c>
      <c r="U95" s="21">
        <v>11.94</v>
      </c>
      <c r="V95" s="8">
        <v>1367.0200000000002</v>
      </c>
      <c r="W95" s="26">
        <v>1.238</v>
      </c>
      <c r="X95" s="25">
        <f t="shared" si="11"/>
        <v>423092.69000000006</v>
      </c>
      <c r="Y95" s="1">
        <f t="shared" si="12"/>
        <v>4843.21</v>
      </c>
      <c r="Z95" s="1">
        <f t="shared" si="13"/>
        <v>4568.67</v>
      </c>
      <c r="AA95" s="1">
        <v>4630.1400000000003</v>
      </c>
      <c r="AB95" s="1">
        <f t="shared" si="8"/>
        <v>213.06999999999971</v>
      </c>
      <c r="AC95" s="29">
        <f t="shared" si="14"/>
        <v>61.470000000000255</v>
      </c>
      <c r="AD95" s="11">
        <f t="shared" si="15"/>
        <v>2959044.9746750002</v>
      </c>
    </row>
    <row r="96" spans="1:30" x14ac:dyDescent="0.3">
      <c r="A96" s="14">
        <v>45782.958333333336</v>
      </c>
      <c r="B96" s="1">
        <v>1463.88</v>
      </c>
      <c r="C96" s="11">
        <v>3.2732000000000001</v>
      </c>
      <c r="D96" s="1">
        <v>679.76</v>
      </c>
      <c r="E96" s="11">
        <v>3.0760000000000001</v>
      </c>
      <c r="F96" s="1">
        <v>692.45</v>
      </c>
      <c r="G96" s="11">
        <v>3.53</v>
      </c>
      <c r="H96" s="1">
        <v>-204.8</v>
      </c>
      <c r="I96" s="11">
        <v>10</v>
      </c>
      <c r="J96" s="1">
        <v>655.03</v>
      </c>
      <c r="K96" s="11">
        <v>3.2875100000000002</v>
      </c>
      <c r="L96" s="1">
        <v>0</v>
      </c>
      <c r="M96" s="11">
        <v>6.2</v>
      </c>
      <c r="N96" s="1">
        <v>45</v>
      </c>
      <c r="O96" s="11">
        <v>2.8224999999999998</v>
      </c>
      <c r="P96" s="1">
        <f t="shared" si="9"/>
        <v>3331.3199999999997</v>
      </c>
      <c r="Q96" s="1">
        <v>3168.79</v>
      </c>
      <c r="R96" s="16">
        <f t="shared" si="10"/>
        <v>2389823.1128249997</v>
      </c>
      <c r="S96" s="20">
        <v>1466.98</v>
      </c>
      <c r="T96" s="21">
        <v>0.2</v>
      </c>
      <c r="U96" s="21">
        <v>10.469999999999999</v>
      </c>
      <c r="V96" s="8">
        <v>1477.65</v>
      </c>
      <c r="W96" s="26">
        <v>1.238</v>
      </c>
      <c r="X96" s="25">
        <f t="shared" si="11"/>
        <v>457332.67500000005</v>
      </c>
      <c r="Y96" s="1">
        <f t="shared" si="12"/>
        <v>4808.9699999999993</v>
      </c>
      <c r="Z96" s="1">
        <f t="shared" si="13"/>
        <v>4646.4400000000005</v>
      </c>
      <c r="AA96" s="1">
        <v>4684.3500000000004</v>
      </c>
      <c r="AB96" s="1">
        <f t="shared" si="8"/>
        <v>124.61999999999898</v>
      </c>
      <c r="AC96" s="29">
        <f t="shared" si="14"/>
        <v>37.909999999999854</v>
      </c>
      <c r="AD96" s="11">
        <f t="shared" si="15"/>
        <v>2847155.7878249995</v>
      </c>
    </row>
    <row r="97" spans="1:31" x14ac:dyDescent="0.3">
      <c r="A97" s="14">
        <v>45782.96875</v>
      </c>
      <c r="B97" s="1">
        <v>1463.83</v>
      </c>
      <c r="C97" s="11">
        <v>3.2732000000000001</v>
      </c>
      <c r="D97" s="1">
        <v>679.76</v>
      </c>
      <c r="E97" s="11">
        <v>3.0760000000000001</v>
      </c>
      <c r="F97" s="1">
        <v>692.45</v>
      </c>
      <c r="G97" s="11">
        <v>3.53</v>
      </c>
      <c r="H97" s="1">
        <v>-204.8</v>
      </c>
      <c r="I97" s="11">
        <v>10</v>
      </c>
      <c r="J97" s="1">
        <v>568.21</v>
      </c>
      <c r="K97" s="11">
        <v>3.0009000000000001</v>
      </c>
      <c r="L97" s="1">
        <v>0</v>
      </c>
      <c r="M97" s="11">
        <v>6.2</v>
      </c>
      <c r="N97" s="1">
        <v>45</v>
      </c>
      <c r="O97" s="11">
        <v>2.8224999999999998</v>
      </c>
      <c r="P97" s="1">
        <f t="shared" si="9"/>
        <v>3244.45</v>
      </c>
      <c r="Q97" s="1">
        <v>2901.57</v>
      </c>
      <c r="R97" s="16">
        <f t="shared" si="10"/>
        <v>2277713.1262500002</v>
      </c>
      <c r="S97" s="20">
        <v>1622.4900000000002</v>
      </c>
      <c r="T97" s="21">
        <v>0.2</v>
      </c>
      <c r="U97" s="21">
        <v>8.34</v>
      </c>
      <c r="V97" s="8">
        <v>1631.0300000000002</v>
      </c>
      <c r="W97" s="25">
        <v>1.238</v>
      </c>
      <c r="X97" s="25">
        <f t="shared" si="11"/>
        <v>504803.78500000003</v>
      </c>
      <c r="Y97" s="1">
        <f t="shared" si="12"/>
        <v>4875.4799999999996</v>
      </c>
      <c r="Z97" s="1">
        <f t="shared" si="13"/>
        <v>4532.6000000000004</v>
      </c>
      <c r="AA97" s="1">
        <v>4589.3</v>
      </c>
      <c r="AB97" s="1">
        <f t="shared" si="8"/>
        <v>286.17999999999938</v>
      </c>
      <c r="AC97" s="29">
        <f t="shared" si="14"/>
        <v>56.699999999999818</v>
      </c>
      <c r="AD97" s="11">
        <f t="shared" si="15"/>
        <v>2782516.9112500004</v>
      </c>
    </row>
    <row r="98" spans="1:31" x14ac:dyDescent="0.3">
      <c r="A98" s="14">
        <v>45782.979166666664</v>
      </c>
      <c r="B98" s="1">
        <v>1465.92</v>
      </c>
      <c r="C98" s="11">
        <v>3.2732000000000001</v>
      </c>
      <c r="D98" s="1">
        <v>679.76</v>
      </c>
      <c r="E98" s="11">
        <v>3.0760000000000001</v>
      </c>
      <c r="F98" s="1">
        <v>692.45</v>
      </c>
      <c r="G98" s="11">
        <v>3.53</v>
      </c>
      <c r="H98" s="1">
        <v>-204.8</v>
      </c>
      <c r="I98" s="11">
        <v>10</v>
      </c>
      <c r="J98" s="1">
        <v>456.27</v>
      </c>
      <c r="K98" s="11">
        <v>2.82782</v>
      </c>
      <c r="L98" s="1">
        <v>0</v>
      </c>
      <c r="M98" s="11">
        <v>6.2</v>
      </c>
      <c r="N98" s="1">
        <v>45</v>
      </c>
      <c r="O98" s="11">
        <v>2.8224999999999998</v>
      </c>
      <c r="P98" s="1">
        <f t="shared" si="9"/>
        <v>3134.6</v>
      </c>
      <c r="Q98" s="1">
        <v>3000.85</v>
      </c>
      <c r="R98" s="16">
        <f t="shared" si="10"/>
        <v>2175700.3838500003</v>
      </c>
      <c r="S98" s="20">
        <v>1596.3700000000001</v>
      </c>
      <c r="T98" s="21">
        <v>0.2</v>
      </c>
      <c r="U98" s="21">
        <v>6.51</v>
      </c>
      <c r="V98" s="8">
        <v>1603.0800000000002</v>
      </c>
      <c r="W98" s="25">
        <v>1.238</v>
      </c>
      <c r="X98" s="25">
        <f t="shared" si="11"/>
        <v>496153.26000000007</v>
      </c>
      <c r="Y98" s="1">
        <f t="shared" si="12"/>
        <v>4737.68</v>
      </c>
      <c r="Z98" s="1">
        <f t="shared" si="13"/>
        <v>4603.93</v>
      </c>
      <c r="AA98" s="1">
        <v>4651.13</v>
      </c>
      <c r="AB98" s="1">
        <f t="shared" si="8"/>
        <v>86.550000000000182</v>
      </c>
      <c r="AC98" s="29">
        <f t="shared" si="14"/>
        <v>47.199999999999818</v>
      </c>
      <c r="AD98" s="11">
        <f t="shared" si="15"/>
        <v>2671853.6438500006</v>
      </c>
    </row>
    <row r="99" spans="1:31" x14ac:dyDescent="0.3">
      <c r="A99" s="14">
        <v>45782.989583333336</v>
      </c>
      <c r="B99" s="1">
        <v>1466.51</v>
      </c>
      <c r="C99" s="11">
        <v>3.2732000000000001</v>
      </c>
      <c r="D99" s="1">
        <v>679.76</v>
      </c>
      <c r="E99" s="11">
        <v>3.0760000000000001</v>
      </c>
      <c r="F99" s="1">
        <v>692.45</v>
      </c>
      <c r="G99" s="11">
        <v>3.53</v>
      </c>
      <c r="H99" s="1">
        <v>-204.8</v>
      </c>
      <c r="I99" s="11">
        <v>10</v>
      </c>
      <c r="J99" s="1">
        <v>366.21</v>
      </c>
      <c r="K99" s="11">
        <v>2.8273999999999999</v>
      </c>
      <c r="L99" s="1">
        <v>0</v>
      </c>
      <c r="M99" s="11">
        <v>6.2</v>
      </c>
      <c r="N99" s="1">
        <v>45</v>
      </c>
      <c r="O99" s="11">
        <v>2.8224999999999998</v>
      </c>
      <c r="P99" s="1">
        <f t="shared" si="9"/>
        <v>3045.13</v>
      </c>
      <c r="Q99" s="1">
        <v>2909.6</v>
      </c>
      <c r="R99" s="16">
        <f t="shared" si="10"/>
        <v>2112476.3615000001</v>
      </c>
      <c r="S99" s="20">
        <v>1630.39</v>
      </c>
      <c r="T99" s="21">
        <v>0.2</v>
      </c>
      <c r="U99" s="21">
        <v>6.75</v>
      </c>
      <c r="V99" s="8">
        <v>1637.3400000000001</v>
      </c>
      <c r="W99" s="25">
        <v>1.238</v>
      </c>
      <c r="X99" s="25">
        <f t="shared" si="11"/>
        <v>506756.73000000004</v>
      </c>
      <c r="Y99" s="1">
        <f t="shared" si="12"/>
        <v>4682.47</v>
      </c>
      <c r="Z99" s="1">
        <f t="shared" si="13"/>
        <v>4546.9400000000005</v>
      </c>
      <c r="AA99" s="1">
        <v>4594.0200000000004</v>
      </c>
      <c r="AB99" s="1">
        <f t="shared" si="8"/>
        <v>88.449999999999818</v>
      </c>
      <c r="AC99" s="29">
        <f t="shared" si="14"/>
        <v>47.079999999999927</v>
      </c>
      <c r="AD99" s="11">
        <f t="shared" si="15"/>
        <v>2619233.0915000001</v>
      </c>
      <c r="AE99" s="31">
        <f>SUM(AD4:AD99)</f>
        <v>247481790.67310002</v>
      </c>
    </row>
    <row r="100" spans="1:31" x14ac:dyDescent="0.3">
      <c r="A100" s="14">
        <v>45813</v>
      </c>
      <c r="B100" s="1">
        <v>1468.48</v>
      </c>
      <c r="C100" s="11">
        <v>3.2732000000000001</v>
      </c>
      <c r="D100" s="1">
        <v>679.76</v>
      </c>
      <c r="E100" s="11">
        <v>3.0760000000000001</v>
      </c>
      <c r="F100" s="1">
        <v>443.08</v>
      </c>
      <c r="G100" s="11">
        <v>3.53</v>
      </c>
      <c r="H100" s="1">
        <v>-17.23</v>
      </c>
      <c r="I100" s="11">
        <v>4.5007200000000003</v>
      </c>
      <c r="J100" s="1">
        <v>224.14</v>
      </c>
      <c r="K100" s="11">
        <v>2.5405700000000002</v>
      </c>
      <c r="L100" s="1">
        <v>0</v>
      </c>
      <c r="M100" s="11">
        <v>6.2</v>
      </c>
      <c r="N100" s="1">
        <v>39.43</v>
      </c>
      <c r="O100" s="11">
        <v>2.8224999999999998</v>
      </c>
      <c r="P100" s="1">
        <f t="shared" si="9"/>
        <v>2837.6599999999994</v>
      </c>
      <c r="Q100" s="1">
        <v>2786.05</v>
      </c>
      <c r="R100" s="16">
        <f t="shared" si="10"/>
        <v>2266207.5062999995</v>
      </c>
      <c r="S100" s="20">
        <v>1659.7599999999998</v>
      </c>
      <c r="T100" s="21">
        <v>0.2</v>
      </c>
      <c r="U100" s="21">
        <v>7.59</v>
      </c>
      <c r="V100" s="8">
        <v>1667.5499999999997</v>
      </c>
      <c r="W100" s="25">
        <v>1.238</v>
      </c>
      <c r="X100" s="25">
        <f t="shared" si="11"/>
        <v>516106.72499999986</v>
      </c>
      <c r="Y100" s="1">
        <f t="shared" si="12"/>
        <v>4505.2099999999991</v>
      </c>
      <c r="Z100" s="1">
        <f t="shared" si="13"/>
        <v>4453.6000000000004</v>
      </c>
      <c r="AA100" s="1">
        <v>4500.2299999999996</v>
      </c>
      <c r="AB100" s="1">
        <f t="shared" si="8"/>
        <v>4.9799999999995634</v>
      </c>
      <c r="AC100" s="29">
        <f t="shared" si="14"/>
        <v>46.6299999999992</v>
      </c>
      <c r="AD100" s="11">
        <f t="shared" si="15"/>
        <v>2782314.2312999992</v>
      </c>
    </row>
    <row r="101" spans="1:31" x14ac:dyDescent="0.3">
      <c r="A101" s="14">
        <v>45813.010416666664</v>
      </c>
      <c r="B101" s="1">
        <v>1468.78</v>
      </c>
      <c r="C101" s="11">
        <v>3.2732000000000001</v>
      </c>
      <c r="D101" s="1">
        <v>679.76</v>
      </c>
      <c r="E101" s="11">
        <v>3.0760000000000001</v>
      </c>
      <c r="F101" s="1">
        <v>422.7</v>
      </c>
      <c r="G101" s="11">
        <v>3.53</v>
      </c>
      <c r="H101" s="1">
        <v>-1.9</v>
      </c>
      <c r="I101" s="11">
        <v>4.5004200000000001</v>
      </c>
      <c r="J101" s="1">
        <v>95.56</v>
      </c>
      <c r="K101" s="11">
        <v>2.54034</v>
      </c>
      <c r="L101" s="1">
        <v>0</v>
      </c>
      <c r="M101" s="11">
        <v>6.2</v>
      </c>
      <c r="N101" s="1">
        <v>39.56</v>
      </c>
      <c r="O101" s="11">
        <v>2.8224999999999998</v>
      </c>
      <c r="P101" s="1">
        <f t="shared" si="9"/>
        <v>2704.4599999999996</v>
      </c>
      <c r="Q101" s="1">
        <v>2749.09</v>
      </c>
      <c r="R101" s="16">
        <f t="shared" si="10"/>
        <v>2184136.4120999998</v>
      </c>
      <c r="S101" s="20">
        <v>1599.65</v>
      </c>
      <c r="T101" s="21">
        <v>0.2</v>
      </c>
      <c r="U101" s="21">
        <v>8.49</v>
      </c>
      <c r="V101" s="8">
        <v>1608.3400000000001</v>
      </c>
      <c r="W101" s="25">
        <v>1.238</v>
      </c>
      <c r="X101" s="25">
        <f t="shared" si="11"/>
        <v>497781.23000000004</v>
      </c>
      <c r="Y101" s="1">
        <f t="shared" si="12"/>
        <v>4312.7999999999993</v>
      </c>
      <c r="Z101" s="1">
        <f t="shared" si="13"/>
        <v>4357.43</v>
      </c>
      <c r="AA101" s="1">
        <v>4407.71</v>
      </c>
      <c r="AB101" s="1">
        <f t="shared" si="8"/>
        <v>-94.910000000000764</v>
      </c>
      <c r="AC101" s="29">
        <f t="shared" si="14"/>
        <v>50.279999999999745</v>
      </c>
      <c r="AD101" s="11">
        <f t="shared" si="15"/>
        <v>2681917.6420999998</v>
      </c>
    </row>
    <row r="102" spans="1:31" x14ac:dyDescent="0.3">
      <c r="A102" s="14">
        <v>45813.020833333336</v>
      </c>
      <c r="B102" s="1">
        <v>1468.79</v>
      </c>
      <c r="C102" s="11">
        <v>3.2732000000000001</v>
      </c>
      <c r="D102" s="1">
        <v>679.76</v>
      </c>
      <c r="E102" s="11">
        <v>3.0760000000000001</v>
      </c>
      <c r="F102" s="1">
        <v>422.7</v>
      </c>
      <c r="G102" s="11">
        <v>3.53</v>
      </c>
      <c r="H102" s="1">
        <v>-1.9</v>
      </c>
      <c r="I102" s="11">
        <v>4.43391</v>
      </c>
      <c r="J102" s="1">
        <v>42.76</v>
      </c>
      <c r="K102" s="11">
        <v>2.7679999999999998</v>
      </c>
      <c r="L102" s="1">
        <v>0</v>
      </c>
      <c r="M102" s="11">
        <v>6.2</v>
      </c>
      <c r="N102" s="1">
        <v>25.14</v>
      </c>
      <c r="O102" s="11">
        <v>2.8224999999999998</v>
      </c>
      <c r="P102" s="1">
        <f t="shared" si="9"/>
        <v>2637.25</v>
      </c>
      <c r="Q102" s="1">
        <v>2644.22</v>
      </c>
      <c r="R102" s="16">
        <f t="shared" si="10"/>
        <v>2142902.2722499999</v>
      </c>
      <c r="S102" s="20">
        <v>1605.88</v>
      </c>
      <c r="T102" s="21">
        <v>0.2</v>
      </c>
      <c r="U102" s="21">
        <v>9.3299999999999983</v>
      </c>
      <c r="V102" s="8">
        <v>1615.41</v>
      </c>
      <c r="W102" s="25">
        <v>1.238</v>
      </c>
      <c r="X102" s="25">
        <f t="shared" si="11"/>
        <v>499969.39500000002</v>
      </c>
      <c r="Y102" s="1">
        <f t="shared" si="12"/>
        <v>4252.66</v>
      </c>
      <c r="Z102" s="1">
        <f t="shared" si="13"/>
        <v>4259.63</v>
      </c>
      <c r="AA102" s="1">
        <v>4308.62</v>
      </c>
      <c r="AB102" s="1">
        <f t="shared" si="8"/>
        <v>-55.960000000000036</v>
      </c>
      <c r="AC102" s="29">
        <f t="shared" si="14"/>
        <v>48.989999999999782</v>
      </c>
      <c r="AD102" s="11">
        <f t="shared" si="15"/>
        <v>2642871.6672499999</v>
      </c>
    </row>
    <row r="103" spans="1:31" x14ac:dyDescent="0.3">
      <c r="A103" s="14">
        <v>45813.03125</v>
      </c>
      <c r="B103" s="1">
        <v>1468.79</v>
      </c>
      <c r="C103" s="11">
        <v>3.2732000000000001</v>
      </c>
      <c r="D103" s="1">
        <v>679.76</v>
      </c>
      <c r="E103" s="11">
        <v>3.0760000000000001</v>
      </c>
      <c r="F103" s="1">
        <v>422.7</v>
      </c>
      <c r="G103" s="11">
        <v>3.53</v>
      </c>
      <c r="H103" s="1">
        <v>-1.9</v>
      </c>
      <c r="I103" s="11">
        <v>4.4288500000000006</v>
      </c>
      <c r="J103" s="1">
        <v>12.01</v>
      </c>
      <c r="K103" s="11">
        <v>2.5408900000000001</v>
      </c>
      <c r="L103" s="1">
        <v>0</v>
      </c>
      <c r="M103" s="11">
        <v>6.2</v>
      </c>
      <c r="N103" s="1">
        <v>25.39</v>
      </c>
      <c r="O103" s="11">
        <v>2.8224999999999998</v>
      </c>
      <c r="P103" s="1">
        <f t="shared" si="9"/>
        <v>2606.75</v>
      </c>
      <c r="Q103" s="1">
        <v>2538.62</v>
      </c>
      <c r="R103" s="16">
        <f t="shared" si="10"/>
        <v>2121120.1842250004</v>
      </c>
      <c r="S103" s="20">
        <v>1605.1</v>
      </c>
      <c r="T103" s="21">
        <v>0.2</v>
      </c>
      <c r="U103" s="21">
        <v>9.6</v>
      </c>
      <c r="V103" s="8">
        <v>1614.8999999999999</v>
      </c>
      <c r="W103" s="25">
        <v>1.238</v>
      </c>
      <c r="X103" s="25">
        <f t="shared" si="11"/>
        <v>499811.54999999993</v>
      </c>
      <c r="Y103" s="1">
        <f t="shared" si="12"/>
        <v>4221.6499999999996</v>
      </c>
      <c r="Z103" s="1">
        <f t="shared" si="13"/>
        <v>4153.5199999999995</v>
      </c>
      <c r="AA103" s="1">
        <v>4205.5600000000004</v>
      </c>
      <c r="AB103" s="1">
        <f t="shared" si="8"/>
        <v>16.089999999999236</v>
      </c>
      <c r="AC103" s="29">
        <f t="shared" si="14"/>
        <v>52.040000000000873</v>
      </c>
      <c r="AD103" s="11">
        <f t="shared" si="15"/>
        <v>2620931.7342250003</v>
      </c>
    </row>
    <row r="104" spans="1:31" x14ac:dyDescent="0.3">
      <c r="A104" s="14">
        <v>45813.041666666664</v>
      </c>
      <c r="B104" s="1">
        <v>1466.9</v>
      </c>
      <c r="C104" s="11">
        <v>3.2732000000000001</v>
      </c>
      <c r="D104" s="1">
        <v>679.76</v>
      </c>
      <c r="E104" s="11">
        <v>3.0760000000000001</v>
      </c>
      <c r="F104" s="1">
        <v>422.7</v>
      </c>
      <c r="G104" s="11">
        <v>3.53</v>
      </c>
      <c r="H104" s="1">
        <v>-1.9</v>
      </c>
      <c r="I104" s="11">
        <v>4.4097900000000001</v>
      </c>
      <c r="J104" s="1">
        <v>-7.72</v>
      </c>
      <c r="K104" s="11">
        <v>2.5406999999999997</v>
      </c>
      <c r="L104" s="1">
        <v>0</v>
      </c>
      <c r="M104" s="11">
        <v>6.2</v>
      </c>
      <c r="N104" s="1">
        <v>15.76</v>
      </c>
      <c r="O104" s="11">
        <v>2.8224999999999998</v>
      </c>
      <c r="P104" s="1">
        <f t="shared" si="9"/>
        <v>2575.5</v>
      </c>
      <c r="Q104" s="1">
        <v>2496.38</v>
      </c>
      <c r="R104" s="16">
        <f t="shared" si="10"/>
        <v>2100254.9087499995</v>
      </c>
      <c r="S104" s="20">
        <v>1586.38</v>
      </c>
      <c r="T104" s="21">
        <v>0.2</v>
      </c>
      <c r="U104" s="21">
        <v>8.49</v>
      </c>
      <c r="V104" s="8">
        <v>1595.0700000000002</v>
      </c>
      <c r="W104" s="25">
        <v>1.238</v>
      </c>
      <c r="X104" s="25">
        <f t="shared" si="11"/>
        <v>493674.1650000001</v>
      </c>
      <c r="Y104" s="1">
        <f t="shared" si="12"/>
        <v>4170.57</v>
      </c>
      <c r="Z104" s="1">
        <f t="shared" si="13"/>
        <v>4091.4500000000003</v>
      </c>
      <c r="AA104" s="1">
        <v>4141.16</v>
      </c>
      <c r="AB104" s="1">
        <f t="shared" si="8"/>
        <v>29.409999999999854</v>
      </c>
      <c r="AC104" s="29">
        <f t="shared" si="14"/>
        <v>49.709999999999582</v>
      </c>
      <c r="AD104" s="11">
        <f t="shared" si="15"/>
        <v>2593929.0737499995</v>
      </c>
    </row>
    <row r="105" spans="1:31" x14ac:dyDescent="0.3">
      <c r="A105" s="14">
        <v>45813.052083333336</v>
      </c>
      <c r="B105" s="1">
        <v>1466.75</v>
      </c>
      <c r="C105" s="11">
        <v>3.2732000000000001</v>
      </c>
      <c r="D105" s="1">
        <v>679.76</v>
      </c>
      <c r="E105" s="11">
        <v>3.0760000000000001</v>
      </c>
      <c r="F105" s="1">
        <v>422.7</v>
      </c>
      <c r="G105" s="11">
        <v>3.53</v>
      </c>
      <c r="H105" s="1">
        <v>-1.9</v>
      </c>
      <c r="I105" s="11">
        <v>4.3793999999999995</v>
      </c>
      <c r="J105" s="1">
        <v>-9.1999999999999993</v>
      </c>
      <c r="K105" s="11">
        <v>2.5407100000000002</v>
      </c>
      <c r="L105" s="1">
        <v>0</v>
      </c>
      <c r="M105" s="11">
        <v>6.2</v>
      </c>
      <c r="N105" s="1">
        <v>16.39</v>
      </c>
      <c r="O105" s="11">
        <v>2.8224999999999998</v>
      </c>
      <c r="P105" s="1">
        <f t="shared" si="9"/>
        <v>2574.5</v>
      </c>
      <c r="Q105" s="1">
        <v>2498.4699999999998</v>
      </c>
      <c r="R105" s="16">
        <f t="shared" si="10"/>
        <v>2099651.0607500002</v>
      </c>
      <c r="S105" s="20">
        <v>1521.9</v>
      </c>
      <c r="T105" s="21">
        <v>0.21999999999999997</v>
      </c>
      <c r="U105" s="21">
        <v>7.92</v>
      </c>
      <c r="V105" s="8">
        <v>1530.0400000000002</v>
      </c>
      <c r="W105" s="25">
        <v>1.238</v>
      </c>
      <c r="X105" s="25">
        <f t="shared" si="11"/>
        <v>473547.38</v>
      </c>
      <c r="Y105" s="1">
        <f t="shared" si="12"/>
        <v>4104.54</v>
      </c>
      <c r="Z105" s="1">
        <f t="shared" si="13"/>
        <v>4028.51</v>
      </c>
      <c r="AA105" s="1">
        <v>4080.32</v>
      </c>
      <c r="AB105" s="1">
        <f t="shared" si="8"/>
        <v>24.2199999999998</v>
      </c>
      <c r="AC105" s="29">
        <f t="shared" si="14"/>
        <v>51.809999999999945</v>
      </c>
      <c r="AD105" s="11">
        <f t="shared" si="15"/>
        <v>2573198.4407500001</v>
      </c>
    </row>
    <row r="106" spans="1:31" x14ac:dyDescent="0.3">
      <c r="A106" s="14">
        <v>45813.0625</v>
      </c>
      <c r="B106" s="1">
        <v>1466.75</v>
      </c>
      <c r="C106" s="11">
        <v>3.2732000000000001</v>
      </c>
      <c r="D106" s="1">
        <v>679.76</v>
      </c>
      <c r="E106" s="11">
        <v>3.0760000000000001</v>
      </c>
      <c r="F106" s="1">
        <v>422.7</v>
      </c>
      <c r="G106" s="11">
        <v>3.53</v>
      </c>
      <c r="H106" s="1">
        <v>-1.9</v>
      </c>
      <c r="I106" s="11">
        <v>4.2496</v>
      </c>
      <c r="J106" s="1">
        <v>-9.1999999999999993</v>
      </c>
      <c r="K106" s="11">
        <v>2.5407100000000002</v>
      </c>
      <c r="L106" s="1">
        <v>0</v>
      </c>
      <c r="M106" s="11">
        <v>6.2</v>
      </c>
      <c r="N106" s="1">
        <v>17.329999999999998</v>
      </c>
      <c r="O106" s="11">
        <v>2.8224999999999998</v>
      </c>
      <c r="P106" s="1">
        <f t="shared" si="9"/>
        <v>2575.44</v>
      </c>
      <c r="Q106" s="1">
        <v>2509.0700000000002</v>
      </c>
      <c r="R106" s="16">
        <f t="shared" si="10"/>
        <v>2100376.0032500005</v>
      </c>
      <c r="S106" s="20">
        <v>1450.86</v>
      </c>
      <c r="T106" s="21">
        <v>0.24</v>
      </c>
      <c r="U106" s="21">
        <v>9.2100000000000009</v>
      </c>
      <c r="V106" s="8">
        <v>1460.31</v>
      </c>
      <c r="W106" s="25">
        <v>1.238</v>
      </c>
      <c r="X106" s="25">
        <f t="shared" si="11"/>
        <v>451965.94499999995</v>
      </c>
      <c r="Y106" s="1">
        <f t="shared" si="12"/>
        <v>4035.75</v>
      </c>
      <c r="Z106" s="1">
        <f t="shared" si="13"/>
        <v>3969.38</v>
      </c>
      <c r="AA106" s="1">
        <v>4021.25</v>
      </c>
      <c r="AB106" s="1">
        <f t="shared" si="8"/>
        <v>14.5</v>
      </c>
      <c r="AC106" s="29">
        <f t="shared" si="14"/>
        <v>51.869999999999891</v>
      </c>
      <c r="AD106" s="11">
        <f t="shared" si="15"/>
        <v>2552341.9482500004</v>
      </c>
    </row>
    <row r="107" spans="1:31" x14ac:dyDescent="0.3">
      <c r="A107" s="14">
        <v>45813.072916666664</v>
      </c>
      <c r="B107" s="1">
        <v>1466.75</v>
      </c>
      <c r="C107" s="11">
        <v>3.2732000000000001</v>
      </c>
      <c r="D107" s="1">
        <v>679.76</v>
      </c>
      <c r="E107" s="11">
        <v>3.0760000000000001</v>
      </c>
      <c r="F107" s="1">
        <v>422.7</v>
      </c>
      <c r="G107" s="11">
        <v>3.53</v>
      </c>
      <c r="H107" s="1">
        <v>-1.9</v>
      </c>
      <c r="I107" s="11">
        <v>4.1796800000000003</v>
      </c>
      <c r="J107" s="1">
        <v>-9.1999999999999993</v>
      </c>
      <c r="K107" s="11">
        <v>2.54074</v>
      </c>
      <c r="L107" s="1">
        <v>0</v>
      </c>
      <c r="M107" s="11">
        <v>6.2</v>
      </c>
      <c r="N107" s="1">
        <v>18.510000000000002</v>
      </c>
      <c r="O107" s="11">
        <v>2.8224999999999998</v>
      </c>
      <c r="P107" s="1">
        <f t="shared" si="9"/>
        <v>2576.6200000000003</v>
      </c>
      <c r="Q107" s="1">
        <v>2481.4499999999998</v>
      </c>
      <c r="R107" s="16">
        <f t="shared" si="10"/>
        <v>2101241.7837499999</v>
      </c>
      <c r="S107" s="20">
        <v>1437.19</v>
      </c>
      <c r="T107" s="21">
        <v>0.24</v>
      </c>
      <c r="U107" s="21">
        <v>8.68</v>
      </c>
      <c r="V107" s="8">
        <v>1446.1100000000001</v>
      </c>
      <c r="W107" s="25">
        <v>1.238</v>
      </c>
      <c r="X107" s="25">
        <f t="shared" si="11"/>
        <v>447571.04500000004</v>
      </c>
      <c r="Y107" s="1">
        <f t="shared" si="12"/>
        <v>4022.7300000000005</v>
      </c>
      <c r="Z107" s="1">
        <f t="shared" si="13"/>
        <v>3927.56</v>
      </c>
      <c r="AA107" s="1">
        <v>3977.19</v>
      </c>
      <c r="AB107" s="1">
        <f t="shared" si="8"/>
        <v>45.540000000000418</v>
      </c>
      <c r="AC107" s="29">
        <f t="shared" si="14"/>
        <v>49.630000000000109</v>
      </c>
      <c r="AD107" s="11">
        <f t="shared" si="15"/>
        <v>2548812.8287499999</v>
      </c>
    </row>
    <row r="108" spans="1:31" x14ac:dyDescent="0.3">
      <c r="A108" s="14">
        <v>45813.083333333336</v>
      </c>
      <c r="B108" s="1">
        <v>1467.48</v>
      </c>
      <c r="C108" s="11">
        <v>3.2732000000000001</v>
      </c>
      <c r="D108" s="1">
        <v>679.76</v>
      </c>
      <c r="E108" s="11">
        <v>3.0760000000000001</v>
      </c>
      <c r="F108" s="1">
        <v>400.37</v>
      </c>
      <c r="G108" s="11">
        <v>3.53</v>
      </c>
      <c r="H108" s="1">
        <v>-1.9</v>
      </c>
      <c r="I108" s="11">
        <v>4.1698999999999993</v>
      </c>
      <c r="J108" s="1">
        <v>-9.1999999999999993</v>
      </c>
      <c r="K108" s="11">
        <v>2.5408400000000002</v>
      </c>
      <c r="L108" s="1">
        <v>0</v>
      </c>
      <c r="M108" s="11">
        <v>6.2</v>
      </c>
      <c r="N108" s="1">
        <v>19.440000000000001</v>
      </c>
      <c r="O108" s="11">
        <v>2.8224999999999998</v>
      </c>
      <c r="P108" s="1">
        <f t="shared" si="9"/>
        <v>2555.9499999999998</v>
      </c>
      <c r="Q108" s="1">
        <v>2410.6</v>
      </c>
      <c r="R108" s="16">
        <f t="shared" si="10"/>
        <v>2082793.5644999999</v>
      </c>
      <c r="S108" s="20">
        <v>1438.9099999999996</v>
      </c>
      <c r="T108" s="21">
        <v>0.25</v>
      </c>
      <c r="U108" s="21">
        <v>7.8400000000000007</v>
      </c>
      <c r="V108" s="8">
        <v>1446.9999999999995</v>
      </c>
      <c r="W108" s="25">
        <v>1.238</v>
      </c>
      <c r="X108" s="25">
        <f t="shared" si="11"/>
        <v>447846.49999999988</v>
      </c>
      <c r="Y108" s="1">
        <f t="shared" si="12"/>
        <v>4002.9499999999994</v>
      </c>
      <c r="Z108" s="1">
        <f t="shared" si="13"/>
        <v>3857.5999999999995</v>
      </c>
      <c r="AA108" s="1">
        <v>3904.65</v>
      </c>
      <c r="AB108" s="1">
        <f t="shared" si="8"/>
        <v>98.299999999999272</v>
      </c>
      <c r="AC108" s="29">
        <f t="shared" si="14"/>
        <v>47.050000000000637</v>
      </c>
      <c r="AD108" s="11">
        <f t="shared" si="15"/>
        <v>2530640.0644999999</v>
      </c>
    </row>
    <row r="109" spans="1:31" x14ac:dyDescent="0.3">
      <c r="A109" s="14">
        <v>45813.09375</v>
      </c>
      <c r="B109" s="1">
        <v>1467.75</v>
      </c>
      <c r="C109" s="11">
        <v>3.2732000000000001</v>
      </c>
      <c r="D109" s="1">
        <v>679.76</v>
      </c>
      <c r="E109" s="11">
        <v>3.0760000000000001</v>
      </c>
      <c r="F109" s="1">
        <v>398.57</v>
      </c>
      <c r="G109" s="11">
        <v>3.53</v>
      </c>
      <c r="H109" s="1">
        <v>-1.9</v>
      </c>
      <c r="I109" s="11">
        <v>4.1598600000000001</v>
      </c>
      <c r="J109" s="1">
        <v>-9.1999999999999993</v>
      </c>
      <c r="K109" s="11">
        <v>2.5406200000000001</v>
      </c>
      <c r="L109" s="1">
        <v>0</v>
      </c>
      <c r="M109" s="11">
        <v>6.2</v>
      </c>
      <c r="N109" s="1">
        <v>20.329999999999998</v>
      </c>
      <c r="O109" s="11">
        <v>2.8224999999999998</v>
      </c>
      <c r="P109" s="1">
        <f t="shared" si="9"/>
        <v>2555.3100000000004</v>
      </c>
      <c r="Q109" s="1">
        <v>2427.1</v>
      </c>
      <c r="R109" s="16">
        <f t="shared" si="10"/>
        <v>2082059.2867500004</v>
      </c>
      <c r="S109" s="20">
        <v>1371.71</v>
      </c>
      <c r="T109" s="21">
        <v>0.22999999999999998</v>
      </c>
      <c r="U109" s="21">
        <v>8.4</v>
      </c>
      <c r="V109" s="8">
        <v>1380.3400000000001</v>
      </c>
      <c r="W109" s="25">
        <v>1.238</v>
      </c>
      <c r="X109" s="25">
        <f t="shared" si="11"/>
        <v>427215.23000000004</v>
      </c>
      <c r="Y109" s="1">
        <f t="shared" si="12"/>
        <v>3935.6500000000005</v>
      </c>
      <c r="Z109" s="1">
        <f t="shared" si="13"/>
        <v>3807.44</v>
      </c>
      <c r="AA109" s="1">
        <v>3853.45</v>
      </c>
      <c r="AB109" s="1">
        <f t="shared" si="8"/>
        <v>82.200000000000728</v>
      </c>
      <c r="AC109" s="29">
        <f t="shared" si="14"/>
        <v>46.009999999999764</v>
      </c>
      <c r="AD109" s="11">
        <f t="shared" si="15"/>
        <v>2509274.5167500004</v>
      </c>
    </row>
    <row r="110" spans="1:31" x14ac:dyDescent="0.3">
      <c r="A110" s="14">
        <v>45813.104166666664</v>
      </c>
      <c r="B110" s="1">
        <v>1465.26</v>
      </c>
      <c r="C110" s="11">
        <v>3.2732000000000001</v>
      </c>
      <c r="D110" s="1">
        <v>679.76</v>
      </c>
      <c r="E110" s="11">
        <v>3.0760000000000001</v>
      </c>
      <c r="F110" s="1">
        <v>398.57</v>
      </c>
      <c r="G110" s="11">
        <v>3.53</v>
      </c>
      <c r="H110" s="1">
        <v>-1.9</v>
      </c>
      <c r="I110" s="11">
        <v>4.1592500000000001</v>
      </c>
      <c r="J110" s="1">
        <v>-9.1999999999999993</v>
      </c>
      <c r="K110" s="11">
        <v>2.5405000000000002</v>
      </c>
      <c r="L110" s="1">
        <v>0</v>
      </c>
      <c r="M110" s="11">
        <v>6.2</v>
      </c>
      <c r="N110" s="1">
        <v>44.59</v>
      </c>
      <c r="O110" s="11">
        <v>2.8224999999999998</v>
      </c>
      <c r="P110" s="1">
        <f t="shared" si="9"/>
        <v>2577.0800000000004</v>
      </c>
      <c r="Q110" s="1">
        <v>2551.66</v>
      </c>
      <c r="R110" s="16">
        <f t="shared" si="10"/>
        <v>2097140.7479999999</v>
      </c>
      <c r="S110" s="20">
        <v>1226.6199999999999</v>
      </c>
      <c r="T110" s="21">
        <v>0.24</v>
      </c>
      <c r="U110" s="21">
        <v>8.86</v>
      </c>
      <c r="V110" s="8">
        <v>1235.7199999999998</v>
      </c>
      <c r="W110" s="25">
        <v>1.238</v>
      </c>
      <c r="X110" s="25">
        <f t="shared" si="11"/>
        <v>382455.33999999991</v>
      </c>
      <c r="Y110" s="1">
        <f t="shared" si="12"/>
        <v>3812.8</v>
      </c>
      <c r="Z110" s="1">
        <f t="shared" si="13"/>
        <v>3787.3799999999997</v>
      </c>
      <c r="AA110" s="1">
        <v>3809.52</v>
      </c>
      <c r="AB110" s="1">
        <f t="shared" si="8"/>
        <v>3.2800000000002001</v>
      </c>
      <c r="AC110" s="29">
        <f t="shared" si="14"/>
        <v>22.140000000000327</v>
      </c>
      <c r="AD110" s="11">
        <f t="shared" si="15"/>
        <v>2479596.088</v>
      </c>
    </row>
    <row r="111" spans="1:31" x14ac:dyDescent="0.3">
      <c r="A111" s="14">
        <v>45813.114583333336</v>
      </c>
      <c r="B111" s="1">
        <v>1465.06</v>
      </c>
      <c r="C111" s="11">
        <v>3.2732000000000001</v>
      </c>
      <c r="D111" s="1">
        <v>679.76</v>
      </c>
      <c r="E111" s="11">
        <v>3.0760000000000001</v>
      </c>
      <c r="F111" s="1">
        <v>398.57</v>
      </c>
      <c r="G111" s="11">
        <v>3.53</v>
      </c>
      <c r="H111" s="1">
        <v>-1.9</v>
      </c>
      <c r="I111" s="11">
        <v>4.0297000000000001</v>
      </c>
      <c r="J111" s="1">
        <v>-9.1999999999999993</v>
      </c>
      <c r="K111" s="11">
        <v>2.5402800000000001</v>
      </c>
      <c r="L111" s="1">
        <v>0</v>
      </c>
      <c r="M111" s="11">
        <v>6.2</v>
      </c>
      <c r="N111" s="1">
        <v>45.11</v>
      </c>
      <c r="O111" s="11">
        <v>2.8224999999999998</v>
      </c>
      <c r="P111" s="1">
        <f t="shared" si="9"/>
        <v>2577.4</v>
      </c>
      <c r="Q111" s="1">
        <v>2567.21</v>
      </c>
      <c r="R111" s="16">
        <f t="shared" si="10"/>
        <v>2097406.0552500007</v>
      </c>
      <c r="S111" s="20">
        <v>1203.32</v>
      </c>
      <c r="T111" s="21">
        <v>0.24</v>
      </c>
      <c r="U111" s="21">
        <v>8.5500000000000007</v>
      </c>
      <c r="V111" s="8">
        <v>1212.1099999999999</v>
      </c>
      <c r="W111" s="25">
        <v>1.238</v>
      </c>
      <c r="X111" s="25">
        <f t="shared" si="11"/>
        <v>375148.04499999998</v>
      </c>
      <c r="Y111" s="1">
        <f t="shared" si="12"/>
        <v>3789.51</v>
      </c>
      <c r="Z111" s="1">
        <f t="shared" si="13"/>
        <v>3779.3199999999997</v>
      </c>
      <c r="AA111" s="1">
        <v>3785.72</v>
      </c>
      <c r="AB111" s="1">
        <f t="shared" si="8"/>
        <v>3.7900000000004184</v>
      </c>
      <c r="AC111" s="29">
        <f t="shared" si="14"/>
        <v>6.4000000000000909</v>
      </c>
      <c r="AD111" s="11">
        <f t="shared" si="15"/>
        <v>2472554.1002500006</v>
      </c>
    </row>
    <row r="112" spans="1:31" x14ac:dyDescent="0.3">
      <c r="A112" s="14">
        <v>45813.125</v>
      </c>
      <c r="B112" s="1">
        <v>1465.06</v>
      </c>
      <c r="C112" s="11">
        <v>3.2732000000000001</v>
      </c>
      <c r="D112" s="1">
        <v>1048.6600000000001</v>
      </c>
      <c r="E112" s="11">
        <v>3.0760000000000001</v>
      </c>
      <c r="F112" s="1">
        <v>29.67</v>
      </c>
      <c r="G112" s="11">
        <v>3.53</v>
      </c>
      <c r="H112" s="1">
        <v>-1.9</v>
      </c>
      <c r="I112" s="11">
        <v>3.9309099999999999</v>
      </c>
      <c r="J112" s="1">
        <v>-8.74</v>
      </c>
      <c r="K112" s="11">
        <v>2.5401799999999999</v>
      </c>
      <c r="L112" s="1">
        <v>0</v>
      </c>
      <c r="M112" s="11">
        <v>6.2</v>
      </c>
      <c r="N112" s="1">
        <v>27.19</v>
      </c>
      <c r="O112" s="11">
        <v>2.8224999999999998</v>
      </c>
      <c r="P112" s="1">
        <f t="shared" si="9"/>
        <v>2559.9400000000005</v>
      </c>
      <c r="Q112" s="1">
        <v>2531.39</v>
      </c>
      <c r="R112" s="16">
        <f t="shared" si="10"/>
        <v>2043230.3811999999</v>
      </c>
      <c r="S112" s="20">
        <v>1203.8</v>
      </c>
      <c r="T112" s="21">
        <v>0.24</v>
      </c>
      <c r="U112" s="21">
        <v>8.7100000000000009</v>
      </c>
      <c r="V112" s="8">
        <v>1212.75</v>
      </c>
      <c r="W112" s="25">
        <v>1.238</v>
      </c>
      <c r="X112" s="25">
        <f t="shared" si="11"/>
        <v>375346.125</v>
      </c>
      <c r="Y112" s="1">
        <f t="shared" si="12"/>
        <v>3772.6900000000005</v>
      </c>
      <c r="Z112" s="1">
        <f t="shared" si="13"/>
        <v>3744.14</v>
      </c>
      <c r="AA112" s="1">
        <v>3744.87</v>
      </c>
      <c r="AB112" s="1">
        <f t="shared" si="8"/>
        <v>27.820000000000618</v>
      </c>
      <c r="AC112" s="29">
        <f t="shared" si="14"/>
        <v>0.73000000000001819</v>
      </c>
      <c r="AD112" s="11">
        <f t="shared" si="15"/>
        <v>2418576.5061999997</v>
      </c>
    </row>
    <row r="113" spans="1:30" x14ac:dyDescent="0.3">
      <c r="A113" s="14">
        <v>45813.135416666664</v>
      </c>
      <c r="B113" s="1">
        <v>1465.06</v>
      </c>
      <c r="C113" s="11">
        <v>3.2732000000000001</v>
      </c>
      <c r="D113" s="1">
        <v>1078.33</v>
      </c>
      <c r="E113" s="11">
        <v>3.0760000000000001</v>
      </c>
      <c r="F113" s="1">
        <v>0</v>
      </c>
      <c r="G113" s="11">
        <v>3.53</v>
      </c>
      <c r="H113" s="1">
        <v>-1.9</v>
      </c>
      <c r="I113" s="11">
        <v>3.9301200000000001</v>
      </c>
      <c r="J113" s="1">
        <v>-8.6999999999999993</v>
      </c>
      <c r="K113" s="11">
        <v>2.5400700000000001</v>
      </c>
      <c r="L113" s="1">
        <v>0</v>
      </c>
      <c r="M113" s="11">
        <v>6.2</v>
      </c>
      <c r="N113" s="1">
        <v>25.52</v>
      </c>
      <c r="O113" s="11">
        <v>2.8224999999999998</v>
      </c>
      <c r="P113" s="1">
        <f t="shared" si="9"/>
        <v>2558.31</v>
      </c>
      <c r="Q113" s="1">
        <v>2517.37</v>
      </c>
      <c r="R113" s="16">
        <f t="shared" si="10"/>
        <v>2038710.45875</v>
      </c>
      <c r="S113" s="20">
        <v>1171.31</v>
      </c>
      <c r="T113" s="21">
        <v>0.24</v>
      </c>
      <c r="U113" s="21">
        <v>8.91</v>
      </c>
      <c r="V113" s="8">
        <v>1180.46</v>
      </c>
      <c r="W113" s="25">
        <v>1.238</v>
      </c>
      <c r="X113" s="25">
        <f t="shared" si="11"/>
        <v>365352.37</v>
      </c>
      <c r="Y113" s="1">
        <f t="shared" si="12"/>
        <v>3738.77</v>
      </c>
      <c r="Z113" s="1">
        <f t="shared" si="13"/>
        <v>3697.83</v>
      </c>
      <c r="AA113" s="1">
        <v>3699.04</v>
      </c>
      <c r="AB113" s="1">
        <f t="shared" si="8"/>
        <v>39.730000000000018</v>
      </c>
      <c r="AC113" s="29">
        <f t="shared" si="14"/>
        <v>1.2100000000000364</v>
      </c>
      <c r="AD113" s="11">
        <f t="shared" si="15"/>
        <v>2404062.8287499999</v>
      </c>
    </row>
    <row r="114" spans="1:30" x14ac:dyDescent="0.3">
      <c r="A114" s="14">
        <v>45813.145833333336</v>
      </c>
      <c r="B114" s="1">
        <v>1465.06</v>
      </c>
      <c r="C114" s="11">
        <v>3.2732000000000001</v>
      </c>
      <c r="D114" s="1">
        <v>1078.33</v>
      </c>
      <c r="E114" s="11">
        <v>3.0760000000000001</v>
      </c>
      <c r="F114" s="1">
        <v>0</v>
      </c>
      <c r="G114" s="11">
        <v>3.53</v>
      </c>
      <c r="H114" s="1">
        <v>-1.9</v>
      </c>
      <c r="I114" s="11">
        <v>3.8772500000000001</v>
      </c>
      <c r="J114" s="1">
        <v>-8.6999999999999993</v>
      </c>
      <c r="K114" s="11">
        <v>2.4004499999999998</v>
      </c>
      <c r="L114" s="1">
        <v>0</v>
      </c>
      <c r="M114" s="11">
        <v>6.2</v>
      </c>
      <c r="N114" s="1">
        <v>15.77</v>
      </c>
      <c r="O114" s="11">
        <v>2.8224999999999998</v>
      </c>
      <c r="P114" s="1">
        <f t="shared" si="9"/>
        <v>2548.56</v>
      </c>
      <c r="Q114" s="1">
        <v>2538.9499999999998</v>
      </c>
      <c r="R114" s="16">
        <f t="shared" si="10"/>
        <v>2032159.40175</v>
      </c>
      <c r="S114" s="20">
        <v>1126.43</v>
      </c>
      <c r="T114" s="21">
        <v>0.24</v>
      </c>
      <c r="U114" s="21">
        <v>6.55</v>
      </c>
      <c r="V114" s="8">
        <v>1133.22</v>
      </c>
      <c r="W114" s="25">
        <v>1.238</v>
      </c>
      <c r="X114" s="25">
        <f t="shared" si="11"/>
        <v>350731.58999999997</v>
      </c>
      <c r="Y114" s="1">
        <f t="shared" si="12"/>
        <v>3681.7799999999997</v>
      </c>
      <c r="Z114" s="1">
        <f t="shared" si="13"/>
        <v>3672.17</v>
      </c>
      <c r="AA114" s="1">
        <v>3672.98</v>
      </c>
      <c r="AB114" s="1">
        <f t="shared" si="8"/>
        <v>8.7999999999997272</v>
      </c>
      <c r="AC114" s="29">
        <f t="shared" si="14"/>
        <v>0.80999999999994543</v>
      </c>
      <c r="AD114" s="11">
        <f t="shared" si="15"/>
        <v>2382890.99175</v>
      </c>
    </row>
    <row r="115" spans="1:30" x14ac:dyDescent="0.3">
      <c r="A115" s="14">
        <v>45813.15625</v>
      </c>
      <c r="B115" s="1">
        <v>1465.06</v>
      </c>
      <c r="C115" s="11">
        <v>3.2732000000000001</v>
      </c>
      <c r="D115" s="1">
        <v>1078.33</v>
      </c>
      <c r="E115" s="11">
        <v>3.0760000000000001</v>
      </c>
      <c r="F115" s="1">
        <v>0</v>
      </c>
      <c r="G115" s="11">
        <v>3.53</v>
      </c>
      <c r="H115" s="1">
        <v>-1.9</v>
      </c>
      <c r="I115" s="11">
        <v>3.6929099999999999</v>
      </c>
      <c r="J115" s="1">
        <v>-8.6999999999999993</v>
      </c>
      <c r="K115" s="11">
        <v>2.3086899999999999</v>
      </c>
      <c r="L115" s="1">
        <v>0</v>
      </c>
      <c r="M115" s="11">
        <v>6.2</v>
      </c>
      <c r="N115" s="1">
        <v>15</v>
      </c>
      <c r="O115" s="11">
        <v>2.8224999999999998</v>
      </c>
      <c r="P115" s="1">
        <f t="shared" si="9"/>
        <v>2547.79</v>
      </c>
      <c r="Q115" s="1">
        <v>2520.34</v>
      </c>
      <c r="R115" s="16">
        <f t="shared" si="10"/>
        <v>2031903.2099999997</v>
      </c>
      <c r="S115" s="20">
        <v>1116.1400000000001</v>
      </c>
      <c r="T115" s="21">
        <v>0.24</v>
      </c>
      <c r="U115" s="21">
        <v>6.34</v>
      </c>
      <c r="V115" s="8">
        <v>1122.72</v>
      </c>
      <c r="W115" s="25">
        <v>1.238</v>
      </c>
      <c r="X115" s="25">
        <f t="shared" si="11"/>
        <v>347481.84</v>
      </c>
      <c r="Y115" s="1">
        <f t="shared" si="12"/>
        <v>3670.51</v>
      </c>
      <c r="Z115" s="1">
        <f t="shared" si="13"/>
        <v>3643.0600000000004</v>
      </c>
      <c r="AA115" s="1">
        <v>3645.91</v>
      </c>
      <c r="AB115" s="1">
        <f t="shared" si="8"/>
        <v>24.600000000000364</v>
      </c>
      <c r="AC115" s="29">
        <f t="shared" si="14"/>
        <v>2.8499999999994543</v>
      </c>
      <c r="AD115" s="11">
        <f t="shared" si="15"/>
        <v>2379385.0499999998</v>
      </c>
    </row>
    <row r="116" spans="1:30" x14ac:dyDescent="0.3">
      <c r="A116" s="14">
        <v>45813.166666666664</v>
      </c>
      <c r="B116" s="1">
        <v>1465.06</v>
      </c>
      <c r="C116" s="11">
        <v>3.2732000000000001</v>
      </c>
      <c r="D116" s="1">
        <v>1078.33</v>
      </c>
      <c r="E116" s="11">
        <v>3.0760000000000001</v>
      </c>
      <c r="F116" s="1">
        <v>0</v>
      </c>
      <c r="G116" s="11">
        <v>3.53</v>
      </c>
      <c r="H116" s="1">
        <v>-1.9</v>
      </c>
      <c r="I116" s="11">
        <v>3.70018</v>
      </c>
      <c r="J116" s="1">
        <v>-8.6999999999999993</v>
      </c>
      <c r="K116" s="11">
        <v>2.6492199999999997</v>
      </c>
      <c r="L116" s="1">
        <v>0</v>
      </c>
      <c r="M116" s="11">
        <v>6.2</v>
      </c>
      <c r="N116" s="1">
        <v>15</v>
      </c>
      <c r="O116" s="11">
        <v>2.8224999999999998</v>
      </c>
      <c r="P116" s="1">
        <f t="shared" si="9"/>
        <v>2547.79</v>
      </c>
      <c r="Q116" s="1">
        <v>2487.64</v>
      </c>
      <c r="R116" s="16">
        <f t="shared" si="10"/>
        <v>2031159.1039999998</v>
      </c>
      <c r="S116" s="20">
        <v>1124.57</v>
      </c>
      <c r="T116" s="21">
        <v>0.24999999999999997</v>
      </c>
      <c r="U116" s="21">
        <v>4.6500000000000004</v>
      </c>
      <c r="V116" s="8">
        <v>1129.47</v>
      </c>
      <c r="W116" s="25">
        <v>1.238</v>
      </c>
      <c r="X116" s="25">
        <f t="shared" si="11"/>
        <v>349570.96500000003</v>
      </c>
      <c r="Y116" s="1">
        <f t="shared" si="12"/>
        <v>3677.26</v>
      </c>
      <c r="Z116" s="1">
        <f t="shared" si="13"/>
        <v>3617.1099999999997</v>
      </c>
      <c r="AA116" s="1">
        <v>3615.18</v>
      </c>
      <c r="AB116" s="1">
        <f t="shared" si="8"/>
        <v>62.080000000000382</v>
      </c>
      <c r="AC116" s="29">
        <f t="shared" si="14"/>
        <v>-1.9299999999998363</v>
      </c>
      <c r="AD116" s="11">
        <f t="shared" si="15"/>
        <v>2380730.0689999997</v>
      </c>
    </row>
    <row r="117" spans="1:30" x14ac:dyDescent="0.3">
      <c r="A117" s="14">
        <v>45813.177083333336</v>
      </c>
      <c r="B117" s="1">
        <v>1465.06</v>
      </c>
      <c r="C117" s="11">
        <v>3.2732000000000001</v>
      </c>
      <c r="D117" s="1">
        <v>1078.33</v>
      </c>
      <c r="E117" s="11">
        <v>3.0760000000000001</v>
      </c>
      <c r="F117" s="1">
        <v>0</v>
      </c>
      <c r="G117" s="11">
        <v>3.53</v>
      </c>
      <c r="H117" s="1">
        <v>-1.9</v>
      </c>
      <c r="I117" s="11">
        <v>3.8457499999999998</v>
      </c>
      <c r="J117" s="1">
        <v>-8.6999999999999993</v>
      </c>
      <c r="K117" s="11">
        <v>2.9039099999999998</v>
      </c>
      <c r="L117" s="1">
        <v>0</v>
      </c>
      <c r="M117" s="11">
        <v>6.2</v>
      </c>
      <c r="N117" s="1">
        <v>15</v>
      </c>
      <c r="O117" s="11">
        <v>2.8224999999999998</v>
      </c>
      <c r="P117" s="1">
        <f t="shared" si="9"/>
        <v>2547.79</v>
      </c>
      <c r="Q117" s="1">
        <v>2464.16</v>
      </c>
      <c r="R117" s="16">
        <f t="shared" si="10"/>
        <v>2030536.0074999998</v>
      </c>
      <c r="S117" s="20">
        <v>1126.28</v>
      </c>
      <c r="T117" s="21">
        <v>0.24999999999999997</v>
      </c>
      <c r="U117" s="21">
        <v>4.1400000000000006</v>
      </c>
      <c r="V117" s="8">
        <v>1130.67</v>
      </c>
      <c r="W117" s="25">
        <v>1.238</v>
      </c>
      <c r="X117" s="25">
        <f t="shared" si="11"/>
        <v>349942.36499999999</v>
      </c>
      <c r="Y117" s="1">
        <f t="shared" si="12"/>
        <v>3678.46</v>
      </c>
      <c r="Z117" s="1">
        <f t="shared" si="13"/>
        <v>3594.83</v>
      </c>
      <c r="AA117" s="1">
        <v>3595.7</v>
      </c>
      <c r="AB117" s="1">
        <f t="shared" si="8"/>
        <v>82.760000000000218</v>
      </c>
      <c r="AC117" s="29">
        <f t="shared" si="14"/>
        <v>0.86999999999989086</v>
      </c>
      <c r="AD117" s="11">
        <f t="shared" si="15"/>
        <v>2380478.3724999996</v>
      </c>
    </row>
    <row r="118" spans="1:30" x14ac:dyDescent="0.3">
      <c r="A118" s="14">
        <v>45813.1875</v>
      </c>
      <c r="B118" s="1">
        <v>1465.06</v>
      </c>
      <c r="C118" s="11">
        <v>3.2732000000000001</v>
      </c>
      <c r="D118" s="1">
        <v>1078.33</v>
      </c>
      <c r="E118" s="11">
        <v>3.0760000000000001</v>
      </c>
      <c r="F118" s="1">
        <v>0</v>
      </c>
      <c r="G118" s="11">
        <v>3.53</v>
      </c>
      <c r="H118" s="1">
        <v>-1.9</v>
      </c>
      <c r="I118" s="11">
        <v>3.8458000000000001</v>
      </c>
      <c r="J118" s="1">
        <v>-8.6999999999999993</v>
      </c>
      <c r="K118" s="11">
        <v>2.9701999999999997</v>
      </c>
      <c r="L118" s="1">
        <v>0</v>
      </c>
      <c r="M118" s="11">
        <v>6.2</v>
      </c>
      <c r="N118" s="1">
        <v>15</v>
      </c>
      <c r="O118" s="11">
        <v>2.8224999999999998</v>
      </c>
      <c r="P118" s="1">
        <f t="shared" si="9"/>
        <v>2547.79</v>
      </c>
      <c r="Q118" s="1">
        <v>2477.66</v>
      </c>
      <c r="R118" s="16">
        <f t="shared" si="10"/>
        <v>2030391.8030000001</v>
      </c>
      <c r="S118" s="20">
        <v>1103.3400000000001</v>
      </c>
      <c r="T118" s="21">
        <v>0.24</v>
      </c>
      <c r="U118" s="21">
        <v>3.7399999999999998</v>
      </c>
      <c r="V118" s="8">
        <v>1107.3200000000002</v>
      </c>
      <c r="W118" s="25">
        <v>1.238</v>
      </c>
      <c r="X118" s="25">
        <f t="shared" si="11"/>
        <v>342715.54000000004</v>
      </c>
      <c r="Y118" s="1">
        <f t="shared" si="12"/>
        <v>3655.11</v>
      </c>
      <c r="Z118" s="1">
        <f t="shared" si="13"/>
        <v>3584.98</v>
      </c>
      <c r="AA118" s="1">
        <v>3589.57</v>
      </c>
      <c r="AB118" s="1">
        <f t="shared" si="8"/>
        <v>65.539999999999964</v>
      </c>
      <c r="AC118" s="29">
        <f t="shared" si="14"/>
        <v>4.5900000000001455</v>
      </c>
      <c r="AD118" s="11">
        <f t="shared" si="15"/>
        <v>2373107.3430000003</v>
      </c>
    </row>
    <row r="119" spans="1:30" x14ac:dyDescent="0.3">
      <c r="A119" s="14">
        <v>45813.197916666664</v>
      </c>
      <c r="B119" s="1">
        <v>1465.06</v>
      </c>
      <c r="C119" s="11">
        <v>3.2732000000000001</v>
      </c>
      <c r="D119" s="1">
        <v>1078.33</v>
      </c>
      <c r="E119" s="11">
        <v>3.0760000000000001</v>
      </c>
      <c r="F119" s="1">
        <v>0</v>
      </c>
      <c r="G119" s="11">
        <v>3.53</v>
      </c>
      <c r="H119" s="1">
        <v>-1.9</v>
      </c>
      <c r="I119" s="11">
        <v>3.8004499999999997</v>
      </c>
      <c r="J119" s="1">
        <v>-8.6999999999999993</v>
      </c>
      <c r="K119" s="11">
        <v>2.9038300000000001</v>
      </c>
      <c r="L119" s="1">
        <v>0</v>
      </c>
      <c r="M119" s="11">
        <v>6.2</v>
      </c>
      <c r="N119" s="1">
        <v>15</v>
      </c>
      <c r="O119" s="11">
        <v>2.8224999999999998</v>
      </c>
      <c r="P119" s="1">
        <f t="shared" si="9"/>
        <v>2547.79</v>
      </c>
      <c r="Q119" s="1">
        <v>2511.9499999999998</v>
      </c>
      <c r="R119" s="16">
        <f t="shared" si="10"/>
        <v>2030557.699</v>
      </c>
      <c r="S119" s="20">
        <v>1077.2</v>
      </c>
      <c r="T119" s="21">
        <v>0.24</v>
      </c>
      <c r="U119" s="21">
        <v>3.49</v>
      </c>
      <c r="V119" s="8">
        <v>1080.93</v>
      </c>
      <c r="W119" s="25">
        <v>1.238</v>
      </c>
      <c r="X119" s="25">
        <f t="shared" si="11"/>
        <v>334547.83500000002</v>
      </c>
      <c r="Y119" s="1">
        <f t="shared" si="12"/>
        <v>3628.7200000000003</v>
      </c>
      <c r="Z119" s="1">
        <f t="shared" si="13"/>
        <v>3592.88</v>
      </c>
      <c r="AA119" s="1">
        <v>3595.19</v>
      </c>
      <c r="AB119" s="1">
        <f t="shared" si="8"/>
        <v>33.5300000000002</v>
      </c>
      <c r="AC119" s="29">
        <f t="shared" si="14"/>
        <v>2.3099999999999454</v>
      </c>
      <c r="AD119" s="11">
        <f t="shared" si="15"/>
        <v>2365105.534</v>
      </c>
    </row>
    <row r="120" spans="1:30" x14ac:dyDescent="0.3">
      <c r="A120" s="14">
        <v>45813.208333333336</v>
      </c>
      <c r="B120" s="1">
        <v>1465.06</v>
      </c>
      <c r="C120" s="11">
        <v>3.2732000000000001</v>
      </c>
      <c r="D120" s="1">
        <v>1078.33</v>
      </c>
      <c r="E120" s="11">
        <v>3.0760000000000001</v>
      </c>
      <c r="F120" s="1">
        <v>0</v>
      </c>
      <c r="G120" s="11">
        <v>3.53</v>
      </c>
      <c r="H120" s="1">
        <v>-1.9</v>
      </c>
      <c r="I120" s="11">
        <v>3.2308600000000003</v>
      </c>
      <c r="J120" s="1">
        <v>-7.95</v>
      </c>
      <c r="K120" s="11">
        <v>2.62961</v>
      </c>
      <c r="L120" s="1">
        <v>0</v>
      </c>
      <c r="M120" s="11">
        <v>6.2</v>
      </c>
      <c r="N120" s="1">
        <v>15</v>
      </c>
      <c r="O120" s="11">
        <v>2.8224999999999998</v>
      </c>
      <c r="P120" s="1">
        <f t="shared" si="9"/>
        <v>2548.54</v>
      </c>
      <c r="Q120" s="1">
        <v>2543.06</v>
      </c>
      <c r="R120" s="16">
        <f t="shared" si="10"/>
        <v>2031917.7346249998</v>
      </c>
      <c r="S120" s="20">
        <v>1059.99</v>
      </c>
      <c r="T120" s="21">
        <v>0.24</v>
      </c>
      <c r="U120" s="21">
        <v>3.01</v>
      </c>
      <c r="V120" s="8">
        <v>1063.24</v>
      </c>
      <c r="W120" s="25">
        <v>1.238</v>
      </c>
      <c r="X120" s="25">
        <f t="shared" si="11"/>
        <v>329072.78000000003</v>
      </c>
      <c r="Y120" s="1">
        <f t="shared" si="12"/>
        <v>3611.7799999999997</v>
      </c>
      <c r="Z120" s="1">
        <f t="shared" si="13"/>
        <v>3606.3</v>
      </c>
      <c r="AA120" s="1">
        <v>3604.12</v>
      </c>
      <c r="AB120" s="1">
        <f t="shared" si="8"/>
        <v>7.6599999999998545</v>
      </c>
      <c r="AC120" s="29">
        <f t="shared" si="14"/>
        <v>-2.180000000000291</v>
      </c>
      <c r="AD120" s="11">
        <f t="shared" si="15"/>
        <v>2360990.5146249998</v>
      </c>
    </row>
    <row r="121" spans="1:30" x14ac:dyDescent="0.3">
      <c r="A121" s="14">
        <v>45813.21875</v>
      </c>
      <c r="B121" s="1">
        <v>1465.06</v>
      </c>
      <c r="C121" s="11">
        <v>3.2732000000000001</v>
      </c>
      <c r="D121" s="1">
        <v>1078.33</v>
      </c>
      <c r="E121" s="11">
        <v>3.0760000000000001</v>
      </c>
      <c r="F121" s="1">
        <v>0</v>
      </c>
      <c r="G121" s="11">
        <v>3.53</v>
      </c>
      <c r="H121" s="1">
        <v>-1.9</v>
      </c>
      <c r="I121" s="11">
        <v>3.6921500000000003</v>
      </c>
      <c r="J121" s="1">
        <v>-7.9</v>
      </c>
      <c r="K121" s="11">
        <v>2.9032900000000001</v>
      </c>
      <c r="L121" s="1">
        <v>0</v>
      </c>
      <c r="M121" s="11">
        <v>6.2</v>
      </c>
      <c r="N121" s="1">
        <v>14.44</v>
      </c>
      <c r="O121" s="11">
        <v>2.8224999999999998</v>
      </c>
      <c r="P121" s="1">
        <f t="shared" si="9"/>
        <v>2548.0299999999997</v>
      </c>
      <c r="Q121" s="1">
        <v>2539.9299999999998</v>
      </c>
      <c r="R121" s="16">
        <f t="shared" si="10"/>
        <v>2030795.824</v>
      </c>
      <c r="S121" s="20">
        <v>1070.06</v>
      </c>
      <c r="T121" s="21">
        <v>0.24</v>
      </c>
      <c r="U121" s="21">
        <v>2.88</v>
      </c>
      <c r="V121" s="8">
        <v>1073.18</v>
      </c>
      <c r="W121" s="25">
        <v>1.238</v>
      </c>
      <c r="X121" s="25">
        <f t="shared" si="11"/>
        <v>332149.21000000002</v>
      </c>
      <c r="Y121" s="1">
        <f t="shared" si="12"/>
        <v>3621.21</v>
      </c>
      <c r="Z121" s="1">
        <f t="shared" si="13"/>
        <v>3613.1099999999997</v>
      </c>
      <c r="AA121" s="1">
        <v>3613.65</v>
      </c>
      <c r="AB121" s="1">
        <f t="shared" si="8"/>
        <v>7.5599999999999454</v>
      </c>
      <c r="AC121" s="29">
        <f t="shared" si="14"/>
        <v>0.54000000000041837</v>
      </c>
      <c r="AD121" s="11">
        <f t="shared" si="15"/>
        <v>2362945.034</v>
      </c>
    </row>
    <row r="122" spans="1:30" x14ac:dyDescent="0.3">
      <c r="A122" s="14">
        <v>45813.229166666664</v>
      </c>
      <c r="B122" s="1">
        <v>1465.06</v>
      </c>
      <c r="C122" s="11">
        <v>3.2732000000000001</v>
      </c>
      <c r="D122" s="1">
        <v>1078.33</v>
      </c>
      <c r="E122" s="11">
        <v>3.0760000000000001</v>
      </c>
      <c r="F122" s="1">
        <v>0</v>
      </c>
      <c r="G122" s="11">
        <v>3.53</v>
      </c>
      <c r="H122" s="1">
        <v>-1.9</v>
      </c>
      <c r="I122" s="11">
        <v>3.6390400000000001</v>
      </c>
      <c r="J122" s="1">
        <v>-7.72</v>
      </c>
      <c r="K122" s="11">
        <v>2.4485700000000001</v>
      </c>
      <c r="L122" s="1">
        <v>0</v>
      </c>
      <c r="M122" s="11">
        <v>6.2</v>
      </c>
      <c r="N122" s="1">
        <v>20.51</v>
      </c>
      <c r="O122" s="11">
        <v>2.8224999999999998</v>
      </c>
      <c r="P122" s="1">
        <f t="shared" si="9"/>
        <v>2554.2800000000002</v>
      </c>
      <c r="Q122" s="1">
        <v>2523.5500000000002</v>
      </c>
      <c r="R122" s="16">
        <f t="shared" si="10"/>
        <v>2036112.4526500001</v>
      </c>
      <c r="S122" s="20">
        <v>1082.4499999999998</v>
      </c>
      <c r="T122" s="21">
        <v>0.24</v>
      </c>
      <c r="U122" s="21">
        <v>2.3400000000000003</v>
      </c>
      <c r="V122" s="8">
        <v>1085.0299999999997</v>
      </c>
      <c r="W122" s="25">
        <v>1.238</v>
      </c>
      <c r="X122" s="25">
        <f t="shared" si="11"/>
        <v>335816.78499999992</v>
      </c>
      <c r="Y122" s="1">
        <f t="shared" si="12"/>
        <v>3639.31</v>
      </c>
      <c r="Z122" s="1">
        <f t="shared" si="13"/>
        <v>3608.58</v>
      </c>
      <c r="AA122" s="1">
        <v>3610.96</v>
      </c>
      <c r="AB122" s="1">
        <f t="shared" si="8"/>
        <v>28.349999999999909</v>
      </c>
      <c r="AC122" s="29">
        <f t="shared" si="14"/>
        <v>2.3800000000001091</v>
      </c>
      <c r="AD122" s="11">
        <f t="shared" si="15"/>
        <v>2371929.23765</v>
      </c>
    </row>
    <row r="123" spans="1:30" x14ac:dyDescent="0.3">
      <c r="A123" s="14">
        <v>45813.239583333336</v>
      </c>
      <c r="B123" s="1">
        <v>1466.82</v>
      </c>
      <c r="C123" s="11">
        <v>3.2732000000000001</v>
      </c>
      <c r="D123" s="1">
        <v>1078.33</v>
      </c>
      <c r="E123" s="11">
        <v>3.0760000000000001</v>
      </c>
      <c r="F123" s="1">
        <v>0</v>
      </c>
      <c r="G123" s="11">
        <v>3.53</v>
      </c>
      <c r="H123" s="1">
        <v>-1.9</v>
      </c>
      <c r="I123" s="11">
        <v>3.4993799999999999</v>
      </c>
      <c r="J123" s="1">
        <v>-7.7</v>
      </c>
      <c r="K123" s="11">
        <v>2.2674300000000001</v>
      </c>
      <c r="L123" s="1">
        <v>0</v>
      </c>
      <c r="M123" s="11">
        <v>6.2</v>
      </c>
      <c r="N123" s="1">
        <v>30.66</v>
      </c>
      <c r="O123" s="11">
        <v>2.8224999999999998</v>
      </c>
      <c r="P123" s="1">
        <f t="shared" si="9"/>
        <v>2566.2099999999996</v>
      </c>
      <c r="Q123" s="1">
        <v>2523.39</v>
      </c>
      <c r="R123" s="16">
        <f t="shared" si="10"/>
        <v>2045142.0302499998</v>
      </c>
      <c r="S123" s="20">
        <v>1092.69</v>
      </c>
      <c r="T123" s="21">
        <v>0.22999999999999998</v>
      </c>
      <c r="U123" s="21">
        <v>2.8099999999999996</v>
      </c>
      <c r="V123" s="8">
        <v>1095.73</v>
      </c>
      <c r="W123" s="25">
        <v>1.238</v>
      </c>
      <c r="X123" s="25">
        <f t="shared" si="11"/>
        <v>339128.435</v>
      </c>
      <c r="Y123" s="1">
        <f t="shared" si="12"/>
        <v>3661.9399999999996</v>
      </c>
      <c r="Z123" s="1">
        <f t="shared" si="13"/>
        <v>3619.12</v>
      </c>
      <c r="AA123" s="1">
        <v>3617.71</v>
      </c>
      <c r="AB123" s="1">
        <f t="shared" si="8"/>
        <v>44.229999999999563</v>
      </c>
      <c r="AC123" s="29">
        <f t="shared" si="14"/>
        <v>-1.4099999999998545</v>
      </c>
      <c r="AD123" s="11">
        <f t="shared" si="15"/>
        <v>2384270.4652499999</v>
      </c>
    </row>
    <row r="124" spans="1:30" x14ac:dyDescent="0.3">
      <c r="A124" s="14">
        <v>45813.25</v>
      </c>
      <c r="B124" s="1">
        <v>1472.12</v>
      </c>
      <c r="C124" s="11">
        <v>3.2732000000000001</v>
      </c>
      <c r="D124" s="1">
        <v>709.43</v>
      </c>
      <c r="E124" s="11">
        <v>3.0760000000000001</v>
      </c>
      <c r="F124" s="1">
        <v>368.9</v>
      </c>
      <c r="G124" s="11">
        <v>3.53</v>
      </c>
      <c r="H124" s="1">
        <v>20.79</v>
      </c>
      <c r="I124" s="11">
        <v>3.6493600000000002</v>
      </c>
      <c r="J124" s="1">
        <v>43.81</v>
      </c>
      <c r="K124" s="11">
        <v>2.8070500000000003</v>
      </c>
      <c r="L124" s="1">
        <v>0</v>
      </c>
      <c r="M124" s="11">
        <v>6.2</v>
      </c>
      <c r="N124" s="1">
        <v>33.32</v>
      </c>
      <c r="O124" s="11">
        <v>2.8224999999999998</v>
      </c>
      <c r="P124" s="1">
        <f t="shared" si="9"/>
        <v>2648.37</v>
      </c>
      <c r="Q124" s="1">
        <v>2627.53</v>
      </c>
      <c r="R124" s="16">
        <f t="shared" si="10"/>
        <v>2148964.9047250003</v>
      </c>
      <c r="S124" s="20">
        <v>993.06000000000006</v>
      </c>
      <c r="T124" s="21">
        <v>0.29000000000000004</v>
      </c>
      <c r="U124" s="21">
        <v>2.4099999999999997</v>
      </c>
      <c r="V124" s="8">
        <v>995.76</v>
      </c>
      <c r="W124" s="25">
        <v>1.238</v>
      </c>
      <c r="X124" s="25">
        <f t="shared" si="11"/>
        <v>308187.72000000003</v>
      </c>
      <c r="Y124" s="1">
        <f t="shared" si="12"/>
        <v>3644.13</v>
      </c>
      <c r="Z124" s="1">
        <f t="shared" si="13"/>
        <v>3623.29</v>
      </c>
      <c r="AA124" s="1">
        <v>3629.46</v>
      </c>
      <c r="AB124" s="1">
        <f t="shared" si="8"/>
        <v>14.670000000000073</v>
      </c>
      <c r="AC124" s="29">
        <f t="shared" si="14"/>
        <v>6.1700000000000728</v>
      </c>
      <c r="AD124" s="11">
        <f t="shared" si="15"/>
        <v>2457152.6247250005</v>
      </c>
    </row>
    <row r="125" spans="1:30" x14ac:dyDescent="0.3">
      <c r="A125" s="14">
        <v>45813.260416666664</v>
      </c>
      <c r="B125" s="1">
        <v>1477.2</v>
      </c>
      <c r="C125" s="11">
        <v>3.2732000000000001</v>
      </c>
      <c r="D125" s="1">
        <v>679.76</v>
      </c>
      <c r="E125" s="11">
        <v>3.0760000000000001</v>
      </c>
      <c r="F125" s="1">
        <v>398.57</v>
      </c>
      <c r="G125" s="11">
        <v>3.53</v>
      </c>
      <c r="H125" s="1">
        <v>37.159999999999997</v>
      </c>
      <c r="I125" s="11">
        <v>3.5026599999999997</v>
      </c>
      <c r="J125" s="1">
        <v>42.42</v>
      </c>
      <c r="K125" s="11">
        <v>2.8072300000000001</v>
      </c>
      <c r="L125" s="1">
        <v>0</v>
      </c>
      <c r="M125" s="11">
        <v>6.2</v>
      </c>
      <c r="N125" s="1">
        <v>36.31</v>
      </c>
      <c r="O125" s="11">
        <v>2.8224999999999998</v>
      </c>
      <c r="P125" s="1">
        <f t="shared" si="9"/>
        <v>2671.42</v>
      </c>
      <c r="Q125" s="1">
        <v>2655.99</v>
      </c>
      <c r="R125" s="16">
        <f t="shared" si="10"/>
        <v>2171197.8543000007</v>
      </c>
      <c r="S125" s="20">
        <v>990.33999999999992</v>
      </c>
      <c r="T125" s="21">
        <v>2.3499999999999996</v>
      </c>
      <c r="U125" s="21">
        <v>1.9600000000000002</v>
      </c>
      <c r="V125" s="8">
        <v>994.65</v>
      </c>
      <c r="W125" s="25">
        <v>1.238</v>
      </c>
      <c r="X125" s="25">
        <f t="shared" si="11"/>
        <v>307844.17499999999</v>
      </c>
      <c r="Y125" s="1">
        <f t="shared" si="12"/>
        <v>3666.07</v>
      </c>
      <c r="Z125" s="1">
        <f t="shared" si="13"/>
        <v>3650.64</v>
      </c>
      <c r="AA125" s="1">
        <v>3647.49</v>
      </c>
      <c r="AB125" s="1">
        <f t="shared" si="8"/>
        <v>18.580000000000382</v>
      </c>
      <c r="AC125" s="29">
        <f t="shared" si="14"/>
        <v>-3.1500000000000909</v>
      </c>
      <c r="AD125" s="11">
        <f t="shared" si="15"/>
        <v>2479042.0293000005</v>
      </c>
    </row>
    <row r="126" spans="1:30" x14ac:dyDescent="0.3">
      <c r="A126" s="14">
        <v>45813.270833333336</v>
      </c>
      <c r="B126" s="1">
        <v>1480.98</v>
      </c>
      <c r="C126" s="11">
        <v>3.2732000000000001</v>
      </c>
      <c r="D126" s="1">
        <v>679.76</v>
      </c>
      <c r="E126" s="11">
        <v>3.0760000000000001</v>
      </c>
      <c r="F126" s="1">
        <v>398.57</v>
      </c>
      <c r="G126" s="11">
        <v>3.53</v>
      </c>
      <c r="H126" s="1">
        <v>54.97</v>
      </c>
      <c r="I126" s="11">
        <v>3.4516499999999999</v>
      </c>
      <c r="J126" s="1">
        <v>51.83</v>
      </c>
      <c r="K126" s="11">
        <v>2.8072600000000003</v>
      </c>
      <c r="L126" s="1">
        <v>0</v>
      </c>
      <c r="M126" s="11">
        <v>6.2</v>
      </c>
      <c r="N126" s="1">
        <v>33.659999999999997</v>
      </c>
      <c r="O126" s="11">
        <v>2.8224999999999998</v>
      </c>
      <c r="P126" s="1">
        <f t="shared" si="9"/>
        <v>2699.7699999999995</v>
      </c>
      <c r="Q126" s="1">
        <v>2655.06</v>
      </c>
      <c r="R126" s="16">
        <f t="shared" si="10"/>
        <v>2193920.1080750003</v>
      </c>
      <c r="S126" s="20">
        <v>984.16000000000008</v>
      </c>
      <c r="T126" s="21">
        <v>6.86</v>
      </c>
      <c r="U126" s="21">
        <v>0.78</v>
      </c>
      <c r="V126" s="8">
        <v>991.80000000000007</v>
      </c>
      <c r="W126" s="25">
        <v>1.238</v>
      </c>
      <c r="X126" s="25">
        <f t="shared" si="11"/>
        <v>306962.10000000003</v>
      </c>
      <c r="Y126" s="1">
        <f t="shared" si="12"/>
        <v>3691.5699999999997</v>
      </c>
      <c r="Z126" s="1">
        <f t="shared" si="13"/>
        <v>3646.86</v>
      </c>
      <c r="AA126" s="1">
        <v>3644.53</v>
      </c>
      <c r="AB126" s="1">
        <f t="shared" si="8"/>
        <v>47.039999999999509</v>
      </c>
      <c r="AC126" s="29">
        <f t="shared" si="14"/>
        <v>-2.3299999999999272</v>
      </c>
      <c r="AD126" s="11">
        <f t="shared" si="15"/>
        <v>2500882.2080750004</v>
      </c>
    </row>
    <row r="127" spans="1:30" x14ac:dyDescent="0.3">
      <c r="A127" s="14">
        <v>45813.28125</v>
      </c>
      <c r="B127" s="1">
        <v>1481.25</v>
      </c>
      <c r="C127" s="11">
        <v>3.2732000000000001</v>
      </c>
      <c r="D127" s="1">
        <v>679.76</v>
      </c>
      <c r="E127" s="11">
        <v>3.0760000000000001</v>
      </c>
      <c r="F127" s="1">
        <v>398.57</v>
      </c>
      <c r="G127" s="11">
        <v>3.53</v>
      </c>
      <c r="H127" s="1">
        <v>56.49</v>
      </c>
      <c r="I127" s="11">
        <v>3.3008000000000002</v>
      </c>
      <c r="J127" s="1">
        <v>55.34</v>
      </c>
      <c r="K127" s="11">
        <v>2.70017</v>
      </c>
      <c r="L127" s="1">
        <v>0</v>
      </c>
      <c r="M127" s="11">
        <v>6.2</v>
      </c>
      <c r="N127" s="1">
        <v>39.049999999999997</v>
      </c>
      <c r="O127" s="11">
        <v>2.8224999999999998</v>
      </c>
      <c r="P127" s="1">
        <f t="shared" si="9"/>
        <v>2710.4600000000005</v>
      </c>
      <c r="Q127" s="1">
        <v>2641.35</v>
      </c>
      <c r="R127" s="16">
        <f t="shared" si="10"/>
        <v>2198107.3961999998</v>
      </c>
      <c r="S127" s="20">
        <v>968.5</v>
      </c>
      <c r="T127" s="21">
        <v>12.340000000000002</v>
      </c>
      <c r="U127" s="21">
        <v>0.13</v>
      </c>
      <c r="V127" s="8">
        <v>980.97</v>
      </c>
      <c r="W127" s="25">
        <v>1.238</v>
      </c>
      <c r="X127" s="25">
        <f t="shared" si="11"/>
        <v>303610.21499999997</v>
      </c>
      <c r="Y127" s="1">
        <f t="shared" si="12"/>
        <v>3691.4300000000003</v>
      </c>
      <c r="Z127" s="1">
        <f t="shared" si="13"/>
        <v>3622.3199999999997</v>
      </c>
      <c r="AA127" s="1">
        <v>3624.3</v>
      </c>
      <c r="AB127" s="1">
        <f t="shared" si="8"/>
        <v>67.130000000000109</v>
      </c>
      <c r="AC127" s="29">
        <f t="shared" si="14"/>
        <v>1.9800000000004729</v>
      </c>
      <c r="AD127" s="11">
        <f t="shared" si="15"/>
        <v>2501717.6111999997</v>
      </c>
    </row>
    <row r="128" spans="1:30" x14ac:dyDescent="0.3">
      <c r="A128" s="14">
        <v>45813.291666666664</v>
      </c>
      <c r="B128" s="1">
        <v>1480.35</v>
      </c>
      <c r="C128" s="11">
        <v>3.2732000000000001</v>
      </c>
      <c r="D128" s="1">
        <v>679.76</v>
      </c>
      <c r="E128" s="11">
        <v>3.0760000000000001</v>
      </c>
      <c r="F128" s="1">
        <v>398.57</v>
      </c>
      <c r="G128" s="11">
        <v>3.53</v>
      </c>
      <c r="H128" s="1">
        <v>63.07</v>
      </c>
      <c r="I128" s="11">
        <v>3.1354799999999998</v>
      </c>
      <c r="J128" s="1">
        <v>53.02</v>
      </c>
      <c r="K128" s="11">
        <v>2.2358500000000001</v>
      </c>
      <c r="L128" s="1">
        <v>0</v>
      </c>
      <c r="M128" s="11">
        <v>6.2</v>
      </c>
      <c r="N128" s="1">
        <v>44.99</v>
      </c>
      <c r="O128" s="11">
        <v>2.8224999999999998</v>
      </c>
      <c r="P128" s="1">
        <f t="shared" si="9"/>
        <v>2719.7599999999998</v>
      </c>
      <c r="Q128" s="1">
        <v>2680.95</v>
      </c>
      <c r="R128" s="16">
        <f t="shared" si="10"/>
        <v>2196664.8114</v>
      </c>
      <c r="S128" s="20">
        <v>874.34</v>
      </c>
      <c r="T128" s="21">
        <v>22.279999999999998</v>
      </c>
      <c r="U128" s="21">
        <v>0.18999999999999997</v>
      </c>
      <c r="V128" s="8">
        <v>896.81000000000006</v>
      </c>
      <c r="W128" s="25">
        <v>1.238</v>
      </c>
      <c r="X128" s="25">
        <f t="shared" si="11"/>
        <v>277562.69500000001</v>
      </c>
      <c r="Y128" s="1">
        <f t="shared" si="12"/>
        <v>3616.5699999999997</v>
      </c>
      <c r="Z128" s="1">
        <f t="shared" si="13"/>
        <v>3577.7599999999998</v>
      </c>
      <c r="AA128" s="1">
        <v>3577.93</v>
      </c>
      <c r="AB128" s="1">
        <f t="shared" si="8"/>
        <v>38.639999999999873</v>
      </c>
      <c r="AC128" s="29">
        <f t="shared" si="14"/>
        <v>0.17000000000007276</v>
      </c>
      <c r="AD128" s="11">
        <f t="shared" si="15"/>
        <v>2474227.5063999998</v>
      </c>
    </row>
    <row r="129" spans="1:30" x14ac:dyDescent="0.3">
      <c r="A129" s="14">
        <v>45813.302083333336</v>
      </c>
      <c r="B129" s="1">
        <v>1479.74</v>
      </c>
      <c r="C129" s="11">
        <v>3.2732000000000001</v>
      </c>
      <c r="D129" s="1">
        <v>679.76</v>
      </c>
      <c r="E129" s="11">
        <v>3.0760000000000001</v>
      </c>
      <c r="F129" s="1">
        <v>398.57</v>
      </c>
      <c r="G129" s="11">
        <v>3.53</v>
      </c>
      <c r="H129" s="1">
        <v>72.69</v>
      </c>
      <c r="I129" s="11">
        <v>2.90286</v>
      </c>
      <c r="J129" s="1">
        <v>46.37</v>
      </c>
      <c r="K129" s="11">
        <v>1.9995699999999998</v>
      </c>
      <c r="L129" s="1">
        <v>0</v>
      </c>
      <c r="M129" s="11">
        <v>6.2</v>
      </c>
      <c r="N129" s="1">
        <v>60.67</v>
      </c>
      <c r="O129" s="11">
        <v>2.8224999999999998</v>
      </c>
      <c r="P129" s="1">
        <f t="shared" si="9"/>
        <v>2737.8</v>
      </c>
      <c r="Q129" s="1">
        <v>2678.06</v>
      </c>
      <c r="R129" s="16">
        <f t="shared" si="10"/>
        <v>2204087.2143250001</v>
      </c>
      <c r="S129" s="20">
        <v>821.88</v>
      </c>
      <c r="T129" s="21">
        <v>34.46</v>
      </c>
      <c r="U129" s="21">
        <v>0.16</v>
      </c>
      <c r="V129" s="8">
        <v>856.5</v>
      </c>
      <c r="W129" s="25">
        <v>1.238</v>
      </c>
      <c r="X129" s="25">
        <f t="shared" si="11"/>
        <v>265086.75</v>
      </c>
      <c r="Y129" s="1">
        <f t="shared" si="12"/>
        <v>3594.3</v>
      </c>
      <c r="Z129" s="1">
        <f t="shared" si="13"/>
        <v>3534.56</v>
      </c>
      <c r="AA129" s="1">
        <v>3536.78</v>
      </c>
      <c r="AB129" s="1">
        <f t="shared" si="8"/>
        <v>57.519999999999982</v>
      </c>
      <c r="AC129" s="29">
        <f t="shared" si="14"/>
        <v>2.2200000000002547</v>
      </c>
      <c r="AD129" s="11">
        <f t="shared" si="15"/>
        <v>2469173.9643250001</v>
      </c>
    </row>
    <row r="130" spans="1:30" x14ac:dyDescent="0.3">
      <c r="A130" s="14">
        <v>45813.3125</v>
      </c>
      <c r="B130" s="1">
        <v>1479.74</v>
      </c>
      <c r="C130" s="11">
        <v>3.2732000000000001</v>
      </c>
      <c r="D130" s="1">
        <v>679.76</v>
      </c>
      <c r="E130" s="11">
        <v>3.0760000000000001</v>
      </c>
      <c r="F130" s="1">
        <v>398.57</v>
      </c>
      <c r="G130" s="11">
        <v>3.53</v>
      </c>
      <c r="H130" s="1">
        <v>72.56</v>
      </c>
      <c r="I130" s="11">
        <v>2.7500200000000001</v>
      </c>
      <c r="J130" s="1">
        <v>46.24</v>
      </c>
      <c r="K130" s="11">
        <v>2.07681</v>
      </c>
      <c r="L130" s="1">
        <v>0</v>
      </c>
      <c r="M130" s="11">
        <v>6.2</v>
      </c>
      <c r="N130" s="1">
        <v>76.760000000000005</v>
      </c>
      <c r="O130" s="11">
        <v>2.8224999999999998</v>
      </c>
      <c r="P130" s="1">
        <f t="shared" si="9"/>
        <v>2753.63</v>
      </c>
      <c r="Q130" s="1">
        <v>2701.56</v>
      </c>
      <c r="R130" s="16">
        <f t="shared" si="10"/>
        <v>2213401.7684000004</v>
      </c>
      <c r="S130" s="20">
        <v>738.99999999999989</v>
      </c>
      <c r="T130" s="21">
        <v>45.98</v>
      </c>
      <c r="U130" s="21">
        <v>0.14000000000000001</v>
      </c>
      <c r="V130" s="8">
        <v>785.11999999999989</v>
      </c>
      <c r="W130" s="25">
        <v>1.238</v>
      </c>
      <c r="X130" s="25">
        <f t="shared" si="11"/>
        <v>242994.63999999998</v>
      </c>
      <c r="Y130" s="1">
        <f t="shared" si="12"/>
        <v>3538.75</v>
      </c>
      <c r="Z130" s="1">
        <f t="shared" si="13"/>
        <v>3486.68</v>
      </c>
      <c r="AA130" s="1">
        <v>3490.94</v>
      </c>
      <c r="AB130" s="1">
        <f t="shared" si="8"/>
        <v>47.809999999999945</v>
      </c>
      <c r="AC130" s="29">
        <f t="shared" si="14"/>
        <v>4.2600000000002183</v>
      </c>
      <c r="AD130" s="11">
        <f t="shared" si="15"/>
        <v>2456396.4084000005</v>
      </c>
    </row>
    <row r="131" spans="1:30" x14ac:dyDescent="0.3">
      <c r="A131" s="14">
        <v>45813.322916666664</v>
      </c>
      <c r="B131" s="1">
        <v>1479.74</v>
      </c>
      <c r="C131" s="11">
        <v>3.2732000000000001</v>
      </c>
      <c r="D131" s="1">
        <v>679.76</v>
      </c>
      <c r="E131" s="11">
        <v>3.0760000000000001</v>
      </c>
      <c r="F131" s="1">
        <v>398.57</v>
      </c>
      <c r="G131" s="11">
        <v>3.53</v>
      </c>
      <c r="H131" s="1">
        <v>71.540000000000006</v>
      </c>
      <c r="I131" s="11">
        <v>2.3954599999999999</v>
      </c>
      <c r="J131" s="1">
        <v>46.26</v>
      </c>
      <c r="K131" s="11">
        <v>2.0005099999999998</v>
      </c>
      <c r="L131" s="1">
        <v>0</v>
      </c>
      <c r="M131" s="11">
        <v>6.2</v>
      </c>
      <c r="N131" s="1">
        <v>96.04</v>
      </c>
      <c r="O131" s="11">
        <v>2.8224999999999998</v>
      </c>
      <c r="P131" s="1">
        <f t="shared" si="9"/>
        <v>2771.9100000000003</v>
      </c>
      <c r="Q131" s="1">
        <v>2755.34</v>
      </c>
      <c r="R131" s="16">
        <f t="shared" si="10"/>
        <v>2219091.6322499998</v>
      </c>
      <c r="S131" s="20">
        <v>638.17999999999995</v>
      </c>
      <c r="T131" s="21">
        <v>56.65</v>
      </c>
      <c r="U131" s="21">
        <v>0.13</v>
      </c>
      <c r="V131" s="8">
        <v>694.95999999999992</v>
      </c>
      <c r="W131" s="25">
        <v>1.238</v>
      </c>
      <c r="X131" s="25">
        <f t="shared" si="11"/>
        <v>215090.12</v>
      </c>
      <c r="Y131" s="1">
        <f t="shared" si="12"/>
        <v>3466.8700000000003</v>
      </c>
      <c r="Z131" s="1">
        <f t="shared" si="13"/>
        <v>3450.3</v>
      </c>
      <c r="AA131" s="1">
        <v>3453.74</v>
      </c>
      <c r="AB131" s="1">
        <f t="shared" si="8"/>
        <v>13.130000000000564</v>
      </c>
      <c r="AC131" s="29">
        <f t="shared" si="14"/>
        <v>3.4399999999995998</v>
      </c>
      <c r="AD131" s="11">
        <f t="shared" si="15"/>
        <v>2434181.7522499999</v>
      </c>
    </row>
    <row r="132" spans="1:30" x14ac:dyDescent="0.3">
      <c r="A132" s="14">
        <v>45813.333333333336</v>
      </c>
      <c r="B132" s="1">
        <v>1433.86</v>
      </c>
      <c r="C132" s="11">
        <v>3.2732000000000001</v>
      </c>
      <c r="D132" s="1">
        <v>679.76</v>
      </c>
      <c r="E132" s="11">
        <v>3.0760000000000001</v>
      </c>
      <c r="F132" s="1">
        <v>398.57</v>
      </c>
      <c r="G132" s="11">
        <v>3.53</v>
      </c>
      <c r="H132" s="1">
        <v>100.54</v>
      </c>
      <c r="I132" s="11">
        <v>2.2491099999999999</v>
      </c>
      <c r="J132" s="1">
        <v>19.420000000000002</v>
      </c>
      <c r="K132" s="11">
        <v>2.2001900000000001</v>
      </c>
      <c r="L132" s="1">
        <v>1.78</v>
      </c>
      <c r="M132" s="11">
        <v>6.2</v>
      </c>
      <c r="N132" s="1">
        <v>120.24</v>
      </c>
      <c r="O132" s="11">
        <v>2.8224999999999998</v>
      </c>
      <c r="P132" s="1">
        <f t="shared" si="9"/>
        <v>2754.17</v>
      </c>
      <c r="Q132" s="1">
        <v>2739.64</v>
      </c>
      <c r="R132" s="16">
        <f t="shared" si="10"/>
        <v>2202617.7553000003</v>
      </c>
      <c r="S132" s="20">
        <v>609.35</v>
      </c>
      <c r="T132" s="21">
        <v>69.580000000000013</v>
      </c>
      <c r="U132" s="21">
        <v>0.13</v>
      </c>
      <c r="V132" s="8">
        <v>679.06000000000006</v>
      </c>
      <c r="W132" s="25">
        <v>1.238</v>
      </c>
      <c r="X132" s="25">
        <f t="shared" si="11"/>
        <v>210169.07</v>
      </c>
      <c r="Y132" s="1">
        <f t="shared" si="12"/>
        <v>3433.23</v>
      </c>
      <c r="Z132" s="1">
        <f t="shared" si="13"/>
        <v>3418.7</v>
      </c>
      <c r="AA132" s="1">
        <v>3416.37</v>
      </c>
      <c r="AB132" s="1">
        <f t="shared" ref="AB132:AB195" si="16">Y132-AA132</f>
        <v>16.860000000000127</v>
      </c>
      <c r="AC132" s="29">
        <f t="shared" si="14"/>
        <v>-2.3299999999999272</v>
      </c>
      <c r="AD132" s="11">
        <f t="shared" si="15"/>
        <v>2412786.8253000001</v>
      </c>
    </row>
    <row r="133" spans="1:30" x14ac:dyDescent="0.3">
      <c r="A133" s="14">
        <v>45813.34375</v>
      </c>
      <c r="B133" s="1">
        <v>1391.12</v>
      </c>
      <c r="C133" s="11">
        <v>3.2732000000000001</v>
      </c>
      <c r="D133" s="1">
        <v>679.76</v>
      </c>
      <c r="E133" s="11">
        <v>3.0760000000000001</v>
      </c>
      <c r="F133" s="1">
        <v>398.57</v>
      </c>
      <c r="G133" s="11">
        <v>3.53</v>
      </c>
      <c r="H133" s="1">
        <v>103.65</v>
      </c>
      <c r="I133" s="11">
        <v>2.2492700000000001</v>
      </c>
      <c r="J133" s="1">
        <v>17.3</v>
      </c>
      <c r="K133" s="11">
        <v>2.2358099999999999</v>
      </c>
      <c r="L133" s="1">
        <v>1.93</v>
      </c>
      <c r="M133" s="11">
        <v>6.2</v>
      </c>
      <c r="N133" s="1">
        <v>149.85</v>
      </c>
      <c r="O133" s="11">
        <v>2.8224999999999998</v>
      </c>
      <c r="P133" s="1">
        <f t="shared" ref="P133:P196" si="17">(B133+D133+F133+H133+J133+L133+N133)</f>
        <v>2742.1800000000003</v>
      </c>
      <c r="Q133" s="1">
        <v>2686.99</v>
      </c>
      <c r="R133" s="16">
        <f t="shared" ref="R133:R196" si="18">(((B133*C133)+(D133*E133)+(F133*G133)+(H133*I133)+(J133*K133)+(L133*M133)+(N133*O133))*(1000/4))</f>
        <v>2189510.4543749997</v>
      </c>
      <c r="S133" s="20">
        <v>642.52</v>
      </c>
      <c r="T133" s="21">
        <v>84.89</v>
      </c>
      <c r="U133" s="21">
        <v>9.9999999999999992E-2</v>
      </c>
      <c r="V133" s="8">
        <v>727.51</v>
      </c>
      <c r="W133" s="25">
        <v>1.238</v>
      </c>
      <c r="X133" s="25">
        <f t="shared" ref="X133:X196" si="19">((V133*W133*1000)/4)</f>
        <v>225164.345</v>
      </c>
      <c r="Y133" s="1">
        <f t="shared" ref="Y133:Y196" si="20">B133+D133+F133+H133+J133+L133+N133+V133</f>
        <v>3469.6900000000005</v>
      </c>
      <c r="Z133" s="1">
        <f t="shared" ref="Z133:Z196" si="21">Q133+V133</f>
        <v>3414.5</v>
      </c>
      <c r="AA133" s="1">
        <v>3411.28</v>
      </c>
      <c r="AB133" s="1">
        <f t="shared" si="16"/>
        <v>58.410000000000309</v>
      </c>
      <c r="AC133" s="29">
        <f t="shared" ref="AC133:AC196" si="22">AA133-Z133</f>
        <v>-3.2199999999997999</v>
      </c>
      <c r="AD133" s="11">
        <f t="shared" ref="AD133:AD196" si="23">(R133+X133)</f>
        <v>2414674.7993749999</v>
      </c>
    </row>
    <row r="134" spans="1:30" x14ac:dyDescent="0.3">
      <c r="A134" s="14">
        <v>45813.354166666664</v>
      </c>
      <c r="B134" s="1">
        <v>1221.04</v>
      </c>
      <c r="C134" s="11">
        <v>3.2732000000000001</v>
      </c>
      <c r="D134" s="1">
        <v>679.76</v>
      </c>
      <c r="E134" s="11">
        <v>3.0760000000000001</v>
      </c>
      <c r="F134" s="1">
        <v>398.57</v>
      </c>
      <c r="G134" s="11">
        <v>3.53</v>
      </c>
      <c r="H134" s="1">
        <v>88.51</v>
      </c>
      <c r="I134" s="11">
        <v>2.0125899999999999</v>
      </c>
      <c r="J134" s="1">
        <v>14.43</v>
      </c>
      <c r="K134" s="11">
        <v>1.99546</v>
      </c>
      <c r="L134" s="1">
        <v>21.25</v>
      </c>
      <c r="M134" s="11">
        <v>6.2</v>
      </c>
      <c r="N134" s="1">
        <v>179.63</v>
      </c>
      <c r="O134" s="11">
        <v>2.8224999999999998</v>
      </c>
      <c r="P134" s="1">
        <f t="shared" si="17"/>
        <v>2603.19</v>
      </c>
      <c r="Q134" s="1">
        <v>2597.08</v>
      </c>
      <c r="R134" s="16">
        <f t="shared" si="18"/>
        <v>2085071.6229250003</v>
      </c>
      <c r="S134" s="20">
        <v>712.66000000000008</v>
      </c>
      <c r="T134" s="21">
        <v>96.679999999999993</v>
      </c>
      <c r="U134" s="21">
        <v>0.14000000000000001</v>
      </c>
      <c r="V134" s="8">
        <v>809.48</v>
      </c>
      <c r="W134" s="25">
        <v>1.238</v>
      </c>
      <c r="X134" s="25">
        <f t="shared" si="19"/>
        <v>250534.06</v>
      </c>
      <c r="Y134" s="1">
        <f t="shared" si="20"/>
        <v>3412.67</v>
      </c>
      <c r="Z134" s="1">
        <f t="shared" si="21"/>
        <v>3406.56</v>
      </c>
      <c r="AA134" s="1">
        <v>3405.98</v>
      </c>
      <c r="AB134" s="1">
        <f t="shared" si="16"/>
        <v>6.6900000000000546</v>
      </c>
      <c r="AC134" s="29">
        <f t="shared" si="22"/>
        <v>-0.57999999999992724</v>
      </c>
      <c r="AD134" s="11">
        <f t="shared" si="23"/>
        <v>2335605.6829250003</v>
      </c>
    </row>
    <row r="135" spans="1:30" x14ac:dyDescent="0.3">
      <c r="A135" s="14">
        <v>45813.364583333336</v>
      </c>
      <c r="B135" s="1">
        <v>1110.0899999999999</v>
      </c>
      <c r="C135" s="11">
        <v>3.2732000000000001</v>
      </c>
      <c r="D135" s="1">
        <v>679.76</v>
      </c>
      <c r="E135" s="11">
        <v>3.0760000000000001</v>
      </c>
      <c r="F135" s="1">
        <v>398.57</v>
      </c>
      <c r="G135" s="11">
        <v>3.53</v>
      </c>
      <c r="H135" s="1">
        <v>88.29</v>
      </c>
      <c r="I135" s="11">
        <v>2.0003699999999998</v>
      </c>
      <c r="J135" s="1">
        <v>103.66</v>
      </c>
      <c r="K135" s="11">
        <v>1.9621500000000001</v>
      </c>
      <c r="L135" s="1">
        <v>22.6</v>
      </c>
      <c r="M135" s="11">
        <v>6.2</v>
      </c>
      <c r="N135" s="1">
        <v>208.74</v>
      </c>
      <c r="O135" s="11">
        <v>2.8224999999999998</v>
      </c>
      <c r="P135" s="1">
        <f t="shared" si="17"/>
        <v>2611.71</v>
      </c>
      <c r="Q135" s="1">
        <v>2617.46</v>
      </c>
      <c r="R135" s="16">
        <f t="shared" si="18"/>
        <v>2060184.5585749997</v>
      </c>
      <c r="S135" s="20">
        <v>736.6400000000001</v>
      </c>
      <c r="T135" s="21">
        <v>110.33999999999999</v>
      </c>
      <c r="U135" s="21">
        <v>0.14000000000000001</v>
      </c>
      <c r="V135" s="8">
        <v>847.12000000000012</v>
      </c>
      <c r="W135" s="25">
        <v>1.238</v>
      </c>
      <c r="X135" s="25">
        <f t="shared" si="19"/>
        <v>262183.64</v>
      </c>
      <c r="Y135" s="1">
        <f t="shared" si="20"/>
        <v>3458.83</v>
      </c>
      <c r="Z135" s="1">
        <f t="shared" si="21"/>
        <v>3464.58</v>
      </c>
      <c r="AA135" s="1">
        <v>3463.88</v>
      </c>
      <c r="AB135" s="1">
        <f t="shared" si="16"/>
        <v>-5.0500000000001819</v>
      </c>
      <c r="AC135" s="29">
        <f t="shared" si="22"/>
        <v>-0.6999999999998181</v>
      </c>
      <c r="AD135" s="11">
        <f t="shared" si="23"/>
        <v>2322368.1985749998</v>
      </c>
    </row>
    <row r="136" spans="1:30" x14ac:dyDescent="0.3">
      <c r="A136" s="14">
        <v>45813.375</v>
      </c>
      <c r="B136" s="1">
        <v>1087.23</v>
      </c>
      <c r="C136" s="11">
        <v>3.2732000000000001</v>
      </c>
      <c r="D136" s="1">
        <v>679.76</v>
      </c>
      <c r="E136" s="11">
        <v>3.0760000000000001</v>
      </c>
      <c r="F136" s="1">
        <v>398.57</v>
      </c>
      <c r="G136" s="11">
        <v>3.53</v>
      </c>
      <c r="H136" s="1">
        <v>74.91</v>
      </c>
      <c r="I136" s="11">
        <v>2.0008599999999999</v>
      </c>
      <c r="J136" s="1">
        <v>200.68</v>
      </c>
      <c r="K136" s="11">
        <v>1.79487</v>
      </c>
      <c r="L136" s="1">
        <v>37.83</v>
      </c>
      <c r="M136" s="11">
        <v>6.2</v>
      </c>
      <c r="N136" s="1">
        <v>245.35</v>
      </c>
      <c r="O136" s="11">
        <v>2.8224999999999998</v>
      </c>
      <c r="P136" s="1">
        <f t="shared" si="17"/>
        <v>2724.3299999999995</v>
      </c>
      <c r="Q136" s="1">
        <v>2730.52</v>
      </c>
      <c r="R136" s="16">
        <f t="shared" si="18"/>
        <v>2123435.1013000007</v>
      </c>
      <c r="S136" s="20">
        <v>635.61</v>
      </c>
      <c r="T136" s="21">
        <v>108.2</v>
      </c>
      <c r="U136" s="21">
        <v>0.16</v>
      </c>
      <c r="V136" s="8">
        <v>743.97</v>
      </c>
      <c r="W136" s="25">
        <v>1.238</v>
      </c>
      <c r="X136" s="25">
        <f t="shared" si="19"/>
        <v>230258.715</v>
      </c>
      <c r="Y136" s="1">
        <f t="shared" si="20"/>
        <v>3468.2999999999993</v>
      </c>
      <c r="Z136" s="1">
        <f t="shared" si="21"/>
        <v>3474.49</v>
      </c>
      <c r="AA136" s="1">
        <v>3484.53</v>
      </c>
      <c r="AB136" s="1">
        <f t="shared" si="16"/>
        <v>-16.230000000000928</v>
      </c>
      <c r="AC136" s="29">
        <f t="shared" si="22"/>
        <v>10.040000000000418</v>
      </c>
      <c r="AD136" s="11">
        <f t="shared" si="23"/>
        <v>2353693.8163000005</v>
      </c>
    </row>
    <row r="137" spans="1:30" x14ac:dyDescent="0.3">
      <c r="A137" s="14">
        <v>45813.385416666664</v>
      </c>
      <c r="B137" s="1">
        <v>1086.1300000000001</v>
      </c>
      <c r="C137" s="11">
        <v>3.2732000000000001</v>
      </c>
      <c r="D137" s="1">
        <v>679.76</v>
      </c>
      <c r="E137" s="11">
        <v>3.0760000000000001</v>
      </c>
      <c r="F137" s="1">
        <v>398.57</v>
      </c>
      <c r="G137" s="11">
        <v>3.53</v>
      </c>
      <c r="H137" s="1">
        <v>73.88</v>
      </c>
      <c r="I137" s="11">
        <v>2.24037</v>
      </c>
      <c r="J137" s="1">
        <v>207.56</v>
      </c>
      <c r="K137" s="11">
        <v>1.9807999999999999</v>
      </c>
      <c r="L137" s="1">
        <v>39.18</v>
      </c>
      <c r="M137" s="11">
        <v>6.2</v>
      </c>
      <c r="N137" s="1">
        <v>270.72000000000003</v>
      </c>
      <c r="O137" s="11">
        <v>2.8224999999999998</v>
      </c>
      <c r="P137" s="1">
        <f t="shared" si="17"/>
        <v>2755.8</v>
      </c>
      <c r="Q137" s="1">
        <v>2854.15</v>
      </c>
      <c r="R137" s="16">
        <f t="shared" si="18"/>
        <v>2159172.7899000002</v>
      </c>
      <c r="S137" s="20">
        <v>538.4</v>
      </c>
      <c r="T137" s="21">
        <v>121.82999999999998</v>
      </c>
      <c r="U137" s="21">
        <v>0.84</v>
      </c>
      <c r="V137" s="8">
        <v>661.07</v>
      </c>
      <c r="W137" s="25">
        <v>1.238</v>
      </c>
      <c r="X137" s="25">
        <f t="shared" si="19"/>
        <v>204601.16500000001</v>
      </c>
      <c r="Y137" s="1">
        <f t="shared" si="20"/>
        <v>3416.8700000000003</v>
      </c>
      <c r="Z137" s="1">
        <f t="shared" si="21"/>
        <v>3515.2200000000003</v>
      </c>
      <c r="AA137" s="1">
        <v>3528.84</v>
      </c>
      <c r="AB137" s="1">
        <f t="shared" si="16"/>
        <v>-111.9699999999998</v>
      </c>
      <c r="AC137" s="29">
        <f t="shared" si="22"/>
        <v>13.619999999999891</v>
      </c>
      <c r="AD137" s="11">
        <f t="shared" si="23"/>
        <v>2363773.9549000002</v>
      </c>
    </row>
    <row r="138" spans="1:30" x14ac:dyDescent="0.3">
      <c r="A138" s="14">
        <v>45813.395833333336</v>
      </c>
      <c r="B138" s="1">
        <v>1086.1300000000001</v>
      </c>
      <c r="C138" s="11">
        <v>3.2732000000000001</v>
      </c>
      <c r="D138" s="1">
        <v>679.76</v>
      </c>
      <c r="E138" s="11">
        <v>3.0760000000000001</v>
      </c>
      <c r="F138" s="1">
        <v>398.57</v>
      </c>
      <c r="G138" s="11">
        <v>3.53</v>
      </c>
      <c r="H138" s="1">
        <v>73.88</v>
      </c>
      <c r="I138" s="11">
        <v>2.0126500000000003</v>
      </c>
      <c r="J138" s="1">
        <v>204.89</v>
      </c>
      <c r="K138" s="11">
        <v>1.67622</v>
      </c>
      <c r="L138" s="1">
        <v>39.46</v>
      </c>
      <c r="M138" s="11">
        <v>6.2</v>
      </c>
      <c r="N138" s="1">
        <v>294.42</v>
      </c>
      <c r="O138" s="11">
        <v>2.8224999999999998</v>
      </c>
      <c r="P138" s="1">
        <f t="shared" si="17"/>
        <v>2777.11</v>
      </c>
      <c r="Q138" s="1">
        <v>3012.57</v>
      </c>
      <c r="R138" s="16">
        <f t="shared" si="18"/>
        <v>2155200.5809500008</v>
      </c>
      <c r="S138" s="20">
        <v>427.45999999999992</v>
      </c>
      <c r="T138" s="21">
        <v>131.85</v>
      </c>
      <c r="U138" s="21">
        <v>1.85</v>
      </c>
      <c r="V138" s="8">
        <v>561.16</v>
      </c>
      <c r="W138" s="25">
        <v>1.238</v>
      </c>
      <c r="X138" s="25">
        <f t="shared" si="19"/>
        <v>173679.02</v>
      </c>
      <c r="Y138" s="1">
        <f t="shared" si="20"/>
        <v>3338.27</v>
      </c>
      <c r="Z138" s="1">
        <f t="shared" si="21"/>
        <v>3573.73</v>
      </c>
      <c r="AA138" s="1">
        <v>3575.45</v>
      </c>
      <c r="AB138" s="1">
        <f t="shared" si="16"/>
        <v>-237.17999999999984</v>
      </c>
      <c r="AC138" s="29">
        <f t="shared" si="22"/>
        <v>1.7199999999997999</v>
      </c>
      <c r="AD138" s="11">
        <f t="shared" si="23"/>
        <v>2328879.6009500008</v>
      </c>
    </row>
    <row r="139" spans="1:30" x14ac:dyDescent="0.3">
      <c r="A139" s="14">
        <v>45813.40625</v>
      </c>
      <c r="B139" s="1">
        <v>1087.45</v>
      </c>
      <c r="C139" s="11">
        <v>3.2732000000000001</v>
      </c>
      <c r="D139" s="1">
        <v>679.76</v>
      </c>
      <c r="E139" s="11">
        <v>3.0760000000000001</v>
      </c>
      <c r="F139" s="1">
        <v>398.57</v>
      </c>
      <c r="G139" s="11">
        <v>3.53</v>
      </c>
      <c r="H139" s="1">
        <v>72.98</v>
      </c>
      <c r="I139" s="11">
        <v>2.0999699999999999</v>
      </c>
      <c r="J139" s="1">
        <v>207.35</v>
      </c>
      <c r="K139" s="11">
        <v>1.5926900000000002</v>
      </c>
      <c r="L139" s="1">
        <v>39.39</v>
      </c>
      <c r="M139" s="11">
        <v>6.2</v>
      </c>
      <c r="N139" s="1">
        <v>316</v>
      </c>
      <c r="O139" s="11">
        <v>2.8224999999999998</v>
      </c>
      <c r="P139" s="1">
        <f t="shared" si="17"/>
        <v>2801.5</v>
      </c>
      <c r="Q139" s="1">
        <v>2834.31</v>
      </c>
      <c r="R139" s="16">
        <f t="shared" si="18"/>
        <v>2169240.8205250003</v>
      </c>
      <c r="S139" s="20">
        <v>639.9</v>
      </c>
      <c r="T139" s="21">
        <v>149.84999999999997</v>
      </c>
      <c r="U139" s="21">
        <v>1.73</v>
      </c>
      <c r="V139" s="8">
        <v>791.48</v>
      </c>
      <c r="W139" s="25">
        <v>1.238</v>
      </c>
      <c r="X139" s="25">
        <f t="shared" si="19"/>
        <v>244963.06000000003</v>
      </c>
      <c r="Y139" s="1">
        <f t="shared" si="20"/>
        <v>3592.98</v>
      </c>
      <c r="Z139" s="1">
        <f t="shared" si="21"/>
        <v>3625.79</v>
      </c>
      <c r="AA139" s="1">
        <v>3615.55</v>
      </c>
      <c r="AB139" s="1">
        <f t="shared" si="16"/>
        <v>-22.570000000000164</v>
      </c>
      <c r="AC139" s="29">
        <f t="shared" si="22"/>
        <v>-10.239999999999782</v>
      </c>
      <c r="AD139" s="11">
        <f t="shared" si="23"/>
        <v>2414203.8805250004</v>
      </c>
    </row>
    <row r="140" spans="1:30" x14ac:dyDescent="0.3">
      <c r="A140" s="14">
        <v>45813.416666666664</v>
      </c>
      <c r="B140" s="1">
        <v>1087.6400000000001</v>
      </c>
      <c r="C140" s="11">
        <v>3.2732000000000001</v>
      </c>
      <c r="D140" s="1">
        <v>679.76</v>
      </c>
      <c r="E140" s="11">
        <v>3.0760000000000001</v>
      </c>
      <c r="F140" s="1">
        <v>398.57</v>
      </c>
      <c r="G140" s="11">
        <v>3.53</v>
      </c>
      <c r="H140" s="1">
        <v>31.26</v>
      </c>
      <c r="I140" s="11">
        <v>2.00014</v>
      </c>
      <c r="J140" s="1">
        <v>326.52999999999997</v>
      </c>
      <c r="K140" s="11">
        <v>1.6430100000000001</v>
      </c>
      <c r="L140" s="1">
        <v>80.75</v>
      </c>
      <c r="M140" s="11">
        <v>6.2</v>
      </c>
      <c r="N140" s="1">
        <v>329.78</v>
      </c>
      <c r="O140" s="11">
        <v>2.8224999999999998</v>
      </c>
      <c r="P140" s="1">
        <f t="shared" si="17"/>
        <v>2934.29</v>
      </c>
      <c r="Q140" s="1">
        <v>2938.02</v>
      </c>
      <c r="R140" s="16">
        <f t="shared" si="18"/>
        <v>2272106.8974250001</v>
      </c>
      <c r="S140" s="20">
        <v>540.83000000000004</v>
      </c>
      <c r="T140" s="21">
        <v>140.19999999999999</v>
      </c>
      <c r="U140" s="21">
        <v>2.12</v>
      </c>
      <c r="V140" s="8">
        <v>683.15</v>
      </c>
      <c r="W140" s="25">
        <v>1.238</v>
      </c>
      <c r="X140" s="25">
        <f t="shared" si="19"/>
        <v>211434.92499999999</v>
      </c>
      <c r="Y140" s="1">
        <f t="shared" si="20"/>
        <v>3617.44</v>
      </c>
      <c r="Z140" s="1">
        <f t="shared" si="21"/>
        <v>3621.17</v>
      </c>
      <c r="AA140" s="1">
        <v>3630.08</v>
      </c>
      <c r="AB140" s="1">
        <f t="shared" si="16"/>
        <v>-12.639999999999873</v>
      </c>
      <c r="AC140" s="29">
        <f t="shared" si="22"/>
        <v>8.9099999999998545</v>
      </c>
      <c r="AD140" s="11">
        <f t="shared" si="23"/>
        <v>2483541.8224249999</v>
      </c>
    </row>
    <row r="141" spans="1:30" x14ac:dyDescent="0.3">
      <c r="A141" s="14">
        <v>45813.427083333336</v>
      </c>
      <c r="B141" s="1">
        <v>1089.68</v>
      </c>
      <c r="C141" s="11">
        <v>3.2732000000000001</v>
      </c>
      <c r="D141" s="1">
        <v>679.76</v>
      </c>
      <c r="E141" s="11">
        <v>3.0760000000000001</v>
      </c>
      <c r="F141" s="1">
        <v>398.57</v>
      </c>
      <c r="G141" s="11">
        <v>3.53</v>
      </c>
      <c r="H141" s="1">
        <v>27.64</v>
      </c>
      <c r="I141" s="11">
        <v>2.0001799999999998</v>
      </c>
      <c r="J141" s="1">
        <v>351.8</v>
      </c>
      <c r="K141" s="11">
        <v>1.5983900000000002</v>
      </c>
      <c r="L141" s="1">
        <v>83.99</v>
      </c>
      <c r="M141" s="11">
        <v>6.2</v>
      </c>
      <c r="N141" s="1">
        <v>341.95</v>
      </c>
      <c r="O141" s="11">
        <v>2.8224999999999998</v>
      </c>
      <c r="P141" s="1">
        <f t="shared" si="17"/>
        <v>2973.39</v>
      </c>
      <c r="Q141" s="1">
        <v>2945.77</v>
      </c>
      <c r="R141" s="16">
        <f t="shared" si="18"/>
        <v>2292031.22205</v>
      </c>
      <c r="S141" s="20">
        <v>530.56999999999994</v>
      </c>
      <c r="T141" s="21">
        <v>151.32000000000002</v>
      </c>
      <c r="U141" s="21">
        <v>2.97</v>
      </c>
      <c r="V141" s="8">
        <v>684.86</v>
      </c>
      <c r="W141" s="25">
        <v>1.238</v>
      </c>
      <c r="X141" s="25">
        <f t="shared" si="19"/>
        <v>211964.16999999998</v>
      </c>
      <c r="Y141" s="1">
        <f t="shared" si="20"/>
        <v>3658.25</v>
      </c>
      <c r="Z141" s="1">
        <f t="shared" si="21"/>
        <v>3630.63</v>
      </c>
      <c r="AA141" s="1">
        <v>3628.12</v>
      </c>
      <c r="AB141" s="1">
        <f t="shared" si="16"/>
        <v>30.130000000000109</v>
      </c>
      <c r="AC141" s="29">
        <f t="shared" si="22"/>
        <v>-2.5100000000002183</v>
      </c>
      <c r="AD141" s="11">
        <f t="shared" si="23"/>
        <v>2503995.3920499999</v>
      </c>
    </row>
    <row r="142" spans="1:30" x14ac:dyDescent="0.3">
      <c r="A142" s="14">
        <v>45813.4375</v>
      </c>
      <c r="B142" s="1">
        <v>1093.25</v>
      </c>
      <c r="C142" s="11">
        <v>3.2732000000000001</v>
      </c>
      <c r="D142" s="1">
        <v>679.76</v>
      </c>
      <c r="E142" s="11">
        <v>3.0760000000000001</v>
      </c>
      <c r="F142" s="1">
        <v>398.57</v>
      </c>
      <c r="G142" s="11">
        <v>3.53</v>
      </c>
      <c r="H142" s="1">
        <v>27.64</v>
      </c>
      <c r="I142" s="11">
        <v>1.99997</v>
      </c>
      <c r="J142" s="1">
        <v>354.89</v>
      </c>
      <c r="K142" s="11">
        <v>1.5890299999999999</v>
      </c>
      <c r="L142" s="1">
        <v>84.42</v>
      </c>
      <c r="M142" s="11">
        <v>6.2</v>
      </c>
      <c r="N142" s="1">
        <v>352.18</v>
      </c>
      <c r="O142" s="11">
        <v>2.8224999999999998</v>
      </c>
      <c r="P142" s="1">
        <f t="shared" si="17"/>
        <v>2990.7099999999996</v>
      </c>
      <c r="Q142" s="1">
        <v>3022.35</v>
      </c>
      <c r="R142" s="16">
        <f t="shared" si="18"/>
        <v>2303240.4593749996</v>
      </c>
      <c r="S142" s="20">
        <v>473.32000000000005</v>
      </c>
      <c r="T142" s="21">
        <v>121.33</v>
      </c>
      <c r="U142" s="21">
        <v>3.64</v>
      </c>
      <c r="V142" s="8">
        <v>598.29000000000008</v>
      </c>
      <c r="W142" s="25">
        <v>1.238</v>
      </c>
      <c r="X142" s="25">
        <f t="shared" si="19"/>
        <v>185170.755</v>
      </c>
      <c r="Y142" s="1">
        <f t="shared" si="20"/>
        <v>3588.9999999999995</v>
      </c>
      <c r="Z142" s="1">
        <f t="shared" si="21"/>
        <v>3620.64</v>
      </c>
      <c r="AA142" s="1">
        <v>3617.96</v>
      </c>
      <c r="AB142" s="1">
        <f t="shared" si="16"/>
        <v>-28.960000000000491</v>
      </c>
      <c r="AC142" s="29">
        <f t="shared" si="22"/>
        <v>-2.6799999999998363</v>
      </c>
      <c r="AD142" s="11">
        <f t="shared" si="23"/>
        <v>2488411.2143749995</v>
      </c>
    </row>
    <row r="143" spans="1:30" x14ac:dyDescent="0.3">
      <c r="A143" s="14">
        <v>45813.447916666664</v>
      </c>
      <c r="B143" s="1">
        <v>1093.53</v>
      </c>
      <c r="C143" s="11">
        <v>3.2732000000000001</v>
      </c>
      <c r="D143" s="1">
        <v>679.76</v>
      </c>
      <c r="E143" s="11">
        <v>3.0760000000000001</v>
      </c>
      <c r="F143" s="1">
        <v>398.57</v>
      </c>
      <c r="G143" s="11">
        <v>3.53</v>
      </c>
      <c r="H143" s="1">
        <v>27.19</v>
      </c>
      <c r="I143" s="11">
        <v>1.9998900000000002</v>
      </c>
      <c r="J143" s="1">
        <v>354.16</v>
      </c>
      <c r="K143" s="11">
        <v>1.4857499999999999</v>
      </c>
      <c r="L143" s="1">
        <v>84.11</v>
      </c>
      <c r="M143" s="11">
        <v>6.2</v>
      </c>
      <c r="N143" s="1">
        <v>360.23</v>
      </c>
      <c r="O143" s="11">
        <v>2.8224999999999998</v>
      </c>
      <c r="P143" s="1">
        <f t="shared" si="17"/>
        <v>2997.55</v>
      </c>
      <c r="Q143" s="1">
        <v>3021.42</v>
      </c>
      <c r="R143" s="16">
        <f t="shared" si="18"/>
        <v>2299009.4150249995</v>
      </c>
      <c r="S143" s="20">
        <v>464.58</v>
      </c>
      <c r="T143" s="21">
        <v>157.19</v>
      </c>
      <c r="U143" s="21">
        <v>3.9799999999999995</v>
      </c>
      <c r="V143" s="8">
        <v>625.75</v>
      </c>
      <c r="W143" s="25">
        <v>1.238</v>
      </c>
      <c r="X143" s="25">
        <f t="shared" si="19"/>
        <v>193669.625</v>
      </c>
      <c r="Y143" s="1">
        <f t="shared" si="20"/>
        <v>3623.3</v>
      </c>
      <c r="Z143" s="1">
        <f t="shared" si="21"/>
        <v>3647.17</v>
      </c>
      <c r="AA143" s="1">
        <v>3644.64</v>
      </c>
      <c r="AB143" s="1">
        <f t="shared" si="16"/>
        <v>-21.339999999999691</v>
      </c>
      <c r="AC143" s="29">
        <f t="shared" si="22"/>
        <v>-2.5300000000002001</v>
      </c>
      <c r="AD143" s="11">
        <f t="shared" si="23"/>
        <v>2492679.0400249995</v>
      </c>
    </row>
    <row r="144" spans="1:30" x14ac:dyDescent="0.3">
      <c r="A144" s="14">
        <v>45813.458333333336</v>
      </c>
      <c r="B144" s="1">
        <v>1093.53</v>
      </c>
      <c r="C144" s="11">
        <v>3.2732000000000001</v>
      </c>
      <c r="D144" s="1">
        <v>679.76</v>
      </c>
      <c r="E144" s="11">
        <v>3.0760000000000001</v>
      </c>
      <c r="F144" s="1">
        <v>398.57</v>
      </c>
      <c r="G144" s="11">
        <v>3.53</v>
      </c>
      <c r="H144" s="1">
        <v>28.04</v>
      </c>
      <c r="I144" s="11">
        <v>1.99935</v>
      </c>
      <c r="J144" s="1">
        <v>276.05</v>
      </c>
      <c r="K144" s="11">
        <v>1.6741600000000001</v>
      </c>
      <c r="L144" s="1">
        <v>84.62</v>
      </c>
      <c r="M144" s="11">
        <v>6.2</v>
      </c>
      <c r="N144" s="1">
        <v>365.61</v>
      </c>
      <c r="O144" s="11">
        <v>2.8224999999999998</v>
      </c>
      <c r="P144" s="1">
        <f t="shared" si="17"/>
        <v>2926.1800000000003</v>
      </c>
      <c r="Q144" s="1">
        <v>3042.61</v>
      </c>
      <c r="R144" s="16">
        <f t="shared" si="18"/>
        <v>2288007.0307499999</v>
      </c>
      <c r="S144" s="20">
        <v>423.64</v>
      </c>
      <c r="T144" s="21">
        <v>181.96</v>
      </c>
      <c r="U144" s="21">
        <v>4.82</v>
      </c>
      <c r="V144" s="8">
        <v>610.42000000000007</v>
      </c>
      <c r="W144" s="25">
        <v>1.238</v>
      </c>
      <c r="X144" s="25">
        <f t="shared" si="19"/>
        <v>188924.99000000002</v>
      </c>
      <c r="Y144" s="1">
        <f t="shared" si="20"/>
        <v>3536.6000000000004</v>
      </c>
      <c r="Z144" s="1">
        <f t="shared" si="21"/>
        <v>3653.03</v>
      </c>
      <c r="AA144" s="1">
        <v>3652.13</v>
      </c>
      <c r="AB144" s="1">
        <f t="shared" si="16"/>
        <v>-115.52999999999975</v>
      </c>
      <c r="AC144" s="29">
        <f t="shared" si="22"/>
        <v>-0.90000000000009095</v>
      </c>
      <c r="AD144" s="11">
        <f t="shared" si="23"/>
        <v>2476932.0207500001</v>
      </c>
    </row>
    <row r="145" spans="1:30" x14ac:dyDescent="0.3">
      <c r="A145" s="14">
        <v>45813.46875</v>
      </c>
      <c r="B145" s="1">
        <v>1093.53</v>
      </c>
      <c r="C145" s="11">
        <v>3.2732000000000001</v>
      </c>
      <c r="D145" s="1">
        <v>679.76</v>
      </c>
      <c r="E145" s="11">
        <v>3.0760000000000001</v>
      </c>
      <c r="F145" s="1">
        <v>398.57</v>
      </c>
      <c r="G145" s="11">
        <v>3.53</v>
      </c>
      <c r="H145" s="1">
        <v>28.12</v>
      </c>
      <c r="I145" s="11">
        <v>1.8899000000000001</v>
      </c>
      <c r="J145" s="1">
        <v>268.81</v>
      </c>
      <c r="K145" s="11">
        <v>1.6749400000000001</v>
      </c>
      <c r="L145" s="1">
        <v>84.74</v>
      </c>
      <c r="M145" s="11">
        <v>6.2</v>
      </c>
      <c r="N145" s="1">
        <v>369.79</v>
      </c>
      <c r="O145" s="11">
        <v>2.8224999999999998</v>
      </c>
      <c r="P145" s="1">
        <f t="shared" si="17"/>
        <v>2923.3199999999997</v>
      </c>
      <c r="Q145" s="1">
        <v>3051.92</v>
      </c>
      <c r="R145" s="16">
        <f t="shared" si="18"/>
        <v>2287435.2851</v>
      </c>
      <c r="S145" s="20">
        <v>415.28</v>
      </c>
      <c r="T145" s="21">
        <v>179.07</v>
      </c>
      <c r="U145" s="21">
        <v>5.42</v>
      </c>
      <c r="V145" s="8">
        <v>599.76999999999987</v>
      </c>
      <c r="W145" s="25">
        <v>1.238</v>
      </c>
      <c r="X145" s="25">
        <f t="shared" si="19"/>
        <v>185628.81499999994</v>
      </c>
      <c r="Y145" s="1">
        <f t="shared" si="20"/>
        <v>3523.0899999999997</v>
      </c>
      <c r="Z145" s="1">
        <f t="shared" si="21"/>
        <v>3651.69</v>
      </c>
      <c r="AA145" s="1">
        <v>3653.66</v>
      </c>
      <c r="AB145" s="1">
        <f t="shared" si="16"/>
        <v>-130.57000000000016</v>
      </c>
      <c r="AC145" s="29">
        <f t="shared" si="22"/>
        <v>1.9699999999997999</v>
      </c>
      <c r="AD145" s="11">
        <f t="shared" si="23"/>
        <v>2473064.1000999999</v>
      </c>
    </row>
    <row r="146" spans="1:30" x14ac:dyDescent="0.3">
      <c r="A146" s="14">
        <v>45813.479166666664</v>
      </c>
      <c r="B146" s="1">
        <v>1093.53</v>
      </c>
      <c r="C146" s="11">
        <v>3.2732000000000001</v>
      </c>
      <c r="D146" s="1">
        <v>679.76</v>
      </c>
      <c r="E146" s="11">
        <v>3.0760000000000001</v>
      </c>
      <c r="F146" s="1">
        <v>398.57</v>
      </c>
      <c r="G146" s="11">
        <v>3.53</v>
      </c>
      <c r="H146" s="1">
        <v>28.12</v>
      </c>
      <c r="I146" s="11">
        <v>1.9662500000000001</v>
      </c>
      <c r="J146" s="1">
        <v>302.98</v>
      </c>
      <c r="K146" s="11">
        <v>1.3498800000000002</v>
      </c>
      <c r="L146" s="1">
        <v>84.67</v>
      </c>
      <c r="M146" s="11">
        <v>6.2</v>
      </c>
      <c r="N146" s="1">
        <v>373.04</v>
      </c>
      <c r="O146" s="11">
        <v>2.8224999999999998</v>
      </c>
      <c r="P146" s="1">
        <f t="shared" si="17"/>
        <v>2960.67</v>
      </c>
      <c r="Q146" s="1">
        <v>3044.69</v>
      </c>
      <c r="R146" s="16">
        <f t="shared" si="18"/>
        <v>2279843.3120999997</v>
      </c>
      <c r="S146" s="20">
        <v>430.15999999999997</v>
      </c>
      <c r="T146" s="21">
        <v>188.43</v>
      </c>
      <c r="U146" s="21">
        <v>6.2</v>
      </c>
      <c r="V146" s="8">
        <v>624.79</v>
      </c>
      <c r="W146" s="25">
        <v>1.238</v>
      </c>
      <c r="X146" s="25">
        <f t="shared" si="19"/>
        <v>193372.50499999998</v>
      </c>
      <c r="Y146" s="1">
        <f t="shared" si="20"/>
        <v>3585.46</v>
      </c>
      <c r="Z146" s="1">
        <f t="shared" si="21"/>
        <v>3669.48</v>
      </c>
      <c r="AA146" s="1">
        <v>3672.83</v>
      </c>
      <c r="AB146" s="1">
        <f t="shared" si="16"/>
        <v>-87.369999999999891</v>
      </c>
      <c r="AC146" s="29">
        <f t="shared" si="22"/>
        <v>3.3499999999999091</v>
      </c>
      <c r="AD146" s="11">
        <f t="shared" si="23"/>
        <v>2473215.8170999996</v>
      </c>
    </row>
    <row r="147" spans="1:30" x14ac:dyDescent="0.3">
      <c r="A147" s="14">
        <v>45813.489583333336</v>
      </c>
      <c r="B147" s="1">
        <v>1093.53</v>
      </c>
      <c r="C147" s="11">
        <v>3.2732000000000001</v>
      </c>
      <c r="D147" s="1">
        <v>679.76</v>
      </c>
      <c r="E147" s="11">
        <v>3.0760000000000001</v>
      </c>
      <c r="F147" s="1">
        <v>398.57</v>
      </c>
      <c r="G147" s="11">
        <v>3.53</v>
      </c>
      <c r="H147" s="1">
        <v>28.12</v>
      </c>
      <c r="I147" s="11">
        <v>1.9667000000000001</v>
      </c>
      <c r="J147" s="1">
        <v>305.82</v>
      </c>
      <c r="K147" s="11">
        <v>1.3497000000000001</v>
      </c>
      <c r="L147" s="1">
        <v>84.93</v>
      </c>
      <c r="M147" s="11">
        <v>6.2</v>
      </c>
      <c r="N147" s="1">
        <v>374.97</v>
      </c>
      <c r="O147" s="11">
        <v>2.8224999999999998</v>
      </c>
      <c r="P147" s="1">
        <f t="shared" si="17"/>
        <v>2965.7</v>
      </c>
      <c r="Q147" s="1">
        <v>2985.23</v>
      </c>
      <c r="R147" s="16">
        <f t="shared" si="18"/>
        <v>2282555.9847499998</v>
      </c>
      <c r="S147" s="20">
        <v>536.34999999999991</v>
      </c>
      <c r="T147" s="21">
        <v>180.65</v>
      </c>
      <c r="U147" s="21">
        <v>7.2900000000000009</v>
      </c>
      <c r="V147" s="8">
        <v>724.28999999999985</v>
      </c>
      <c r="W147" s="25">
        <v>1.238</v>
      </c>
      <c r="X147" s="25">
        <f t="shared" si="19"/>
        <v>224167.75499999995</v>
      </c>
      <c r="Y147" s="1">
        <f t="shared" si="20"/>
        <v>3689.99</v>
      </c>
      <c r="Z147" s="1">
        <f t="shared" si="21"/>
        <v>3709.52</v>
      </c>
      <c r="AA147" s="1">
        <v>3710.97</v>
      </c>
      <c r="AB147" s="1">
        <f t="shared" si="16"/>
        <v>-20.980000000000018</v>
      </c>
      <c r="AC147" s="29">
        <f t="shared" si="22"/>
        <v>1.4499999999998181</v>
      </c>
      <c r="AD147" s="11">
        <f t="shared" si="23"/>
        <v>2506723.7397499997</v>
      </c>
    </row>
    <row r="148" spans="1:30" x14ac:dyDescent="0.3">
      <c r="A148" s="14">
        <v>45813.5</v>
      </c>
      <c r="B148" s="1">
        <v>1093.53</v>
      </c>
      <c r="C148" s="11">
        <v>3.2732000000000001</v>
      </c>
      <c r="D148" s="1">
        <v>679.76</v>
      </c>
      <c r="E148" s="11">
        <v>3.0760000000000001</v>
      </c>
      <c r="F148" s="1">
        <v>398.57</v>
      </c>
      <c r="G148" s="11">
        <v>3.53</v>
      </c>
      <c r="H148" s="1">
        <v>35.75</v>
      </c>
      <c r="I148" s="11">
        <v>1.98085</v>
      </c>
      <c r="J148" s="1">
        <v>288.08999999999997</v>
      </c>
      <c r="K148" s="11">
        <v>1.3495599999999999</v>
      </c>
      <c r="L148" s="1">
        <v>75.81</v>
      </c>
      <c r="M148" s="11">
        <v>6.2</v>
      </c>
      <c r="N148" s="1">
        <v>375.88</v>
      </c>
      <c r="O148" s="11">
        <v>2.8224999999999998</v>
      </c>
      <c r="P148" s="1">
        <f t="shared" si="17"/>
        <v>2947.3900000000003</v>
      </c>
      <c r="Q148" s="1">
        <v>3081.95</v>
      </c>
      <c r="R148" s="16">
        <f t="shared" si="18"/>
        <v>2266947.4209749997</v>
      </c>
      <c r="S148" s="20">
        <v>427.11</v>
      </c>
      <c r="T148" s="21">
        <v>193.16000000000003</v>
      </c>
      <c r="U148" s="21">
        <v>6.29</v>
      </c>
      <c r="V148" s="8">
        <v>626.55999999999995</v>
      </c>
      <c r="W148" s="25">
        <v>1.238</v>
      </c>
      <c r="X148" s="25">
        <f t="shared" si="19"/>
        <v>193920.31999999998</v>
      </c>
      <c r="Y148" s="1">
        <f t="shared" si="20"/>
        <v>3573.9500000000003</v>
      </c>
      <c r="Z148" s="1">
        <f t="shared" si="21"/>
        <v>3708.5099999999998</v>
      </c>
      <c r="AA148" s="1">
        <v>3718.36</v>
      </c>
      <c r="AB148" s="1">
        <f t="shared" si="16"/>
        <v>-144.40999999999985</v>
      </c>
      <c r="AC148" s="29">
        <f t="shared" si="22"/>
        <v>9.8500000000003638</v>
      </c>
      <c r="AD148" s="11">
        <f t="shared" si="23"/>
        <v>2460867.7409749995</v>
      </c>
    </row>
    <row r="149" spans="1:30" x14ac:dyDescent="0.3">
      <c r="A149" s="14">
        <v>45813.510416666664</v>
      </c>
      <c r="B149" s="1">
        <v>1093.53</v>
      </c>
      <c r="C149" s="11">
        <v>3.2732000000000001</v>
      </c>
      <c r="D149" s="1">
        <v>679.76</v>
      </c>
      <c r="E149" s="11">
        <v>3.0760000000000001</v>
      </c>
      <c r="F149" s="1">
        <v>398.57</v>
      </c>
      <c r="G149" s="11">
        <v>3.53</v>
      </c>
      <c r="H149" s="1">
        <v>38.58</v>
      </c>
      <c r="I149" s="11">
        <v>1.99501</v>
      </c>
      <c r="J149" s="1">
        <v>304.49</v>
      </c>
      <c r="K149" s="11">
        <v>1.3498299999999999</v>
      </c>
      <c r="L149" s="1">
        <v>72.75</v>
      </c>
      <c r="M149" s="11">
        <v>6.2</v>
      </c>
      <c r="N149" s="1">
        <v>376.17</v>
      </c>
      <c r="O149" s="11">
        <v>2.8224999999999998</v>
      </c>
      <c r="P149" s="1">
        <f t="shared" si="17"/>
        <v>2963.8500000000004</v>
      </c>
      <c r="Q149" s="1">
        <v>2986.9</v>
      </c>
      <c r="R149" s="16">
        <f t="shared" si="18"/>
        <v>2269500.8258750001</v>
      </c>
      <c r="S149" s="20">
        <v>545.01</v>
      </c>
      <c r="T149" s="21">
        <v>194.99</v>
      </c>
      <c r="U149" s="21">
        <v>7.1400000000000006</v>
      </c>
      <c r="V149" s="8">
        <v>747.14</v>
      </c>
      <c r="W149" s="25">
        <v>1.238</v>
      </c>
      <c r="X149" s="25">
        <f t="shared" si="19"/>
        <v>231239.83</v>
      </c>
      <c r="Y149" s="1">
        <f t="shared" si="20"/>
        <v>3710.9900000000002</v>
      </c>
      <c r="Z149" s="1">
        <f t="shared" si="21"/>
        <v>3734.04</v>
      </c>
      <c r="AA149" s="1">
        <v>3735.11</v>
      </c>
      <c r="AB149" s="1">
        <f t="shared" si="16"/>
        <v>-24.119999999999891</v>
      </c>
      <c r="AC149" s="29">
        <f t="shared" si="22"/>
        <v>1.0700000000001637</v>
      </c>
      <c r="AD149" s="11">
        <f t="shared" si="23"/>
        <v>2500740.6558750002</v>
      </c>
    </row>
    <row r="150" spans="1:30" x14ac:dyDescent="0.3">
      <c r="A150" s="14">
        <v>45813.520833333336</v>
      </c>
      <c r="B150" s="1">
        <v>1092.9100000000001</v>
      </c>
      <c r="C150" s="11">
        <v>3.2732000000000001</v>
      </c>
      <c r="D150" s="1">
        <v>679.76</v>
      </c>
      <c r="E150" s="11">
        <v>3.0760000000000001</v>
      </c>
      <c r="F150" s="1">
        <v>398.57</v>
      </c>
      <c r="G150" s="11">
        <v>3.53</v>
      </c>
      <c r="H150" s="1">
        <v>42.75</v>
      </c>
      <c r="I150" s="11">
        <v>1.99902</v>
      </c>
      <c r="J150" s="1">
        <v>312.06</v>
      </c>
      <c r="K150" s="11">
        <v>1.41422</v>
      </c>
      <c r="L150" s="1">
        <v>68.489999999999995</v>
      </c>
      <c r="M150" s="11">
        <v>6.2</v>
      </c>
      <c r="N150" s="1">
        <v>376.25</v>
      </c>
      <c r="O150" s="11">
        <v>2.8224999999999998</v>
      </c>
      <c r="P150" s="1">
        <f t="shared" si="17"/>
        <v>2970.79</v>
      </c>
      <c r="Q150" s="1">
        <v>2995</v>
      </c>
      <c r="R150" s="16">
        <f t="shared" si="18"/>
        <v>2272147.5238000001</v>
      </c>
      <c r="S150" s="20">
        <v>556.51</v>
      </c>
      <c r="T150" s="21">
        <v>194.52999999999997</v>
      </c>
      <c r="U150" s="21">
        <v>7.6000000000000005</v>
      </c>
      <c r="V150" s="8">
        <v>758.64</v>
      </c>
      <c r="W150" s="25">
        <v>1.238</v>
      </c>
      <c r="X150" s="25">
        <f t="shared" si="19"/>
        <v>234799.08000000002</v>
      </c>
      <c r="Y150" s="1">
        <f t="shared" si="20"/>
        <v>3729.43</v>
      </c>
      <c r="Z150" s="1">
        <f t="shared" si="21"/>
        <v>3753.64</v>
      </c>
      <c r="AA150" s="1">
        <v>3768.31</v>
      </c>
      <c r="AB150" s="1">
        <f t="shared" si="16"/>
        <v>-38.880000000000109</v>
      </c>
      <c r="AC150" s="29">
        <f t="shared" si="22"/>
        <v>14.670000000000073</v>
      </c>
      <c r="AD150" s="11">
        <f t="shared" si="23"/>
        <v>2506946.6038000002</v>
      </c>
    </row>
    <row r="151" spans="1:30" x14ac:dyDescent="0.3">
      <c r="A151" s="14">
        <v>45813.53125</v>
      </c>
      <c r="B151" s="1">
        <v>1090.17</v>
      </c>
      <c r="C151" s="11">
        <v>3.2732000000000001</v>
      </c>
      <c r="D151" s="1">
        <v>679.76</v>
      </c>
      <c r="E151" s="11">
        <v>3.0760000000000001</v>
      </c>
      <c r="F151" s="1">
        <v>398.57</v>
      </c>
      <c r="G151" s="11">
        <v>3.53</v>
      </c>
      <c r="H151" s="1">
        <v>43.08</v>
      </c>
      <c r="I151" s="11">
        <v>1.9990899999999998</v>
      </c>
      <c r="J151" s="1">
        <v>333.23</v>
      </c>
      <c r="K151" s="11">
        <v>1.34996</v>
      </c>
      <c r="L151" s="1">
        <v>67.44</v>
      </c>
      <c r="M151" s="11">
        <v>6.2</v>
      </c>
      <c r="N151" s="1">
        <v>376.19</v>
      </c>
      <c r="O151" s="11">
        <v>2.8224999999999998</v>
      </c>
      <c r="P151" s="1">
        <f t="shared" si="17"/>
        <v>2988.44</v>
      </c>
      <c r="Q151" s="1">
        <v>3160.04</v>
      </c>
      <c r="R151" s="16">
        <f t="shared" si="18"/>
        <v>2270532.6367500001</v>
      </c>
      <c r="S151" s="20">
        <v>431.48999999999995</v>
      </c>
      <c r="T151" s="21">
        <v>182.06000000000003</v>
      </c>
      <c r="U151" s="21">
        <v>8.61</v>
      </c>
      <c r="V151" s="8">
        <v>622.16</v>
      </c>
      <c r="W151" s="25">
        <v>1.238</v>
      </c>
      <c r="X151" s="25">
        <f t="shared" si="19"/>
        <v>192558.52</v>
      </c>
      <c r="Y151" s="1">
        <f t="shared" si="20"/>
        <v>3610.6</v>
      </c>
      <c r="Z151" s="1">
        <f t="shared" si="21"/>
        <v>3782.2</v>
      </c>
      <c r="AA151" s="1">
        <v>3798.31</v>
      </c>
      <c r="AB151" s="1">
        <f t="shared" si="16"/>
        <v>-187.71000000000004</v>
      </c>
      <c r="AC151" s="29">
        <f t="shared" si="22"/>
        <v>16.110000000000127</v>
      </c>
      <c r="AD151" s="11">
        <f t="shared" si="23"/>
        <v>2463091.1567500001</v>
      </c>
    </row>
    <row r="152" spans="1:30" x14ac:dyDescent="0.3">
      <c r="A152" s="14">
        <v>45813.541666666664</v>
      </c>
      <c r="B152" s="1">
        <v>1089.95</v>
      </c>
      <c r="C152" s="11">
        <v>3.2732000000000001</v>
      </c>
      <c r="D152" s="1">
        <v>679.76</v>
      </c>
      <c r="E152" s="11">
        <v>3.0760000000000001</v>
      </c>
      <c r="F152" s="1">
        <v>398.57</v>
      </c>
      <c r="G152" s="11">
        <v>3.53</v>
      </c>
      <c r="H152" s="1">
        <v>41.92</v>
      </c>
      <c r="I152" s="11">
        <v>1.9958199999999999</v>
      </c>
      <c r="J152" s="1">
        <v>43.72</v>
      </c>
      <c r="K152" s="11">
        <v>0.99990000000000001</v>
      </c>
      <c r="L152" s="1">
        <v>68.27</v>
      </c>
      <c r="M152" s="11">
        <v>6.2</v>
      </c>
      <c r="N152" s="1">
        <v>375.98</v>
      </c>
      <c r="O152" s="11">
        <v>2.8224999999999998</v>
      </c>
      <c r="P152" s="1">
        <f t="shared" si="17"/>
        <v>2698.17</v>
      </c>
      <c r="Q152" s="1">
        <v>3153.3</v>
      </c>
      <c r="R152" s="16">
        <f t="shared" si="18"/>
        <v>2169344.0381</v>
      </c>
      <c r="S152" s="20">
        <v>425.5</v>
      </c>
      <c r="T152" s="21">
        <v>184.5</v>
      </c>
      <c r="U152" s="21">
        <v>7.78</v>
      </c>
      <c r="V152" s="8">
        <v>617.78</v>
      </c>
      <c r="W152" s="25">
        <v>1.238</v>
      </c>
      <c r="X152" s="25">
        <f t="shared" si="19"/>
        <v>191202.91</v>
      </c>
      <c r="Y152" s="1">
        <f t="shared" si="20"/>
        <v>3315.95</v>
      </c>
      <c r="Z152" s="1">
        <f t="shared" si="21"/>
        <v>3771.08</v>
      </c>
      <c r="AA152" s="1">
        <v>3773.2</v>
      </c>
      <c r="AB152" s="1">
        <f t="shared" si="16"/>
        <v>-457.25</v>
      </c>
      <c r="AC152" s="29">
        <f t="shared" si="22"/>
        <v>2.1199999999998909</v>
      </c>
      <c r="AD152" s="11">
        <f t="shared" si="23"/>
        <v>2360546.9481000002</v>
      </c>
    </row>
    <row r="153" spans="1:30" x14ac:dyDescent="0.3">
      <c r="A153" s="14">
        <v>45813.552083333336</v>
      </c>
      <c r="B153" s="1">
        <v>1089.95</v>
      </c>
      <c r="C153" s="11">
        <v>3.2732000000000001</v>
      </c>
      <c r="D153" s="1">
        <v>679.76</v>
      </c>
      <c r="E153" s="11">
        <v>3.0760000000000001</v>
      </c>
      <c r="F153" s="1">
        <v>398.57</v>
      </c>
      <c r="G153" s="11">
        <v>3.53</v>
      </c>
      <c r="H153" s="1">
        <v>40.94</v>
      </c>
      <c r="I153" s="11">
        <v>1.9990399999999999</v>
      </c>
      <c r="J153" s="1">
        <v>21.06</v>
      </c>
      <c r="K153" s="11">
        <v>1.008</v>
      </c>
      <c r="L153" s="1">
        <v>67.81</v>
      </c>
      <c r="M153" s="11">
        <v>6.2</v>
      </c>
      <c r="N153" s="1">
        <v>375.33</v>
      </c>
      <c r="O153" s="11">
        <v>2.8224999999999998</v>
      </c>
      <c r="P153" s="1">
        <f t="shared" si="17"/>
        <v>2673.42</v>
      </c>
      <c r="Q153" s="1">
        <v>2874.15</v>
      </c>
      <c r="R153" s="16">
        <f t="shared" si="18"/>
        <v>2162094.5756499995</v>
      </c>
      <c r="S153" s="20">
        <v>692.89999999999986</v>
      </c>
      <c r="T153" s="21">
        <v>194.72</v>
      </c>
      <c r="U153" s="21">
        <v>8.6399999999999988</v>
      </c>
      <c r="V153" s="8">
        <v>896.25999999999988</v>
      </c>
      <c r="W153" s="25">
        <v>1.238</v>
      </c>
      <c r="X153" s="25">
        <f t="shared" si="19"/>
        <v>277392.46999999997</v>
      </c>
      <c r="Y153" s="1">
        <f t="shared" si="20"/>
        <v>3569.68</v>
      </c>
      <c r="Z153" s="1">
        <f t="shared" si="21"/>
        <v>3770.41</v>
      </c>
      <c r="AA153" s="1">
        <v>3757.56</v>
      </c>
      <c r="AB153" s="1">
        <f t="shared" si="16"/>
        <v>-187.88000000000011</v>
      </c>
      <c r="AC153" s="29">
        <f t="shared" si="22"/>
        <v>-12.849999999999909</v>
      </c>
      <c r="AD153" s="11">
        <f t="shared" si="23"/>
        <v>2439487.0456499998</v>
      </c>
    </row>
    <row r="154" spans="1:30" x14ac:dyDescent="0.3">
      <c r="A154" s="14">
        <v>45813.5625</v>
      </c>
      <c r="B154" s="1">
        <v>1089.95</v>
      </c>
      <c r="C154" s="11">
        <v>3.2732000000000001</v>
      </c>
      <c r="D154" s="1">
        <v>679.76</v>
      </c>
      <c r="E154" s="11">
        <v>3.0760000000000001</v>
      </c>
      <c r="F154" s="1">
        <v>398.57</v>
      </c>
      <c r="G154" s="11">
        <v>3.53</v>
      </c>
      <c r="H154" s="1">
        <v>40.86</v>
      </c>
      <c r="I154" s="11">
        <v>1.99929</v>
      </c>
      <c r="J154" s="1">
        <v>65.62</v>
      </c>
      <c r="K154" s="11">
        <v>1.34985</v>
      </c>
      <c r="L154" s="1">
        <v>67.22</v>
      </c>
      <c r="M154" s="11">
        <v>6.2</v>
      </c>
      <c r="N154" s="1">
        <v>387.77</v>
      </c>
      <c r="O154" s="11">
        <v>2.8224999999999998</v>
      </c>
      <c r="P154" s="1">
        <f t="shared" si="17"/>
        <v>2729.75</v>
      </c>
      <c r="Q154" s="1">
        <v>2699.63</v>
      </c>
      <c r="R154" s="16">
        <f t="shared" si="18"/>
        <v>2186757.7928499999</v>
      </c>
      <c r="S154" s="20">
        <v>883.51999999999987</v>
      </c>
      <c r="T154" s="21">
        <v>186.64</v>
      </c>
      <c r="U154" s="21">
        <v>10.430000000000001</v>
      </c>
      <c r="V154" s="8">
        <v>1080.5899999999999</v>
      </c>
      <c r="W154" s="25">
        <v>1.238</v>
      </c>
      <c r="X154" s="25">
        <f t="shared" si="19"/>
        <v>334442.60499999998</v>
      </c>
      <c r="Y154" s="1">
        <f t="shared" si="20"/>
        <v>3810.34</v>
      </c>
      <c r="Z154" s="1">
        <f t="shared" si="21"/>
        <v>3780.2200000000003</v>
      </c>
      <c r="AA154" s="1">
        <v>3791.39</v>
      </c>
      <c r="AB154" s="1">
        <f t="shared" si="16"/>
        <v>18.950000000000273</v>
      </c>
      <c r="AC154" s="29">
        <f t="shared" si="22"/>
        <v>11.169999999999618</v>
      </c>
      <c r="AD154" s="11">
        <f t="shared" si="23"/>
        <v>2521200.3978499998</v>
      </c>
    </row>
    <row r="155" spans="1:30" x14ac:dyDescent="0.3">
      <c r="A155" s="14">
        <v>45813.572916666664</v>
      </c>
      <c r="B155" s="1">
        <v>1089.95</v>
      </c>
      <c r="C155" s="11">
        <v>3.2732000000000001</v>
      </c>
      <c r="D155" s="1">
        <v>679.76</v>
      </c>
      <c r="E155" s="11">
        <v>3.0760000000000001</v>
      </c>
      <c r="F155" s="1">
        <v>398.57</v>
      </c>
      <c r="G155" s="11">
        <v>3.53</v>
      </c>
      <c r="H155" s="1">
        <v>41.76</v>
      </c>
      <c r="I155" s="11">
        <v>1.99942</v>
      </c>
      <c r="J155" s="1">
        <v>114.16</v>
      </c>
      <c r="K155" s="11">
        <v>1.58948</v>
      </c>
      <c r="L155" s="1">
        <v>68.25</v>
      </c>
      <c r="M155" s="11">
        <v>6.2</v>
      </c>
      <c r="N155" s="1">
        <v>390.82</v>
      </c>
      <c r="O155" s="11">
        <v>2.8224999999999998</v>
      </c>
      <c r="P155" s="1">
        <f t="shared" si="17"/>
        <v>2783.2700000000004</v>
      </c>
      <c r="Q155" s="1">
        <v>2806.35</v>
      </c>
      <c r="R155" s="16">
        <f t="shared" si="18"/>
        <v>2214177.1165</v>
      </c>
      <c r="S155" s="20">
        <v>841.28000000000009</v>
      </c>
      <c r="T155" s="21">
        <v>182.72</v>
      </c>
      <c r="U155" s="21">
        <v>9.3699999999999992</v>
      </c>
      <c r="V155" s="8">
        <v>1033.3699999999999</v>
      </c>
      <c r="W155" s="25">
        <v>1.238</v>
      </c>
      <c r="X155" s="25">
        <f t="shared" si="19"/>
        <v>319828.01499999996</v>
      </c>
      <c r="Y155" s="1">
        <f t="shared" si="20"/>
        <v>3816.6400000000003</v>
      </c>
      <c r="Z155" s="1">
        <f t="shared" si="21"/>
        <v>3839.72</v>
      </c>
      <c r="AA155" s="1">
        <v>3849.31</v>
      </c>
      <c r="AB155" s="1">
        <f t="shared" si="16"/>
        <v>-32.669999999999618</v>
      </c>
      <c r="AC155" s="29">
        <f t="shared" si="22"/>
        <v>9.5900000000001455</v>
      </c>
      <c r="AD155" s="11">
        <f t="shared" si="23"/>
        <v>2534005.1315000001</v>
      </c>
    </row>
    <row r="156" spans="1:30" x14ac:dyDescent="0.3">
      <c r="A156" s="14">
        <v>45813.583333333336</v>
      </c>
      <c r="B156" s="1">
        <v>1089.95</v>
      </c>
      <c r="C156" s="11">
        <v>3.2732000000000001</v>
      </c>
      <c r="D156" s="1">
        <v>679.76</v>
      </c>
      <c r="E156" s="11">
        <v>3.0760000000000001</v>
      </c>
      <c r="F156" s="1">
        <v>398.57</v>
      </c>
      <c r="G156" s="11">
        <v>3.53</v>
      </c>
      <c r="H156" s="1">
        <v>69.64</v>
      </c>
      <c r="I156" s="11">
        <v>2.39547</v>
      </c>
      <c r="J156" s="1">
        <v>274.8</v>
      </c>
      <c r="K156" s="11">
        <v>1.79419</v>
      </c>
      <c r="L156" s="1">
        <v>38.659999999999997</v>
      </c>
      <c r="M156" s="11">
        <v>6.2</v>
      </c>
      <c r="N156" s="1">
        <v>425.89</v>
      </c>
      <c r="O156" s="11">
        <v>2.8224999999999998</v>
      </c>
      <c r="P156" s="1">
        <f t="shared" si="17"/>
        <v>2977.27</v>
      </c>
      <c r="Q156" s="1">
        <v>2989.73</v>
      </c>
      <c r="R156" s="16">
        <f t="shared" si="18"/>
        <v>2291787.16695</v>
      </c>
      <c r="S156" s="20">
        <v>755.64</v>
      </c>
      <c r="T156" s="21">
        <v>177.91</v>
      </c>
      <c r="U156" s="21">
        <v>9.76</v>
      </c>
      <c r="V156" s="8">
        <v>943.31</v>
      </c>
      <c r="W156" s="25">
        <v>1.238</v>
      </c>
      <c r="X156" s="25">
        <f t="shared" si="19"/>
        <v>291954.44499999995</v>
      </c>
      <c r="Y156" s="1">
        <f t="shared" si="20"/>
        <v>3920.58</v>
      </c>
      <c r="Z156" s="1">
        <f t="shared" si="21"/>
        <v>3933.04</v>
      </c>
      <c r="AA156" s="1">
        <v>3946.28</v>
      </c>
      <c r="AB156" s="1">
        <f t="shared" si="16"/>
        <v>-25.700000000000273</v>
      </c>
      <c r="AC156" s="29">
        <f t="shared" si="22"/>
        <v>13.240000000000236</v>
      </c>
      <c r="AD156" s="11">
        <f t="shared" si="23"/>
        <v>2583741.6119499998</v>
      </c>
    </row>
    <row r="157" spans="1:30" x14ac:dyDescent="0.3">
      <c r="A157" s="14">
        <v>45813.59375</v>
      </c>
      <c r="B157" s="1">
        <v>1089.95</v>
      </c>
      <c r="C157" s="11">
        <v>3.2732000000000001</v>
      </c>
      <c r="D157" s="1">
        <v>679.76</v>
      </c>
      <c r="E157" s="11">
        <v>3.0760000000000001</v>
      </c>
      <c r="F157" s="1">
        <v>398.57</v>
      </c>
      <c r="G157" s="11">
        <v>3.53</v>
      </c>
      <c r="H157" s="1">
        <v>72.84</v>
      </c>
      <c r="I157" s="11">
        <v>2.39595</v>
      </c>
      <c r="J157" s="1">
        <v>308.94</v>
      </c>
      <c r="K157" s="11">
        <v>2.01071</v>
      </c>
      <c r="L157" s="1">
        <v>36.11</v>
      </c>
      <c r="M157" s="11">
        <v>6.2</v>
      </c>
      <c r="N157" s="1">
        <v>418.21</v>
      </c>
      <c r="O157" s="11">
        <v>2.8224999999999998</v>
      </c>
      <c r="P157" s="1">
        <f t="shared" si="17"/>
        <v>3004.3800000000006</v>
      </c>
      <c r="Q157" s="1">
        <v>3047.49</v>
      </c>
      <c r="R157" s="16">
        <f t="shared" si="18"/>
        <v>2316376.9175999998</v>
      </c>
      <c r="S157" s="20">
        <v>821.24999999999989</v>
      </c>
      <c r="T157" s="21">
        <v>173.56999999999996</v>
      </c>
      <c r="U157" s="21">
        <v>10.27</v>
      </c>
      <c r="V157" s="8">
        <v>1005.0899999999998</v>
      </c>
      <c r="W157" s="25">
        <v>1.238</v>
      </c>
      <c r="X157" s="25">
        <f t="shared" si="19"/>
        <v>311075.35499999992</v>
      </c>
      <c r="Y157" s="1">
        <f t="shared" si="20"/>
        <v>4009.4700000000003</v>
      </c>
      <c r="Z157" s="1">
        <f t="shared" si="21"/>
        <v>4052.5799999999995</v>
      </c>
      <c r="AA157" s="1">
        <v>4062.59</v>
      </c>
      <c r="AB157" s="1">
        <f t="shared" si="16"/>
        <v>-53.119999999999891</v>
      </c>
      <c r="AC157" s="29">
        <f t="shared" si="22"/>
        <v>10.010000000000673</v>
      </c>
      <c r="AD157" s="11">
        <f t="shared" si="23"/>
        <v>2627452.2725999998</v>
      </c>
    </row>
    <row r="158" spans="1:30" x14ac:dyDescent="0.3">
      <c r="A158" s="14">
        <v>45813.604166666664</v>
      </c>
      <c r="B158" s="1">
        <v>1089.95</v>
      </c>
      <c r="C158" s="11">
        <v>3.2732000000000001</v>
      </c>
      <c r="D158" s="1">
        <v>679.76</v>
      </c>
      <c r="E158" s="11">
        <v>3.0760000000000001</v>
      </c>
      <c r="F158" s="1">
        <v>398.57</v>
      </c>
      <c r="G158" s="11">
        <v>3.53</v>
      </c>
      <c r="H158" s="1">
        <v>72.91</v>
      </c>
      <c r="I158" s="11">
        <v>2.3959000000000001</v>
      </c>
      <c r="J158" s="1">
        <v>218.94</v>
      </c>
      <c r="K158" s="11">
        <v>2.90387</v>
      </c>
      <c r="L158" s="1">
        <v>35.57</v>
      </c>
      <c r="M158" s="11">
        <v>6.2</v>
      </c>
      <c r="N158" s="1">
        <v>396.48</v>
      </c>
      <c r="O158" s="11">
        <v>2.8224999999999998</v>
      </c>
      <c r="P158" s="1">
        <f t="shared" si="17"/>
        <v>2892.1800000000003</v>
      </c>
      <c r="Q158" s="1">
        <v>2958.85</v>
      </c>
      <c r="R158" s="16">
        <f t="shared" si="18"/>
        <v>2303893.8416999998</v>
      </c>
      <c r="S158" s="20">
        <v>1010.6399999999999</v>
      </c>
      <c r="T158" s="21">
        <v>167.08</v>
      </c>
      <c r="U158" s="21">
        <v>12.21</v>
      </c>
      <c r="V158" s="8">
        <v>1189.9299999999998</v>
      </c>
      <c r="W158" s="25">
        <v>1.238</v>
      </c>
      <c r="X158" s="25">
        <f t="shared" si="19"/>
        <v>368283.33499999996</v>
      </c>
      <c r="Y158" s="1">
        <f t="shared" si="20"/>
        <v>4082.11</v>
      </c>
      <c r="Z158" s="1">
        <f t="shared" si="21"/>
        <v>4148.78</v>
      </c>
      <c r="AA158" s="1">
        <v>4151.6899999999996</v>
      </c>
      <c r="AB158" s="1">
        <f t="shared" si="16"/>
        <v>-69.579999999999472</v>
      </c>
      <c r="AC158" s="29">
        <f t="shared" si="22"/>
        <v>2.9099999999998545</v>
      </c>
      <c r="AD158" s="11">
        <f t="shared" si="23"/>
        <v>2672177.1766999997</v>
      </c>
    </row>
    <row r="159" spans="1:30" x14ac:dyDescent="0.3">
      <c r="A159" s="14">
        <v>45813.614583333336</v>
      </c>
      <c r="B159" s="1">
        <v>1088.33</v>
      </c>
      <c r="C159" s="11">
        <v>3.2732000000000001</v>
      </c>
      <c r="D159" s="1">
        <v>679.76</v>
      </c>
      <c r="E159" s="11">
        <v>3.0760000000000001</v>
      </c>
      <c r="F159" s="1">
        <v>398.57</v>
      </c>
      <c r="G159" s="11">
        <v>3.53</v>
      </c>
      <c r="H159" s="1">
        <v>72.91</v>
      </c>
      <c r="I159" s="11">
        <v>2.5002800000000001</v>
      </c>
      <c r="J159" s="1">
        <v>32.25</v>
      </c>
      <c r="K159" s="11">
        <v>3.0942500000000002</v>
      </c>
      <c r="L159" s="1">
        <v>35.520000000000003</v>
      </c>
      <c r="M159" s="11">
        <v>6.2</v>
      </c>
      <c r="N159" s="1">
        <v>380.13</v>
      </c>
      <c r="O159" s="11">
        <v>2.8224999999999998</v>
      </c>
      <c r="P159" s="1">
        <f t="shared" si="17"/>
        <v>2687.47</v>
      </c>
      <c r="Q159" s="1">
        <v>2787.94</v>
      </c>
      <c r="R159" s="16">
        <f t="shared" si="18"/>
        <v>2158860.3795750001</v>
      </c>
      <c r="S159" s="20">
        <v>1255.47</v>
      </c>
      <c r="T159" s="21">
        <v>158.63</v>
      </c>
      <c r="U159" s="21">
        <v>12.080000000000002</v>
      </c>
      <c r="V159" s="8">
        <v>1426.1799999999998</v>
      </c>
      <c r="W159" s="25">
        <v>1.238</v>
      </c>
      <c r="X159" s="25">
        <f t="shared" si="19"/>
        <v>441402.70999999996</v>
      </c>
      <c r="Y159" s="1">
        <f t="shared" si="20"/>
        <v>4113.6499999999996</v>
      </c>
      <c r="Z159" s="1">
        <f t="shared" si="21"/>
        <v>4214.12</v>
      </c>
      <c r="AA159" s="1">
        <v>4213.74</v>
      </c>
      <c r="AB159" s="1">
        <f t="shared" si="16"/>
        <v>-100.09000000000015</v>
      </c>
      <c r="AC159" s="29">
        <f t="shared" si="22"/>
        <v>-0.38000000000010914</v>
      </c>
      <c r="AD159" s="11">
        <f t="shared" si="23"/>
        <v>2600263.0895750001</v>
      </c>
    </row>
    <row r="160" spans="1:30" x14ac:dyDescent="0.3">
      <c r="A160" s="14">
        <v>45813.625</v>
      </c>
      <c r="B160" s="1">
        <v>1177.6500000000001</v>
      </c>
      <c r="C160" s="11">
        <v>3.2732000000000001</v>
      </c>
      <c r="D160" s="1">
        <v>679.76</v>
      </c>
      <c r="E160" s="11">
        <v>3.0760000000000001</v>
      </c>
      <c r="F160" s="1">
        <v>398.57</v>
      </c>
      <c r="G160" s="11">
        <v>3.53</v>
      </c>
      <c r="H160" s="1">
        <v>66.2</v>
      </c>
      <c r="I160" s="11">
        <v>2.8004000000000002</v>
      </c>
      <c r="J160" s="1">
        <v>89.32</v>
      </c>
      <c r="K160" s="11">
        <v>2.9030500000000004</v>
      </c>
      <c r="L160" s="1">
        <v>17.100000000000001</v>
      </c>
      <c r="M160" s="11">
        <v>6.2</v>
      </c>
      <c r="N160" s="1">
        <v>356.9</v>
      </c>
      <c r="O160" s="11">
        <v>2.8224999999999998</v>
      </c>
      <c r="P160" s="1">
        <f t="shared" si="17"/>
        <v>2785.5</v>
      </c>
      <c r="Q160" s="1">
        <v>3007.31</v>
      </c>
      <c r="R160" s="16">
        <f t="shared" si="18"/>
        <v>2227658.7490000003</v>
      </c>
      <c r="S160" s="20">
        <v>1095.02</v>
      </c>
      <c r="T160" s="21">
        <v>149.38999999999999</v>
      </c>
      <c r="U160" s="21">
        <v>12.469999999999999</v>
      </c>
      <c r="V160" s="8">
        <v>1256.8799999999999</v>
      </c>
      <c r="W160" s="25">
        <v>1.238</v>
      </c>
      <c r="X160" s="25">
        <f t="shared" si="19"/>
        <v>389004.36</v>
      </c>
      <c r="Y160" s="1">
        <f t="shared" si="20"/>
        <v>4042.38</v>
      </c>
      <c r="Z160" s="1">
        <f t="shared" si="21"/>
        <v>4264.1899999999996</v>
      </c>
      <c r="AA160" s="1">
        <v>4274.8999999999996</v>
      </c>
      <c r="AB160" s="1">
        <f t="shared" si="16"/>
        <v>-232.51999999999953</v>
      </c>
      <c r="AC160" s="29">
        <f t="shared" si="22"/>
        <v>10.710000000000036</v>
      </c>
      <c r="AD160" s="11">
        <f t="shared" si="23"/>
        <v>2616663.1090000002</v>
      </c>
    </row>
    <row r="161" spans="1:30" x14ac:dyDescent="0.3">
      <c r="A161" s="14">
        <v>45813.635416666664</v>
      </c>
      <c r="B161" s="1">
        <v>1229.57</v>
      </c>
      <c r="C161" s="11">
        <v>3.2732000000000001</v>
      </c>
      <c r="D161" s="1">
        <v>679.76</v>
      </c>
      <c r="E161" s="11">
        <v>3.0760000000000001</v>
      </c>
      <c r="F161" s="1">
        <v>398.57</v>
      </c>
      <c r="G161" s="11">
        <v>3.53</v>
      </c>
      <c r="H161" s="1">
        <v>71.59</v>
      </c>
      <c r="I161" s="11">
        <v>2.8497199999999996</v>
      </c>
      <c r="J161" s="1">
        <v>95</v>
      </c>
      <c r="K161" s="11">
        <v>2.8432499999999998</v>
      </c>
      <c r="L161" s="1">
        <v>9.4499999999999993</v>
      </c>
      <c r="M161" s="11">
        <v>6.2</v>
      </c>
      <c r="N161" s="1">
        <v>341.21</v>
      </c>
      <c r="O161" s="11">
        <v>2.8224999999999998</v>
      </c>
      <c r="P161" s="1">
        <f t="shared" si="17"/>
        <v>2825.15</v>
      </c>
      <c r="Q161" s="1">
        <v>2958.8</v>
      </c>
      <c r="R161" s="16">
        <f t="shared" si="18"/>
        <v>2254574.4534499999</v>
      </c>
      <c r="S161" s="20">
        <v>1208</v>
      </c>
      <c r="T161" s="21">
        <v>140.03</v>
      </c>
      <c r="U161" s="21">
        <v>11.38</v>
      </c>
      <c r="V161" s="8">
        <v>1359.41</v>
      </c>
      <c r="W161" s="25">
        <v>1.238</v>
      </c>
      <c r="X161" s="25">
        <f t="shared" si="19"/>
        <v>420737.39500000008</v>
      </c>
      <c r="Y161" s="1">
        <f t="shared" si="20"/>
        <v>4184.5600000000004</v>
      </c>
      <c r="Z161" s="1">
        <f t="shared" si="21"/>
        <v>4318.21</v>
      </c>
      <c r="AA161" s="1">
        <v>4316.1000000000004</v>
      </c>
      <c r="AB161" s="1">
        <f t="shared" si="16"/>
        <v>-131.53999999999996</v>
      </c>
      <c r="AC161" s="29">
        <f t="shared" si="22"/>
        <v>-2.1099999999996726</v>
      </c>
      <c r="AD161" s="11">
        <f t="shared" si="23"/>
        <v>2675311.8484499999</v>
      </c>
    </row>
    <row r="162" spans="1:30" x14ac:dyDescent="0.3">
      <c r="A162" s="14">
        <v>45813.645833333336</v>
      </c>
      <c r="B162" s="1">
        <v>1331.12</v>
      </c>
      <c r="C162" s="11">
        <v>3.2732000000000001</v>
      </c>
      <c r="D162" s="1">
        <v>679.76</v>
      </c>
      <c r="E162" s="11">
        <v>3.0760000000000001</v>
      </c>
      <c r="F162" s="1">
        <v>398.57</v>
      </c>
      <c r="G162" s="11">
        <v>3.53</v>
      </c>
      <c r="H162" s="1">
        <v>76.64</v>
      </c>
      <c r="I162" s="11">
        <v>2.9025799999999999</v>
      </c>
      <c r="J162" s="1">
        <v>40.49</v>
      </c>
      <c r="K162" s="11">
        <v>3.1026199999999999</v>
      </c>
      <c r="L162" s="1">
        <v>2.4</v>
      </c>
      <c r="M162" s="11">
        <v>6.2</v>
      </c>
      <c r="N162" s="1">
        <v>315.63</v>
      </c>
      <c r="O162" s="11">
        <v>2.8224999999999998</v>
      </c>
      <c r="P162" s="1">
        <f t="shared" si="17"/>
        <v>2844.6099999999997</v>
      </c>
      <c r="Q162" s="1">
        <v>2932.98</v>
      </c>
      <c r="R162" s="16">
        <f t="shared" si="18"/>
        <v>2277185.0835000002</v>
      </c>
      <c r="S162" s="20">
        <v>1276.6799999999998</v>
      </c>
      <c r="T162" s="21">
        <v>129.19999999999999</v>
      </c>
      <c r="U162" s="21">
        <v>11.240000000000002</v>
      </c>
      <c r="V162" s="8">
        <v>1417.12</v>
      </c>
      <c r="W162" s="25">
        <v>1.238</v>
      </c>
      <c r="X162" s="25">
        <f t="shared" si="19"/>
        <v>438598.64</v>
      </c>
      <c r="Y162" s="1">
        <f t="shared" si="20"/>
        <v>4261.7299999999996</v>
      </c>
      <c r="Z162" s="1">
        <f t="shared" si="21"/>
        <v>4350.1000000000004</v>
      </c>
      <c r="AA162" s="1">
        <v>4350.3100000000004</v>
      </c>
      <c r="AB162" s="1">
        <f t="shared" si="16"/>
        <v>-88.580000000000837</v>
      </c>
      <c r="AC162" s="29">
        <f t="shared" si="22"/>
        <v>0.21000000000003638</v>
      </c>
      <c r="AD162" s="11">
        <f t="shared" si="23"/>
        <v>2715783.7235000003</v>
      </c>
    </row>
    <row r="163" spans="1:30" x14ac:dyDescent="0.3">
      <c r="A163" s="14">
        <v>45813.65625</v>
      </c>
      <c r="B163" s="1">
        <v>1375.95</v>
      </c>
      <c r="C163" s="11">
        <v>3.2732000000000001</v>
      </c>
      <c r="D163" s="1">
        <v>679.76</v>
      </c>
      <c r="E163" s="11">
        <v>3.0760000000000001</v>
      </c>
      <c r="F163" s="1">
        <v>398.57</v>
      </c>
      <c r="G163" s="11">
        <v>3.53</v>
      </c>
      <c r="H163" s="1">
        <v>76.78</v>
      </c>
      <c r="I163" s="11">
        <v>2.90225</v>
      </c>
      <c r="J163" s="1">
        <v>21.36</v>
      </c>
      <c r="K163" s="11">
        <v>3.1676700000000002</v>
      </c>
      <c r="L163" s="1">
        <v>1.93</v>
      </c>
      <c r="M163" s="11">
        <v>6.2</v>
      </c>
      <c r="N163" s="1">
        <v>295.16000000000003</v>
      </c>
      <c r="O163" s="11">
        <v>2.8224999999999998</v>
      </c>
      <c r="P163" s="1">
        <f t="shared" si="17"/>
        <v>2849.51</v>
      </c>
      <c r="Q163" s="1">
        <v>2982.43</v>
      </c>
      <c r="R163" s="16">
        <f t="shared" si="18"/>
        <v>2284301.1715500001</v>
      </c>
      <c r="S163" s="20">
        <v>1279.8099999999997</v>
      </c>
      <c r="T163" s="21">
        <v>116.83</v>
      </c>
      <c r="U163" s="21">
        <v>10.98</v>
      </c>
      <c r="V163" s="8">
        <v>1407.6199999999997</v>
      </c>
      <c r="W163" s="25">
        <v>1.238</v>
      </c>
      <c r="X163" s="25">
        <f t="shared" si="19"/>
        <v>435658.3899999999</v>
      </c>
      <c r="Y163" s="1">
        <f t="shared" si="20"/>
        <v>4257.13</v>
      </c>
      <c r="Z163" s="1">
        <f t="shared" si="21"/>
        <v>4390.0499999999993</v>
      </c>
      <c r="AA163" s="1">
        <v>4392.16</v>
      </c>
      <c r="AB163" s="1">
        <f t="shared" si="16"/>
        <v>-135.02999999999975</v>
      </c>
      <c r="AC163" s="29">
        <f t="shared" si="22"/>
        <v>2.1100000000005821</v>
      </c>
      <c r="AD163" s="11">
        <f t="shared" si="23"/>
        <v>2719959.5615499998</v>
      </c>
    </row>
    <row r="164" spans="1:30" x14ac:dyDescent="0.3">
      <c r="A164" s="14">
        <v>45813.666666666664</v>
      </c>
      <c r="B164" s="1">
        <v>1303.5999999999999</v>
      </c>
      <c r="C164" s="11">
        <v>3.2732000000000001</v>
      </c>
      <c r="D164" s="1">
        <v>679.76</v>
      </c>
      <c r="E164" s="11">
        <v>3.0760000000000001</v>
      </c>
      <c r="F164" s="1">
        <v>694.47</v>
      </c>
      <c r="G164" s="11">
        <v>3.53</v>
      </c>
      <c r="H164" s="1">
        <v>76.86</v>
      </c>
      <c r="I164" s="11">
        <v>2.90225</v>
      </c>
      <c r="J164" s="1">
        <v>64.13</v>
      </c>
      <c r="K164" s="11">
        <v>2.9035600000000001</v>
      </c>
      <c r="L164" s="1">
        <v>0.15</v>
      </c>
      <c r="M164" s="11">
        <v>6.2</v>
      </c>
      <c r="N164" s="1">
        <v>249.48</v>
      </c>
      <c r="O164" s="11">
        <v>2.8224999999999998</v>
      </c>
      <c r="P164" s="1">
        <f t="shared" si="17"/>
        <v>3068.4500000000003</v>
      </c>
      <c r="Q164" s="1">
        <v>3055.94</v>
      </c>
      <c r="R164" s="16">
        <f t="shared" si="18"/>
        <v>2480930.9794500005</v>
      </c>
      <c r="S164" s="20">
        <v>1194.4699999999998</v>
      </c>
      <c r="T164" s="21">
        <v>104.49999999999999</v>
      </c>
      <c r="U164" s="21">
        <v>10.34</v>
      </c>
      <c r="V164" s="8">
        <v>1309.3099999999997</v>
      </c>
      <c r="W164" s="25">
        <v>1.238</v>
      </c>
      <c r="X164" s="25">
        <f t="shared" si="19"/>
        <v>405231.44499999989</v>
      </c>
      <c r="Y164" s="1">
        <f t="shared" si="20"/>
        <v>4377.76</v>
      </c>
      <c r="Z164" s="1">
        <f t="shared" si="21"/>
        <v>4365.25</v>
      </c>
      <c r="AA164" s="1">
        <v>4366.0600000000004</v>
      </c>
      <c r="AB164" s="1">
        <f t="shared" si="16"/>
        <v>11.699999999999818</v>
      </c>
      <c r="AC164" s="29">
        <f t="shared" si="22"/>
        <v>0.81000000000040018</v>
      </c>
      <c r="AD164" s="11">
        <f t="shared" si="23"/>
        <v>2886162.4244500003</v>
      </c>
    </row>
    <row r="165" spans="1:30" x14ac:dyDescent="0.3">
      <c r="A165" s="14">
        <v>45813.677083333336</v>
      </c>
      <c r="B165" s="1">
        <v>1165.1099999999999</v>
      </c>
      <c r="C165" s="11">
        <v>3.2732000000000001</v>
      </c>
      <c r="D165" s="1">
        <v>679.76</v>
      </c>
      <c r="E165" s="11">
        <v>3.0760000000000001</v>
      </c>
      <c r="F165" s="1">
        <v>717.12</v>
      </c>
      <c r="G165" s="11">
        <v>3.53</v>
      </c>
      <c r="H165" s="1">
        <v>76.959999999999994</v>
      </c>
      <c r="I165" s="11">
        <v>3.00014</v>
      </c>
      <c r="J165" s="1">
        <v>183.36</v>
      </c>
      <c r="K165" s="11">
        <v>2.968</v>
      </c>
      <c r="L165" s="1">
        <v>0</v>
      </c>
      <c r="M165" s="11">
        <v>6.2</v>
      </c>
      <c r="N165" s="1">
        <v>229.11</v>
      </c>
      <c r="O165" s="11">
        <v>2.8224999999999998</v>
      </c>
      <c r="P165" s="1">
        <f t="shared" si="17"/>
        <v>3051.42</v>
      </c>
      <c r="Q165" s="1">
        <v>3058.49</v>
      </c>
      <c r="R165" s="16">
        <f t="shared" si="18"/>
        <v>2464444.91035</v>
      </c>
      <c r="S165" s="20">
        <v>1192.7099999999998</v>
      </c>
      <c r="T165" s="21">
        <v>91.05</v>
      </c>
      <c r="U165" s="21">
        <v>10.93</v>
      </c>
      <c r="V165" s="8">
        <v>1294.6899999999998</v>
      </c>
      <c r="W165" s="25">
        <v>1.238</v>
      </c>
      <c r="X165" s="25">
        <f t="shared" si="19"/>
        <v>400706.55499999993</v>
      </c>
      <c r="Y165" s="1">
        <f t="shared" si="20"/>
        <v>4346.1099999999997</v>
      </c>
      <c r="Z165" s="1">
        <f t="shared" si="21"/>
        <v>4353.1799999999994</v>
      </c>
      <c r="AA165" s="1">
        <v>4353.28</v>
      </c>
      <c r="AB165" s="1">
        <f t="shared" si="16"/>
        <v>-7.1700000000000728</v>
      </c>
      <c r="AC165" s="29">
        <f t="shared" si="22"/>
        <v>0.1000000000003638</v>
      </c>
      <c r="AD165" s="11">
        <f t="shared" si="23"/>
        <v>2865151.4653500002</v>
      </c>
    </row>
    <row r="166" spans="1:30" x14ac:dyDescent="0.3">
      <c r="A166" s="14">
        <v>45813.6875</v>
      </c>
      <c r="B166" s="1">
        <v>1093.0899999999999</v>
      </c>
      <c r="C166" s="11">
        <v>3.2732000000000001</v>
      </c>
      <c r="D166" s="1">
        <v>679.76</v>
      </c>
      <c r="E166" s="11">
        <v>3.0760000000000001</v>
      </c>
      <c r="F166" s="1">
        <v>717.12</v>
      </c>
      <c r="G166" s="11">
        <v>3.53</v>
      </c>
      <c r="H166" s="1">
        <v>72.28</v>
      </c>
      <c r="I166" s="11">
        <v>3.2000900000000003</v>
      </c>
      <c r="J166" s="1">
        <v>177.07</v>
      </c>
      <c r="K166" s="11">
        <v>3.3229499999999996</v>
      </c>
      <c r="L166" s="1">
        <v>0</v>
      </c>
      <c r="M166" s="11">
        <v>6.2</v>
      </c>
      <c r="N166" s="1">
        <v>217.92</v>
      </c>
      <c r="O166" s="11">
        <v>2.8224999999999998</v>
      </c>
      <c r="P166" s="1">
        <f t="shared" si="17"/>
        <v>2957.2400000000002</v>
      </c>
      <c r="Q166" s="1">
        <v>3011.03</v>
      </c>
      <c r="R166" s="16">
        <f t="shared" si="18"/>
        <v>2408763.5024250001</v>
      </c>
      <c r="S166" s="20">
        <v>1255.69</v>
      </c>
      <c r="T166" s="21">
        <v>77.149999999999991</v>
      </c>
      <c r="U166" s="21">
        <v>11.39</v>
      </c>
      <c r="V166" s="8">
        <v>1344.2300000000002</v>
      </c>
      <c r="W166" s="25">
        <v>1.238</v>
      </c>
      <c r="X166" s="25">
        <f t="shared" si="19"/>
        <v>416039.18500000011</v>
      </c>
      <c r="Y166" s="1">
        <f t="shared" si="20"/>
        <v>4301.47</v>
      </c>
      <c r="Z166" s="1">
        <f t="shared" si="21"/>
        <v>4355.26</v>
      </c>
      <c r="AA166" s="1">
        <v>4358.5</v>
      </c>
      <c r="AB166" s="1">
        <f t="shared" si="16"/>
        <v>-57.029999999999745</v>
      </c>
      <c r="AC166" s="29">
        <f t="shared" si="22"/>
        <v>3.2399999999997817</v>
      </c>
      <c r="AD166" s="11">
        <f t="shared" si="23"/>
        <v>2824802.6874250001</v>
      </c>
    </row>
    <row r="167" spans="1:30" x14ac:dyDescent="0.3">
      <c r="A167" s="14">
        <v>45813.697916666664</v>
      </c>
      <c r="B167" s="1">
        <v>1087.43</v>
      </c>
      <c r="C167" s="11">
        <v>3.2732000000000001</v>
      </c>
      <c r="D167" s="1">
        <v>679.76</v>
      </c>
      <c r="E167" s="11">
        <v>3.0760000000000001</v>
      </c>
      <c r="F167" s="1">
        <v>717.12</v>
      </c>
      <c r="G167" s="11">
        <v>3.53</v>
      </c>
      <c r="H167" s="1">
        <v>72.739999999999995</v>
      </c>
      <c r="I167" s="11">
        <v>3.4221699999999999</v>
      </c>
      <c r="J167" s="1">
        <v>201.05</v>
      </c>
      <c r="K167" s="11">
        <v>3.4001799999999998</v>
      </c>
      <c r="L167" s="1">
        <v>0</v>
      </c>
      <c r="M167" s="11">
        <v>6.2</v>
      </c>
      <c r="N167" s="1">
        <v>196.56</v>
      </c>
      <c r="O167" s="11">
        <v>2.8224999999999998</v>
      </c>
      <c r="P167" s="1">
        <f t="shared" si="17"/>
        <v>2954.66</v>
      </c>
      <c r="Q167" s="1">
        <v>2960.44</v>
      </c>
      <c r="R167" s="16">
        <f t="shared" si="18"/>
        <v>2417269.1677000001</v>
      </c>
      <c r="S167" s="20">
        <v>1308.75</v>
      </c>
      <c r="T167" s="21">
        <v>60.6</v>
      </c>
      <c r="U167" s="21">
        <v>10.61</v>
      </c>
      <c r="V167" s="8">
        <v>1379.9599999999998</v>
      </c>
      <c r="W167" s="25">
        <v>1.238</v>
      </c>
      <c r="X167" s="25">
        <f t="shared" si="19"/>
        <v>427097.61999999994</v>
      </c>
      <c r="Y167" s="1">
        <f t="shared" si="20"/>
        <v>4334.62</v>
      </c>
      <c r="Z167" s="1">
        <f t="shared" si="21"/>
        <v>4340.3999999999996</v>
      </c>
      <c r="AA167" s="1">
        <v>4340.79</v>
      </c>
      <c r="AB167" s="1">
        <f t="shared" si="16"/>
        <v>-6.1700000000000728</v>
      </c>
      <c r="AC167" s="29">
        <f t="shared" si="22"/>
        <v>0.39000000000032742</v>
      </c>
      <c r="AD167" s="11">
        <f t="shared" si="23"/>
        <v>2844366.7877000002</v>
      </c>
    </row>
    <row r="168" spans="1:30" x14ac:dyDescent="0.3">
      <c r="A168" s="14">
        <v>45813.708333333336</v>
      </c>
      <c r="B168" s="1">
        <v>1234.3699999999999</v>
      </c>
      <c r="C168" s="11">
        <v>3.2732000000000001</v>
      </c>
      <c r="D168" s="1">
        <v>679.76</v>
      </c>
      <c r="E168" s="11">
        <v>3.0760000000000001</v>
      </c>
      <c r="F168" s="1">
        <v>717.12</v>
      </c>
      <c r="G168" s="11">
        <v>3.53</v>
      </c>
      <c r="H168" s="1">
        <v>56.56</v>
      </c>
      <c r="I168" s="11">
        <v>3.4513400000000001</v>
      </c>
      <c r="J168" s="1">
        <v>127.85</v>
      </c>
      <c r="K168" s="11">
        <v>3.2015500000000001</v>
      </c>
      <c r="L168" s="1">
        <v>0</v>
      </c>
      <c r="M168" s="11">
        <v>6.2</v>
      </c>
      <c r="N168" s="1">
        <v>163.55000000000001</v>
      </c>
      <c r="O168" s="11">
        <v>2.8224999999999998</v>
      </c>
      <c r="P168" s="1">
        <f t="shared" si="17"/>
        <v>2979.21</v>
      </c>
      <c r="Q168" s="1">
        <v>2936.7</v>
      </c>
      <c r="R168" s="16">
        <f t="shared" si="18"/>
        <v>2432215.2692249999</v>
      </c>
      <c r="S168" s="20">
        <v>1281.4799999999998</v>
      </c>
      <c r="T168" s="21">
        <v>48.09</v>
      </c>
      <c r="U168" s="21">
        <v>10.81</v>
      </c>
      <c r="V168" s="8">
        <v>1340.3799999999997</v>
      </c>
      <c r="W168" s="25">
        <v>1.238</v>
      </c>
      <c r="X168" s="25">
        <f t="shared" si="19"/>
        <v>414847.60999999993</v>
      </c>
      <c r="Y168" s="1">
        <f t="shared" si="20"/>
        <v>4319.59</v>
      </c>
      <c r="Z168" s="1">
        <f t="shared" si="21"/>
        <v>4277.08</v>
      </c>
      <c r="AA168" s="1">
        <v>4281.28</v>
      </c>
      <c r="AB168" s="1">
        <f t="shared" si="16"/>
        <v>38.3100000000004</v>
      </c>
      <c r="AC168" s="29">
        <f t="shared" si="22"/>
        <v>4.1999999999998181</v>
      </c>
      <c r="AD168" s="11">
        <f t="shared" si="23"/>
        <v>2847062.8792249998</v>
      </c>
    </row>
    <row r="169" spans="1:30" x14ac:dyDescent="0.3">
      <c r="A169" s="14">
        <v>45813.71875</v>
      </c>
      <c r="B169" s="1">
        <v>1322.85</v>
      </c>
      <c r="C169" s="11">
        <v>3.2732000000000001</v>
      </c>
      <c r="D169" s="1">
        <v>679.76</v>
      </c>
      <c r="E169" s="11">
        <v>3.0760000000000001</v>
      </c>
      <c r="F169" s="1">
        <v>717.12</v>
      </c>
      <c r="G169" s="11">
        <v>3.53</v>
      </c>
      <c r="H169" s="1">
        <v>33.56</v>
      </c>
      <c r="I169" s="11">
        <v>3.5991</v>
      </c>
      <c r="J169" s="1">
        <v>99.62</v>
      </c>
      <c r="K169" s="11">
        <v>2.9030500000000004</v>
      </c>
      <c r="L169" s="1">
        <v>0</v>
      </c>
      <c r="M169" s="11">
        <v>6.2</v>
      </c>
      <c r="N169" s="1">
        <v>146.19999999999999</v>
      </c>
      <c r="O169" s="11">
        <v>2.8224999999999998</v>
      </c>
      <c r="P169" s="1">
        <f t="shared" si="17"/>
        <v>2999.1099999999997</v>
      </c>
      <c r="Q169" s="1">
        <v>2977.85</v>
      </c>
      <c r="R169" s="16">
        <f t="shared" si="18"/>
        <v>2443741.2792500001</v>
      </c>
      <c r="S169" s="20">
        <v>1221.0400000000002</v>
      </c>
      <c r="T169" s="21">
        <v>38.160000000000004</v>
      </c>
      <c r="U169" s="21">
        <v>10.440000000000001</v>
      </c>
      <c r="V169" s="8">
        <v>1269.6400000000003</v>
      </c>
      <c r="W169" s="25">
        <v>1.238</v>
      </c>
      <c r="X169" s="25">
        <f t="shared" si="19"/>
        <v>392953.58000000007</v>
      </c>
      <c r="Y169" s="1">
        <f t="shared" si="20"/>
        <v>4268.75</v>
      </c>
      <c r="Z169" s="1">
        <f t="shared" si="21"/>
        <v>4247.49</v>
      </c>
      <c r="AA169" s="1">
        <v>4248.43</v>
      </c>
      <c r="AB169" s="1">
        <f t="shared" si="16"/>
        <v>20.319999999999709</v>
      </c>
      <c r="AC169" s="29">
        <f t="shared" si="22"/>
        <v>0.94000000000050932</v>
      </c>
      <c r="AD169" s="11">
        <f t="shared" si="23"/>
        <v>2836694.8592500002</v>
      </c>
    </row>
    <row r="170" spans="1:30" x14ac:dyDescent="0.3">
      <c r="A170" s="14">
        <v>45813.729166666664</v>
      </c>
      <c r="B170" s="1">
        <v>1333.33</v>
      </c>
      <c r="C170" s="11">
        <v>3.2732000000000001</v>
      </c>
      <c r="D170" s="1">
        <v>679.76</v>
      </c>
      <c r="E170" s="11">
        <v>3.0760000000000001</v>
      </c>
      <c r="F170" s="1">
        <v>717.12</v>
      </c>
      <c r="G170" s="11">
        <v>3.53</v>
      </c>
      <c r="H170" s="1">
        <v>3.29</v>
      </c>
      <c r="I170" s="11">
        <v>3.8778600000000001</v>
      </c>
      <c r="J170" s="1">
        <v>57.76</v>
      </c>
      <c r="K170" s="11">
        <v>3.1509499999999999</v>
      </c>
      <c r="L170" s="1">
        <v>0</v>
      </c>
      <c r="M170" s="11">
        <v>6.2</v>
      </c>
      <c r="N170" s="1">
        <v>115.17</v>
      </c>
      <c r="O170" s="11">
        <v>2.8224999999999998</v>
      </c>
      <c r="P170" s="1">
        <f t="shared" si="17"/>
        <v>2906.4300000000003</v>
      </c>
      <c r="Q170" s="1">
        <v>2898.35</v>
      </c>
      <c r="R170" s="16">
        <f t="shared" si="18"/>
        <v>2376613.8681000001</v>
      </c>
      <c r="S170" s="20">
        <v>1282.7600000000002</v>
      </c>
      <c r="T170" s="21">
        <v>28.150000000000002</v>
      </c>
      <c r="U170" s="21">
        <v>7.2799999999999994</v>
      </c>
      <c r="V170" s="8">
        <v>1318.1900000000003</v>
      </c>
      <c r="W170" s="25">
        <v>1.238</v>
      </c>
      <c r="X170" s="25">
        <f t="shared" si="19"/>
        <v>407979.80500000005</v>
      </c>
      <c r="Y170" s="1">
        <f t="shared" si="20"/>
        <v>4224.6200000000008</v>
      </c>
      <c r="Z170" s="1">
        <f t="shared" si="21"/>
        <v>4216.54</v>
      </c>
      <c r="AA170" s="1">
        <v>4217.9799999999996</v>
      </c>
      <c r="AB170" s="1">
        <f t="shared" si="16"/>
        <v>6.6400000000012369</v>
      </c>
      <c r="AC170" s="29">
        <f t="shared" si="22"/>
        <v>1.4399999999995998</v>
      </c>
      <c r="AD170" s="11">
        <f t="shared" si="23"/>
        <v>2784593.6731000002</v>
      </c>
    </row>
    <row r="171" spans="1:30" x14ac:dyDescent="0.3">
      <c r="A171" s="14">
        <v>45813.739583333336</v>
      </c>
      <c r="B171" s="1">
        <v>1371.23</v>
      </c>
      <c r="C171" s="11">
        <v>3.2732000000000001</v>
      </c>
      <c r="D171" s="1">
        <v>679.76</v>
      </c>
      <c r="E171" s="11">
        <v>3.0760000000000001</v>
      </c>
      <c r="F171" s="1">
        <v>717.12</v>
      </c>
      <c r="G171" s="11">
        <v>3.53</v>
      </c>
      <c r="H171" s="1">
        <v>1.29</v>
      </c>
      <c r="I171" s="11">
        <v>4.0400400000000003</v>
      </c>
      <c r="J171" s="1">
        <v>54.94</v>
      </c>
      <c r="K171" s="11">
        <v>3.0649799999999998</v>
      </c>
      <c r="L171" s="1">
        <v>0</v>
      </c>
      <c r="M171" s="11">
        <v>6.2</v>
      </c>
      <c r="N171" s="1">
        <v>102.33</v>
      </c>
      <c r="O171" s="11">
        <v>2.8224999999999998</v>
      </c>
      <c r="P171" s="1">
        <f t="shared" si="17"/>
        <v>2926.6699999999996</v>
      </c>
      <c r="Q171" s="1">
        <v>2840.61</v>
      </c>
      <c r="R171" s="16">
        <f t="shared" si="18"/>
        <v>2393278.36845</v>
      </c>
      <c r="S171" s="20">
        <v>1348.3300000000002</v>
      </c>
      <c r="T171" s="21">
        <v>19.11</v>
      </c>
      <c r="U171" s="21">
        <v>7.28</v>
      </c>
      <c r="V171" s="8">
        <v>1374.72</v>
      </c>
      <c r="W171" s="25">
        <v>1.238</v>
      </c>
      <c r="X171" s="25">
        <f t="shared" si="19"/>
        <v>425475.84000000003</v>
      </c>
      <c r="Y171" s="1">
        <f t="shared" si="20"/>
        <v>4301.3899999999994</v>
      </c>
      <c r="Z171" s="1">
        <f t="shared" si="21"/>
        <v>4215.33</v>
      </c>
      <c r="AA171" s="1">
        <v>4215.43</v>
      </c>
      <c r="AB171" s="1">
        <f t="shared" si="16"/>
        <v>85.959999999999127</v>
      </c>
      <c r="AC171" s="29">
        <f t="shared" si="22"/>
        <v>0.1000000000003638</v>
      </c>
      <c r="AD171" s="11">
        <f t="shared" si="23"/>
        <v>2818754.2084499998</v>
      </c>
    </row>
    <row r="172" spans="1:30" x14ac:dyDescent="0.3">
      <c r="A172" s="14">
        <v>45813.75</v>
      </c>
      <c r="B172" s="1">
        <v>1464.37</v>
      </c>
      <c r="C172" s="11">
        <v>3.2732000000000001</v>
      </c>
      <c r="D172" s="1">
        <v>679.76</v>
      </c>
      <c r="E172" s="11">
        <v>3.0760000000000001</v>
      </c>
      <c r="F172" s="1">
        <v>717.12</v>
      </c>
      <c r="G172" s="11">
        <v>3.53</v>
      </c>
      <c r="H172" s="1">
        <v>92.17</v>
      </c>
      <c r="I172" s="11">
        <v>4.0001899999999999</v>
      </c>
      <c r="J172" s="1">
        <v>105.18</v>
      </c>
      <c r="K172" s="11">
        <v>1.6433</v>
      </c>
      <c r="L172" s="1">
        <v>10.93</v>
      </c>
      <c r="M172" s="11">
        <v>6.2</v>
      </c>
      <c r="N172" s="1">
        <v>88.33</v>
      </c>
      <c r="O172" s="11">
        <v>2.8224999999999998</v>
      </c>
      <c r="P172" s="1">
        <f t="shared" si="17"/>
        <v>3157.8599999999997</v>
      </c>
      <c r="Q172" s="1">
        <v>3098.6</v>
      </c>
      <c r="R172" s="16">
        <f t="shared" si="18"/>
        <v>2568542.1188249998</v>
      </c>
      <c r="S172" s="20">
        <v>1060.1900000000003</v>
      </c>
      <c r="T172" s="21">
        <v>10.940000000000001</v>
      </c>
      <c r="U172" s="21">
        <v>9.15</v>
      </c>
      <c r="V172" s="8">
        <v>1080.2800000000004</v>
      </c>
      <c r="W172" s="25">
        <v>1.238</v>
      </c>
      <c r="X172" s="25">
        <f t="shared" si="19"/>
        <v>334346.66000000015</v>
      </c>
      <c r="Y172" s="1">
        <f t="shared" si="20"/>
        <v>4238.1400000000003</v>
      </c>
      <c r="Z172" s="1">
        <f t="shared" si="21"/>
        <v>4178.88</v>
      </c>
      <c r="AA172" s="1">
        <v>4206.72</v>
      </c>
      <c r="AB172" s="1">
        <f t="shared" si="16"/>
        <v>31.420000000000073</v>
      </c>
      <c r="AC172" s="29">
        <f t="shared" si="22"/>
        <v>27.840000000000146</v>
      </c>
      <c r="AD172" s="11">
        <f t="shared" si="23"/>
        <v>2902888.7788249999</v>
      </c>
    </row>
    <row r="173" spans="1:30" x14ac:dyDescent="0.3">
      <c r="A173" s="14">
        <v>45813.760416666664</v>
      </c>
      <c r="B173" s="1">
        <v>1472.69</v>
      </c>
      <c r="C173" s="11">
        <v>3.2732000000000001</v>
      </c>
      <c r="D173" s="1">
        <v>679.76</v>
      </c>
      <c r="E173" s="11">
        <v>3.0760000000000001</v>
      </c>
      <c r="F173" s="1">
        <v>717.12</v>
      </c>
      <c r="G173" s="11">
        <v>3.53</v>
      </c>
      <c r="H173" s="1">
        <v>105.42</v>
      </c>
      <c r="I173" s="11">
        <v>4.2259799999999998</v>
      </c>
      <c r="J173" s="1">
        <v>111.97</v>
      </c>
      <c r="K173" s="11">
        <v>1.9954799999999999</v>
      </c>
      <c r="L173" s="1">
        <v>3.36</v>
      </c>
      <c r="M173" s="11">
        <v>6.2</v>
      </c>
      <c r="N173" s="1">
        <v>77.73</v>
      </c>
      <c r="O173" s="11">
        <v>2.8224999999999998</v>
      </c>
      <c r="P173" s="1">
        <f t="shared" si="17"/>
        <v>3168.0499999999997</v>
      </c>
      <c r="Q173" s="1">
        <v>3192.18</v>
      </c>
      <c r="R173" s="16">
        <f t="shared" si="18"/>
        <v>2587986.47505</v>
      </c>
      <c r="S173" s="20">
        <v>1013.6299999999999</v>
      </c>
      <c r="T173" s="21">
        <v>5.07</v>
      </c>
      <c r="U173" s="21">
        <v>8.89</v>
      </c>
      <c r="V173" s="8">
        <v>1027.5899999999999</v>
      </c>
      <c r="W173" s="25">
        <v>1.238</v>
      </c>
      <c r="X173" s="25">
        <f t="shared" si="19"/>
        <v>318039.10499999992</v>
      </c>
      <c r="Y173" s="1">
        <f t="shared" si="20"/>
        <v>4195.6399999999994</v>
      </c>
      <c r="Z173" s="1">
        <f t="shared" si="21"/>
        <v>4219.7699999999995</v>
      </c>
      <c r="AA173" s="1">
        <v>4266.72</v>
      </c>
      <c r="AB173" s="1">
        <f t="shared" si="16"/>
        <v>-71.080000000000837</v>
      </c>
      <c r="AC173" s="29">
        <f t="shared" si="22"/>
        <v>46.950000000000728</v>
      </c>
      <c r="AD173" s="11">
        <f t="shared" si="23"/>
        <v>2906025.58005</v>
      </c>
    </row>
    <row r="174" spans="1:30" x14ac:dyDescent="0.3">
      <c r="A174" s="14">
        <v>45813.770833333336</v>
      </c>
      <c r="B174" s="1">
        <v>1476.12</v>
      </c>
      <c r="C174" s="11">
        <v>3.2732000000000001</v>
      </c>
      <c r="D174" s="1">
        <v>679.76</v>
      </c>
      <c r="E174" s="11">
        <v>3.0760000000000001</v>
      </c>
      <c r="F174" s="1">
        <v>717.12</v>
      </c>
      <c r="G174" s="11">
        <v>3.53</v>
      </c>
      <c r="H174" s="1">
        <v>106.37</v>
      </c>
      <c r="I174" s="11">
        <v>4.4002700000000008</v>
      </c>
      <c r="J174" s="1">
        <v>19.170000000000002</v>
      </c>
      <c r="K174" s="11">
        <v>2.9436900000000001</v>
      </c>
      <c r="L174" s="1">
        <v>0.2</v>
      </c>
      <c r="M174" s="11">
        <v>6.2</v>
      </c>
      <c r="N174" s="1">
        <v>69.709999999999994</v>
      </c>
      <c r="O174" s="11">
        <v>2.8224999999999998</v>
      </c>
      <c r="P174" s="1">
        <f t="shared" si="17"/>
        <v>3068.45</v>
      </c>
      <c r="Q174" s="1">
        <v>3091.38</v>
      </c>
      <c r="R174" s="16">
        <f t="shared" si="18"/>
        <v>2544123.7690500002</v>
      </c>
      <c r="S174" s="20">
        <v>1267.3000000000002</v>
      </c>
      <c r="T174" s="21">
        <v>1.28</v>
      </c>
      <c r="U174" s="21">
        <v>9.2100000000000009</v>
      </c>
      <c r="V174" s="8">
        <v>1277.7900000000002</v>
      </c>
      <c r="W174" s="25">
        <v>1.238</v>
      </c>
      <c r="X174" s="25">
        <f t="shared" si="19"/>
        <v>395476.00500000006</v>
      </c>
      <c r="Y174" s="1">
        <f t="shared" si="20"/>
        <v>4346.24</v>
      </c>
      <c r="Z174" s="1">
        <f t="shared" si="21"/>
        <v>4369.17</v>
      </c>
      <c r="AA174" s="1">
        <v>4408.9399999999996</v>
      </c>
      <c r="AB174" s="1">
        <f t="shared" si="16"/>
        <v>-62.699999999999818</v>
      </c>
      <c r="AC174" s="29">
        <f t="shared" si="22"/>
        <v>39.769999999999527</v>
      </c>
      <c r="AD174" s="11">
        <f t="shared" si="23"/>
        <v>2939599.7740500001</v>
      </c>
    </row>
    <row r="175" spans="1:30" x14ac:dyDescent="0.3">
      <c r="A175" s="14">
        <v>45813.78125</v>
      </c>
      <c r="B175" s="1">
        <v>1477.89</v>
      </c>
      <c r="C175" s="11">
        <v>3.2732000000000001</v>
      </c>
      <c r="D175" s="1">
        <v>679.76</v>
      </c>
      <c r="E175" s="11">
        <v>3.0760000000000001</v>
      </c>
      <c r="F175" s="1">
        <v>717.12</v>
      </c>
      <c r="G175" s="11">
        <v>3.53</v>
      </c>
      <c r="H175" s="1">
        <v>105.95</v>
      </c>
      <c r="I175" s="11">
        <v>4.5827600000000004</v>
      </c>
      <c r="J175" s="1">
        <v>60.28</v>
      </c>
      <c r="K175" s="11">
        <v>3.3677199999999998</v>
      </c>
      <c r="L175" s="1">
        <v>0</v>
      </c>
      <c r="M175" s="11">
        <v>6.2</v>
      </c>
      <c r="N175" s="1">
        <v>49.22</v>
      </c>
      <c r="O175" s="11">
        <v>2.8224999999999998</v>
      </c>
      <c r="P175" s="1">
        <f t="shared" si="17"/>
        <v>3090.22</v>
      </c>
      <c r="Q175" s="1">
        <v>3105.84</v>
      </c>
      <c r="R175" s="16">
        <f t="shared" si="18"/>
        <v>2571819.4854000001</v>
      </c>
      <c r="S175" s="20">
        <v>1467.88</v>
      </c>
      <c r="T175" s="21">
        <v>0.36</v>
      </c>
      <c r="U175" s="21">
        <v>7.0600000000000005</v>
      </c>
      <c r="V175" s="8">
        <v>1475.3</v>
      </c>
      <c r="W175" s="25">
        <v>1.238</v>
      </c>
      <c r="X175" s="25">
        <f t="shared" si="19"/>
        <v>456605.35</v>
      </c>
      <c r="Y175" s="1">
        <f t="shared" si="20"/>
        <v>4565.5199999999995</v>
      </c>
      <c r="Z175" s="1">
        <f t="shared" si="21"/>
        <v>4581.1400000000003</v>
      </c>
      <c r="AA175" s="1">
        <v>4625.16</v>
      </c>
      <c r="AB175" s="1">
        <f t="shared" si="16"/>
        <v>-59.640000000000327</v>
      </c>
      <c r="AC175" s="29">
        <f t="shared" si="22"/>
        <v>44.019999999999527</v>
      </c>
      <c r="AD175" s="11">
        <f t="shared" si="23"/>
        <v>3028424.8354000002</v>
      </c>
    </row>
    <row r="176" spans="1:30" x14ac:dyDescent="0.3">
      <c r="A176" s="14">
        <v>45813.791666666664</v>
      </c>
      <c r="B176" s="1">
        <v>1481.28</v>
      </c>
      <c r="C176" s="11">
        <v>3.2732000000000001</v>
      </c>
      <c r="D176" s="1">
        <v>679.76</v>
      </c>
      <c r="E176" s="11">
        <v>3.0760000000000001</v>
      </c>
      <c r="F176" s="1">
        <v>717.12</v>
      </c>
      <c r="G176" s="11">
        <v>3.53</v>
      </c>
      <c r="H176" s="1">
        <v>15.83</v>
      </c>
      <c r="I176" s="11">
        <v>6.7007700000000003</v>
      </c>
      <c r="J176" s="1">
        <v>282.47000000000003</v>
      </c>
      <c r="K176" s="11">
        <v>4.1883999999999997</v>
      </c>
      <c r="L176" s="1">
        <v>0</v>
      </c>
      <c r="M176" s="11">
        <v>6.2</v>
      </c>
      <c r="N176" s="1">
        <v>41.62</v>
      </c>
      <c r="O176" s="11">
        <v>2.8224999999999998</v>
      </c>
      <c r="P176" s="1">
        <f t="shared" si="17"/>
        <v>3218.08</v>
      </c>
      <c r="Q176" s="1">
        <v>3206.07</v>
      </c>
      <c r="R176" s="16">
        <f t="shared" si="18"/>
        <v>2719386.0107749999</v>
      </c>
      <c r="S176" s="20">
        <v>1525.12</v>
      </c>
      <c r="T176" s="21">
        <v>0.26</v>
      </c>
      <c r="U176" s="21">
        <v>6.6899999999999995</v>
      </c>
      <c r="V176" s="8">
        <v>1532.07</v>
      </c>
      <c r="W176" s="25">
        <v>1.238</v>
      </c>
      <c r="X176" s="25">
        <f t="shared" si="19"/>
        <v>474175.66499999998</v>
      </c>
      <c r="Y176" s="1">
        <f t="shared" si="20"/>
        <v>4750.1499999999996</v>
      </c>
      <c r="Z176" s="1">
        <f t="shared" si="21"/>
        <v>4738.1400000000003</v>
      </c>
      <c r="AA176" s="1">
        <v>4785.04</v>
      </c>
      <c r="AB176" s="1">
        <f t="shared" si="16"/>
        <v>-34.890000000000327</v>
      </c>
      <c r="AC176" s="29">
        <f t="shared" si="22"/>
        <v>46.899999999999636</v>
      </c>
      <c r="AD176" s="11">
        <f t="shared" si="23"/>
        <v>3193561.6757749999</v>
      </c>
    </row>
    <row r="177" spans="1:30" x14ac:dyDescent="0.3">
      <c r="A177" s="14">
        <v>45813.802083333336</v>
      </c>
      <c r="B177" s="1">
        <v>1483.04</v>
      </c>
      <c r="C177" s="11">
        <v>3.2732000000000001</v>
      </c>
      <c r="D177" s="1">
        <v>679.76</v>
      </c>
      <c r="E177" s="11">
        <v>3.0760000000000001</v>
      </c>
      <c r="F177" s="1">
        <v>717.12</v>
      </c>
      <c r="G177" s="11">
        <v>3.53</v>
      </c>
      <c r="H177" s="1">
        <v>-281.89999999999998</v>
      </c>
      <c r="I177" s="11">
        <v>10</v>
      </c>
      <c r="J177" s="1">
        <v>615.51</v>
      </c>
      <c r="K177" s="11">
        <v>4.5829700000000004</v>
      </c>
      <c r="L177" s="1">
        <v>0</v>
      </c>
      <c r="M177" s="11">
        <v>6.2</v>
      </c>
      <c r="N177" s="1">
        <v>41.39</v>
      </c>
      <c r="O177" s="11">
        <v>2.8224999999999998</v>
      </c>
      <c r="P177" s="1">
        <f t="shared" si="17"/>
        <v>3254.9199999999996</v>
      </c>
      <c r="Q177" s="1">
        <v>3249.91</v>
      </c>
      <c r="R177" s="16">
        <f t="shared" si="18"/>
        <v>2398837.2569250003</v>
      </c>
      <c r="S177" s="20">
        <v>1538.68</v>
      </c>
      <c r="T177" s="21">
        <v>0.24</v>
      </c>
      <c r="U177" s="21">
        <v>6.6000000000000005</v>
      </c>
      <c r="V177" s="8">
        <v>1545.52</v>
      </c>
      <c r="W177" s="25">
        <v>1.238</v>
      </c>
      <c r="X177" s="25">
        <f t="shared" si="19"/>
        <v>478338.44</v>
      </c>
      <c r="Y177" s="1">
        <f t="shared" si="20"/>
        <v>4800.4399999999996</v>
      </c>
      <c r="Z177" s="1">
        <f t="shared" si="21"/>
        <v>4795.43</v>
      </c>
      <c r="AA177" s="1">
        <v>4836.4799999999996</v>
      </c>
      <c r="AB177" s="1">
        <f t="shared" si="16"/>
        <v>-36.039999999999964</v>
      </c>
      <c r="AC177" s="29">
        <f t="shared" si="22"/>
        <v>41.049999999999272</v>
      </c>
      <c r="AD177" s="11">
        <f t="shared" si="23"/>
        <v>2877175.6969250003</v>
      </c>
    </row>
    <row r="178" spans="1:30" x14ac:dyDescent="0.3">
      <c r="A178" s="14">
        <v>45813.8125</v>
      </c>
      <c r="B178" s="1">
        <v>1484.38</v>
      </c>
      <c r="C178" s="11">
        <v>3.2732000000000001</v>
      </c>
      <c r="D178" s="1">
        <v>679.76</v>
      </c>
      <c r="E178" s="11">
        <v>3.0760000000000001</v>
      </c>
      <c r="F178" s="1">
        <v>717.12</v>
      </c>
      <c r="G178" s="11">
        <v>3.53</v>
      </c>
      <c r="H178" s="1">
        <v>-301.89999999999998</v>
      </c>
      <c r="I178" s="11">
        <v>10</v>
      </c>
      <c r="J178" s="1">
        <v>538.4</v>
      </c>
      <c r="K178" s="11">
        <v>4.5455800000000002</v>
      </c>
      <c r="L178" s="1">
        <v>0</v>
      </c>
      <c r="M178" s="11">
        <v>6.2</v>
      </c>
      <c r="N178" s="1">
        <v>42.78</v>
      </c>
      <c r="O178" s="11">
        <v>2.8224999999999998</v>
      </c>
      <c r="P178" s="1">
        <f t="shared" si="17"/>
        <v>3160.5400000000004</v>
      </c>
      <c r="Q178" s="1">
        <v>3172.91</v>
      </c>
      <c r="R178" s="16">
        <f t="shared" si="18"/>
        <v>2257533.6995000001</v>
      </c>
      <c r="S178" s="20">
        <v>1612.0799999999997</v>
      </c>
      <c r="T178" s="21">
        <v>0.25</v>
      </c>
      <c r="U178" s="21">
        <v>7.12</v>
      </c>
      <c r="V178" s="8">
        <v>1619.4499999999996</v>
      </c>
      <c r="W178" s="25">
        <v>1.238</v>
      </c>
      <c r="X178" s="25">
        <f t="shared" si="19"/>
        <v>501219.77499999985</v>
      </c>
      <c r="Y178" s="1">
        <f t="shared" si="20"/>
        <v>4779.99</v>
      </c>
      <c r="Z178" s="1">
        <f t="shared" si="21"/>
        <v>4792.3599999999997</v>
      </c>
      <c r="AA178" s="1">
        <v>4835</v>
      </c>
      <c r="AB178" s="1">
        <f t="shared" si="16"/>
        <v>-55.010000000000218</v>
      </c>
      <c r="AC178" s="29">
        <f t="shared" si="22"/>
        <v>42.640000000000327</v>
      </c>
      <c r="AD178" s="11">
        <f t="shared" si="23"/>
        <v>2758753.4745</v>
      </c>
    </row>
    <row r="179" spans="1:30" x14ac:dyDescent="0.3">
      <c r="A179" s="14">
        <v>45813.822916666664</v>
      </c>
      <c r="B179" s="1">
        <v>1485.34</v>
      </c>
      <c r="C179" s="11">
        <v>3.2732000000000001</v>
      </c>
      <c r="D179" s="1">
        <v>679.76</v>
      </c>
      <c r="E179" s="11">
        <v>3.0760000000000001</v>
      </c>
      <c r="F179" s="1">
        <v>717.12</v>
      </c>
      <c r="G179" s="11">
        <v>3.53</v>
      </c>
      <c r="H179" s="1">
        <v>-163.9</v>
      </c>
      <c r="I179" s="11">
        <v>9.7990200000000005</v>
      </c>
      <c r="J179" s="1">
        <v>415.5</v>
      </c>
      <c r="K179" s="11">
        <v>4.5007799999999998</v>
      </c>
      <c r="L179" s="1">
        <v>0</v>
      </c>
      <c r="M179" s="11">
        <v>6.2</v>
      </c>
      <c r="N179" s="1">
        <v>43.73</v>
      </c>
      <c r="O179" s="11">
        <v>2.8224999999999998</v>
      </c>
      <c r="P179" s="1">
        <f t="shared" si="17"/>
        <v>3177.5499999999997</v>
      </c>
      <c r="Q179" s="1">
        <v>3174.15</v>
      </c>
      <c r="R179" s="16">
        <f t="shared" si="18"/>
        <v>2467908.2212500004</v>
      </c>
      <c r="S179" s="20">
        <v>1607.8899999999999</v>
      </c>
      <c r="T179" s="21">
        <v>0.22000000000000003</v>
      </c>
      <c r="U179" s="21">
        <v>7.36</v>
      </c>
      <c r="V179" s="8">
        <v>1615.4699999999998</v>
      </c>
      <c r="W179" s="25">
        <v>1.238</v>
      </c>
      <c r="X179" s="25">
        <f t="shared" si="19"/>
        <v>499987.96499999991</v>
      </c>
      <c r="Y179" s="1">
        <f t="shared" si="20"/>
        <v>4793.0199999999995</v>
      </c>
      <c r="Z179" s="1">
        <f t="shared" si="21"/>
        <v>4789.62</v>
      </c>
      <c r="AA179" s="1">
        <v>4837.8</v>
      </c>
      <c r="AB179" s="1">
        <f t="shared" si="16"/>
        <v>-44.780000000000655</v>
      </c>
      <c r="AC179" s="29">
        <f t="shared" si="22"/>
        <v>48.180000000000291</v>
      </c>
      <c r="AD179" s="11">
        <f t="shared" si="23"/>
        <v>2967896.1862500003</v>
      </c>
    </row>
    <row r="180" spans="1:30" x14ac:dyDescent="0.3">
      <c r="A180" s="14">
        <v>45813.833333333336</v>
      </c>
      <c r="B180" s="1">
        <v>1487.74</v>
      </c>
      <c r="C180" s="11">
        <v>3.2732000000000001</v>
      </c>
      <c r="D180" s="1">
        <v>679.76</v>
      </c>
      <c r="E180" s="11">
        <v>3.0760000000000001</v>
      </c>
      <c r="F180" s="1">
        <v>717.12</v>
      </c>
      <c r="G180" s="11">
        <v>3.53</v>
      </c>
      <c r="H180" s="1">
        <v>-290.73</v>
      </c>
      <c r="I180" s="11">
        <v>10</v>
      </c>
      <c r="J180" s="1">
        <v>566.53</v>
      </c>
      <c r="K180" s="11">
        <v>3.5180700000000003</v>
      </c>
      <c r="L180" s="1">
        <v>0</v>
      </c>
      <c r="M180" s="11">
        <v>6.2</v>
      </c>
      <c r="N180" s="1">
        <v>28.21</v>
      </c>
      <c r="O180" s="11">
        <v>2.8224999999999998</v>
      </c>
      <c r="P180" s="1">
        <f t="shared" si="17"/>
        <v>3188.63</v>
      </c>
      <c r="Q180" s="1">
        <v>3178.26</v>
      </c>
      <c r="R180" s="16">
        <f t="shared" si="18"/>
        <v>2164365.2125249999</v>
      </c>
      <c r="S180" s="20">
        <v>1587.75</v>
      </c>
      <c r="T180" s="21">
        <v>0.21000000000000002</v>
      </c>
      <c r="U180" s="21">
        <v>7.48</v>
      </c>
      <c r="V180" s="8">
        <v>1595.44</v>
      </c>
      <c r="W180" s="25">
        <v>1.238</v>
      </c>
      <c r="X180" s="25">
        <f t="shared" si="19"/>
        <v>493788.68</v>
      </c>
      <c r="Y180" s="1">
        <f t="shared" si="20"/>
        <v>4784.07</v>
      </c>
      <c r="Z180" s="1">
        <f t="shared" si="21"/>
        <v>4773.7000000000007</v>
      </c>
      <c r="AA180" s="1">
        <v>4818.51</v>
      </c>
      <c r="AB180" s="1">
        <f t="shared" si="16"/>
        <v>-34.440000000000509</v>
      </c>
      <c r="AC180" s="29">
        <f t="shared" si="22"/>
        <v>44.809999999999491</v>
      </c>
      <c r="AD180" s="11">
        <f t="shared" si="23"/>
        <v>2658153.892525</v>
      </c>
    </row>
    <row r="181" spans="1:30" x14ac:dyDescent="0.3">
      <c r="A181" s="14">
        <v>45813.84375</v>
      </c>
      <c r="B181" s="1">
        <v>1488.74</v>
      </c>
      <c r="C181" s="11">
        <v>3.2732000000000001</v>
      </c>
      <c r="D181" s="1">
        <v>679.76</v>
      </c>
      <c r="E181" s="11">
        <v>3.0760000000000001</v>
      </c>
      <c r="F181" s="1">
        <v>717.12</v>
      </c>
      <c r="G181" s="11">
        <v>3.53</v>
      </c>
      <c r="H181" s="1">
        <v>-301.89999999999998</v>
      </c>
      <c r="I181" s="11">
        <v>10</v>
      </c>
      <c r="J181" s="1">
        <v>570.66</v>
      </c>
      <c r="K181" s="11">
        <v>3.3678900000000001</v>
      </c>
      <c r="L181" s="1">
        <v>0</v>
      </c>
      <c r="M181" s="11">
        <v>6.2</v>
      </c>
      <c r="N181" s="1">
        <v>28.39</v>
      </c>
      <c r="O181" s="11">
        <v>2.8224999999999998</v>
      </c>
      <c r="P181" s="1">
        <f t="shared" si="17"/>
        <v>3182.7699999999995</v>
      </c>
      <c r="Q181" s="1">
        <v>3165.15</v>
      </c>
      <c r="R181" s="16">
        <f t="shared" si="18"/>
        <v>2119592.5025999998</v>
      </c>
      <c r="S181" s="20">
        <v>1567.63</v>
      </c>
      <c r="T181" s="21">
        <v>0.21000000000000002</v>
      </c>
      <c r="U181" s="21">
        <v>9.5300000000000011</v>
      </c>
      <c r="V181" s="8">
        <v>1577.3700000000001</v>
      </c>
      <c r="W181" s="25">
        <v>1.238</v>
      </c>
      <c r="X181" s="25">
        <f t="shared" si="19"/>
        <v>488196.01500000007</v>
      </c>
      <c r="Y181" s="1">
        <f t="shared" si="20"/>
        <v>4760.1399999999994</v>
      </c>
      <c r="Z181" s="1">
        <f t="shared" si="21"/>
        <v>4742.5200000000004</v>
      </c>
      <c r="AA181" s="1">
        <v>4789.82</v>
      </c>
      <c r="AB181" s="1">
        <f t="shared" si="16"/>
        <v>-29.680000000000291</v>
      </c>
      <c r="AC181" s="29">
        <f t="shared" si="22"/>
        <v>47.299999999999272</v>
      </c>
      <c r="AD181" s="11">
        <f t="shared" si="23"/>
        <v>2607788.5175999999</v>
      </c>
    </row>
    <row r="182" spans="1:30" x14ac:dyDescent="0.3">
      <c r="A182" s="14">
        <v>45813.854166666664</v>
      </c>
      <c r="B182" s="1">
        <v>1488.8</v>
      </c>
      <c r="C182" s="11">
        <v>3.2732000000000001</v>
      </c>
      <c r="D182" s="1">
        <v>679.76</v>
      </c>
      <c r="E182" s="11">
        <v>3.0760000000000001</v>
      </c>
      <c r="F182" s="1">
        <v>717.12</v>
      </c>
      <c r="G182" s="11">
        <v>3.53</v>
      </c>
      <c r="H182" s="1">
        <v>-301.89999999999998</v>
      </c>
      <c r="I182" s="11">
        <v>10</v>
      </c>
      <c r="J182" s="1">
        <v>481.24</v>
      </c>
      <c r="K182" s="11">
        <v>3.3679200000000002</v>
      </c>
      <c r="L182" s="1">
        <v>0</v>
      </c>
      <c r="M182" s="11">
        <v>6.2</v>
      </c>
      <c r="N182" s="1">
        <v>28.78</v>
      </c>
      <c r="O182" s="11">
        <v>2.8224999999999998</v>
      </c>
      <c r="P182" s="1">
        <f t="shared" si="17"/>
        <v>3093.7999999999997</v>
      </c>
      <c r="Q182" s="1">
        <v>3087.84</v>
      </c>
      <c r="R182" s="16">
        <f t="shared" si="18"/>
        <v>2044631.2227000003</v>
      </c>
      <c r="S182" s="20">
        <v>1640.9900000000002</v>
      </c>
      <c r="T182" s="21">
        <v>0.2</v>
      </c>
      <c r="U182" s="21">
        <v>9.3800000000000008</v>
      </c>
      <c r="V182" s="8">
        <v>1650.5700000000004</v>
      </c>
      <c r="W182" s="25">
        <v>1.238</v>
      </c>
      <c r="X182" s="25">
        <f t="shared" si="19"/>
        <v>510851.41500000015</v>
      </c>
      <c r="Y182" s="1">
        <f t="shared" si="20"/>
        <v>4744.37</v>
      </c>
      <c r="Z182" s="1">
        <f t="shared" si="21"/>
        <v>4738.4100000000008</v>
      </c>
      <c r="AA182" s="1">
        <v>4782.08</v>
      </c>
      <c r="AB182" s="1">
        <f t="shared" si="16"/>
        <v>-37.710000000000036</v>
      </c>
      <c r="AC182" s="29">
        <f t="shared" si="22"/>
        <v>43.669999999999163</v>
      </c>
      <c r="AD182" s="11">
        <f t="shared" si="23"/>
        <v>2555482.6377000003</v>
      </c>
    </row>
    <row r="183" spans="1:30" x14ac:dyDescent="0.3">
      <c r="A183" s="14">
        <v>45813.864583333336</v>
      </c>
      <c r="B183" s="1">
        <v>1488.8</v>
      </c>
      <c r="C183" s="11">
        <v>3.2732000000000001</v>
      </c>
      <c r="D183" s="1">
        <v>679.76</v>
      </c>
      <c r="E183" s="11">
        <v>3.0760000000000001</v>
      </c>
      <c r="F183" s="1">
        <v>717.12</v>
      </c>
      <c r="G183" s="11">
        <v>3.53</v>
      </c>
      <c r="H183" s="1">
        <v>-301.89999999999998</v>
      </c>
      <c r="I183" s="11">
        <v>10</v>
      </c>
      <c r="J183" s="1">
        <v>403.25</v>
      </c>
      <c r="K183" s="11">
        <v>3.8005100000000001</v>
      </c>
      <c r="L183" s="1">
        <v>0</v>
      </c>
      <c r="M183" s="11">
        <v>6.2</v>
      </c>
      <c r="N183" s="1">
        <v>27.13</v>
      </c>
      <c r="O183" s="11">
        <v>2.8224999999999998</v>
      </c>
      <c r="P183" s="1">
        <f t="shared" si="17"/>
        <v>3014.16</v>
      </c>
      <c r="Q183" s="1">
        <v>3075.49</v>
      </c>
      <c r="R183" s="16">
        <f t="shared" si="18"/>
        <v>2021411.4006250002</v>
      </c>
      <c r="S183" s="20">
        <v>1669.7400000000002</v>
      </c>
      <c r="T183" s="21">
        <v>0.2</v>
      </c>
      <c r="U183" s="21">
        <v>11.53</v>
      </c>
      <c r="V183" s="8">
        <v>1681.4700000000003</v>
      </c>
      <c r="W183" s="25">
        <v>1.238</v>
      </c>
      <c r="X183" s="25">
        <f t="shared" si="19"/>
        <v>520414.96500000003</v>
      </c>
      <c r="Y183" s="1">
        <f t="shared" si="20"/>
        <v>4695.63</v>
      </c>
      <c r="Z183" s="1">
        <f t="shared" si="21"/>
        <v>4756.96</v>
      </c>
      <c r="AA183" s="1">
        <v>4803.21</v>
      </c>
      <c r="AB183" s="1">
        <f t="shared" si="16"/>
        <v>-107.57999999999993</v>
      </c>
      <c r="AC183" s="29">
        <f t="shared" si="22"/>
        <v>46.25</v>
      </c>
      <c r="AD183" s="11">
        <f t="shared" si="23"/>
        <v>2541826.3656250001</v>
      </c>
    </row>
    <row r="184" spans="1:30" x14ac:dyDescent="0.3">
      <c r="A184" s="14">
        <v>45813.875</v>
      </c>
      <c r="B184" s="1">
        <v>1488.8</v>
      </c>
      <c r="C184" s="11">
        <v>3.2732000000000001</v>
      </c>
      <c r="D184" s="1">
        <v>607.72</v>
      </c>
      <c r="E184" s="11">
        <v>3.0760000000000001</v>
      </c>
      <c r="F184" s="1">
        <v>717.12</v>
      </c>
      <c r="G184" s="11">
        <v>3.53</v>
      </c>
      <c r="H184" s="1">
        <v>-277.06</v>
      </c>
      <c r="I184" s="11">
        <v>10</v>
      </c>
      <c r="J184" s="1">
        <v>518.79999999999995</v>
      </c>
      <c r="K184" s="11">
        <v>3.4148100000000001</v>
      </c>
      <c r="L184" s="1">
        <v>0</v>
      </c>
      <c r="M184" s="11">
        <v>6.2</v>
      </c>
      <c r="N184" s="1">
        <v>25.61</v>
      </c>
      <c r="O184" s="11">
        <v>2.8224999999999998</v>
      </c>
      <c r="P184" s="1">
        <f t="shared" si="17"/>
        <v>3080.9900000000002</v>
      </c>
      <c r="Q184" s="1">
        <v>3071.98</v>
      </c>
      <c r="R184" s="16">
        <f t="shared" si="18"/>
        <v>2086802.0332500001</v>
      </c>
      <c r="S184" s="20">
        <v>1674.18</v>
      </c>
      <c r="T184" s="21">
        <v>0.21000000000000002</v>
      </c>
      <c r="U184" s="21">
        <v>12.86</v>
      </c>
      <c r="V184" s="8">
        <v>1687.25</v>
      </c>
      <c r="W184" s="25">
        <v>1.238</v>
      </c>
      <c r="X184" s="25">
        <f t="shared" si="19"/>
        <v>522203.87500000006</v>
      </c>
      <c r="Y184" s="1">
        <f t="shared" si="20"/>
        <v>4768.24</v>
      </c>
      <c r="Z184" s="1">
        <f t="shared" si="21"/>
        <v>4759.2299999999996</v>
      </c>
      <c r="AA184" s="1">
        <v>4809.63</v>
      </c>
      <c r="AB184" s="1">
        <f t="shared" si="16"/>
        <v>-41.390000000000327</v>
      </c>
      <c r="AC184" s="29">
        <f t="shared" si="22"/>
        <v>50.400000000000546</v>
      </c>
      <c r="AD184" s="11">
        <f t="shared" si="23"/>
        <v>2609005.9082500003</v>
      </c>
    </row>
    <row r="185" spans="1:30" x14ac:dyDescent="0.3">
      <c r="A185" s="14">
        <v>45813.885416666664</v>
      </c>
      <c r="B185" s="1">
        <v>1488.8</v>
      </c>
      <c r="C185" s="11">
        <v>3.2732000000000001</v>
      </c>
      <c r="D185" s="1">
        <v>602.76</v>
      </c>
      <c r="E185" s="11">
        <v>3.0760000000000001</v>
      </c>
      <c r="F185" s="1">
        <v>717.12</v>
      </c>
      <c r="G185" s="11">
        <v>3.53</v>
      </c>
      <c r="H185" s="1">
        <v>-275.35000000000002</v>
      </c>
      <c r="I185" s="11">
        <v>10</v>
      </c>
      <c r="J185" s="1">
        <v>554.27</v>
      </c>
      <c r="K185" s="11">
        <v>3.4007299999999998</v>
      </c>
      <c r="L185" s="1">
        <v>0</v>
      </c>
      <c r="M185" s="11">
        <v>6.2</v>
      </c>
      <c r="N185" s="1">
        <v>24.38</v>
      </c>
      <c r="O185" s="11">
        <v>2.8224999999999998</v>
      </c>
      <c r="P185" s="1">
        <f t="shared" si="17"/>
        <v>3111.98</v>
      </c>
      <c r="Q185" s="1">
        <v>3130.54</v>
      </c>
      <c r="R185" s="16">
        <f t="shared" si="18"/>
        <v>2114724.6717749997</v>
      </c>
      <c r="S185" s="20">
        <v>1656.18</v>
      </c>
      <c r="T185" s="21">
        <v>0.2</v>
      </c>
      <c r="U185" s="21">
        <v>11.870000000000001</v>
      </c>
      <c r="V185" s="8">
        <v>1668.25</v>
      </c>
      <c r="W185" s="25">
        <v>1.238</v>
      </c>
      <c r="X185" s="25">
        <f t="shared" si="19"/>
        <v>516323.37499999994</v>
      </c>
      <c r="Y185" s="1">
        <f t="shared" si="20"/>
        <v>4780.2299999999996</v>
      </c>
      <c r="Z185" s="1">
        <f t="shared" si="21"/>
        <v>4798.79</v>
      </c>
      <c r="AA185" s="1">
        <v>4847.1899999999996</v>
      </c>
      <c r="AB185" s="1">
        <f t="shared" si="16"/>
        <v>-66.960000000000036</v>
      </c>
      <c r="AC185" s="29">
        <f t="shared" si="22"/>
        <v>48.399999999999636</v>
      </c>
      <c r="AD185" s="11">
        <f t="shared" si="23"/>
        <v>2631048.0467749997</v>
      </c>
    </row>
    <row r="186" spans="1:30" x14ac:dyDescent="0.3">
      <c r="A186" s="14">
        <v>45813.895833333336</v>
      </c>
      <c r="B186" s="1">
        <v>1488.8</v>
      </c>
      <c r="C186" s="11">
        <v>3.2732000000000001</v>
      </c>
      <c r="D186" s="1">
        <v>602.76</v>
      </c>
      <c r="E186" s="11">
        <v>3.0760000000000001</v>
      </c>
      <c r="F186" s="1">
        <v>717.12</v>
      </c>
      <c r="G186" s="11">
        <v>3.53</v>
      </c>
      <c r="H186" s="1">
        <v>-275.35000000000002</v>
      </c>
      <c r="I186" s="11">
        <v>10</v>
      </c>
      <c r="J186" s="1">
        <v>607.61</v>
      </c>
      <c r="K186" s="11">
        <v>3.3900700000000001</v>
      </c>
      <c r="L186" s="1">
        <v>0</v>
      </c>
      <c r="M186" s="11">
        <v>6.2</v>
      </c>
      <c r="N186" s="1">
        <v>24.02</v>
      </c>
      <c r="O186" s="11">
        <v>2.8224999999999998</v>
      </c>
      <c r="P186" s="1">
        <f t="shared" si="17"/>
        <v>3164.96</v>
      </c>
      <c r="Q186" s="1">
        <v>3187.89</v>
      </c>
      <c r="R186" s="16">
        <f t="shared" si="18"/>
        <v>2158200.1006750003</v>
      </c>
      <c r="S186" s="20">
        <v>1656.93</v>
      </c>
      <c r="T186" s="21">
        <v>0.2</v>
      </c>
      <c r="U186" s="21">
        <v>10.76</v>
      </c>
      <c r="V186" s="8">
        <v>1667.89</v>
      </c>
      <c r="W186" s="25">
        <v>1.238</v>
      </c>
      <c r="X186" s="25">
        <f t="shared" si="19"/>
        <v>516211.95500000002</v>
      </c>
      <c r="Y186" s="1">
        <f t="shared" si="20"/>
        <v>4832.8500000000004</v>
      </c>
      <c r="Z186" s="1">
        <f t="shared" si="21"/>
        <v>4855.78</v>
      </c>
      <c r="AA186" s="1">
        <v>4905.71</v>
      </c>
      <c r="AB186" s="1">
        <f t="shared" si="16"/>
        <v>-72.859999999999673</v>
      </c>
      <c r="AC186" s="29">
        <f t="shared" si="22"/>
        <v>49.930000000000291</v>
      </c>
      <c r="AD186" s="11">
        <f t="shared" si="23"/>
        <v>2674412.0556750004</v>
      </c>
    </row>
    <row r="187" spans="1:30" x14ac:dyDescent="0.3">
      <c r="A187" s="14">
        <v>45813.90625</v>
      </c>
      <c r="B187" s="1">
        <v>1488.8</v>
      </c>
      <c r="C187" s="11">
        <v>3.2732000000000001</v>
      </c>
      <c r="D187" s="1">
        <v>602.76</v>
      </c>
      <c r="E187" s="11">
        <v>3.0760000000000001</v>
      </c>
      <c r="F187" s="1">
        <v>717.12</v>
      </c>
      <c r="G187" s="11">
        <v>3.53</v>
      </c>
      <c r="H187" s="1">
        <v>-275.35000000000002</v>
      </c>
      <c r="I187" s="11">
        <v>10</v>
      </c>
      <c r="J187" s="1">
        <v>649</v>
      </c>
      <c r="K187" s="11">
        <v>3.4226100000000002</v>
      </c>
      <c r="L187" s="1">
        <v>0</v>
      </c>
      <c r="M187" s="11">
        <v>6.2</v>
      </c>
      <c r="N187" s="1">
        <v>30.68</v>
      </c>
      <c r="O187" s="11">
        <v>2.8224999999999998</v>
      </c>
      <c r="P187" s="1">
        <f t="shared" si="17"/>
        <v>3213.0099999999998</v>
      </c>
      <c r="Q187" s="1">
        <v>3240.86</v>
      </c>
      <c r="R187" s="16">
        <f t="shared" si="18"/>
        <v>2203257.9275000002</v>
      </c>
      <c r="S187" s="20">
        <v>1657.6899999999998</v>
      </c>
      <c r="T187" s="21">
        <v>0.2</v>
      </c>
      <c r="U187" s="21">
        <v>10.209999999999999</v>
      </c>
      <c r="V187" s="8">
        <v>1668.1</v>
      </c>
      <c r="W187" s="25">
        <v>1.238</v>
      </c>
      <c r="X187" s="25">
        <f t="shared" si="19"/>
        <v>516276.94999999995</v>
      </c>
      <c r="Y187" s="1">
        <f t="shared" si="20"/>
        <v>4881.1099999999997</v>
      </c>
      <c r="Z187" s="1">
        <f t="shared" si="21"/>
        <v>4908.96</v>
      </c>
      <c r="AA187" s="1">
        <v>4983.88</v>
      </c>
      <c r="AB187" s="1">
        <f t="shared" si="16"/>
        <v>-102.77000000000044</v>
      </c>
      <c r="AC187" s="29">
        <f t="shared" si="22"/>
        <v>74.920000000000073</v>
      </c>
      <c r="AD187" s="11">
        <f t="shared" si="23"/>
        <v>2719534.8775000004</v>
      </c>
    </row>
    <row r="188" spans="1:30" x14ac:dyDescent="0.3">
      <c r="A188" s="14">
        <v>45813.916666666664</v>
      </c>
      <c r="B188" s="1">
        <v>1491.71</v>
      </c>
      <c r="C188" s="11">
        <v>3.2732000000000001</v>
      </c>
      <c r="D188" s="1">
        <v>587.88</v>
      </c>
      <c r="E188" s="11">
        <v>3.0760000000000001</v>
      </c>
      <c r="F188" s="1">
        <v>717.12</v>
      </c>
      <c r="G188" s="11">
        <v>3.53</v>
      </c>
      <c r="H188" s="1">
        <v>-121.64</v>
      </c>
      <c r="I188" s="11">
        <v>10</v>
      </c>
      <c r="J188" s="1">
        <v>577.27</v>
      </c>
      <c r="K188" s="11">
        <v>3.8003800000000001</v>
      </c>
      <c r="L188" s="1">
        <v>0</v>
      </c>
      <c r="M188" s="11">
        <v>6.2</v>
      </c>
      <c r="N188" s="1">
        <v>37.020000000000003</v>
      </c>
      <c r="O188" s="11">
        <v>2.8224999999999998</v>
      </c>
      <c r="P188" s="1">
        <f t="shared" si="17"/>
        <v>3289.36</v>
      </c>
      <c r="Q188" s="1">
        <v>3304.95</v>
      </c>
      <c r="R188" s="16">
        <f t="shared" si="18"/>
        <v>2576087.9911500001</v>
      </c>
      <c r="S188" s="20">
        <v>1671.8200000000002</v>
      </c>
      <c r="T188" s="21">
        <v>0.2</v>
      </c>
      <c r="U188" s="21">
        <v>10.030000000000001</v>
      </c>
      <c r="V188" s="8">
        <v>1682.0500000000002</v>
      </c>
      <c r="W188" s="25">
        <v>1.238</v>
      </c>
      <c r="X188" s="25">
        <f t="shared" si="19"/>
        <v>520594.47500000009</v>
      </c>
      <c r="Y188" s="1">
        <f t="shared" si="20"/>
        <v>4971.41</v>
      </c>
      <c r="Z188" s="1">
        <f t="shared" si="21"/>
        <v>4987</v>
      </c>
      <c r="AA188" s="1">
        <v>5062.88</v>
      </c>
      <c r="AB188" s="1">
        <f t="shared" si="16"/>
        <v>-91.470000000000255</v>
      </c>
      <c r="AC188" s="29">
        <f t="shared" si="22"/>
        <v>75.880000000000109</v>
      </c>
      <c r="AD188" s="11">
        <f t="shared" si="23"/>
        <v>3096682.4661500002</v>
      </c>
    </row>
    <row r="189" spans="1:30" x14ac:dyDescent="0.3">
      <c r="A189" s="14">
        <v>45813.927083333336</v>
      </c>
      <c r="B189" s="1">
        <v>1492.78</v>
      </c>
      <c r="C189" s="11">
        <v>3.2732000000000001</v>
      </c>
      <c r="D189" s="1">
        <v>586.76</v>
      </c>
      <c r="E189" s="11">
        <v>3.0760000000000001</v>
      </c>
      <c r="F189" s="1">
        <v>717.12</v>
      </c>
      <c r="G189" s="11">
        <v>3.53</v>
      </c>
      <c r="H189" s="1">
        <v>-110.07</v>
      </c>
      <c r="I189" s="11">
        <v>10</v>
      </c>
      <c r="J189" s="1">
        <v>616.58000000000004</v>
      </c>
      <c r="K189" s="11">
        <v>4.0111999999999997</v>
      </c>
      <c r="L189" s="1">
        <v>0</v>
      </c>
      <c r="M189" s="11">
        <v>6.2</v>
      </c>
      <c r="N189" s="1">
        <v>30.82</v>
      </c>
      <c r="O189" s="11">
        <v>2.8224999999999998</v>
      </c>
      <c r="P189" s="1">
        <f t="shared" si="17"/>
        <v>3333.99</v>
      </c>
      <c r="Q189" s="1">
        <v>3350.39</v>
      </c>
      <c r="R189" s="16">
        <f t="shared" si="18"/>
        <v>2670497.5005000001</v>
      </c>
      <c r="S189" s="20">
        <v>1672.8800000000003</v>
      </c>
      <c r="T189" s="21">
        <v>0.2</v>
      </c>
      <c r="U189" s="21">
        <v>10.28</v>
      </c>
      <c r="V189" s="8">
        <v>1683.3600000000004</v>
      </c>
      <c r="W189" s="25">
        <v>1.238</v>
      </c>
      <c r="X189" s="25">
        <f t="shared" si="19"/>
        <v>520999.9200000001</v>
      </c>
      <c r="Y189" s="1">
        <f t="shared" si="20"/>
        <v>5017.3500000000004</v>
      </c>
      <c r="Z189" s="1">
        <f t="shared" si="21"/>
        <v>5033.75</v>
      </c>
      <c r="AA189" s="1">
        <v>5112.32</v>
      </c>
      <c r="AB189" s="1">
        <f t="shared" si="16"/>
        <v>-94.969999999999345</v>
      </c>
      <c r="AC189" s="29">
        <f t="shared" si="22"/>
        <v>78.569999999999709</v>
      </c>
      <c r="AD189" s="11">
        <f t="shared" si="23"/>
        <v>3191497.4205</v>
      </c>
    </row>
    <row r="190" spans="1:30" x14ac:dyDescent="0.3">
      <c r="A190" s="14">
        <v>45813.9375</v>
      </c>
      <c r="B190" s="1">
        <v>1492.84</v>
      </c>
      <c r="C190" s="11">
        <v>3.2732000000000001</v>
      </c>
      <c r="D190" s="1">
        <v>586.76</v>
      </c>
      <c r="E190" s="11">
        <v>3.0760000000000001</v>
      </c>
      <c r="F190" s="1">
        <v>717.12</v>
      </c>
      <c r="G190" s="11">
        <v>3.53</v>
      </c>
      <c r="H190" s="1">
        <v>-110.07</v>
      </c>
      <c r="I190" s="11">
        <v>10</v>
      </c>
      <c r="J190" s="1">
        <v>709.95</v>
      </c>
      <c r="K190" s="11">
        <v>4.1635200000000001</v>
      </c>
      <c r="L190" s="1">
        <v>0</v>
      </c>
      <c r="M190" s="11">
        <v>6.2</v>
      </c>
      <c r="N190" s="1">
        <v>26.13</v>
      </c>
      <c r="O190" s="11">
        <v>2.8224999999999998</v>
      </c>
      <c r="P190" s="1">
        <f t="shared" si="17"/>
        <v>3422.7299999999996</v>
      </c>
      <c r="Q190" s="1">
        <v>3373.9</v>
      </c>
      <c r="R190" s="16">
        <f t="shared" si="18"/>
        <v>2787903.5492500006</v>
      </c>
      <c r="S190" s="20">
        <v>1658.5</v>
      </c>
      <c r="T190" s="21">
        <v>0.2</v>
      </c>
      <c r="U190" s="21">
        <v>9.6999999999999993</v>
      </c>
      <c r="V190" s="8">
        <v>1668.4</v>
      </c>
      <c r="W190" s="25">
        <v>1.238</v>
      </c>
      <c r="X190" s="25">
        <f t="shared" si="19"/>
        <v>516369.80000000005</v>
      </c>
      <c r="Y190" s="1">
        <f t="shared" si="20"/>
        <v>5091.1299999999992</v>
      </c>
      <c r="Z190" s="1">
        <f t="shared" si="21"/>
        <v>5042.3</v>
      </c>
      <c r="AA190" s="1">
        <v>5116.91</v>
      </c>
      <c r="AB190" s="1">
        <f t="shared" si="16"/>
        <v>-25.780000000000655</v>
      </c>
      <c r="AC190" s="29">
        <f t="shared" si="22"/>
        <v>74.609999999999673</v>
      </c>
      <c r="AD190" s="11">
        <f t="shared" si="23"/>
        <v>3304273.3492500009</v>
      </c>
    </row>
    <row r="191" spans="1:30" x14ac:dyDescent="0.3">
      <c r="A191" s="14">
        <v>45813.947916666664</v>
      </c>
      <c r="B191" s="1">
        <v>1491.14</v>
      </c>
      <c r="C191" s="11">
        <v>3.2732000000000001</v>
      </c>
      <c r="D191" s="1">
        <v>586.76</v>
      </c>
      <c r="E191" s="11">
        <v>3.0760000000000001</v>
      </c>
      <c r="F191" s="1">
        <v>717.12</v>
      </c>
      <c r="G191" s="11">
        <v>3.53</v>
      </c>
      <c r="H191" s="1">
        <v>-110.07</v>
      </c>
      <c r="I191" s="11">
        <v>10</v>
      </c>
      <c r="J191" s="1">
        <v>689.25</v>
      </c>
      <c r="K191" s="11">
        <v>4.4506899999999998</v>
      </c>
      <c r="L191" s="1">
        <v>0</v>
      </c>
      <c r="M191" s="11">
        <v>6.2</v>
      </c>
      <c r="N191" s="1">
        <v>23.57</v>
      </c>
      <c r="O191" s="11">
        <v>2.8224999999999998</v>
      </c>
      <c r="P191" s="1">
        <f t="shared" si="17"/>
        <v>3397.77</v>
      </c>
      <c r="Q191" s="1">
        <v>3361.94</v>
      </c>
      <c r="R191" s="16">
        <f t="shared" si="18"/>
        <v>2812642.8038750007</v>
      </c>
      <c r="S191" s="20">
        <v>1638.4299999999998</v>
      </c>
      <c r="T191" s="21">
        <v>0.2</v>
      </c>
      <c r="U191" s="21">
        <v>11.100000000000001</v>
      </c>
      <c r="V191" s="8">
        <v>1649.7299999999998</v>
      </c>
      <c r="W191" s="25">
        <v>1.238</v>
      </c>
      <c r="X191" s="25">
        <f t="shared" si="19"/>
        <v>510591.43499999994</v>
      </c>
      <c r="Y191" s="1">
        <f t="shared" si="20"/>
        <v>5047.5</v>
      </c>
      <c r="Z191" s="1">
        <f t="shared" si="21"/>
        <v>5011.67</v>
      </c>
      <c r="AA191" s="1">
        <v>5084.51</v>
      </c>
      <c r="AB191" s="1">
        <f t="shared" si="16"/>
        <v>-37.010000000000218</v>
      </c>
      <c r="AC191" s="29">
        <f t="shared" si="22"/>
        <v>72.840000000000146</v>
      </c>
      <c r="AD191" s="11">
        <f t="shared" si="23"/>
        <v>3323234.2388750007</v>
      </c>
    </row>
    <row r="192" spans="1:30" x14ac:dyDescent="0.3">
      <c r="A192" s="14">
        <v>45813.958333333336</v>
      </c>
      <c r="B192" s="1">
        <v>1491.01</v>
      </c>
      <c r="C192" s="11">
        <v>3.2732000000000001</v>
      </c>
      <c r="D192" s="1">
        <v>587.69000000000005</v>
      </c>
      <c r="E192" s="11">
        <v>3.0760000000000001</v>
      </c>
      <c r="F192" s="1">
        <v>717.12</v>
      </c>
      <c r="G192" s="11">
        <v>3.53</v>
      </c>
      <c r="H192" s="1">
        <v>-111</v>
      </c>
      <c r="I192" s="11">
        <v>10</v>
      </c>
      <c r="J192" s="1">
        <v>714.25</v>
      </c>
      <c r="K192" s="11">
        <v>3.8506100000000001</v>
      </c>
      <c r="L192" s="1">
        <v>0</v>
      </c>
      <c r="M192" s="11">
        <v>6.2</v>
      </c>
      <c r="N192" s="1">
        <v>23.68</v>
      </c>
      <c r="O192" s="11">
        <v>2.8224999999999998</v>
      </c>
      <c r="P192" s="1">
        <f t="shared" si="17"/>
        <v>3422.7499999999995</v>
      </c>
      <c r="Q192" s="1">
        <v>3359.67</v>
      </c>
      <c r="R192" s="16">
        <f t="shared" si="18"/>
        <v>2731669.2411250002</v>
      </c>
      <c r="S192" s="20">
        <v>1586.52</v>
      </c>
      <c r="T192" s="21">
        <v>0.2</v>
      </c>
      <c r="U192" s="21">
        <v>11.16</v>
      </c>
      <c r="V192" s="8">
        <v>1597.88</v>
      </c>
      <c r="W192" s="25">
        <v>1.238</v>
      </c>
      <c r="X192" s="25">
        <f t="shared" si="19"/>
        <v>494543.86000000004</v>
      </c>
      <c r="Y192" s="1">
        <f t="shared" si="20"/>
        <v>5020.6299999999992</v>
      </c>
      <c r="Z192" s="1">
        <f t="shared" si="21"/>
        <v>4957.55</v>
      </c>
      <c r="AA192" s="1">
        <v>5033.51</v>
      </c>
      <c r="AB192" s="1">
        <f t="shared" si="16"/>
        <v>-12.880000000001019</v>
      </c>
      <c r="AC192" s="29">
        <f t="shared" si="22"/>
        <v>75.960000000000036</v>
      </c>
      <c r="AD192" s="11">
        <f t="shared" si="23"/>
        <v>3226213.101125</v>
      </c>
    </row>
    <row r="193" spans="1:31" x14ac:dyDescent="0.3">
      <c r="A193" s="14">
        <v>45813.96875</v>
      </c>
      <c r="B193" s="1">
        <v>1491.01</v>
      </c>
      <c r="C193" s="11">
        <v>3.2732000000000001</v>
      </c>
      <c r="D193" s="1">
        <v>587.76</v>
      </c>
      <c r="E193" s="11">
        <v>3.0760000000000001</v>
      </c>
      <c r="F193" s="1">
        <v>717.12</v>
      </c>
      <c r="G193" s="11">
        <v>3.53</v>
      </c>
      <c r="H193" s="1">
        <v>-111.07</v>
      </c>
      <c r="I193" s="11">
        <v>10</v>
      </c>
      <c r="J193" s="1">
        <v>671.66</v>
      </c>
      <c r="K193" s="11">
        <v>3.47044</v>
      </c>
      <c r="L193" s="1">
        <v>0</v>
      </c>
      <c r="M193" s="11">
        <v>6.2</v>
      </c>
      <c r="N193" s="1">
        <v>22.03</v>
      </c>
      <c r="O193" s="11">
        <v>2.8224999999999998</v>
      </c>
      <c r="P193" s="1">
        <f t="shared" si="17"/>
        <v>3378.5099999999998</v>
      </c>
      <c r="Q193" s="1">
        <v>3320.02</v>
      </c>
      <c r="R193" s="16">
        <f t="shared" si="18"/>
        <v>2625548.17435</v>
      </c>
      <c r="S193" s="20">
        <v>1556.9100000000003</v>
      </c>
      <c r="T193" s="21">
        <v>0.2</v>
      </c>
      <c r="U193" s="21">
        <v>10.259999999999998</v>
      </c>
      <c r="V193" s="8">
        <v>1567.3700000000003</v>
      </c>
      <c r="W193" s="25">
        <v>1.238</v>
      </c>
      <c r="X193" s="25">
        <f t="shared" si="19"/>
        <v>485101.01500000007</v>
      </c>
      <c r="Y193" s="1">
        <f t="shared" si="20"/>
        <v>4945.88</v>
      </c>
      <c r="Z193" s="1">
        <f t="shared" si="21"/>
        <v>4887.3900000000003</v>
      </c>
      <c r="AA193" s="1">
        <v>4962.21</v>
      </c>
      <c r="AB193" s="1">
        <f t="shared" si="16"/>
        <v>-16.329999999999927</v>
      </c>
      <c r="AC193" s="29">
        <f t="shared" si="22"/>
        <v>74.819999999999709</v>
      </c>
      <c r="AD193" s="11">
        <f t="shared" si="23"/>
        <v>3110649.1893500001</v>
      </c>
    </row>
    <row r="194" spans="1:31" x14ac:dyDescent="0.3">
      <c r="A194" s="14">
        <v>45813.979166666664</v>
      </c>
      <c r="B194" s="1">
        <v>1491.01</v>
      </c>
      <c r="C194" s="11">
        <v>3.2732000000000001</v>
      </c>
      <c r="D194" s="1">
        <v>587.76</v>
      </c>
      <c r="E194" s="11">
        <v>3.0760000000000001</v>
      </c>
      <c r="F194" s="1">
        <v>717.12</v>
      </c>
      <c r="G194" s="11">
        <v>3.53</v>
      </c>
      <c r="H194" s="1">
        <v>-111.07</v>
      </c>
      <c r="I194" s="11">
        <v>10</v>
      </c>
      <c r="J194" s="1">
        <v>451.53</v>
      </c>
      <c r="K194" s="11">
        <v>3.4221699999999999</v>
      </c>
      <c r="L194" s="1">
        <v>0</v>
      </c>
      <c r="M194" s="11">
        <v>6.2</v>
      </c>
      <c r="N194" s="1">
        <v>20.79</v>
      </c>
      <c r="O194" s="11">
        <v>2.8224999999999998</v>
      </c>
      <c r="P194" s="1">
        <f t="shared" si="17"/>
        <v>3157.1399999999994</v>
      </c>
      <c r="Q194" s="1">
        <v>3142.19</v>
      </c>
      <c r="R194" s="16">
        <f t="shared" si="18"/>
        <v>2428237.3717750004</v>
      </c>
      <c r="S194" s="20">
        <v>1608.4800000000002</v>
      </c>
      <c r="T194" s="21">
        <v>0.2</v>
      </c>
      <c r="U194" s="21">
        <v>10.69</v>
      </c>
      <c r="V194" s="8">
        <v>1619.3700000000003</v>
      </c>
      <c r="W194" s="25">
        <v>1.238</v>
      </c>
      <c r="X194" s="25">
        <f t="shared" si="19"/>
        <v>501195.01500000013</v>
      </c>
      <c r="Y194" s="1">
        <f t="shared" si="20"/>
        <v>4776.51</v>
      </c>
      <c r="Z194" s="1">
        <f t="shared" si="21"/>
        <v>4761.5600000000004</v>
      </c>
      <c r="AA194" s="1">
        <v>4836.74</v>
      </c>
      <c r="AB194" s="1">
        <f t="shared" si="16"/>
        <v>-60.229999999999563</v>
      </c>
      <c r="AC194" s="29">
        <f t="shared" si="22"/>
        <v>75.179999999999382</v>
      </c>
      <c r="AD194" s="11">
        <f t="shared" si="23"/>
        <v>2929432.3867750005</v>
      </c>
    </row>
    <row r="195" spans="1:31" x14ac:dyDescent="0.3">
      <c r="A195" s="14">
        <v>45813.989583333336</v>
      </c>
      <c r="B195" s="1">
        <v>1491.01</v>
      </c>
      <c r="C195" s="11">
        <v>3.2732000000000001</v>
      </c>
      <c r="D195" s="1">
        <v>587.76</v>
      </c>
      <c r="E195" s="11">
        <v>3.0760000000000001</v>
      </c>
      <c r="F195" s="1">
        <v>717.12</v>
      </c>
      <c r="G195" s="11">
        <v>3.53</v>
      </c>
      <c r="H195" s="1">
        <v>-111.07</v>
      </c>
      <c r="I195" s="11">
        <v>10</v>
      </c>
      <c r="J195" s="1">
        <v>346.57</v>
      </c>
      <c r="K195" s="11">
        <v>3.3906700000000001</v>
      </c>
      <c r="L195" s="1">
        <v>0</v>
      </c>
      <c r="M195" s="11">
        <v>6.2</v>
      </c>
      <c r="N195" s="1">
        <v>23.47</v>
      </c>
      <c r="O195" s="11">
        <v>2.8224999999999998</v>
      </c>
      <c r="P195" s="1">
        <f t="shared" si="17"/>
        <v>3054.8599999999997</v>
      </c>
      <c r="Q195" s="1">
        <v>3003.28</v>
      </c>
      <c r="R195" s="16">
        <f t="shared" si="18"/>
        <v>2337601.4672250003</v>
      </c>
      <c r="S195" s="20">
        <v>1622.85</v>
      </c>
      <c r="T195" s="21">
        <v>0.2</v>
      </c>
      <c r="U195" s="21">
        <v>9.39</v>
      </c>
      <c r="V195" s="8">
        <v>1632.44</v>
      </c>
      <c r="W195" s="25">
        <v>1.238</v>
      </c>
      <c r="X195" s="25">
        <f t="shared" si="19"/>
        <v>505240.18</v>
      </c>
      <c r="Y195" s="1">
        <f t="shared" si="20"/>
        <v>4687.2999999999993</v>
      </c>
      <c r="Z195" s="1">
        <f t="shared" si="21"/>
        <v>4635.72</v>
      </c>
      <c r="AA195" s="1">
        <v>4712.3900000000003</v>
      </c>
      <c r="AB195" s="1">
        <f t="shared" si="16"/>
        <v>-25.090000000001055</v>
      </c>
      <c r="AC195" s="29">
        <f t="shared" si="22"/>
        <v>76.670000000000073</v>
      </c>
      <c r="AD195" s="11">
        <f t="shared" si="23"/>
        <v>2842841.6472250004</v>
      </c>
      <c r="AE195" s="31">
        <f>SUM(AD100:AD195)</f>
        <v>251472407.45414993</v>
      </c>
    </row>
    <row r="196" spans="1:31" x14ac:dyDescent="0.3">
      <c r="A196" s="14">
        <v>45843</v>
      </c>
      <c r="B196" s="1">
        <v>1490.66</v>
      </c>
      <c r="C196" s="11">
        <v>3.2732000000000001</v>
      </c>
      <c r="D196" s="1">
        <v>764.14</v>
      </c>
      <c r="E196" s="11">
        <v>3.0760000000000001</v>
      </c>
      <c r="F196" s="1">
        <v>441.67</v>
      </c>
      <c r="G196" s="11">
        <v>3.53</v>
      </c>
      <c r="H196" s="1">
        <v>-8.94</v>
      </c>
      <c r="I196" s="11">
        <v>4.4330699999999998</v>
      </c>
      <c r="J196" s="1">
        <v>303.58999999999997</v>
      </c>
      <c r="K196" s="11">
        <v>3.4700799999999998</v>
      </c>
      <c r="L196" s="1">
        <v>0</v>
      </c>
      <c r="M196" s="11">
        <v>6.2</v>
      </c>
      <c r="N196" s="1">
        <v>40.26</v>
      </c>
      <c r="O196" s="11">
        <v>2.8224999999999998</v>
      </c>
      <c r="P196" s="1">
        <f t="shared" si="17"/>
        <v>3031.3800000000006</v>
      </c>
      <c r="Q196" s="1">
        <v>2932.57</v>
      </c>
      <c r="R196" s="16">
        <f t="shared" si="18"/>
        <v>2479075.4608499999</v>
      </c>
      <c r="S196" s="20">
        <v>1616.69</v>
      </c>
      <c r="T196" s="21">
        <v>0.2</v>
      </c>
      <c r="U196" s="21">
        <v>8.1199999999999992</v>
      </c>
      <c r="V196" s="8">
        <v>1625.01</v>
      </c>
      <c r="W196" s="25">
        <v>1.238</v>
      </c>
      <c r="X196" s="25">
        <f t="shared" si="19"/>
        <v>502940.59499999997</v>
      </c>
      <c r="Y196" s="1">
        <f t="shared" si="20"/>
        <v>4656.3900000000003</v>
      </c>
      <c r="Z196" s="1">
        <f t="shared" si="21"/>
        <v>4557.58</v>
      </c>
      <c r="AA196" s="1">
        <v>4617.3900000000003</v>
      </c>
      <c r="AB196" s="1">
        <f t="shared" ref="AB196:AB259" si="24">Y196-AA196</f>
        <v>39</v>
      </c>
      <c r="AC196" s="29">
        <f t="shared" si="22"/>
        <v>59.8100000000004</v>
      </c>
      <c r="AD196" s="11">
        <f t="shared" si="23"/>
        <v>2982016.0558500001</v>
      </c>
    </row>
    <row r="197" spans="1:31" x14ac:dyDescent="0.3">
      <c r="A197" s="14">
        <v>45843.010416666664</v>
      </c>
      <c r="B197" s="1">
        <v>1490.73</v>
      </c>
      <c r="C197" s="11">
        <v>3.2732000000000001</v>
      </c>
      <c r="D197" s="1">
        <v>776.29</v>
      </c>
      <c r="E197" s="11">
        <v>3.0760000000000001</v>
      </c>
      <c r="F197" s="1">
        <v>422.7</v>
      </c>
      <c r="G197" s="11">
        <v>3.53</v>
      </c>
      <c r="H197" s="1">
        <v>-1.9</v>
      </c>
      <c r="I197" s="11">
        <v>4.2896800000000006</v>
      </c>
      <c r="J197" s="1">
        <v>229.71</v>
      </c>
      <c r="K197" s="11">
        <v>3.5007199999999998</v>
      </c>
      <c r="L197" s="1">
        <v>0</v>
      </c>
      <c r="M197" s="11">
        <v>6.2</v>
      </c>
      <c r="N197" s="1">
        <v>41.4</v>
      </c>
      <c r="O197" s="11">
        <v>2.8224999999999998</v>
      </c>
      <c r="P197" s="1">
        <f t="shared" ref="P197:P260" si="25">(B197+D197+F197+H197+J197+L197+N197)</f>
        <v>2958.93</v>
      </c>
      <c r="Q197" s="1">
        <v>2925.73</v>
      </c>
      <c r="R197" s="16">
        <f t="shared" ref="R197:R260" si="26">(((B197*C197)+(D197*E197)+(F197*G197)+(H197*I197)+(J197*K197)+(L197*M197)+(N197*O197))*(1000/4))</f>
        <v>2418076.9938000003</v>
      </c>
      <c r="S197" s="20">
        <v>1552.3</v>
      </c>
      <c r="T197" s="21">
        <v>0.2</v>
      </c>
      <c r="U197" s="21">
        <v>7.56</v>
      </c>
      <c r="V197" s="8">
        <v>1560.06</v>
      </c>
      <c r="W197" s="25">
        <v>1.238</v>
      </c>
      <c r="X197" s="25">
        <f t="shared" ref="X197:X260" si="27">((V197*W197*1000)/4)</f>
        <v>482838.57</v>
      </c>
      <c r="Y197" s="1">
        <f t="shared" ref="Y197:Y260" si="28">B197+D197+F197+H197+J197+L197+N197+V197</f>
        <v>4518.99</v>
      </c>
      <c r="Z197" s="1">
        <f t="shared" ref="Z197:Z260" si="29">Q197+V197</f>
        <v>4485.79</v>
      </c>
      <c r="AA197" s="1">
        <v>4534.59</v>
      </c>
      <c r="AB197" s="1">
        <f t="shared" si="24"/>
        <v>-15.600000000000364</v>
      </c>
      <c r="AC197" s="29">
        <f t="shared" ref="AC197:AC260" si="30">AA197-Z197</f>
        <v>48.800000000000182</v>
      </c>
      <c r="AD197" s="11">
        <f t="shared" ref="AD197:AD260" si="31">(R197+X197)</f>
        <v>2900915.5638000001</v>
      </c>
    </row>
    <row r="198" spans="1:31" x14ac:dyDescent="0.3">
      <c r="A198" s="14">
        <v>45843.020833333336</v>
      </c>
      <c r="B198" s="1">
        <v>1490.74</v>
      </c>
      <c r="C198" s="11">
        <v>3.2732000000000001</v>
      </c>
      <c r="D198" s="1">
        <v>776.29</v>
      </c>
      <c r="E198" s="11">
        <v>3.0760000000000001</v>
      </c>
      <c r="F198" s="1">
        <v>422.7</v>
      </c>
      <c r="G198" s="11">
        <v>3.53</v>
      </c>
      <c r="H198" s="1">
        <v>-1.9</v>
      </c>
      <c r="I198" s="11">
        <v>4.1693599999999993</v>
      </c>
      <c r="J198" s="1">
        <v>124.65</v>
      </c>
      <c r="K198" s="11">
        <v>3.4220999999999999</v>
      </c>
      <c r="L198" s="1">
        <v>0</v>
      </c>
      <c r="M198" s="11">
        <v>6.2</v>
      </c>
      <c r="N198" s="1">
        <v>41.4</v>
      </c>
      <c r="O198" s="11">
        <v>2.8224999999999998</v>
      </c>
      <c r="P198" s="1">
        <f t="shared" si="25"/>
        <v>2853.8799999999997</v>
      </c>
      <c r="Q198" s="1">
        <v>2852.84</v>
      </c>
      <c r="R198" s="16">
        <f t="shared" si="26"/>
        <v>2323745.9222499998</v>
      </c>
      <c r="S198" s="20">
        <v>1542.6599999999999</v>
      </c>
      <c r="T198" s="21">
        <v>0.2</v>
      </c>
      <c r="U198" s="21">
        <v>6.34</v>
      </c>
      <c r="V198" s="8">
        <v>1549.1999999999998</v>
      </c>
      <c r="W198" s="25">
        <v>1.238</v>
      </c>
      <c r="X198" s="25">
        <f t="shared" si="27"/>
        <v>479477.39999999991</v>
      </c>
      <c r="Y198" s="1">
        <f t="shared" si="28"/>
        <v>4403.08</v>
      </c>
      <c r="Z198" s="1">
        <f t="shared" si="29"/>
        <v>4402.04</v>
      </c>
      <c r="AA198" s="1">
        <v>4451.78</v>
      </c>
      <c r="AB198" s="1">
        <f t="shared" si="24"/>
        <v>-48.699999999999818</v>
      </c>
      <c r="AC198" s="29">
        <f t="shared" si="30"/>
        <v>49.739999999999782</v>
      </c>
      <c r="AD198" s="11">
        <f t="shared" si="31"/>
        <v>2803223.3222499997</v>
      </c>
    </row>
    <row r="199" spans="1:31" x14ac:dyDescent="0.3">
      <c r="A199" s="14">
        <v>45843.03125</v>
      </c>
      <c r="B199" s="1">
        <v>1490.74</v>
      </c>
      <c r="C199" s="11">
        <v>3.2732000000000001</v>
      </c>
      <c r="D199" s="1">
        <v>776.29</v>
      </c>
      <c r="E199" s="11">
        <v>3.0760000000000001</v>
      </c>
      <c r="F199" s="1">
        <v>422.7</v>
      </c>
      <c r="G199" s="11">
        <v>3.53</v>
      </c>
      <c r="H199" s="1">
        <v>-1.9</v>
      </c>
      <c r="I199" s="11">
        <v>4.0001100000000003</v>
      </c>
      <c r="J199" s="1">
        <v>46.04</v>
      </c>
      <c r="K199" s="11">
        <v>3.3900600000000001</v>
      </c>
      <c r="L199" s="1">
        <v>0</v>
      </c>
      <c r="M199" s="11">
        <v>6.2</v>
      </c>
      <c r="N199" s="1">
        <v>41.4</v>
      </c>
      <c r="O199" s="11">
        <v>2.8224999999999998</v>
      </c>
      <c r="P199" s="1">
        <f t="shared" si="25"/>
        <v>2775.2699999999995</v>
      </c>
      <c r="Q199" s="1">
        <v>2778.4</v>
      </c>
      <c r="R199" s="16">
        <f t="shared" si="26"/>
        <v>2256204.7153499997</v>
      </c>
      <c r="S199" s="20">
        <v>1542.84</v>
      </c>
      <c r="T199" s="21">
        <v>0.2</v>
      </c>
      <c r="U199" s="21">
        <v>6.88</v>
      </c>
      <c r="V199" s="8">
        <v>1549.92</v>
      </c>
      <c r="W199" s="25">
        <v>1.238</v>
      </c>
      <c r="X199" s="25">
        <f t="shared" si="27"/>
        <v>479700.24</v>
      </c>
      <c r="Y199" s="1">
        <f t="shared" si="28"/>
        <v>4325.1899999999996</v>
      </c>
      <c r="Z199" s="1">
        <f t="shared" si="29"/>
        <v>4328.32</v>
      </c>
      <c r="AA199" s="1">
        <v>4378.16</v>
      </c>
      <c r="AB199" s="1">
        <f t="shared" si="24"/>
        <v>-52.970000000000255</v>
      </c>
      <c r="AC199" s="29">
        <f t="shared" si="30"/>
        <v>49.840000000000146</v>
      </c>
      <c r="AD199" s="11">
        <f t="shared" si="31"/>
        <v>2735904.9553499995</v>
      </c>
    </row>
    <row r="200" spans="1:31" x14ac:dyDescent="0.3">
      <c r="A200" s="14">
        <v>45843.041666666664</v>
      </c>
      <c r="B200" s="1">
        <v>1490.74</v>
      </c>
      <c r="C200" s="11">
        <v>3.2732000000000001</v>
      </c>
      <c r="D200" s="1">
        <v>776.29</v>
      </c>
      <c r="E200" s="11">
        <v>3.0760000000000001</v>
      </c>
      <c r="F200" s="1">
        <v>422.7</v>
      </c>
      <c r="G200" s="11">
        <v>3.53</v>
      </c>
      <c r="H200" s="1">
        <v>-1.9</v>
      </c>
      <c r="I200" s="11">
        <v>3.93099</v>
      </c>
      <c r="J200" s="1">
        <v>40.46</v>
      </c>
      <c r="K200" s="11">
        <v>3.3678300000000001</v>
      </c>
      <c r="L200" s="1">
        <v>0</v>
      </c>
      <c r="M200" s="11">
        <v>6.2</v>
      </c>
      <c r="N200" s="1">
        <v>41.4</v>
      </c>
      <c r="O200" s="11">
        <v>2.8224999999999998</v>
      </c>
      <c r="P200" s="1">
        <f t="shared" si="25"/>
        <v>2769.6899999999996</v>
      </c>
      <c r="Q200" s="1">
        <v>2763.24</v>
      </c>
      <c r="R200" s="16">
        <f t="shared" si="26"/>
        <v>2251283.5571999997</v>
      </c>
      <c r="S200" s="20">
        <v>1492.97</v>
      </c>
      <c r="T200" s="21">
        <v>0.2</v>
      </c>
      <c r="U200" s="21">
        <v>5.98</v>
      </c>
      <c r="V200" s="8">
        <v>1499.15</v>
      </c>
      <c r="W200" s="25">
        <v>1.238</v>
      </c>
      <c r="X200" s="25">
        <f t="shared" si="27"/>
        <v>463986.92500000005</v>
      </c>
      <c r="Y200" s="1">
        <f t="shared" si="28"/>
        <v>4268.84</v>
      </c>
      <c r="Z200" s="1">
        <f t="shared" si="29"/>
        <v>4262.3899999999994</v>
      </c>
      <c r="AA200" s="1">
        <v>4310.84</v>
      </c>
      <c r="AB200" s="1">
        <f t="shared" si="24"/>
        <v>-42</v>
      </c>
      <c r="AC200" s="29">
        <f t="shared" si="30"/>
        <v>48.450000000000728</v>
      </c>
      <c r="AD200" s="11">
        <f t="shared" si="31"/>
        <v>2715270.4821999995</v>
      </c>
    </row>
    <row r="201" spans="1:31" x14ac:dyDescent="0.3">
      <c r="A201" s="14">
        <v>45843.052083333336</v>
      </c>
      <c r="B201" s="1">
        <v>1490.74</v>
      </c>
      <c r="C201" s="11">
        <v>3.2732000000000001</v>
      </c>
      <c r="D201" s="1">
        <v>776.29</v>
      </c>
      <c r="E201" s="11">
        <v>3.0760000000000001</v>
      </c>
      <c r="F201" s="1">
        <v>422.7</v>
      </c>
      <c r="G201" s="11">
        <v>3.53</v>
      </c>
      <c r="H201" s="1">
        <v>-1.9</v>
      </c>
      <c r="I201" s="11">
        <v>3.9300999999999999</v>
      </c>
      <c r="J201" s="1">
        <v>-4.6399999999999997</v>
      </c>
      <c r="K201" s="11">
        <v>3.4141900000000001</v>
      </c>
      <c r="L201" s="1">
        <v>0</v>
      </c>
      <c r="M201" s="11">
        <v>6.2</v>
      </c>
      <c r="N201" s="1">
        <v>41.4</v>
      </c>
      <c r="O201" s="11">
        <v>2.8224999999999998</v>
      </c>
      <c r="P201" s="1">
        <f t="shared" si="25"/>
        <v>2724.5899999999997</v>
      </c>
      <c r="Q201" s="1">
        <v>2744.52</v>
      </c>
      <c r="R201" s="16">
        <f t="shared" si="26"/>
        <v>2213257.9191000001</v>
      </c>
      <c r="S201" s="20">
        <v>1450.95</v>
      </c>
      <c r="T201" s="21">
        <v>0.2</v>
      </c>
      <c r="U201" s="21">
        <v>5.58</v>
      </c>
      <c r="V201" s="8">
        <v>1456.73</v>
      </c>
      <c r="W201" s="25">
        <v>1.238</v>
      </c>
      <c r="X201" s="25">
        <f t="shared" si="27"/>
        <v>450857.935</v>
      </c>
      <c r="Y201" s="1">
        <f t="shared" si="28"/>
        <v>4181.32</v>
      </c>
      <c r="Z201" s="1">
        <f t="shared" si="29"/>
        <v>4201.25</v>
      </c>
      <c r="AA201" s="1">
        <v>4251.6000000000004</v>
      </c>
      <c r="AB201" s="1">
        <f t="shared" si="24"/>
        <v>-70.280000000000655</v>
      </c>
      <c r="AC201" s="29">
        <f t="shared" si="30"/>
        <v>50.350000000000364</v>
      </c>
      <c r="AD201" s="11">
        <f t="shared" si="31"/>
        <v>2664115.8541000001</v>
      </c>
    </row>
    <row r="202" spans="1:31" x14ac:dyDescent="0.3">
      <c r="A202" s="14">
        <v>45843.0625</v>
      </c>
      <c r="B202" s="1">
        <v>1490.74</v>
      </c>
      <c r="C202" s="11">
        <v>3.2732000000000001</v>
      </c>
      <c r="D202" s="1">
        <v>776.29</v>
      </c>
      <c r="E202" s="11">
        <v>3.0760000000000001</v>
      </c>
      <c r="F202" s="1">
        <v>422.7</v>
      </c>
      <c r="G202" s="11">
        <v>3.53</v>
      </c>
      <c r="H202" s="1">
        <v>-1.9</v>
      </c>
      <c r="I202" s="11">
        <v>3.6921500000000003</v>
      </c>
      <c r="J202" s="1">
        <v>-7.8</v>
      </c>
      <c r="K202" s="11">
        <v>3.4701999999999997</v>
      </c>
      <c r="L202" s="1">
        <v>0</v>
      </c>
      <c r="M202" s="11">
        <v>6.2</v>
      </c>
      <c r="N202" s="1">
        <v>39.729999999999997</v>
      </c>
      <c r="O202" s="11">
        <v>2.8224999999999998</v>
      </c>
      <c r="P202" s="1">
        <f t="shared" si="25"/>
        <v>2719.7599999999993</v>
      </c>
      <c r="Q202" s="1">
        <v>2715.55</v>
      </c>
      <c r="R202" s="16">
        <f t="shared" si="26"/>
        <v>2209386.1219999995</v>
      </c>
      <c r="S202" s="20">
        <v>1414.77</v>
      </c>
      <c r="T202" s="21">
        <v>0.21</v>
      </c>
      <c r="U202" s="21">
        <v>4.2700000000000005</v>
      </c>
      <c r="V202" s="8">
        <v>1419.25</v>
      </c>
      <c r="W202" s="25">
        <v>1.238</v>
      </c>
      <c r="X202" s="25">
        <f t="shared" si="27"/>
        <v>439257.875</v>
      </c>
      <c r="Y202" s="1">
        <f t="shared" si="28"/>
        <v>4139.0099999999993</v>
      </c>
      <c r="Z202" s="1">
        <f t="shared" si="29"/>
        <v>4134.8</v>
      </c>
      <c r="AA202" s="1">
        <v>4183.57</v>
      </c>
      <c r="AB202" s="1">
        <f t="shared" si="24"/>
        <v>-44.5600000000004</v>
      </c>
      <c r="AC202" s="29">
        <f t="shared" si="30"/>
        <v>48.769999999999527</v>
      </c>
      <c r="AD202" s="11">
        <f t="shared" si="31"/>
        <v>2648643.9969999995</v>
      </c>
    </row>
    <row r="203" spans="1:31" x14ac:dyDescent="0.3">
      <c r="A203" s="14">
        <v>45843.072916666664</v>
      </c>
      <c r="B203" s="1">
        <v>1490.74</v>
      </c>
      <c r="C203" s="11">
        <v>3.2732000000000001</v>
      </c>
      <c r="D203" s="1">
        <v>776.29</v>
      </c>
      <c r="E203" s="11">
        <v>3.0760000000000001</v>
      </c>
      <c r="F203" s="1">
        <v>422.7</v>
      </c>
      <c r="G203" s="11">
        <v>3.53</v>
      </c>
      <c r="H203" s="1">
        <v>-1.9</v>
      </c>
      <c r="I203" s="11">
        <v>3.63971</v>
      </c>
      <c r="J203" s="1">
        <v>-7.8</v>
      </c>
      <c r="K203" s="11">
        <v>3.4224800000000002</v>
      </c>
      <c r="L203" s="1">
        <v>0</v>
      </c>
      <c r="M203" s="11">
        <v>6.2</v>
      </c>
      <c r="N203" s="1">
        <v>38.21</v>
      </c>
      <c r="O203" s="11">
        <v>2.8224999999999998</v>
      </c>
      <c r="P203" s="1">
        <f t="shared" si="25"/>
        <v>2718.2399999999993</v>
      </c>
      <c r="Q203" s="1">
        <v>2700.72</v>
      </c>
      <c r="R203" s="16">
        <f t="shared" si="26"/>
        <v>2208431.5349999997</v>
      </c>
      <c r="S203" s="20">
        <v>1379.5300000000002</v>
      </c>
      <c r="T203" s="21">
        <v>0.21</v>
      </c>
      <c r="U203" s="21">
        <v>4.17</v>
      </c>
      <c r="V203" s="8">
        <v>1383.9100000000003</v>
      </c>
      <c r="W203" s="25">
        <v>1.238</v>
      </c>
      <c r="X203" s="25">
        <f t="shared" si="27"/>
        <v>428320.14500000008</v>
      </c>
      <c r="Y203" s="1">
        <f t="shared" si="28"/>
        <v>4102.1499999999996</v>
      </c>
      <c r="Z203" s="1">
        <f t="shared" si="29"/>
        <v>4084.63</v>
      </c>
      <c r="AA203" s="1">
        <v>4133.3100000000004</v>
      </c>
      <c r="AB203" s="1">
        <f t="shared" si="24"/>
        <v>-31.160000000000764</v>
      </c>
      <c r="AC203" s="29">
        <f t="shared" si="30"/>
        <v>48.680000000000291</v>
      </c>
      <c r="AD203" s="11">
        <f t="shared" si="31"/>
        <v>2636751.6799999997</v>
      </c>
    </row>
    <row r="204" spans="1:31" x14ac:dyDescent="0.3">
      <c r="A204" s="14">
        <v>45843.083333333336</v>
      </c>
      <c r="B204" s="1">
        <v>1490.74</v>
      </c>
      <c r="C204" s="11">
        <v>3.2732000000000001</v>
      </c>
      <c r="D204" s="1">
        <v>776.29</v>
      </c>
      <c r="E204" s="11">
        <v>3.0760000000000001</v>
      </c>
      <c r="F204" s="1">
        <v>400.15</v>
      </c>
      <c r="G204" s="11">
        <v>3.53</v>
      </c>
      <c r="H204" s="1">
        <v>-1.9</v>
      </c>
      <c r="I204" s="11">
        <v>3.5654899999999996</v>
      </c>
      <c r="J204" s="1">
        <v>-7.8</v>
      </c>
      <c r="K204" s="11">
        <v>3.47098</v>
      </c>
      <c r="L204" s="1">
        <v>0</v>
      </c>
      <c r="M204" s="11">
        <v>6.2</v>
      </c>
      <c r="N204" s="1">
        <v>36.43</v>
      </c>
      <c r="O204" s="11">
        <v>2.8224999999999998</v>
      </c>
      <c r="P204" s="1">
        <f t="shared" si="25"/>
        <v>2693.9099999999994</v>
      </c>
      <c r="Q204" s="1">
        <v>2640.17</v>
      </c>
      <c r="R204" s="16">
        <f t="shared" si="26"/>
        <v>2187215.827</v>
      </c>
      <c r="S204" s="20">
        <v>1377.13</v>
      </c>
      <c r="T204" s="21">
        <v>0.21</v>
      </c>
      <c r="U204" s="21">
        <v>5.26</v>
      </c>
      <c r="V204" s="8">
        <v>1382.6000000000001</v>
      </c>
      <c r="W204" s="25">
        <v>1.238</v>
      </c>
      <c r="X204" s="25">
        <f t="shared" si="27"/>
        <v>427914.7</v>
      </c>
      <c r="Y204" s="1">
        <f t="shared" si="28"/>
        <v>4076.5099999999993</v>
      </c>
      <c r="Z204" s="1">
        <f t="shared" si="29"/>
        <v>4022.7700000000004</v>
      </c>
      <c r="AA204" s="1">
        <v>4071.44</v>
      </c>
      <c r="AB204" s="1">
        <f t="shared" si="24"/>
        <v>5.0699999999992542</v>
      </c>
      <c r="AC204" s="29">
        <f t="shared" si="30"/>
        <v>48.669999999999618</v>
      </c>
      <c r="AD204" s="11">
        <f t="shared" si="31"/>
        <v>2615130.5270000002</v>
      </c>
    </row>
    <row r="205" spans="1:31" x14ac:dyDescent="0.3">
      <c r="A205" s="14">
        <v>45843.09375</v>
      </c>
      <c r="B205" s="1">
        <v>1490.74</v>
      </c>
      <c r="C205" s="11">
        <v>3.2732000000000001</v>
      </c>
      <c r="D205" s="1">
        <v>776.29</v>
      </c>
      <c r="E205" s="11">
        <v>3.0760000000000001</v>
      </c>
      <c r="F205" s="1">
        <v>398.57</v>
      </c>
      <c r="G205" s="11">
        <v>3.53</v>
      </c>
      <c r="H205" s="1">
        <v>-1.9</v>
      </c>
      <c r="I205" s="11">
        <v>3.56406</v>
      </c>
      <c r="J205" s="1">
        <v>-7.8</v>
      </c>
      <c r="K205" s="11">
        <v>3.6006999999999998</v>
      </c>
      <c r="L205" s="1">
        <v>0</v>
      </c>
      <c r="M205" s="11">
        <v>6.2</v>
      </c>
      <c r="N205" s="1">
        <v>34.909999999999997</v>
      </c>
      <c r="O205" s="11">
        <v>2.8224999999999998</v>
      </c>
      <c r="P205" s="1">
        <f t="shared" si="25"/>
        <v>2690.8099999999995</v>
      </c>
      <c r="Q205" s="1">
        <v>2632.99</v>
      </c>
      <c r="R205" s="16">
        <f t="shared" si="26"/>
        <v>2184496.6522499998</v>
      </c>
      <c r="S205" s="20">
        <v>1326.4100000000003</v>
      </c>
      <c r="T205" s="21">
        <v>0.2</v>
      </c>
      <c r="U205" s="21">
        <v>5.0999999999999996</v>
      </c>
      <c r="V205" s="8">
        <v>1331.7100000000003</v>
      </c>
      <c r="W205" s="25">
        <v>1.238</v>
      </c>
      <c r="X205" s="25">
        <f t="shared" si="27"/>
        <v>412164.24500000005</v>
      </c>
      <c r="Y205" s="1">
        <f t="shared" si="28"/>
        <v>4022.5199999999995</v>
      </c>
      <c r="Z205" s="1">
        <f t="shared" si="29"/>
        <v>3964.7</v>
      </c>
      <c r="AA205" s="1">
        <v>4015.6</v>
      </c>
      <c r="AB205" s="1">
        <f t="shared" si="24"/>
        <v>6.919999999999618</v>
      </c>
      <c r="AC205" s="29">
        <f t="shared" si="30"/>
        <v>50.900000000000091</v>
      </c>
      <c r="AD205" s="11">
        <f t="shared" si="31"/>
        <v>2596660.8972499999</v>
      </c>
    </row>
    <row r="206" spans="1:31" x14ac:dyDescent="0.3">
      <c r="A206" s="14">
        <v>45843.104166666664</v>
      </c>
      <c r="B206" s="1">
        <v>1490.74</v>
      </c>
      <c r="C206" s="11">
        <v>3.2732000000000001</v>
      </c>
      <c r="D206" s="1">
        <v>776.29</v>
      </c>
      <c r="E206" s="11">
        <v>3.0760000000000001</v>
      </c>
      <c r="F206" s="1">
        <v>398.57</v>
      </c>
      <c r="G206" s="11">
        <v>3.53</v>
      </c>
      <c r="H206" s="1">
        <v>-1.9</v>
      </c>
      <c r="I206" s="11">
        <v>3.5005999999999999</v>
      </c>
      <c r="J206" s="1">
        <v>-7.8</v>
      </c>
      <c r="K206" s="11">
        <v>3.5821000000000001</v>
      </c>
      <c r="L206" s="1">
        <v>0</v>
      </c>
      <c r="M206" s="11">
        <v>6.2</v>
      </c>
      <c r="N206" s="1">
        <v>33.130000000000003</v>
      </c>
      <c r="O206" s="11">
        <v>2.8224999999999998</v>
      </c>
      <c r="P206" s="1">
        <f t="shared" si="25"/>
        <v>2689.0299999999997</v>
      </c>
      <c r="Q206" s="1">
        <v>2628.95</v>
      </c>
      <c r="R206" s="16">
        <f t="shared" si="26"/>
        <v>2183307.0532499999</v>
      </c>
      <c r="S206" s="20">
        <v>1284.5600000000002</v>
      </c>
      <c r="T206" s="21">
        <v>0.21</v>
      </c>
      <c r="U206" s="21">
        <v>5.97</v>
      </c>
      <c r="V206" s="8">
        <v>1290.7400000000002</v>
      </c>
      <c r="W206" s="25">
        <v>1.238</v>
      </c>
      <c r="X206" s="25">
        <f t="shared" si="27"/>
        <v>399484.03000000009</v>
      </c>
      <c r="Y206" s="1">
        <f t="shared" si="28"/>
        <v>3979.77</v>
      </c>
      <c r="Z206" s="1">
        <f t="shared" si="29"/>
        <v>3919.69</v>
      </c>
      <c r="AA206" s="1">
        <v>3970.29</v>
      </c>
      <c r="AB206" s="1">
        <f t="shared" si="24"/>
        <v>9.4800000000000182</v>
      </c>
      <c r="AC206" s="29">
        <f t="shared" si="30"/>
        <v>50.599999999999909</v>
      </c>
      <c r="AD206" s="11">
        <f t="shared" si="31"/>
        <v>2582791.0832500001</v>
      </c>
    </row>
    <row r="207" spans="1:31" x14ac:dyDescent="0.3">
      <c r="A207" s="14">
        <v>45843.114583333336</v>
      </c>
      <c r="B207" s="1">
        <v>1490.74</v>
      </c>
      <c r="C207" s="11">
        <v>3.2732000000000001</v>
      </c>
      <c r="D207" s="1">
        <v>776.29</v>
      </c>
      <c r="E207" s="11">
        <v>3.0760000000000001</v>
      </c>
      <c r="F207" s="1">
        <v>398.57</v>
      </c>
      <c r="G207" s="11">
        <v>3.53</v>
      </c>
      <c r="H207" s="1">
        <v>-1.9</v>
      </c>
      <c r="I207" s="11">
        <v>3.4992800000000002</v>
      </c>
      <c r="J207" s="1">
        <v>-7.8</v>
      </c>
      <c r="K207" s="11">
        <v>3.5821700000000001</v>
      </c>
      <c r="L207" s="1">
        <v>0</v>
      </c>
      <c r="M207" s="11">
        <v>6.2</v>
      </c>
      <c r="N207" s="1">
        <v>31.6</v>
      </c>
      <c r="O207" s="11">
        <v>2.8224999999999998</v>
      </c>
      <c r="P207" s="1">
        <f t="shared" si="25"/>
        <v>2687.4999999999995</v>
      </c>
      <c r="Q207" s="1">
        <v>2650.75</v>
      </c>
      <c r="R207" s="16">
        <f t="shared" si="26"/>
        <v>2182227.9375000005</v>
      </c>
      <c r="S207" s="20">
        <v>1226</v>
      </c>
      <c r="T207" s="21">
        <v>0.21</v>
      </c>
      <c r="U207" s="21">
        <v>6.06</v>
      </c>
      <c r="V207" s="8">
        <v>1232.27</v>
      </c>
      <c r="W207" s="25">
        <v>1.238</v>
      </c>
      <c r="X207" s="25">
        <f t="shared" si="27"/>
        <v>381387.565</v>
      </c>
      <c r="Y207" s="1">
        <f t="shared" si="28"/>
        <v>3919.7699999999995</v>
      </c>
      <c r="Z207" s="1">
        <f t="shared" si="29"/>
        <v>3883.02</v>
      </c>
      <c r="AA207" s="1">
        <v>3933.82</v>
      </c>
      <c r="AB207" s="1">
        <f t="shared" si="24"/>
        <v>-14.050000000000637</v>
      </c>
      <c r="AC207" s="29">
        <f t="shared" si="30"/>
        <v>50.800000000000182</v>
      </c>
      <c r="AD207" s="11">
        <f t="shared" si="31"/>
        <v>2563615.5025000004</v>
      </c>
    </row>
    <row r="208" spans="1:31" x14ac:dyDescent="0.3">
      <c r="A208" s="14">
        <v>45843.125</v>
      </c>
      <c r="B208" s="1">
        <v>1471.96</v>
      </c>
      <c r="C208" s="11">
        <v>3.2732000000000001</v>
      </c>
      <c r="D208" s="1">
        <v>1145.19</v>
      </c>
      <c r="E208" s="11">
        <v>3.0760000000000001</v>
      </c>
      <c r="F208" s="1">
        <v>29.67</v>
      </c>
      <c r="G208" s="11">
        <v>3.53</v>
      </c>
      <c r="H208" s="1">
        <v>-1.9</v>
      </c>
      <c r="I208" s="11">
        <v>3.45146</v>
      </c>
      <c r="J208" s="1">
        <v>-7.8</v>
      </c>
      <c r="K208" s="11">
        <v>3.2935700000000003</v>
      </c>
      <c r="L208" s="1">
        <v>0</v>
      </c>
      <c r="M208" s="11">
        <v>6.2</v>
      </c>
      <c r="N208" s="1">
        <v>29.83</v>
      </c>
      <c r="O208" s="11">
        <v>2.8224999999999998</v>
      </c>
      <c r="P208" s="1">
        <f t="shared" si="25"/>
        <v>2666.95</v>
      </c>
      <c r="Q208" s="1">
        <v>2606.6999999999998</v>
      </c>
      <c r="R208" s="16">
        <f t="shared" si="26"/>
        <v>2124326.64175</v>
      </c>
      <c r="S208" s="20">
        <v>1232.1599999999999</v>
      </c>
      <c r="T208" s="21">
        <v>0.21</v>
      </c>
      <c r="U208" s="21">
        <v>5.8400000000000007</v>
      </c>
      <c r="V208" s="8">
        <v>1238.2099999999998</v>
      </c>
      <c r="W208" s="25">
        <v>1.238</v>
      </c>
      <c r="X208" s="25">
        <f t="shared" si="27"/>
        <v>383225.99499999994</v>
      </c>
      <c r="Y208" s="1">
        <f t="shared" si="28"/>
        <v>3905.16</v>
      </c>
      <c r="Z208" s="1">
        <f t="shared" si="29"/>
        <v>3844.91</v>
      </c>
      <c r="AA208" s="1">
        <v>3894.88</v>
      </c>
      <c r="AB208" s="1">
        <f t="shared" si="24"/>
        <v>10.279999999999745</v>
      </c>
      <c r="AC208" s="29">
        <f t="shared" si="30"/>
        <v>49.970000000000255</v>
      </c>
      <c r="AD208" s="11">
        <f t="shared" si="31"/>
        <v>2507552.6367500001</v>
      </c>
    </row>
    <row r="209" spans="1:30" x14ac:dyDescent="0.3">
      <c r="A209" s="14">
        <v>45843.135416666664</v>
      </c>
      <c r="B209" s="1">
        <v>1470.16</v>
      </c>
      <c r="C209" s="11">
        <v>3.2732000000000001</v>
      </c>
      <c r="D209" s="1">
        <v>1174.8599999999999</v>
      </c>
      <c r="E209" s="11">
        <v>3.0760000000000001</v>
      </c>
      <c r="F209" s="1">
        <v>0</v>
      </c>
      <c r="G209" s="11">
        <v>3.53</v>
      </c>
      <c r="H209" s="1">
        <v>-1.9</v>
      </c>
      <c r="I209" s="11">
        <v>3.45112</v>
      </c>
      <c r="J209" s="1">
        <v>-7.8</v>
      </c>
      <c r="K209" s="11">
        <v>3.246</v>
      </c>
      <c r="L209" s="1">
        <v>0</v>
      </c>
      <c r="M209" s="11">
        <v>6.2</v>
      </c>
      <c r="N209" s="1">
        <v>29.14</v>
      </c>
      <c r="O209" s="11">
        <v>2.8224999999999998</v>
      </c>
      <c r="P209" s="1">
        <f t="shared" si="25"/>
        <v>2664.4599999999996</v>
      </c>
      <c r="Q209" s="1">
        <v>2603.59</v>
      </c>
      <c r="R209" s="16">
        <f t="shared" si="26"/>
        <v>2119092.1984999999</v>
      </c>
      <c r="S209" s="20">
        <v>1194.02</v>
      </c>
      <c r="T209" s="21">
        <v>0.21</v>
      </c>
      <c r="U209" s="21">
        <v>5.7899999999999991</v>
      </c>
      <c r="V209" s="8">
        <v>1200.02</v>
      </c>
      <c r="W209" s="25">
        <v>1.238</v>
      </c>
      <c r="X209" s="25">
        <f t="shared" si="27"/>
        <v>371406.19</v>
      </c>
      <c r="Y209" s="1">
        <f t="shared" si="28"/>
        <v>3864.4799999999996</v>
      </c>
      <c r="Z209" s="1">
        <f t="shared" si="29"/>
        <v>3803.61</v>
      </c>
      <c r="AA209" s="1">
        <v>3856</v>
      </c>
      <c r="AB209" s="1">
        <f t="shared" si="24"/>
        <v>8.4799999999995634</v>
      </c>
      <c r="AC209" s="29">
        <f t="shared" si="30"/>
        <v>52.389999999999873</v>
      </c>
      <c r="AD209" s="11">
        <f t="shared" si="31"/>
        <v>2490498.3884999999</v>
      </c>
    </row>
    <row r="210" spans="1:30" x14ac:dyDescent="0.3">
      <c r="A210" s="14">
        <v>45843.145833333336</v>
      </c>
      <c r="B210" s="1">
        <v>1470.13</v>
      </c>
      <c r="C210" s="11">
        <v>3.2732000000000001</v>
      </c>
      <c r="D210" s="1">
        <v>1174.8599999999999</v>
      </c>
      <c r="E210" s="11">
        <v>3.0760000000000001</v>
      </c>
      <c r="F210" s="1">
        <v>0</v>
      </c>
      <c r="G210" s="11">
        <v>3.53</v>
      </c>
      <c r="H210" s="1">
        <v>-1.9</v>
      </c>
      <c r="I210" s="11">
        <v>3.4272100000000001</v>
      </c>
      <c r="J210" s="1">
        <v>-7.8</v>
      </c>
      <c r="K210" s="11">
        <v>3.0537800000000002</v>
      </c>
      <c r="L210" s="1">
        <v>0</v>
      </c>
      <c r="M210" s="11">
        <v>6.2</v>
      </c>
      <c r="N210" s="1">
        <v>28.27</v>
      </c>
      <c r="O210" s="11">
        <v>2.8224999999999998</v>
      </c>
      <c r="P210" s="1">
        <f t="shared" si="25"/>
        <v>2663.5599999999995</v>
      </c>
      <c r="Q210" s="1">
        <v>2603.0700000000002</v>
      </c>
      <c r="R210" s="16">
        <f t="shared" si="26"/>
        <v>2118839.9419999998</v>
      </c>
      <c r="S210" s="20">
        <v>1163.56</v>
      </c>
      <c r="T210" s="21">
        <v>0.22</v>
      </c>
      <c r="U210" s="21">
        <v>4.8600000000000003</v>
      </c>
      <c r="V210" s="8">
        <v>1168.6399999999999</v>
      </c>
      <c r="W210" s="25">
        <v>1.238</v>
      </c>
      <c r="X210" s="25">
        <f t="shared" si="27"/>
        <v>361694.07999999996</v>
      </c>
      <c r="Y210" s="1">
        <f t="shared" si="28"/>
        <v>3832.1999999999994</v>
      </c>
      <c r="Z210" s="1">
        <f t="shared" si="29"/>
        <v>3771.71</v>
      </c>
      <c r="AA210" s="1">
        <v>3822</v>
      </c>
      <c r="AB210" s="1">
        <f t="shared" si="24"/>
        <v>10.199999999999363</v>
      </c>
      <c r="AC210" s="29">
        <f t="shared" si="30"/>
        <v>50.289999999999964</v>
      </c>
      <c r="AD210" s="11">
        <f t="shared" si="31"/>
        <v>2480534.0219999999</v>
      </c>
    </row>
    <row r="211" spans="1:30" x14ac:dyDescent="0.3">
      <c r="A211" s="14">
        <v>45843.15625</v>
      </c>
      <c r="B211" s="1">
        <v>1470.13</v>
      </c>
      <c r="C211" s="11">
        <v>3.2732000000000001</v>
      </c>
      <c r="D211" s="1">
        <v>1174.8599999999999</v>
      </c>
      <c r="E211" s="11">
        <v>3.0760000000000001</v>
      </c>
      <c r="F211" s="1">
        <v>0</v>
      </c>
      <c r="G211" s="11">
        <v>3.53</v>
      </c>
      <c r="H211" s="1">
        <v>-1.9</v>
      </c>
      <c r="I211" s="11">
        <v>3.4223000000000003</v>
      </c>
      <c r="J211" s="1">
        <v>-7.8</v>
      </c>
      <c r="K211" s="11">
        <v>3.0532600000000003</v>
      </c>
      <c r="L211" s="1">
        <v>0</v>
      </c>
      <c r="M211" s="11">
        <v>6.2</v>
      </c>
      <c r="N211" s="1">
        <v>27.09</v>
      </c>
      <c r="O211" s="11">
        <v>2.8224999999999998</v>
      </c>
      <c r="P211" s="1">
        <f t="shared" si="25"/>
        <v>2662.3799999999997</v>
      </c>
      <c r="Q211" s="1">
        <v>2621.52</v>
      </c>
      <c r="R211" s="16">
        <f t="shared" si="26"/>
        <v>2118010.65075</v>
      </c>
      <c r="S211" s="20">
        <v>1112.92</v>
      </c>
      <c r="T211" s="21">
        <v>0.21</v>
      </c>
      <c r="U211" s="21">
        <v>4.1399999999999997</v>
      </c>
      <c r="V211" s="8">
        <v>1117.2700000000002</v>
      </c>
      <c r="W211" s="25">
        <v>1.238</v>
      </c>
      <c r="X211" s="25">
        <f t="shared" si="27"/>
        <v>345795.06500000006</v>
      </c>
      <c r="Y211" s="1">
        <f t="shared" si="28"/>
        <v>3779.6499999999996</v>
      </c>
      <c r="Z211" s="1">
        <f t="shared" si="29"/>
        <v>3738.79</v>
      </c>
      <c r="AA211" s="1">
        <v>3789.75</v>
      </c>
      <c r="AB211" s="1">
        <f t="shared" si="24"/>
        <v>-10.100000000000364</v>
      </c>
      <c r="AC211" s="29">
        <f t="shared" si="30"/>
        <v>50.960000000000036</v>
      </c>
      <c r="AD211" s="11">
        <f t="shared" si="31"/>
        <v>2463805.71575</v>
      </c>
    </row>
    <row r="212" spans="1:30" x14ac:dyDescent="0.3">
      <c r="A212" s="14">
        <v>45843.166666666664</v>
      </c>
      <c r="B212" s="1">
        <v>1489.23</v>
      </c>
      <c r="C212" s="11">
        <v>3.2732000000000001</v>
      </c>
      <c r="D212" s="1">
        <v>1174.8599999999999</v>
      </c>
      <c r="E212" s="11">
        <v>3.0760000000000001</v>
      </c>
      <c r="F212" s="1">
        <v>0</v>
      </c>
      <c r="G212" s="11">
        <v>3.53</v>
      </c>
      <c r="H212" s="1">
        <v>-48.18</v>
      </c>
      <c r="I212" s="11">
        <v>3.4106300000000003</v>
      </c>
      <c r="J212" s="1">
        <v>-7.8</v>
      </c>
      <c r="K212" s="11">
        <v>3.3218299999999998</v>
      </c>
      <c r="L212" s="1">
        <v>0</v>
      </c>
      <c r="M212" s="11">
        <v>6.2</v>
      </c>
      <c r="N212" s="1">
        <v>26.44</v>
      </c>
      <c r="O212" s="11">
        <v>2.8224999999999998</v>
      </c>
      <c r="P212" s="1">
        <f t="shared" si="25"/>
        <v>2634.55</v>
      </c>
      <c r="Q212" s="1">
        <v>2598.5700000000002</v>
      </c>
      <c r="R212" s="16">
        <f t="shared" si="26"/>
        <v>2093202.3671499996</v>
      </c>
      <c r="S212" s="20">
        <v>1109.67</v>
      </c>
      <c r="T212" s="21">
        <v>0.21</v>
      </c>
      <c r="U212" s="21">
        <v>4.68</v>
      </c>
      <c r="V212" s="8">
        <v>1114.5600000000002</v>
      </c>
      <c r="W212" s="25">
        <v>1.238</v>
      </c>
      <c r="X212" s="25">
        <f t="shared" si="27"/>
        <v>344956.32000000007</v>
      </c>
      <c r="Y212" s="1">
        <f t="shared" si="28"/>
        <v>3749.1100000000006</v>
      </c>
      <c r="Z212" s="1">
        <f t="shared" si="29"/>
        <v>3713.13</v>
      </c>
      <c r="AA212" s="1">
        <v>3750.86</v>
      </c>
      <c r="AB212" s="1">
        <f t="shared" si="24"/>
        <v>-1.7499999999995453</v>
      </c>
      <c r="AC212" s="29">
        <f t="shared" si="30"/>
        <v>37.730000000000018</v>
      </c>
      <c r="AD212" s="11">
        <f t="shared" si="31"/>
        <v>2438158.6871499997</v>
      </c>
    </row>
    <row r="213" spans="1:30" x14ac:dyDescent="0.3">
      <c r="A213" s="14">
        <v>45843.177083333336</v>
      </c>
      <c r="B213" s="1">
        <v>1479.52</v>
      </c>
      <c r="C213" s="11">
        <v>3.2732000000000001</v>
      </c>
      <c r="D213" s="1">
        <v>1174.8599999999999</v>
      </c>
      <c r="E213" s="11">
        <v>3.0760000000000001</v>
      </c>
      <c r="F213" s="1">
        <v>0</v>
      </c>
      <c r="G213" s="11">
        <v>3.53</v>
      </c>
      <c r="H213" s="1">
        <v>-14.68</v>
      </c>
      <c r="I213" s="11">
        <v>3.3992</v>
      </c>
      <c r="J213" s="1">
        <v>-7.8</v>
      </c>
      <c r="K213" s="11">
        <v>3.4222199999999998</v>
      </c>
      <c r="L213" s="1">
        <v>0</v>
      </c>
      <c r="M213" s="11">
        <v>6.2</v>
      </c>
      <c r="N213" s="1">
        <v>25.29</v>
      </c>
      <c r="O213" s="11">
        <v>2.8224999999999998</v>
      </c>
      <c r="P213" s="1">
        <f t="shared" si="25"/>
        <v>2657.19</v>
      </c>
      <c r="Q213" s="1">
        <v>2627.79</v>
      </c>
      <c r="R213" s="16">
        <f t="shared" si="26"/>
        <v>2112855.4192499998</v>
      </c>
      <c r="S213" s="20">
        <v>1091.99</v>
      </c>
      <c r="T213" s="21">
        <v>0.22999999999999998</v>
      </c>
      <c r="U213" s="21">
        <v>5.1499999999999995</v>
      </c>
      <c r="V213" s="8">
        <v>1097.3700000000001</v>
      </c>
      <c r="W213" s="25">
        <v>1.238</v>
      </c>
      <c r="X213" s="25">
        <f t="shared" si="27"/>
        <v>339636.01500000001</v>
      </c>
      <c r="Y213" s="1">
        <f t="shared" si="28"/>
        <v>3754.5600000000004</v>
      </c>
      <c r="Z213" s="1">
        <f t="shared" si="29"/>
        <v>3725.16</v>
      </c>
      <c r="AA213" s="1">
        <v>3733.64</v>
      </c>
      <c r="AB213" s="1">
        <f t="shared" si="24"/>
        <v>20.920000000000528</v>
      </c>
      <c r="AC213" s="29">
        <f t="shared" si="30"/>
        <v>8.4800000000000182</v>
      </c>
      <c r="AD213" s="11">
        <f t="shared" si="31"/>
        <v>2452491.4342499999</v>
      </c>
    </row>
    <row r="214" spans="1:30" x14ac:dyDescent="0.3">
      <c r="A214" s="14">
        <v>45843.1875</v>
      </c>
      <c r="B214" s="1">
        <v>1472.36</v>
      </c>
      <c r="C214" s="11">
        <v>3.2732000000000001</v>
      </c>
      <c r="D214" s="1">
        <v>1174.8599999999999</v>
      </c>
      <c r="E214" s="11">
        <v>3.0760000000000001</v>
      </c>
      <c r="F214" s="1">
        <v>0</v>
      </c>
      <c r="G214" s="11">
        <v>3.53</v>
      </c>
      <c r="H214" s="1">
        <v>-2.5499999999999998</v>
      </c>
      <c r="I214" s="11">
        <v>3.3915100000000002</v>
      </c>
      <c r="J214" s="1">
        <v>-7.8</v>
      </c>
      <c r="K214" s="11">
        <v>3.4149499999999997</v>
      </c>
      <c r="L214" s="1">
        <v>0</v>
      </c>
      <c r="M214" s="11">
        <v>6.2</v>
      </c>
      <c r="N214" s="1">
        <v>23.81</v>
      </c>
      <c r="O214" s="11">
        <v>2.8224999999999998</v>
      </c>
      <c r="P214" s="1">
        <f t="shared" si="25"/>
        <v>2660.6799999999994</v>
      </c>
      <c r="Q214" s="1">
        <v>2628.17</v>
      </c>
      <c r="R214" s="16">
        <f t="shared" si="26"/>
        <v>2116279.2191249998</v>
      </c>
      <c r="S214" s="20">
        <v>1085.83</v>
      </c>
      <c r="T214" s="21">
        <v>0.25</v>
      </c>
      <c r="U214" s="21">
        <v>5.89</v>
      </c>
      <c r="V214" s="8">
        <v>1091.97</v>
      </c>
      <c r="W214" s="25">
        <v>1.238</v>
      </c>
      <c r="X214" s="25">
        <f t="shared" si="27"/>
        <v>337964.71500000003</v>
      </c>
      <c r="Y214" s="1">
        <f t="shared" si="28"/>
        <v>3752.6499999999996</v>
      </c>
      <c r="Z214" s="1">
        <f t="shared" si="29"/>
        <v>3720.1400000000003</v>
      </c>
      <c r="AA214" s="1">
        <v>3727.05</v>
      </c>
      <c r="AB214" s="1">
        <f t="shared" si="24"/>
        <v>25.599999999999454</v>
      </c>
      <c r="AC214" s="29">
        <f t="shared" si="30"/>
        <v>6.9099999999998545</v>
      </c>
      <c r="AD214" s="11">
        <f t="shared" si="31"/>
        <v>2454243.9341249997</v>
      </c>
    </row>
    <row r="215" spans="1:30" x14ac:dyDescent="0.3">
      <c r="A215" s="14">
        <v>45843.197916666664</v>
      </c>
      <c r="B215" s="1">
        <v>1489.36</v>
      </c>
      <c r="C215" s="11">
        <v>3.2732000000000001</v>
      </c>
      <c r="D215" s="1">
        <v>1174.8599999999999</v>
      </c>
      <c r="E215" s="11">
        <v>3.0760000000000001</v>
      </c>
      <c r="F215" s="1">
        <v>0</v>
      </c>
      <c r="G215" s="11">
        <v>3.53</v>
      </c>
      <c r="H215" s="1">
        <v>-22.78</v>
      </c>
      <c r="I215" s="11">
        <v>3.3994499999999999</v>
      </c>
      <c r="J215" s="1">
        <v>-7.8</v>
      </c>
      <c r="K215" s="11">
        <v>3.4992399999999999</v>
      </c>
      <c r="L215" s="1">
        <v>0</v>
      </c>
      <c r="M215" s="11">
        <v>6.2</v>
      </c>
      <c r="N215" s="1">
        <v>22.59</v>
      </c>
      <c r="O215" s="11">
        <v>2.8224999999999998</v>
      </c>
      <c r="P215" s="1">
        <f t="shared" si="25"/>
        <v>2656.2299999999996</v>
      </c>
      <c r="Q215" s="1">
        <v>2630.6</v>
      </c>
      <c r="R215" s="16">
        <f t="shared" si="26"/>
        <v>2111967.3109999998</v>
      </c>
      <c r="S215" s="20">
        <v>1069.55</v>
      </c>
      <c r="T215" s="21">
        <v>0.25</v>
      </c>
      <c r="U215" s="21">
        <v>5.5</v>
      </c>
      <c r="V215" s="8">
        <v>1075.3</v>
      </c>
      <c r="W215" s="25">
        <v>1.238</v>
      </c>
      <c r="X215" s="25">
        <f t="shared" si="27"/>
        <v>332805.34999999998</v>
      </c>
      <c r="Y215" s="1">
        <f t="shared" si="28"/>
        <v>3731.5299999999997</v>
      </c>
      <c r="Z215" s="1">
        <f t="shared" si="29"/>
        <v>3705.8999999999996</v>
      </c>
      <c r="AA215" s="1">
        <v>3712.79</v>
      </c>
      <c r="AB215" s="1">
        <f t="shared" si="24"/>
        <v>18.739999999999782</v>
      </c>
      <c r="AC215" s="29">
        <f t="shared" si="30"/>
        <v>6.8900000000003274</v>
      </c>
      <c r="AD215" s="11">
        <f t="shared" si="31"/>
        <v>2444772.6609999998</v>
      </c>
    </row>
    <row r="216" spans="1:30" x14ac:dyDescent="0.3">
      <c r="A216" s="14">
        <v>45843.208333333336</v>
      </c>
      <c r="B216" s="1">
        <v>1476.57</v>
      </c>
      <c r="C216" s="11">
        <v>3.2732000000000001</v>
      </c>
      <c r="D216" s="1">
        <v>1174.8599999999999</v>
      </c>
      <c r="E216" s="11">
        <v>3.0760000000000001</v>
      </c>
      <c r="F216" s="1">
        <v>0</v>
      </c>
      <c r="G216" s="11">
        <v>3.53</v>
      </c>
      <c r="H216" s="1">
        <v>-3.58</v>
      </c>
      <c r="I216" s="11">
        <v>3.0306799999999998</v>
      </c>
      <c r="J216" s="1">
        <v>-7.8</v>
      </c>
      <c r="K216" s="11">
        <v>3.42265</v>
      </c>
      <c r="L216" s="1">
        <v>0</v>
      </c>
      <c r="M216" s="11">
        <v>6.2</v>
      </c>
      <c r="N216" s="1">
        <v>20.83</v>
      </c>
      <c r="O216" s="11">
        <v>2.8224999999999998</v>
      </c>
      <c r="P216" s="1">
        <f t="shared" si="25"/>
        <v>2660.8799999999997</v>
      </c>
      <c r="Q216" s="1">
        <v>2648.18</v>
      </c>
      <c r="R216" s="16">
        <f t="shared" si="26"/>
        <v>2117056.1136500007</v>
      </c>
      <c r="S216" s="20">
        <v>1058.1200000000001</v>
      </c>
      <c r="T216" s="21">
        <v>0.24</v>
      </c>
      <c r="U216" s="21">
        <v>4.34</v>
      </c>
      <c r="V216" s="8">
        <v>1062.7</v>
      </c>
      <c r="W216" s="25">
        <v>1.238</v>
      </c>
      <c r="X216" s="25">
        <f t="shared" si="27"/>
        <v>328905.65000000002</v>
      </c>
      <c r="Y216" s="1">
        <f t="shared" si="28"/>
        <v>3723.58</v>
      </c>
      <c r="Z216" s="1">
        <f t="shared" si="29"/>
        <v>3710.88</v>
      </c>
      <c r="AA216" s="1">
        <v>3717.3</v>
      </c>
      <c r="AB216" s="1">
        <f t="shared" si="24"/>
        <v>6.2799999999997453</v>
      </c>
      <c r="AC216" s="29">
        <f t="shared" si="30"/>
        <v>6.4200000000000728</v>
      </c>
      <c r="AD216" s="11">
        <f t="shared" si="31"/>
        <v>2445961.7636500006</v>
      </c>
    </row>
    <row r="217" spans="1:30" x14ac:dyDescent="0.3">
      <c r="A217" s="14">
        <v>45843.21875</v>
      </c>
      <c r="B217" s="1">
        <v>1476.71</v>
      </c>
      <c r="C217" s="11">
        <v>3.2732000000000001</v>
      </c>
      <c r="D217" s="1">
        <v>1174.8599999999999</v>
      </c>
      <c r="E217" s="11">
        <v>3.0760000000000001</v>
      </c>
      <c r="F217" s="1">
        <v>0</v>
      </c>
      <c r="G217" s="11">
        <v>3.53</v>
      </c>
      <c r="H217" s="1">
        <v>-1.9</v>
      </c>
      <c r="I217" s="11">
        <v>3.2289499999999998</v>
      </c>
      <c r="J217" s="1">
        <v>-7.8</v>
      </c>
      <c r="K217" s="11">
        <v>3.7280300000000004</v>
      </c>
      <c r="L217" s="1">
        <v>0</v>
      </c>
      <c r="M217" s="11">
        <v>6.2</v>
      </c>
      <c r="N217" s="1">
        <v>19.59</v>
      </c>
      <c r="O217" s="11">
        <v>2.8224999999999998</v>
      </c>
      <c r="P217" s="1">
        <f t="shared" si="25"/>
        <v>2661.4599999999996</v>
      </c>
      <c r="Q217" s="1">
        <v>2659.94</v>
      </c>
      <c r="R217" s="16">
        <f t="shared" si="26"/>
        <v>2116878.9169999999</v>
      </c>
      <c r="S217" s="20">
        <v>1063.78</v>
      </c>
      <c r="T217" s="21">
        <v>0.24</v>
      </c>
      <c r="U217" s="21">
        <v>1.71</v>
      </c>
      <c r="V217" s="8">
        <v>1065.73</v>
      </c>
      <c r="W217" s="25">
        <v>1.238</v>
      </c>
      <c r="X217" s="25">
        <f t="shared" si="27"/>
        <v>329843.435</v>
      </c>
      <c r="Y217" s="1">
        <f t="shared" si="28"/>
        <v>3727.1899999999996</v>
      </c>
      <c r="Z217" s="1">
        <f t="shared" si="29"/>
        <v>3725.67</v>
      </c>
      <c r="AA217" s="1">
        <v>3730.78</v>
      </c>
      <c r="AB217" s="1">
        <f t="shared" si="24"/>
        <v>-3.5900000000006003</v>
      </c>
      <c r="AC217" s="29">
        <f t="shared" si="30"/>
        <v>5.1100000000001273</v>
      </c>
      <c r="AD217" s="11">
        <f t="shared" si="31"/>
        <v>2446722.352</v>
      </c>
    </row>
    <row r="218" spans="1:30" x14ac:dyDescent="0.3">
      <c r="A218" s="14">
        <v>45843.229166666664</v>
      </c>
      <c r="B218" s="1">
        <v>1478.27</v>
      </c>
      <c r="C218" s="11">
        <v>3.2732000000000001</v>
      </c>
      <c r="D218" s="1">
        <v>1174.8599999999999</v>
      </c>
      <c r="E218" s="11">
        <v>3.0760000000000001</v>
      </c>
      <c r="F218" s="1">
        <v>0</v>
      </c>
      <c r="G218" s="11">
        <v>3.53</v>
      </c>
      <c r="H218" s="1">
        <v>-1.9</v>
      </c>
      <c r="I218" s="11">
        <v>3.2286599999999996</v>
      </c>
      <c r="J218" s="1">
        <v>-7.8</v>
      </c>
      <c r="K218" s="11">
        <v>3.49912</v>
      </c>
      <c r="L218" s="1">
        <v>0</v>
      </c>
      <c r="M218" s="11">
        <v>6.2</v>
      </c>
      <c r="N218" s="1">
        <v>18.39</v>
      </c>
      <c r="O218" s="11">
        <v>2.8224999999999998</v>
      </c>
      <c r="P218" s="1">
        <f t="shared" si="25"/>
        <v>2661.8199999999997</v>
      </c>
      <c r="Q218" s="1">
        <v>2631.31</v>
      </c>
      <c r="R218" s="16">
        <f t="shared" si="26"/>
        <v>2117755.2272499995</v>
      </c>
      <c r="S218" s="20">
        <v>1085.81</v>
      </c>
      <c r="T218" s="21">
        <v>0.24</v>
      </c>
      <c r="U218" s="21">
        <v>0.91999999999999993</v>
      </c>
      <c r="V218" s="8">
        <v>1086.97</v>
      </c>
      <c r="W218" s="25">
        <v>1.238</v>
      </c>
      <c r="X218" s="25">
        <f t="shared" si="27"/>
        <v>336417.21500000003</v>
      </c>
      <c r="Y218" s="1">
        <f t="shared" si="28"/>
        <v>3748.79</v>
      </c>
      <c r="Z218" s="1">
        <f t="shared" si="29"/>
        <v>3718.2799999999997</v>
      </c>
      <c r="AA218" s="1">
        <v>3723.66</v>
      </c>
      <c r="AB218" s="1">
        <f t="shared" si="24"/>
        <v>25.130000000000109</v>
      </c>
      <c r="AC218" s="29">
        <f t="shared" si="30"/>
        <v>5.3800000000001091</v>
      </c>
      <c r="AD218" s="11">
        <f t="shared" si="31"/>
        <v>2454172.4422499994</v>
      </c>
    </row>
    <row r="219" spans="1:30" x14ac:dyDescent="0.3">
      <c r="A219" s="14">
        <v>45843.239583333336</v>
      </c>
      <c r="B219" s="1">
        <v>1474.08</v>
      </c>
      <c r="C219" s="11">
        <v>3.2732000000000001</v>
      </c>
      <c r="D219" s="1">
        <v>1174.8599999999999</v>
      </c>
      <c r="E219" s="11">
        <v>3.0760000000000001</v>
      </c>
      <c r="F219" s="1">
        <v>0</v>
      </c>
      <c r="G219" s="11">
        <v>3.53</v>
      </c>
      <c r="H219" s="1">
        <v>-1.9</v>
      </c>
      <c r="I219" s="11">
        <v>3.2289499999999998</v>
      </c>
      <c r="J219" s="1">
        <v>-7.8</v>
      </c>
      <c r="K219" s="11">
        <v>3.4938000000000002</v>
      </c>
      <c r="L219" s="1">
        <v>0</v>
      </c>
      <c r="M219" s="11">
        <v>6.2</v>
      </c>
      <c r="N219" s="1">
        <v>27.86</v>
      </c>
      <c r="O219" s="11">
        <v>2.8224999999999998</v>
      </c>
      <c r="P219" s="1">
        <f t="shared" si="25"/>
        <v>2667.0999999999995</v>
      </c>
      <c r="Q219" s="1">
        <v>2623.95</v>
      </c>
      <c r="R219" s="16">
        <f t="shared" si="26"/>
        <v>2121019.0552499997</v>
      </c>
      <c r="S219" s="20">
        <v>1097.07</v>
      </c>
      <c r="T219" s="21">
        <v>0.22999999999999998</v>
      </c>
      <c r="U219" s="21">
        <v>0.29000000000000004</v>
      </c>
      <c r="V219" s="8">
        <v>1097.5899999999999</v>
      </c>
      <c r="W219" s="25">
        <v>1.238</v>
      </c>
      <c r="X219" s="25">
        <f t="shared" si="27"/>
        <v>339704.10499999998</v>
      </c>
      <c r="Y219" s="1">
        <f t="shared" si="28"/>
        <v>3764.6899999999996</v>
      </c>
      <c r="Z219" s="1">
        <f t="shared" si="29"/>
        <v>3721.54</v>
      </c>
      <c r="AA219" s="1">
        <v>3727.75</v>
      </c>
      <c r="AB219" s="1">
        <f t="shared" si="24"/>
        <v>36.9399999999996</v>
      </c>
      <c r="AC219" s="29">
        <f t="shared" si="30"/>
        <v>6.2100000000000364</v>
      </c>
      <c r="AD219" s="11">
        <f t="shared" si="31"/>
        <v>2460723.1602499997</v>
      </c>
    </row>
    <row r="220" spans="1:30" x14ac:dyDescent="0.3">
      <c r="A220" s="14">
        <v>45843.25</v>
      </c>
      <c r="B220" s="1">
        <v>1500.23</v>
      </c>
      <c r="C220" s="11">
        <v>3.2732000000000001</v>
      </c>
      <c r="D220" s="1">
        <v>806.4</v>
      </c>
      <c r="E220" s="11">
        <v>3.0760000000000001</v>
      </c>
      <c r="F220" s="1">
        <v>368.46</v>
      </c>
      <c r="G220" s="11">
        <v>3.53</v>
      </c>
      <c r="H220" s="1">
        <v>8.01</v>
      </c>
      <c r="I220" s="11">
        <v>3.4227699999999999</v>
      </c>
      <c r="J220" s="1">
        <v>0.85</v>
      </c>
      <c r="K220" s="11">
        <v>3.43093</v>
      </c>
      <c r="L220" s="1">
        <v>0</v>
      </c>
      <c r="M220" s="11">
        <v>6.2</v>
      </c>
      <c r="N220" s="1">
        <v>31.12</v>
      </c>
      <c r="O220" s="11">
        <v>2.8224999999999998</v>
      </c>
      <c r="P220" s="1">
        <f t="shared" si="25"/>
        <v>2715.07</v>
      </c>
      <c r="Q220" s="1">
        <v>2684.34</v>
      </c>
      <c r="R220" s="16">
        <f t="shared" si="26"/>
        <v>2202467.9785499992</v>
      </c>
      <c r="S220" s="20">
        <v>1054.5099999999998</v>
      </c>
      <c r="T220" s="21">
        <v>0.3</v>
      </c>
      <c r="U220" s="21">
        <v>0.15</v>
      </c>
      <c r="V220" s="8">
        <v>1054.9599999999998</v>
      </c>
      <c r="W220" s="25">
        <v>1.238</v>
      </c>
      <c r="X220" s="25">
        <f t="shared" si="27"/>
        <v>326510.11999999994</v>
      </c>
      <c r="Y220" s="1">
        <f t="shared" si="28"/>
        <v>3770.0299999999997</v>
      </c>
      <c r="Z220" s="1">
        <f t="shared" si="29"/>
        <v>3739.3</v>
      </c>
      <c r="AA220" s="1">
        <v>3745.62</v>
      </c>
      <c r="AB220" s="1">
        <f t="shared" si="24"/>
        <v>24.409999999999854</v>
      </c>
      <c r="AC220" s="29">
        <f t="shared" si="30"/>
        <v>6.319999999999709</v>
      </c>
      <c r="AD220" s="11">
        <f t="shared" si="31"/>
        <v>2528978.0985499993</v>
      </c>
    </row>
    <row r="221" spans="1:30" x14ac:dyDescent="0.3">
      <c r="A221" s="14">
        <v>45843.260416666664</v>
      </c>
      <c r="B221" s="1">
        <v>1510.54</v>
      </c>
      <c r="C221" s="11">
        <v>3.2732000000000001</v>
      </c>
      <c r="D221" s="1">
        <v>776.29</v>
      </c>
      <c r="E221" s="11">
        <v>3.0760000000000001</v>
      </c>
      <c r="F221" s="1">
        <v>398.57</v>
      </c>
      <c r="G221" s="11">
        <v>3.53</v>
      </c>
      <c r="H221" s="1">
        <v>8.9</v>
      </c>
      <c r="I221" s="11">
        <v>3.42265</v>
      </c>
      <c r="J221" s="1">
        <v>-2.85</v>
      </c>
      <c r="K221" s="11">
        <v>3.6019299999999999</v>
      </c>
      <c r="L221" s="1">
        <v>0</v>
      </c>
      <c r="M221" s="11">
        <v>6.2</v>
      </c>
      <c r="N221" s="1">
        <v>37.43</v>
      </c>
      <c r="O221" s="11">
        <v>2.8224999999999998</v>
      </c>
      <c r="P221" s="1">
        <f t="shared" si="25"/>
        <v>2728.88</v>
      </c>
      <c r="Q221" s="1">
        <v>2704.31</v>
      </c>
      <c r="R221" s="16">
        <f t="shared" si="26"/>
        <v>2216240.4818750001</v>
      </c>
      <c r="S221" s="20">
        <v>1049.7600000000002</v>
      </c>
      <c r="T221" s="21">
        <v>1.87</v>
      </c>
      <c r="U221" s="21">
        <v>0.12000000000000001</v>
      </c>
      <c r="V221" s="8">
        <v>1051.75</v>
      </c>
      <c r="W221" s="25">
        <v>1.238</v>
      </c>
      <c r="X221" s="25">
        <f t="shared" si="27"/>
        <v>325516.625</v>
      </c>
      <c r="Y221" s="1">
        <f t="shared" si="28"/>
        <v>3780.63</v>
      </c>
      <c r="Z221" s="1">
        <f t="shared" si="29"/>
        <v>3756.06</v>
      </c>
      <c r="AA221" s="1">
        <v>3759.92</v>
      </c>
      <c r="AB221" s="1">
        <f t="shared" si="24"/>
        <v>20.710000000000036</v>
      </c>
      <c r="AC221" s="29">
        <f t="shared" si="30"/>
        <v>3.8600000000001273</v>
      </c>
      <c r="AD221" s="11">
        <f t="shared" si="31"/>
        <v>2541757.1068750001</v>
      </c>
    </row>
    <row r="222" spans="1:30" x14ac:dyDescent="0.3">
      <c r="A222" s="14">
        <v>45843.270833333336</v>
      </c>
      <c r="B222" s="1">
        <v>1515.65</v>
      </c>
      <c r="C222" s="11">
        <v>3.2732000000000001</v>
      </c>
      <c r="D222" s="1">
        <v>776.29</v>
      </c>
      <c r="E222" s="11">
        <v>3.0760000000000001</v>
      </c>
      <c r="F222" s="1">
        <v>398.57</v>
      </c>
      <c r="G222" s="11">
        <v>3.53</v>
      </c>
      <c r="H222" s="1">
        <v>51.97</v>
      </c>
      <c r="I222" s="11">
        <v>3.3002399999999996</v>
      </c>
      <c r="J222" s="1">
        <v>11.62</v>
      </c>
      <c r="K222" s="11">
        <v>3.3673099999999998</v>
      </c>
      <c r="L222" s="1">
        <v>0</v>
      </c>
      <c r="M222" s="11">
        <v>6.2</v>
      </c>
      <c r="N222" s="1">
        <v>42.58</v>
      </c>
      <c r="O222" s="11">
        <v>2.8224999999999998</v>
      </c>
      <c r="P222" s="1">
        <f t="shared" si="25"/>
        <v>2796.68</v>
      </c>
      <c r="Q222" s="1">
        <v>2661.72</v>
      </c>
      <c r="R222" s="16">
        <f t="shared" si="26"/>
        <v>2271667.3462499999</v>
      </c>
      <c r="S222" s="20">
        <v>1092.04</v>
      </c>
      <c r="T222" s="21">
        <v>7.9200000000000008</v>
      </c>
      <c r="U222" s="21">
        <v>0.12</v>
      </c>
      <c r="V222" s="8">
        <v>1100.08</v>
      </c>
      <c r="W222" s="25">
        <v>1.238</v>
      </c>
      <c r="X222" s="25">
        <f t="shared" si="27"/>
        <v>340474.75999999995</v>
      </c>
      <c r="Y222" s="1">
        <f t="shared" si="28"/>
        <v>3896.7599999999998</v>
      </c>
      <c r="Z222" s="1">
        <f t="shared" si="29"/>
        <v>3761.7999999999997</v>
      </c>
      <c r="AA222" s="1">
        <v>3766.81</v>
      </c>
      <c r="AB222" s="1">
        <f t="shared" si="24"/>
        <v>129.94999999999982</v>
      </c>
      <c r="AC222" s="29">
        <f t="shared" si="30"/>
        <v>5.0100000000002183</v>
      </c>
      <c r="AD222" s="11">
        <f t="shared" si="31"/>
        <v>2612142.1062499997</v>
      </c>
    </row>
    <row r="223" spans="1:30" x14ac:dyDescent="0.3">
      <c r="A223" s="14">
        <v>45843.28125</v>
      </c>
      <c r="B223" s="1">
        <v>1516.18</v>
      </c>
      <c r="C223" s="11">
        <v>3.2732000000000001</v>
      </c>
      <c r="D223" s="1">
        <v>776.29</v>
      </c>
      <c r="E223" s="11">
        <v>3.0760000000000001</v>
      </c>
      <c r="F223" s="1">
        <v>398.57</v>
      </c>
      <c r="G223" s="11">
        <v>3.53</v>
      </c>
      <c r="H223" s="1">
        <v>58.93</v>
      </c>
      <c r="I223" s="11">
        <v>3.1491799999999999</v>
      </c>
      <c r="J223" s="1">
        <v>19.809999999999999</v>
      </c>
      <c r="K223" s="11">
        <v>3.2017500000000001</v>
      </c>
      <c r="L223" s="1">
        <v>0</v>
      </c>
      <c r="M223" s="11">
        <v>6.2</v>
      </c>
      <c r="N223" s="1">
        <v>52.59</v>
      </c>
      <c r="O223" s="11">
        <v>2.8224999999999998</v>
      </c>
      <c r="P223" s="1">
        <f t="shared" si="25"/>
        <v>2822.3700000000003</v>
      </c>
      <c r="Q223" s="1">
        <v>2670.99</v>
      </c>
      <c r="R223" s="16">
        <f t="shared" si="26"/>
        <v>2288755.9089749996</v>
      </c>
      <c r="S223" s="20">
        <v>1022.8099999999998</v>
      </c>
      <c r="T223" s="21">
        <v>15.16</v>
      </c>
      <c r="U223" s="21">
        <v>6.9999999999999993E-2</v>
      </c>
      <c r="V223" s="8">
        <v>1038.0399999999997</v>
      </c>
      <c r="W223" s="25">
        <v>1.238</v>
      </c>
      <c r="X223" s="25">
        <f t="shared" si="27"/>
        <v>321273.37999999995</v>
      </c>
      <c r="Y223" s="1">
        <f t="shared" si="28"/>
        <v>3860.41</v>
      </c>
      <c r="Z223" s="1">
        <f t="shared" si="29"/>
        <v>3709.0299999999997</v>
      </c>
      <c r="AA223" s="1">
        <v>3720.67</v>
      </c>
      <c r="AB223" s="1">
        <f t="shared" si="24"/>
        <v>139.73999999999978</v>
      </c>
      <c r="AC223" s="29">
        <f t="shared" si="30"/>
        <v>11.640000000000327</v>
      </c>
      <c r="AD223" s="11">
        <f t="shared" si="31"/>
        <v>2610029.2889749995</v>
      </c>
    </row>
    <row r="224" spans="1:30" x14ac:dyDescent="0.3">
      <c r="A224" s="14">
        <v>45843.291666666664</v>
      </c>
      <c r="B224" s="1">
        <v>1510.22</v>
      </c>
      <c r="C224" s="11">
        <v>3.2732000000000001</v>
      </c>
      <c r="D224" s="1">
        <v>776.29</v>
      </c>
      <c r="E224" s="11">
        <v>3.0760000000000001</v>
      </c>
      <c r="F224" s="1">
        <v>398.57</v>
      </c>
      <c r="G224" s="11">
        <v>3.53</v>
      </c>
      <c r="H224" s="1">
        <v>101.18</v>
      </c>
      <c r="I224" s="11">
        <v>2.9485199999999998</v>
      </c>
      <c r="J224" s="1">
        <v>15.93</v>
      </c>
      <c r="K224" s="11">
        <v>3.2391199999999998</v>
      </c>
      <c r="L224" s="1">
        <v>0</v>
      </c>
      <c r="M224" s="11">
        <v>6.2</v>
      </c>
      <c r="N224" s="1">
        <v>70.59</v>
      </c>
      <c r="O224" s="11">
        <v>2.8224999999999998</v>
      </c>
      <c r="P224" s="1">
        <f t="shared" si="25"/>
        <v>2872.78</v>
      </c>
      <c r="Q224" s="1">
        <v>2824.5</v>
      </c>
      <c r="R224" s="16">
        <f t="shared" si="26"/>
        <v>2321810.7385500004</v>
      </c>
      <c r="S224" s="20">
        <v>834.57</v>
      </c>
      <c r="T224" s="21">
        <v>19.720000000000002</v>
      </c>
      <c r="U224" s="21">
        <v>6.9999999999999993E-2</v>
      </c>
      <c r="V224" s="8">
        <v>854.36000000000013</v>
      </c>
      <c r="W224" s="25">
        <v>1.238</v>
      </c>
      <c r="X224" s="25">
        <f t="shared" si="27"/>
        <v>264424.42000000004</v>
      </c>
      <c r="Y224" s="1">
        <f t="shared" si="28"/>
        <v>3727.1400000000003</v>
      </c>
      <c r="Z224" s="1">
        <f t="shared" si="29"/>
        <v>3678.86</v>
      </c>
      <c r="AA224" s="1">
        <v>3686.94</v>
      </c>
      <c r="AB224" s="1">
        <f t="shared" si="24"/>
        <v>40.200000000000273</v>
      </c>
      <c r="AC224" s="29">
        <f t="shared" si="30"/>
        <v>8.0799999999999272</v>
      </c>
      <c r="AD224" s="11">
        <f t="shared" si="31"/>
        <v>2586235.1585500003</v>
      </c>
    </row>
    <row r="225" spans="1:30" x14ac:dyDescent="0.3">
      <c r="A225" s="14">
        <v>45843.302083333336</v>
      </c>
      <c r="B225" s="1">
        <v>1505.42</v>
      </c>
      <c r="C225" s="11">
        <v>3.2732000000000001</v>
      </c>
      <c r="D225" s="1">
        <v>776.29</v>
      </c>
      <c r="E225" s="11">
        <v>3.0760000000000001</v>
      </c>
      <c r="F225" s="1">
        <v>398.57</v>
      </c>
      <c r="G225" s="11">
        <v>3.53</v>
      </c>
      <c r="H225" s="1">
        <v>104.94</v>
      </c>
      <c r="I225" s="11">
        <v>2.9021999999999997</v>
      </c>
      <c r="J225" s="1">
        <v>15.56</v>
      </c>
      <c r="K225" s="11">
        <v>2.9039099999999998</v>
      </c>
      <c r="L225" s="1">
        <v>0</v>
      </c>
      <c r="M225" s="11">
        <v>6.2</v>
      </c>
      <c r="N225" s="1">
        <v>93.52</v>
      </c>
      <c r="O225" s="11">
        <v>2.8224999999999998</v>
      </c>
      <c r="P225" s="1">
        <f t="shared" si="25"/>
        <v>2894.3</v>
      </c>
      <c r="Q225" s="1">
        <v>2826.61</v>
      </c>
      <c r="R225" s="16">
        <f t="shared" si="26"/>
        <v>2334015.6979000005</v>
      </c>
      <c r="S225" s="20">
        <v>770.04</v>
      </c>
      <c r="T225" s="21">
        <v>33.500000000000007</v>
      </c>
      <c r="U225" s="21">
        <v>6.0000000000000005E-2</v>
      </c>
      <c r="V225" s="8">
        <v>803.59999999999991</v>
      </c>
      <c r="W225" s="25">
        <v>1.238</v>
      </c>
      <c r="X225" s="25">
        <f t="shared" si="27"/>
        <v>248714.19999999998</v>
      </c>
      <c r="Y225" s="1">
        <f t="shared" si="28"/>
        <v>3697.9</v>
      </c>
      <c r="Z225" s="1">
        <f t="shared" si="29"/>
        <v>3630.21</v>
      </c>
      <c r="AA225" s="1">
        <v>3637.22</v>
      </c>
      <c r="AB225" s="1">
        <f t="shared" si="24"/>
        <v>60.680000000000291</v>
      </c>
      <c r="AC225" s="29">
        <f t="shared" si="30"/>
        <v>7.0099999999997635</v>
      </c>
      <c r="AD225" s="11">
        <f t="shared" si="31"/>
        <v>2582729.8979000007</v>
      </c>
    </row>
    <row r="226" spans="1:30" x14ac:dyDescent="0.3">
      <c r="A226" s="14">
        <v>45843.3125</v>
      </c>
      <c r="B226" s="1">
        <v>1504.75</v>
      </c>
      <c r="C226" s="11">
        <v>3.2732000000000001</v>
      </c>
      <c r="D226" s="1">
        <v>776.29</v>
      </c>
      <c r="E226" s="11">
        <v>3.0760000000000001</v>
      </c>
      <c r="F226" s="1">
        <v>398.57</v>
      </c>
      <c r="G226" s="11">
        <v>3.53</v>
      </c>
      <c r="H226" s="1">
        <v>104.42</v>
      </c>
      <c r="I226" s="11">
        <v>2.4003100000000002</v>
      </c>
      <c r="J226" s="1">
        <v>17.72</v>
      </c>
      <c r="K226" s="11">
        <v>1.60517</v>
      </c>
      <c r="L226" s="1">
        <v>0</v>
      </c>
      <c r="M226" s="11">
        <v>6.2</v>
      </c>
      <c r="N226" s="1">
        <v>119.89</v>
      </c>
      <c r="O226" s="11">
        <v>2.8224999999999998</v>
      </c>
      <c r="P226" s="1">
        <f t="shared" si="25"/>
        <v>2921.64</v>
      </c>
      <c r="Q226" s="1">
        <v>2825.13</v>
      </c>
      <c r="R226" s="16">
        <f t="shared" si="26"/>
        <v>2334410.3369000005</v>
      </c>
      <c r="S226" s="20">
        <v>712.45999999999992</v>
      </c>
      <c r="T226" s="21">
        <v>48.97</v>
      </c>
      <c r="U226" s="21">
        <v>6.9999999999999993E-2</v>
      </c>
      <c r="V226" s="8">
        <v>761.5</v>
      </c>
      <c r="W226" s="25">
        <v>1.238</v>
      </c>
      <c r="X226" s="25">
        <f t="shared" si="27"/>
        <v>235684.25</v>
      </c>
      <c r="Y226" s="1">
        <f t="shared" si="28"/>
        <v>3683.14</v>
      </c>
      <c r="Z226" s="1">
        <f t="shared" si="29"/>
        <v>3586.63</v>
      </c>
      <c r="AA226" s="1">
        <v>3592.33</v>
      </c>
      <c r="AB226" s="1">
        <f t="shared" si="24"/>
        <v>90.809999999999945</v>
      </c>
      <c r="AC226" s="29">
        <f t="shared" si="30"/>
        <v>5.6999999999998181</v>
      </c>
      <c r="AD226" s="11">
        <f t="shared" si="31"/>
        <v>2570094.5869000005</v>
      </c>
    </row>
    <row r="227" spans="1:30" x14ac:dyDescent="0.3">
      <c r="A227" s="14">
        <v>45843.322916666664</v>
      </c>
      <c r="B227" s="1">
        <v>1504.73</v>
      </c>
      <c r="C227" s="11">
        <v>3.2732000000000001</v>
      </c>
      <c r="D227" s="1">
        <v>776.29</v>
      </c>
      <c r="E227" s="11">
        <v>3.0760000000000001</v>
      </c>
      <c r="F227" s="1">
        <v>398.57</v>
      </c>
      <c r="G227" s="11">
        <v>3.53</v>
      </c>
      <c r="H227" s="1">
        <v>102.59</v>
      </c>
      <c r="I227" s="11">
        <v>2.3953200000000003</v>
      </c>
      <c r="J227" s="1">
        <v>17.88</v>
      </c>
      <c r="K227" s="11">
        <v>0.79992999999999992</v>
      </c>
      <c r="L227" s="1">
        <v>0</v>
      </c>
      <c r="M227" s="11">
        <v>6.2</v>
      </c>
      <c r="N227" s="1">
        <v>148.58000000000001</v>
      </c>
      <c r="O227" s="11">
        <v>2.8224999999999998</v>
      </c>
      <c r="P227" s="1">
        <f t="shared" si="25"/>
        <v>2948.6400000000003</v>
      </c>
      <c r="Q227" s="1">
        <v>2868.33</v>
      </c>
      <c r="R227" s="16">
        <f t="shared" si="26"/>
        <v>2349877.0133000002</v>
      </c>
      <c r="S227" s="20">
        <v>622</v>
      </c>
      <c r="T227" s="21">
        <v>52.63</v>
      </c>
      <c r="U227" s="21">
        <v>0.04</v>
      </c>
      <c r="V227" s="8">
        <v>674.67</v>
      </c>
      <c r="W227" s="25">
        <v>1.238</v>
      </c>
      <c r="X227" s="25">
        <f t="shared" si="27"/>
        <v>208810.36499999999</v>
      </c>
      <c r="Y227" s="1">
        <f t="shared" si="28"/>
        <v>3623.3100000000004</v>
      </c>
      <c r="Z227" s="1">
        <f t="shared" si="29"/>
        <v>3543</v>
      </c>
      <c r="AA227" s="1">
        <v>3550.77</v>
      </c>
      <c r="AB227" s="1">
        <f t="shared" si="24"/>
        <v>72.540000000000418</v>
      </c>
      <c r="AC227" s="29">
        <f t="shared" si="30"/>
        <v>7.7699999999999818</v>
      </c>
      <c r="AD227" s="11">
        <f t="shared" si="31"/>
        <v>2558687.3783</v>
      </c>
    </row>
    <row r="228" spans="1:30" x14ac:dyDescent="0.3">
      <c r="A228" s="14">
        <v>45843.333333333336</v>
      </c>
      <c r="B228" s="1">
        <v>1418.02</v>
      </c>
      <c r="C228" s="11">
        <v>3.2732000000000001</v>
      </c>
      <c r="D228" s="1">
        <v>776.29</v>
      </c>
      <c r="E228" s="11">
        <v>3.0760000000000001</v>
      </c>
      <c r="F228" s="1">
        <v>398.57</v>
      </c>
      <c r="G228" s="11">
        <v>3.53</v>
      </c>
      <c r="H228" s="1">
        <v>105.25</v>
      </c>
      <c r="I228" s="11">
        <v>2.00081</v>
      </c>
      <c r="J228" s="1">
        <v>17.88</v>
      </c>
      <c r="K228" s="11">
        <v>1.96245</v>
      </c>
      <c r="L228" s="1">
        <v>1.79</v>
      </c>
      <c r="M228" s="11">
        <v>6.2</v>
      </c>
      <c r="N228" s="1">
        <v>185.55</v>
      </c>
      <c r="O228" s="11">
        <v>2.8224999999999998</v>
      </c>
      <c r="P228" s="1">
        <f t="shared" si="25"/>
        <v>2903.3500000000004</v>
      </c>
      <c r="Q228" s="1">
        <v>2851.1</v>
      </c>
      <c r="R228" s="16">
        <f t="shared" si="26"/>
        <v>2304192.484375</v>
      </c>
      <c r="S228" s="20">
        <v>599.30999999999995</v>
      </c>
      <c r="T228" s="21">
        <v>72.55</v>
      </c>
      <c r="U228" s="21">
        <v>0.1</v>
      </c>
      <c r="V228" s="8">
        <v>671.95999999999992</v>
      </c>
      <c r="W228" s="25">
        <v>1.238</v>
      </c>
      <c r="X228" s="25">
        <f t="shared" si="27"/>
        <v>207971.61999999997</v>
      </c>
      <c r="Y228" s="1">
        <f t="shared" si="28"/>
        <v>3575.3100000000004</v>
      </c>
      <c r="Z228" s="1">
        <f t="shared" si="29"/>
        <v>3523.06</v>
      </c>
      <c r="AA228" s="1">
        <v>3527.05</v>
      </c>
      <c r="AB228" s="1">
        <f t="shared" si="24"/>
        <v>48.260000000000218</v>
      </c>
      <c r="AC228" s="29">
        <f t="shared" si="30"/>
        <v>3.9900000000002365</v>
      </c>
      <c r="AD228" s="11">
        <f t="shared" si="31"/>
        <v>2512164.1043750001</v>
      </c>
    </row>
    <row r="229" spans="1:30" x14ac:dyDescent="0.3">
      <c r="A229" s="14">
        <v>45843.34375</v>
      </c>
      <c r="B229" s="1">
        <v>1411.57</v>
      </c>
      <c r="C229" s="11">
        <v>3.2732000000000001</v>
      </c>
      <c r="D229" s="1">
        <v>776.29</v>
      </c>
      <c r="E229" s="11">
        <v>3.0760000000000001</v>
      </c>
      <c r="F229" s="1">
        <v>398.57</v>
      </c>
      <c r="G229" s="11">
        <v>3.53</v>
      </c>
      <c r="H229" s="1">
        <v>106.8</v>
      </c>
      <c r="I229" s="11">
        <v>2.0002200000000001</v>
      </c>
      <c r="J229" s="1">
        <v>17.88</v>
      </c>
      <c r="K229" s="11">
        <v>2.2012800000000001</v>
      </c>
      <c r="L229" s="1">
        <v>1.93</v>
      </c>
      <c r="M229" s="11">
        <v>6.2</v>
      </c>
      <c r="N229" s="1">
        <v>219.34</v>
      </c>
      <c r="O229" s="11">
        <v>2.8224999999999998</v>
      </c>
      <c r="P229" s="1">
        <f t="shared" si="25"/>
        <v>2932.38</v>
      </c>
      <c r="Q229" s="1">
        <v>2880.93</v>
      </c>
      <c r="R229" s="16">
        <f t="shared" si="26"/>
        <v>2324801.6491</v>
      </c>
      <c r="S229" s="20">
        <v>521.16</v>
      </c>
      <c r="T229" s="21">
        <v>86.35</v>
      </c>
      <c r="U229" s="21">
        <v>0.05</v>
      </c>
      <c r="V229" s="8">
        <v>607.55999999999995</v>
      </c>
      <c r="W229" s="25">
        <v>1.238</v>
      </c>
      <c r="X229" s="25">
        <f t="shared" si="27"/>
        <v>188039.81999999998</v>
      </c>
      <c r="Y229" s="1">
        <f t="shared" si="28"/>
        <v>3539.94</v>
      </c>
      <c r="Z229" s="1">
        <f t="shared" si="29"/>
        <v>3488.49</v>
      </c>
      <c r="AA229" s="1">
        <v>3502.88</v>
      </c>
      <c r="AB229" s="1">
        <f t="shared" si="24"/>
        <v>37.059999999999945</v>
      </c>
      <c r="AC229" s="29">
        <f t="shared" si="30"/>
        <v>14.390000000000327</v>
      </c>
      <c r="AD229" s="11">
        <f t="shared" si="31"/>
        <v>2512841.4690999999</v>
      </c>
    </row>
    <row r="230" spans="1:30" x14ac:dyDescent="0.3">
      <c r="A230" s="14">
        <v>45843.354166666664</v>
      </c>
      <c r="B230" s="1">
        <v>1369.1</v>
      </c>
      <c r="C230" s="11">
        <v>3.2732000000000001</v>
      </c>
      <c r="D230" s="1">
        <v>776.29</v>
      </c>
      <c r="E230" s="11">
        <v>3.0760000000000001</v>
      </c>
      <c r="F230" s="1">
        <v>398.57</v>
      </c>
      <c r="G230" s="11">
        <v>3.53</v>
      </c>
      <c r="H230" s="1">
        <v>103.85</v>
      </c>
      <c r="I230" s="11">
        <v>1.9998099999999999</v>
      </c>
      <c r="J230" s="1">
        <v>17.88</v>
      </c>
      <c r="K230" s="11">
        <v>2.2747600000000001</v>
      </c>
      <c r="L230" s="1">
        <v>5.68</v>
      </c>
      <c r="M230" s="11">
        <v>6.2</v>
      </c>
      <c r="N230" s="1">
        <v>252.6</v>
      </c>
      <c r="O230" s="11">
        <v>2.8224999999999998</v>
      </c>
      <c r="P230" s="1">
        <f t="shared" si="25"/>
        <v>2923.97</v>
      </c>
      <c r="Q230" s="1">
        <v>2921.7</v>
      </c>
      <c r="R230" s="16">
        <f t="shared" si="26"/>
        <v>2318172.6843250003</v>
      </c>
      <c r="S230" s="20">
        <v>462.65</v>
      </c>
      <c r="T230" s="21">
        <v>101.17</v>
      </c>
      <c r="U230" s="21">
        <v>6.9999999999999993E-2</v>
      </c>
      <c r="V230" s="8">
        <v>563.89</v>
      </c>
      <c r="W230" s="25">
        <v>1.238</v>
      </c>
      <c r="X230" s="25">
        <f t="shared" si="27"/>
        <v>174523.95499999999</v>
      </c>
      <c r="Y230" s="1">
        <f t="shared" si="28"/>
        <v>3487.8599999999997</v>
      </c>
      <c r="Z230" s="1">
        <f t="shared" si="29"/>
        <v>3485.5899999999997</v>
      </c>
      <c r="AA230" s="1">
        <v>3491.37</v>
      </c>
      <c r="AB230" s="1">
        <f t="shared" si="24"/>
        <v>-3.5100000000002183</v>
      </c>
      <c r="AC230" s="29">
        <f t="shared" si="30"/>
        <v>5.7800000000002001</v>
      </c>
      <c r="AD230" s="11">
        <f t="shared" si="31"/>
        <v>2492696.6393250003</v>
      </c>
    </row>
    <row r="231" spans="1:30" x14ac:dyDescent="0.3">
      <c r="A231" s="14">
        <v>45843.364583333336</v>
      </c>
      <c r="B231" s="1">
        <v>1365.68</v>
      </c>
      <c r="C231" s="11">
        <v>3.2732000000000001</v>
      </c>
      <c r="D231" s="1">
        <v>776.29</v>
      </c>
      <c r="E231" s="11">
        <v>3.0760000000000001</v>
      </c>
      <c r="F231" s="1">
        <v>398.57</v>
      </c>
      <c r="G231" s="11">
        <v>3.53</v>
      </c>
      <c r="H231" s="1">
        <v>83.18</v>
      </c>
      <c r="I231" s="11">
        <v>1.99959</v>
      </c>
      <c r="J231" s="1">
        <v>11.94</v>
      </c>
      <c r="K231" s="11">
        <v>2.1964899999999998</v>
      </c>
      <c r="L231" s="1">
        <v>33.619999999999997</v>
      </c>
      <c r="M231" s="11">
        <v>6.2</v>
      </c>
      <c r="N231" s="1">
        <v>286.20999999999998</v>
      </c>
      <c r="O231" s="11">
        <v>2.8224999999999998</v>
      </c>
      <c r="P231" s="1">
        <f t="shared" si="25"/>
        <v>2955.4900000000002</v>
      </c>
      <c r="Q231" s="1">
        <v>2958.34</v>
      </c>
      <c r="R231" s="16">
        <f t="shared" si="26"/>
        <v>2368446.9069499997</v>
      </c>
      <c r="S231" s="20">
        <v>444.4</v>
      </c>
      <c r="T231" s="21">
        <v>94.42</v>
      </c>
      <c r="U231" s="21">
        <v>6.0000000000000005E-2</v>
      </c>
      <c r="V231" s="8">
        <v>538.87999999999988</v>
      </c>
      <c r="W231" s="25">
        <v>1.238</v>
      </c>
      <c r="X231" s="25">
        <f t="shared" si="27"/>
        <v>166783.35999999996</v>
      </c>
      <c r="Y231" s="1">
        <f t="shared" si="28"/>
        <v>3494.37</v>
      </c>
      <c r="Z231" s="1">
        <f t="shared" si="29"/>
        <v>3497.2200000000003</v>
      </c>
      <c r="AA231" s="1">
        <v>3507.25</v>
      </c>
      <c r="AB231" s="1">
        <f t="shared" si="24"/>
        <v>-12.880000000000109</v>
      </c>
      <c r="AC231" s="29">
        <f t="shared" si="30"/>
        <v>10.029999999999745</v>
      </c>
      <c r="AD231" s="11">
        <f t="shared" si="31"/>
        <v>2535230.2669499996</v>
      </c>
    </row>
    <row r="232" spans="1:30" x14ac:dyDescent="0.3">
      <c r="A232" s="14">
        <v>45843.375</v>
      </c>
      <c r="B232" s="1">
        <v>1128.97</v>
      </c>
      <c r="C232" s="11">
        <v>3.2732000000000001</v>
      </c>
      <c r="D232" s="1">
        <v>776.29</v>
      </c>
      <c r="E232" s="11">
        <v>3.0760000000000001</v>
      </c>
      <c r="F232" s="1">
        <v>398.57</v>
      </c>
      <c r="G232" s="11">
        <v>3.53</v>
      </c>
      <c r="H232" s="1">
        <v>62.1</v>
      </c>
      <c r="I232" s="11">
        <v>1.99943</v>
      </c>
      <c r="J232" s="1">
        <v>8.89</v>
      </c>
      <c r="K232" s="11">
        <v>2.7992499999999998</v>
      </c>
      <c r="L232" s="1">
        <v>57.21</v>
      </c>
      <c r="M232" s="11">
        <v>6.2</v>
      </c>
      <c r="N232" s="1">
        <v>318.37</v>
      </c>
      <c r="O232" s="11">
        <v>2.8224999999999998</v>
      </c>
      <c r="P232" s="1">
        <f t="shared" si="25"/>
        <v>2750.3999999999996</v>
      </c>
      <c r="Q232" s="1">
        <v>2784.5</v>
      </c>
      <c r="R232" s="16">
        <f t="shared" si="26"/>
        <v>2223129.001125</v>
      </c>
      <c r="S232" s="20">
        <v>655.52</v>
      </c>
      <c r="T232" s="21">
        <v>95.01</v>
      </c>
      <c r="U232" s="21">
        <v>7.0000000000000007E-2</v>
      </c>
      <c r="V232" s="8">
        <v>750.6</v>
      </c>
      <c r="W232" s="25">
        <v>1.238</v>
      </c>
      <c r="X232" s="25">
        <f t="shared" si="27"/>
        <v>232310.7</v>
      </c>
      <c r="Y232" s="1">
        <f t="shared" si="28"/>
        <v>3500.9999999999995</v>
      </c>
      <c r="Z232" s="1">
        <f t="shared" si="29"/>
        <v>3535.1</v>
      </c>
      <c r="AA232" s="1">
        <v>3538.35</v>
      </c>
      <c r="AB232" s="1">
        <f t="shared" si="24"/>
        <v>-37.350000000000364</v>
      </c>
      <c r="AC232" s="29">
        <f t="shared" si="30"/>
        <v>3.25</v>
      </c>
      <c r="AD232" s="11">
        <f t="shared" si="31"/>
        <v>2455439.7011250001</v>
      </c>
    </row>
    <row r="233" spans="1:30" x14ac:dyDescent="0.3">
      <c r="A233" s="14">
        <v>45843.385416666664</v>
      </c>
      <c r="B233" s="1">
        <v>1110.54</v>
      </c>
      <c r="C233" s="11">
        <v>3.2732000000000001</v>
      </c>
      <c r="D233" s="1">
        <v>776.29</v>
      </c>
      <c r="E233" s="11">
        <v>3.0760000000000001</v>
      </c>
      <c r="F233" s="1">
        <v>398.57</v>
      </c>
      <c r="G233" s="11">
        <v>3.53</v>
      </c>
      <c r="H233" s="1">
        <v>60.75</v>
      </c>
      <c r="I233" s="11">
        <v>1.99952</v>
      </c>
      <c r="J233" s="1">
        <v>8.7100000000000009</v>
      </c>
      <c r="K233" s="11">
        <v>2.7995900000000002</v>
      </c>
      <c r="L233" s="1">
        <v>58.97</v>
      </c>
      <c r="M233" s="11">
        <v>6.2</v>
      </c>
      <c r="N233" s="1">
        <v>344.81</v>
      </c>
      <c r="O233" s="11">
        <v>2.8224999999999998</v>
      </c>
      <c r="P233" s="1">
        <f t="shared" si="25"/>
        <v>2758.64</v>
      </c>
      <c r="Q233" s="1">
        <v>2764.4</v>
      </c>
      <c r="R233" s="16">
        <f t="shared" si="26"/>
        <v>2228633.7904749997</v>
      </c>
      <c r="S233" s="20">
        <v>727.78</v>
      </c>
      <c r="T233" s="21">
        <v>103.56000000000002</v>
      </c>
      <c r="U233" s="21">
        <v>0.38</v>
      </c>
      <c r="V233" s="8">
        <v>831.72</v>
      </c>
      <c r="W233" s="25">
        <v>1.238</v>
      </c>
      <c r="X233" s="25">
        <f t="shared" si="27"/>
        <v>257417.34000000003</v>
      </c>
      <c r="Y233" s="1">
        <f t="shared" si="28"/>
        <v>3590.3599999999997</v>
      </c>
      <c r="Z233" s="1">
        <f t="shared" si="29"/>
        <v>3596.12</v>
      </c>
      <c r="AA233" s="1">
        <v>3612.39</v>
      </c>
      <c r="AB233" s="1">
        <f t="shared" si="24"/>
        <v>-22.0300000000002</v>
      </c>
      <c r="AC233" s="29">
        <f t="shared" si="30"/>
        <v>16.269999999999982</v>
      </c>
      <c r="AD233" s="11">
        <f t="shared" si="31"/>
        <v>2486051.1304749995</v>
      </c>
    </row>
    <row r="234" spans="1:30" x14ac:dyDescent="0.3">
      <c r="A234" s="14">
        <v>45843.395833333336</v>
      </c>
      <c r="B234" s="1">
        <v>1111.46</v>
      </c>
      <c r="C234" s="11">
        <v>3.2732000000000001</v>
      </c>
      <c r="D234" s="1">
        <v>776.29</v>
      </c>
      <c r="E234" s="11">
        <v>3.0760000000000001</v>
      </c>
      <c r="F234" s="1">
        <v>398.57</v>
      </c>
      <c r="G234" s="11">
        <v>3.53</v>
      </c>
      <c r="H234" s="1">
        <v>58.05</v>
      </c>
      <c r="I234" s="11">
        <v>1.9993800000000002</v>
      </c>
      <c r="J234" s="1">
        <v>55.41</v>
      </c>
      <c r="K234" s="11">
        <v>1.9958800000000001</v>
      </c>
      <c r="L234" s="1">
        <v>59.52</v>
      </c>
      <c r="M234" s="11">
        <v>6.2</v>
      </c>
      <c r="N234" s="1">
        <v>367.73</v>
      </c>
      <c r="O234" s="11">
        <v>2.8224999999999998</v>
      </c>
      <c r="P234" s="1">
        <f t="shared" si="25"/>
        <v>2827.03</v>
      </c>
      <c r="Q234" s="1">
        <v>2827.83</v>
      </c>
      <c r="R234" s="16">
        <f t="shared" si="26"/>
        <v>2266612.1642000005</v>
      </c>
      <c r="S234" s="20">
        <v>687.45</v>
      </c>
      <c r="T234" s="21">
        <v>121.35999999999999</v>
      </c>
      <c r="U234" s="21">
        <v>0.99</v>
      </c>
      <c r="V234" s="8">
        <v>809.80000000000007</v>
      </c>
      <c r="W234" s="25">
        <v>1.238</v>
      </c>
      <c r="X234" s="25">
        <f t="shared" si="27"/>
        <v>250633.1</v>
      </c>
      <c r="Y234" s="1">
        <f t="shared" si="28"/>
        <v>3636.8300000000004</v>
      </c>
      <c r="Z234" s="1">
        <f t="shared" si="29"/>
        <v>3637.63</v>
      </c>
      <c r="AA234" s="1">
        <v>3649.97</v>
      </c>
      <c r="AB234" s="1">
        <f t="shared" si="24"/>
        <v>-13.139999999999418</v>
      </c>
      <c r="AC234" s="29">
        <f t="shared" si="30"/>
        <v>12.339999999999691</v>
      </c>
      <c r="AD234" s="11">
        <f t="shared" si="31"/>
        <v>2517245.2642000006</v>
      </c>
    </row>
    <row r="235" spans="1:30" x14ac:dyDescent="0.3">
      <c r="A235" s="14">
        <v>45843.40625</v>
      </c>
      <c r="B235" s="1">
        <v>1113.1199999999999</v>
      </c>
      <c r="C235" s="11">
        <v>3.2732000000000001</v>
      </c>
      <c r="D235" s="1">
        <v>776.29</v>
      </c>
      <c r="E235" s="11">
        <v>3.0760000000000001</v>
      </c>
      <c r="F235" s="1">
        <v>398.57</v>
      </c>
      <c r="G235" s="11">
        <v>3.53</v>
      </c>
      <c r="H235" s="1">
        <v>59.63</v>
      </c>
      <c r="I235" s="11">
        <v>1.9994400000000001</v>
      </c>
      <c r="J235" s="1">
        <v>58.81</v>
      </c>
      <c r="K235" s="11">
        <v>1.9959800000000001</v>
      </c>
      <c r="L235" s="1">
        <v>59.65</v>
      </c>
      <c r="M235" s="11">
        <v>6.2</v>
      </c>
      <c r="N235" s="1">
        <v>388.44</v>
      </c>
      <c r="O235" s="11">
        <v>2.8224999999999998</v>
      </c>
      <c r="P235" s="1">
        <f t="shared" si="25"/>
        <v>2854.51</v>
      </c>
      <c r="Q235" s="1">
        <v>2861.47</v>
      </c>
      <c r="R235" s="16">
        <f t="shared" si="26"/>
        <v>2285274.1537500001</v>
      </c>
      <c r="S235" s="20">
        <v>672.35</v>
      </c>
      <c r="T235" s="21">
        <v>143.56</v>
      </c>
      <c r="U235" s="21">
        <v>0.97000000000000008</v>
      </c>
      <c r="V235" s="8">
        <v>816.88000000000011</v>
      </c>
      <c r="W235" s="25">
        <v>1.238</v>
      </c>
      <c r="X235" s="25">
        <f t="shared" si="27"/>
        <v>252824.36000000004</v>
      </c>
      <c r="Y235" s="1">
        <f t="shared" si="28"/>
        <v>3671.3900000000003</v>
      </c>
      <c r="Z235" s="1">
        <f t="shared" si="29"/>
        <v>3678.35</v>
      </c>
      <c r="AA235" s="1">
        <v>3691.17</v>
      </c>
      <c r="AB235" s="1">
        <f t="shared" si="24"/>
        <v>-19.779999999999745</v>
      </c>
      <c r="AC235" s="29">
        <f t="shared" si="30"/>
        <v>12.820000000000164</v>
      </c>
      <c r="AD235" s="11">
        <f t="shared" si="31"/>
        <v>2538098.5137499999</v>
      </c>
    </row>
    <row r="236" spans="1:30" x14ac:dyDescent="0.3">
      <c r="A236" s="14">
        <v>45843.416666666664</v>
      </c>
      <c r="B236" s="1">
        <v>1116.6500000000001</v>
      </c>
      <c r="C236" s="11">
        <v>3.2732000000000001</v>
      </c>
      <c r="D236" s="1">
        <v>757.56</v>
      </c>
      <c r="E236" s="11">
        <v>3.0760000000000001</v>
      </c>
      <c r="F236" s="1">
        <v>398.57</v>
      </c>
      <c r="G236" s="11">
        <v>3.53</v>
      </c>
      <c r="H236" s="1">
        <v>30.53</v>
      </c>
      <c r="I236" s="11">
        <v>1.9992300000000001</v>
      </c>
      <c r="J236" s="1">
        <v>61.61</v>
      </c>
      <c r="K236" s="11">
        <v>1.7808900000000001</v>
      </c>
      <c r="L236" s="1">
        <v>86.4</v>
      </c>
      <c r="M236" s="11">
        <v>6.2</v>
      </c>
      <c r="N236" s="1">
        <v>398.9</v>
      </c>
      <c r="O236" s="11">
        <v>2.8224999999999998</v>
      </c>
      <c r="P236" s="1">
        <f t="shared" si="25"/>
        <v>2850.2200000000007</v>
      </c>
      <c r="Q236" s="1">
        <v>2893.81</v>
      </c>
      <c r="R236" s="16">
        <f t="shared" si="26"/>
        <v>2306139.4537</v>
      </c>
      <c r="S236" s="20">
        <v>656.39000000000021</v>
      </c>
      <c r="T236" s="21">
        <v>156.11000000000004</v>
      </c>
      <c r="U236" s="21">
        <v>1.3099999999999998</v>
      </c>
      <c r="V236" s="8">
        <v>813.81000000000017</v>
      </c>
      <c r="W236" s="25">
        <v>1.238</v>
      </c>
      <c r="X236" s="25">
        <f t="shared" si="27"/>
        <v>251874.19500000004</v>
      </c>
      <c r="Y236" s="1">
        <f t="shared" si="28"/>
        <v>3664.0300000000007</v>
      </c>
      <c r="Z236" s="1">
        <f t="shared" si="29"/>
        <v>3707.62</v>
      </c>
      <c r="AA236" s="1">
        <v>3715.13</v>
      </c>
      <c r="AB236" s="1">
        <f t="shared" si="24"/>
        <v>-51.099999999999454</v>
      </c>
      <c r="AC236" s="29">
        <f t="shared" si="30"/>
        <v>7.5100000000002183</v>
      </c>
      <c r="AD236" s="11">
        <f t="shared" si="31"/>
        <v>2558013.6486999998</v>
      </c>
    </row>
    <row r="237" spans="1:30" x14ac:dyDescent="0.3">
      <c r="A237" s="14">
        <v>45843.427083333336</v>
      </c>
      <c r="B237" s="1">
        <v>1119.32</v>
      </c>
      <c r="C237" s="11">
        <v>3.2732000000000001</v>
      </c>
      <c r="D237" s="1">
        <v>737.52</v>
      </c>
      <c r="E237" s="11">
        <v>3.0760000000000001</v>
      </c>
      <c r="F237" s="1">
        <v>398.57</v>
      </c>
      <c r="G237" s="11">
        <v>3.53</v>
      </c>
      <c r="H237" s="1">
        <v>28.51</v>
      </c>
      <c r="I237" s="11">
        <v>1.9993099999999999</v>
      </c>
      <c r="J237" s="1">
        <v>61.8</v>
      </c>
      <c r="K237" s="11">
        <v>1.7501500000000001</v>
      </c>
      <c r="L237" s="1">
        <v>88.43</v>
      </c>
      <c r="M237" s="11">
        <v>6.2</v>
      </c>
      <c r="N237" s="1">
        <v>413.84</v>
      </c>
      <c r="O237" s="11">
        <v>2.8224999999999998</v>
      </c>
      <c r="P237" s="1">
        <f t="shared" si="25"/>
        <v>2847.9900000000002</v>
      </c>
      <c r="Q237" s="1">
        <v>2929.68</v>
      </c>
      <c r="R237" s="16">
        <f t="shared" si="26"/>
        <v>2305202.710525</v>
      </c>
      <c r="S237" s="20">
        <v>654.47</v>
      </c>
      <c r="T237" s="21">
        <v>151.04999999999998</v>
      </c>
      <c r="U237" s="21">
        <v>1.99</v>
      </c>
      <c r="V237" s="8">
        <v>807.51</v>
      </c>
      <c r="W237" s="25">
        <v>1.238</v>
      </c>
      <c r="X237" s="25">
        <f t="shared" si="27"/>
        <v>249924.345</v>
      </c>
      <c r="Y237" s="1">
        <f t="shared" si="28"/>
        <v>3655.5</v>
      </c>
      <c r="Z237" s="1">
        <f t="shared" si="29"/>
        <v>3737.1899999999996</v>
      </c>
      <c r="AA237" s="1">
        <v>3748.37</v>
      </c>
      <c r="AB237" s="1">
        <f t="shared" si="24"/>
        <v>-92.869999999999891</v>
      </c>
      <c r="AC237" s="29">
        <f t="shared" si="30"/>
        <v>11.180000000000291</v>
      </c>
      <c r="AD237" s="11">
        <f t="shared" si="31"/>
        <v>2555127.0555250002</v>
      </c>
    </row>
    <row r="238" spans="1:30" x14ac:dyDescent="0.3">
      <c r="A238" s="14">
        <v>45843.4375</v>
      </c>
      <c r="B238" s="1">
        <v>1119.51</v>
      </c>
      <c r="C238" s="11">
        <v>3.2732000000000001</v>
      </c>
      <c r="D238" s="1">
        <v>717.28</v>
      </c>
      <c r="E238" s="11">
        <v>3.0760000000000001</v>
      </c>
      <c r="F238" s="1">
        <v>398.57</v>
      </c>
      <c r="G238" s="11">
        <v>3.53</v>
      </c>
      <c r="H238" s="1">
        <v>28.51</v>
      </c>
      <c r="I238" s="11">
        <v>1.9993699999999999</v>
      </c>
      <c r="J238" s="1">
        <v>105.47</v>
      </c>
      <c r="K238" s="11">
        <v>1.7667599999999999</v>
      </c>
      <c r="L238" s="1">
        <v>88.51</v>
      </c>
      <c r="M238" s="11">
        <v>6.2</v>
      </c>
      <c r="N238" s="1">
        <v>429.08</v>
      </c>
      <c r="O238" s="11">
        <v>2.8224999999999998</v>
      </c>
      <c r="P238" s="1">
        <f t="shared" si="25"/>
        <v>2886.9300000000003</v>
      </c>
      <c r="Q238" s="1">
        <v>2905.44</v>
      </c>
      <c r="R238" s="16">
        <f t="shared" si="26"/>
        <v>2320217.0069749998</v>
      </c>
      <c r="S238" s="20">
        <v>678.85</v>
      </c>
      <c r="T238" s="21">
        <v>137.18</v>
      </c>
      <c r="U238" s="21">
        <v>3.0100000000000002</v>
      </c>
      <c r="V238" s="8">
        <v>819.04</v>
      </c>
      <c r="W238" s="25">
        <v>1.238</v>
      </c>
      <c r="X238" s="25">
        <f t="shared" si="27"/>
        <v>253492.87999999998</v>
      </c>
      <c r="Y238" s="1">
        <f t="shared" si="28"/>
        <v>3705.9700000000003</v>
      </c>
      <c r="Z238" s="1">
        <f t="shared" si="29"/>
        <v>3724.48</v>
      </c>
      <c r="AA238" s="1">
        <v>3732.86</v>
      </c>
      <c r="AB238" s="1">
        <f t="shared" si="24"/>
        <v>-26.889999999999873</v>
      </c>
      <c r="AC238" s="29">
        <f t="shared" si="30"/>
        <v>8.3800000000001091</v>
      </c>
      <c r="AD238" s="11">
        <f t="shared" si="31"/>
        <v>2573709.8869749997</v>
      </c>
    </row>
    <row r="239" spans="1:30" x14ac:dyDescent="0.3">
      <c r="A239" s="14">
        <v>45843.447916666664</v>
      </c>
      <c r="B239" s="1">
        <v>1119.51</v>
      </c>
      <c r="C239" s="11">
        <v>3.2732000000000001</v>
      </c>
      <c r="D239" s="1">
        <v>697.7</v>
      </c>
      <c r="E239" s="11">
        <v>3.0760000000000001</v>
      </c>
      <c r="F239" s="1">
        <v>398.57</v>
      </c>
      <c r="G239" s="11">
        <v>3.53</v>
      </c>
      <c r="H239" s="1">
        <v>28.51</v>
      </c>
      <c r="I239" s="11">
        <v>1.9993800000000002</v>
      </c>
      <c r="J239" s="1">
        <v>109.1</v>
      </c>
      <c r="K239" s="11">
        <v>1.7661</v>
      </c>
      <c r="L239" s="1">
        <v>88.33</v>
      </c>
      <c r="M239" s="11">
        <v>6.2</v>
      </c>
      <c r="N239" s="1">
        <v>436.11</v>
      </c>
      <c r="O239" s="11">
        <v>2.8224999999999998</v>
      </c>
      <c r="P239" s="1">
        <f t="shared" si="25"/>
        <v>2877.8300000000004</v>
      </c>
      <c r="Q239" s="1">
        <v>2929.01</v>
      </c>
      <c r="R239" s="16">
        <f t="shared" si="26"/>
        <v>2311426.9352000002</v>
      </c>
      <c r="S239" s="20">
        <v>668.13</v>
      </c>
      <c r="T239" s="21">
        <v>131.29</v>
      </c>
      <c r="U239" s="21">
        <v>2.99</v>
      </c>
      <c r="V239" s="8">
        <v>802.41</v>
      </c>
      <c r="W239" s="25">
        <v>1.238</v>
      </c>
      <c r="X239" s="25">
        <f t="shared" si="27"/>
        <v>248345.89499999999</v>
      </c>
      <c r="Y239" s="1">
        <f t="shared" si="28"/>
        <v>3680.2400000000002</v>
      </c>
      <c r="Z239" s="1">
        <f t="shared" si="29"/>
        <v>3731.42</v>
      </c>
      <c r="AA239" s="1">
        <v>3743.94</v>
      </c>
      <c r="AB239" s="1">
        <f t="shared" si="24"/>
        <v>-63.699999999999818</v>
      </c>
      <c r="AC239" s="29">
        <f t="shared" si="30"/>
        <v>12.519999999999982</v>
      </c>
      <c r="AD239" s="11">
        <f t="shared" si="31"/>
        <v>2559772.8302000002</v>
      </c>
    </row>
    <row r="240" spans="1:30" x14ac:dyDescent="0.3">
      <c r="A240" s="14">
        <v>45843.458333333336</v>
      </c>
      <c r="B240" s="1">
        <v>1119.51</v>
      </c>
      <c r="C240" s="11">
        <v>3.2732000000000001</v>
      </c>
      <c r="D240" s="1">
        <v>677.52</v>
      </c>
      <c r="E240" s="11">
        <v>3.0760000000000001</v>
      </c>
      <c r="F240" s="1">
        <v>398.57</v>
      </c>
      <c r="G240" s="11">
        <v>3.53</v>
      </c>
      <c r="H240" s="1">
        <v>28.51</v>
      </c>
      <c r="I240" s="11">
        <v>1.98098</v>
      </c>
      <c r="J240" s="1">
        <v>189.04</v>
      </c>
      <c r="K240" s="11">
        <v>1.7660499999999999</v>
      </c>
      <c r="L240" s="1">
        <v>88.68</v>
      </c>
      <c r="M240" s="11">
        <v>6.2</v>
      </c>
      <c r="N240" s="1">
        <v>439.5</v>
      </c>
      <c r="O240" s="11">
        <v>2.8224999999999998</v>
      </c>
      <c r="P240" s="1">
        <f t="shared" si="25"/>
        <v>2941.33</v>
      </c>
      <c r="Q240" s="1">
        <v>2967.09</v>
      </c>
      <c r="R240" s="16">
        <f t="shared" si="26"/>
        <v>2334005.0834499998</v>
      </c>
      <c r="S240" s="20">
        <v>617.98</v>
      </c>
      <c r="T240" s="21">
        <v>143.80999999999997</v>
      </c>
      <c r="U240" s="21">
        <v>3.3200000000000003</v>
      </c>
      <c r="V240" s="8">
        <v>765.11</v>
      </c>
      <c r="W240" s="25">
        <v>1.238</v>
      </c>
      <c r="X240" s="25">
        <f t="shared" si="27"/>
        <v>236801.54500000001</v>
      </c>
      <c r="Y240" s="1">
        <f t="shared" si="28"/>
        <v>3706.44</v>
      </c>
      <c r="Z240" s="1">
        <f t="shared" si="29"/>
        <v>3732.2000000000003</v>
      </c>
      <c r="AA240" s="1">
        <v>3746.15</v>
      </c>
      <c r="AB240" s="1">
        <f t="shared" si="24"/>
        <v>-39.710000000000036</v>
      </c>
      <c r="AC240" s="29">
        <f t="shared" si="30"/>
        <v>13.949999999999818</v>
      </c>
      <c r="AD240" s="11">
        <f t="shared" si="31"/>
        <v>2570806.6284499997</v>
      </c>
    </row>
    <row r="241" spans="1:30" x14ac:dyDescent="0.3">
      <c r="A241" s="14">
        <v>45843.46875</v>
      </c>
      <c r="B241" s="1">
        <v>1119.51</v>
      </c>
      <c r="C241" s="11">
        <v>3.2732000000000001</v>
      </c>
      <c r="D241" s="1">
        <v>639.12</v>
      </c>
      <c r="E241" s="11">
        <v>3.0760000000000001</v>
      </c>
      <c r="F241" s="1">
        <v>398.57</v>
      </c>
      <c r="G241" s="11">
        <v>3.53</v>
      </c>
      <c r="H241" s="1">
        <v>28.51</v>
      </c>
      <c r="I241" s="11">
        <v>1.9007000000000001</v>
      </c>
      <c r="J241" s="1">
        <v>237.36</v>
      </c>
      <c r="K241" s="11">
        <v>1.7802200000000001</v>
      </c>
      <c r="L241" s="1">
        <v>88.8</v>
      </c>
      <c r="M241" s="11">
        <v>6.2</v>
      </c>
      <c r="N241" s="1">
        <v>441.95</v>
      </c>
      <c r="O241" s="11">
        <v>2.8224999999999998</v>
      </c>
      <c r="P241" s="1">
        <f t="shared" si="25"/>
        <v>2953.8200000000006</v>
      </c>
      <c r="Q241" s="1">
        <v>2985.26</v>
      </c>
      <c r="R241" s="16">
        <f t="shared" si="26"/>
        <v>2327992.8008000003</v>
      </c>
      <c r="S241" s="20">
        <v>605</v>
      </c>
      <c r="T241" s="21">
        <v>161.86000000000004</v>
      </c>
      <c r="U241" s="21">
        <v>3.4699999999999998</v>
      </c>
      <c r="V241" s="8">
        <v>770.33</v>
      </c>
      <c r="W241" s="25">
        <v>1.238</v>
      </c>
      <c r="X241" s="25">
        <f t="shared" si="27"/>
        <v>238417.13500000001</v>
      </c>
      <c r="Y241" s="1">
        <f t="shared" si="28"/>
        <v>3724.1500000000005</v>
      </c>
      <c r="Z241" s="1">
        <f t="shared" si="29"/>
        <v>3755.59</v>
      </c>
      <c r="AA241" s="1">
        <v>3763.61</v>
      </c>
      <c r="AB241" s="1">
        <f t="shared" si="24"/>
        <v>-39.459999999999582</v>
      </c>
      <c r="AC241" s="29">
        <f t="shared" si="30"/>
        <v>8.0199999999999818</v>
      </c>
      <c r="AD241" s="11">
        <f t="shared" si="31"/>
        <v>2566409.9358000001</v>
      </c>
    </row>
    <row r="242" spans="1:30" x14ac:dyDescent="0.3">
      <c r="A242" s="14">
        <v>45843.479166666664</v>
      </c>
      <c r="B242" s="1">
        <v>1122.6600000000001</v>
      </c>
      <c r="C242" s="11">
        <v>3.2732000000000001</v>
      </c>
      <c r="D242" s="1">
        <v>636.09</v>
      </c>
      <c r="E242" s="11">
        <v>3.0760000000000001</v>
      </c>
      <c r="F242" s="1">
        <v>398.57</v>
      </c>
      <c r="G242" s="11">
        <v>3.53</v>
      </c>
      <c r="H242" s="1">
        <v>28.51</v>
      </c>
      <c r="I242" s="11">
        <v>1.90069</v>
      </c>
      <c r="J242" s="1">
        <v>211.1</v>
      </c>
      <c r="K242" s="11">
        <v>1.98037</v>
      </c>
      <c r="L242" s="1">
        <v>88.99</v>
      </c>
      <c r="M242" s="11">
        <v>6.2</v>
      </c>
      <c r="N242" s="1">
        <v>451.07</v>
      </c>
      <c r="O242" s="11">
        <v>2.8224999999999998</v>
      </c>
      <c r="P242" s="1">
        <f t="shared" si="25"/>
        <v>2936.9900000000002</v>
      </c>
      <c r="Q242" s="1">
        <v>2997.27</v>
      </c>
      <c r="R242" s="16">
        <f t="shared" si="26"/>
        <v>2333845.8764750008</v>
      </c>
      <c r="S242" s="20">
        <v>603.85</v>
      </c>
      <c r="T242" s="21">
        <v>167.67000000000002</v>
      </c>
      <c r="U242" s="21">
        <v>3.12</v>
      </c>
      <c r="V242" s="8">
        <v>774.64</v>
      </c>
      <c r="W242" s="25">
        <v>1.238</v>
      </c>
      <c r="X242" s="25">
        <f t="shared" si="27"/>
        <v>239751.08000000002</v>
      </c>
      <c r="Y242" s="1">
        <f t="shared" si="28"/>
        <v>3711.63</v>
      </c>
      <c r="Z242" s="1">
        <f t="shared" si="29"/>
        <v>3771.91</v>
      </c>
      <c r="AA242" s="1">
        <v>3783.9</v>
      </c>
      <c r="AB242" s="1">
        <f t="shared" si="24"/>
        <v>-72.269999999999982</v>
      </c>
      <c r="AC242" s="29">
        <f t="shared" si="30"/>
        <v>11.990000000000236</v>
      </c>
      <c r="AD242" s="11">
        <f t="shared" si="31"/>
        <v>2573596.9564750008</v>
      </c>
    </row>
    <row r="243" spans="1:30" x14ac:dyDescent="0.3">
      <c r="A243" s="14">
        <v>45843.489583333336</v>
      </c>
      <c r="B243" s="1">
        <v>1122.9000000000001</v>
      </c>
      <c r="C243" s="11">
        <v>3.2732000000000001</v>
      </c>
      <c r="D243" s="1">
        <v>636.09</v>
      </c>
      <c r="E243" s="11">
        <v>3.0760000000000001</v>
      </c>
      <c r="F243" s="1">
        <v>398.57</v>
      </c>
      <c r="G243" s="11">
        <v>3.53</v>
      </c>
      <c r="H243" s="1">
        <v>28.51</v>
      </c>
      <c r="I243" s="11">
        <v>1.9005999999999998</v>
      </c>
      <c r="J243" s="1">
        <v>206.32</v>
      </c>
      <c r="K243" s="11">
        <v>1.99569</v>
      </c>
      <c r="L243" s="1">
        <v>88.91</v>
      </c>
      <c r="M243" s="11">
        <v>6.2</v>
      </c>
      <c r="N243" s="1">
        <v>451.6</v>
      </c>
      <c r="O243" s="11">
        <v>2.8224999999999998</v>
      </c>
      <c r="P243" s="1">
        <f t="shared" si="25"/>
        <v>2932.9000000000005</v>
      </c>
      <c r="Q243" s="1">
        <v>2983.01</v>
      </c>
      <c r="R243" s="16">
        <f t="shared" si="26"/>
        <v>2332715.2717000004</v>
      </c>
      <c r="S243" s="20">
        <v>603.68999999999994</v>
      </c>
      <c r="T243" s="21">
        <v>163.05000000000001</v>
      </c>
      <c r="U243" s="21">
        <v>3.4699999999999998</v>
      </c>
      <c r="V243" s="8">
        <v>770.21</v>
      </c>
      <c r="W243" s="25">
        <v>1.238</v>
      </c>
      <c r="X243" s="25">
        <f t="shared" si="27"/>
        <v>238379.995</v>
      </c>
      <c r="Y243" s="1">
        <f t="shared" si="28"/>
        <v>3703.1100000000006</v>
      </c>
      <c r="Z243" s="1">
        <f t="shared" si="29"/>
        <v>3753.2200000000003</v>
      </c>
      <c r="AA243" s="1">
        <v>3762.84</v>
      </c>
      <c r="AB243" s="1">
        <f t="shared" si="24"/>
        <v>-59.729999999999563</v>
      </c>
      <c r="AC243" s="29">
        <f t="shared" si="30"/>
        <v>9.6199999999998909</v>
      </c>
      <c r="AD243" s="11">
        <f t="shared" si="31"/>
        <v>2571095.2667000005</v>
      </c>
    </row>
    <row r="244" spans="1:30" x14ac:dyDescent="0.3">
      <c r="A244" s="14">
        <v>45843.5</v>
      </c>
      <c r="B244" s="1">
        <v>1122.9000000000001</v>
      </c>
      <c r="C244" s="11">
        <v>3.2732000000000001</v>
      </c>
      <c r="D244" s="1">
        <v>636.09</v>
      </c>
      <c r="E244" s="11">
        <v>3.0760000000000001</v>
      </c>
      <c r="F244" s="1">
        <v>398.57</v>
      </c>
      <c r="G244" s="11">
        <v>3.53</v>
      </c>
      <c r="H244" s="1">
        <v>28.06</v>
      </c>
      <c r="I244" s="11">
        <v>1.9006500000000002</v>
      </c>
      <c r="J244" s="1">
        <v>209.81</v>
      </c>
      <c r="K244" s="11">
        <v>1.9808299999999999</v>
      </c>
      <c r="L244" s="1">
        <v>87.83</v>
      </c>
      <c r="M244" s="11">
        <v>6.2</v>
      </c>
      <c r="N244" s="1">
        <v>451</v>
      </c>
      <c r="O244" s="11">
        <v>2.8224999999999998</v>
      </c>
      <c r="P244" s="1">
        <f t="shared" si="25"/>
        <v>2934.26</v>
      </c>
      <c r="Q244" s="1">
        <v>3060.33</v>
      </c>
      <c r="R244" s="16">
        <f t="shared" si="26"/>
        <v>2331366.2253250005</v>
      </c>
      <c r="S244" s="20">
        <v>533.74</v>
      </c>
      <c r="T244" s="21">
        <v>172.18</v>
      </c>
      <c r="U244" s="21">
        <v>4.87</v>
      </c>
      <c r="V244" s="8">
        <v>710.79000000000008</v>
      </c>
      <c r="W244" s="25">
        <v>1.238</v>
      </c>
      <c r="X244" s="25">
        <f t="shared" si="27"/>
        <v>219989.505</v>
      </c>
      <c r="Y244" s="1">
        <f t="shared" si="28"/>
        <v>3645.05</v>
      </c>
      <c r="Z244" s="1">
        <f t="shared" si="29"/>
        <v>3771.12</v>
      </c>
      <c r="AA244" s="1">
        <v>3784.94</v>
      </c>
      <c r="AB244" s="1">
        <f t="shared" si="24"/>
        <v>-139.88999999999987</v>
      </c>
      <c r="AC244" s="29">
        <f t="shared" si="30"/>
        <v>13.820000000000164</v>
      </c>
      <c r="AD244" s="11">
        <f t="shared" si="31"/>
        <v>2551355.7303250004</v>
      </c>
    </row>
    <row r="245" spans="1:30" x14ac:dyDescent="0.3">
      <c r="A245" s="14">
        <v>45843.510416666664</v>
      </c>
      <c r="B245" s="1">
        <v>1122.9000000000001</v>
      </c>
      <c r="C245" s="11">
        <v>3.2732000000000001</v>
      </c>
      <c r="D245" s="1">
        <v>636.09</v>
      </c>
      <c r="E245" s="11">
        <v>3.0760000000000001</v>
      </c>
      <c r="F245" s="1">
        <v>398.57</v>
      </c>
      <c r="G245" s="11">
        <v>3.53</v>
      </c>
      <c r="H245" s="1">
        <v>28.02</v>
      </c>
      <c r="I245" s="11">
        <v>1.9006099999999999</v>
      </c>
      <c r="J245" s="1">
        <v>210.81</v>
      </c>
      <c r="K245" s="11">
        <v>1.9760899999999999</v>
      </c>
      <c r="L245" s="1">
        <v>87.3</v>
      </c>
      <c r="M245" s="11">
        <v>6.2</v>
      </c>
      <c r="N245" s="1">
        <v>450.34</v>
      </c>
      <c r="O245" s="11">
        <v>2.8224999999999998</v>
      </c>
      <c r="P245" s="1">
        <f t="shared" si="25"/>
        <v>2934.0300000000007</v>
      </c>
      <c r="Q245" s="1">
        <v>3141.11</v>
      </c>
      <c r="R245" s="16">
        <f t="shared" si="26"/>
        <v>2330305.1237750007</v>
      </c>
      <c r="S245" s="20">
        <v>491.2</v>
      </c>
      <c r="T245" s="21">
        <v>161.98000000000002</v>
      </c>
      <c r="U245" s="21">
        <v>4.7300000000000004</v>
      </c>
      <c r="V245" s="8">
        <v>657.91000000000008</v>
      </c>
      <c r="W245" s="25">
        <v>1.238</v>
      </c>
      <c r="X245" s="25">
        <f t="shared" si="27"/>
        <v>203623.14500000002</v>
      </c>
      <c r="Y245" s="1">
        <f t="shared" si="28"/>
        <v>3591.9400000000005</v>
      </c>
      <c r="Z245" s="1">
        <f t="shared" si="29"/>
        <v>3799.0200000000004</v>
      </c>
      <c r="AA245" s="1">
        <v>3804.63</v>
      </c>
      <c r="AB245" s="1">
        <f t="shared" si="24"/>
        <v>-212.6899999999996</v>
      </c>
      <c r="AC245" s="29">
        <f t="shared" si="30"/>
        <v>5.6099999999996726</v>
      </c>
      <c r="AD245" s="11">
        <f t="shared" si="31"/>
        <v>2533928.2687750007</v>
      </c>
    </row>
    <row r="246" spans="1:30" x14ac:dyDescent="0.3">
      <c r="A246" s="14">
        <v>45843.520833333336</v>
      </c>
      <c r="B246" s="1">
        <v>1122.9000000000001</v>
      </c>
      <c r="C246" s="11">
        <v>3.2732000000000001</v>
      </c>
      <c r="D246" s="1">
        <v>636.09</v>
      </c>
      <c r="E246" s="11">
        <v>3.0760000000000001</v>
      </c>
      <c r="F246" s="1">
        <v>398.57</v>
      </c>
      <c r="G246" s="11">
        <v>3.53</v>
      </c>
      <c r="H246" s="1">
        <v>26.21</v>
      </c>
      <c r="I246" s="11">
        <v>1.9007000000000001</v>
      </c>
      <c r="J246" s="1">
        <v>224.08</v>
      </c>
      <c r="K246" s="11">
        <v>1.8589200000000001</v>
      </c>
      <c r="L246" s="1">
        <v>86.64</v>
      </c>
      <c r="M246" s="11">
        <v>6.2</v>
      </c>
      <c r="N246" s="1">
        <v>456.56</v>
      </c>
      <c r="O246" s="11">
        <v>2.8224999999999998</v>
      </c>
      <c r="P246" s="1">
        <f t="shared" si="25"/>
        <v>2951.05</v>
      </c>
      <c r="Q246" s="1">
        <v>3101.3</v>
      </c>
      <c r="R246" s="16">
        <f t="shared" si="26"/>
        <v>2332803.4901500004</v>
      </c>
      <c r="S246" s="20">
        <v>538.02</v>
      </c>
      <c r="T246" s="21">
        <v>183.70999999999998</v>
      </c>
      <c r="U246" s="21">
        <v>5.8900000000000006</v>
      </c>
      <c r="V246" s="8">
        <v>727.62</v>
      </c>
      <c r="W246" s="25">
        <v>1.238</v>
      </c>
      <c r="X246" s="25">
        <f t="shared" si="27"/>
        <v>225198.38999999998</v>
      </c>
      <c r="Y246" s="1">
        <f t="shared" si="28"/>
        <v>3678.67</v>
      </c>
      <c r="Z246" s="1">
        <f t="shared" si="29"/>
        <v>3828.92</v>
      </c>
      <c r="AA246" s="1">
        <v>3842.4</v>
      </c>
      <c r="AB246" s="1">
        <f t="shared" si="24"/>
        <v>-163.73000000000002</v>
      </c>
      <c r="AC246" s="29">
        <f t="shared" si="30"/>
        <v>13.480000000000018</v>
      </c>
      <c r="AD246" s="11">
        <f t="shared" si="31"/>
        <v>2558001.8801500006</v>
      </c>
    </row>
    <row r="247" spans="1:30" x14ac:dyDescent="0.3">
      <c r="A247" s="14">
        <v>45843.53125</v>
      </c>
      <c r="B247" s="1">
        <v>1120.2</v>
      </c>
      <c r="C247" s="11">
        <v>3.2732000000000001</v>
      </c>
      <c r="D247" s="1">
        <v>636.09</v>
      </c>
      <c r="E247" s="11">
        <v>3.0760000000000001</v>
      </c>
      <c r="F247" s="1">
        <v>398.57</v>
      </c>
      <c r="G247" s="11">
        <v>3.53</v>
      </c>
      <c r="H247" s="1">
        <v>27.88</v>
      </c>
      <c r="I247" s="11">
        <v>1.90073</v>
      </c>
      <c r="J247" s="1">
        <v>225</v>
      </c>
      <c r="K247" s="11">
        <v>1.8588199999999999</v>
      </c>
      <c r="L247" s="1">
        <v>86.59</v>
      </c>
      <c r="M247" s="11">
        <v>6.2</v>
      </c>
      <c r="N247" s="1">
        <v>457.19</v>
      </c>
      <c r="O247" s="11">
        <v>2.8224999999999998</v>
      </c>
      <c r="P247" s="1">
        <f t="shared" si="25"/>
        <v>2951.5200000000004</v>
      </c>
      <c r="Q247" s="1">
        <v>3108.66</v>
      </c>
      <c r="R247" s="16">
        <f t="shared" si="26"/>
        <v>2332176.8018500004</v>
      </c>
      <c r="S247" s="20">
        <v>543.03</v>
      </c>
      <c r="T247" s="21">
        <v>183.9</v>
      </c>
      <c r="U247" s="21">
        <v>6.84</v>
      </c>
      <c r="V247" s="8">
        <v>733.77</v>
      </c>
      <c r="W247" s="25">
        <v>1.238</v>
      </c>
      <c r="X247" s="25">
        <f t="shared" si="27"/>
        <v>227101.815</v>
      </c>
      <c r="Y247" s="1">
        <f t="shared" si="28"/>
        <v>3685.2900000000004</v>
      </c>
      <c r="Z247" s="1">
        <f t="shared" si="29"/>
        <v>3842.43</v>
      </c>
      <c r="AA247" s="1">
        <v>3855.81</v>
      </c>
      <c r="AB247" s="1">
        <f t="shared" si="24"/>
        <v>-170.51999999999953</v>
      </c>
      <c r="AC247" s="29">
        <f t="shared" si="30"/>
        <v>13.380000000000109</v>
      </c>
      <c r="AD247" s="11">
        <f t="shared" si="31"/>
        <v>2559278.6168500003</v>
      </c>
    </row>
    <row r="248" spans="1:30" x14ac:dyDescent="0.3">
      <c r="A248" s="14">
        <v>45843.541666666664</v>
      </c>
      <c r="B248" s="1">
        <v>1120</v>
      </c>
      <c r="C248" s="11">
        <v>3.2732000000000001</v>
      </c>
      <c r="D248" s="1">
        <v>636.09</v>
      </c>
      <c r="E248" s="11">
        <v>3.0760000000000001</v>
      </c>
      <c r="F248" s="1">
        <v>398.57</v>
      </c>
      <c r="G248" s="11">
        <v>3.53</v>
      </c>
      <c r="H248" s="1">
        <v>26.41</v>
      </c>
      <c r="I248" s="11">
        <v>1.9005999999999998</v>
      </c>
      <c r="J248" s="1">
        <v>134.34</v>
      </c>
      <c r="K248" s="11">
        <v>1.8580300000000001</v>
      </c>
      <c r="L248" s="1">
        <v>87.13</v>
      </c>
      <c r="M248" s="11">
        <v>6.2</v>
      </c>
      <c r="N248" s="1">
        <v>457.56</v>
      </c>
      <c r="O248" s="11">
        <v>2.8224999999999998</v>
      </c>
      <c r="P248" s="1">
        <f t="shared" si="25"/>
        <v>2860.1000000000004</v>
      </c>
      <c r="Q248" s="1">
        <v>3089.83</v>
      </c>
      <c r="R248" s="16">
        <f t="shared" si="26"/>
        <v>2290255.1590500004</v>
      </c>
      <c r="S248" s="20">
        <v>546.01</v>
      </c>
      <c r="T248" s="21">
        <v>181.36</v>
      </c>
      <c r="U248" s="21">
        <v>5.75</v>
      </c>
      <c r="V248" s="8">
        <v>733.12</v>
      </c>
      <c r="W248" s="25">
        <v>1.238</v>
      </c>
      <c r="X248" s="25">
        <f t="shared" si="27"/>
        <v>226900.64</v>
      </c>
      <c r="Y248" s="1">
        <f t="shared" si="28"/>
        <v>3593.2200000000003</v>
      </c>
      <c r="Z248" s="1">
        <f t="shared" si="29"/>
        <v>3822.95</v>
      </c>
      <c r="AA248" s="1">
        <v>3831.34</v>
      </c>
      <c r="AB248" s="1">
        <f t="shared" si="24"/>
        <v>-238.11999999999989</v>
      </c>
      <c r="AC248" s="29">
        <f t="shared" si="30"/>
        <v>8.3900000000003274</v>
      </c>
      <c r="AD248" s="11">
        <f t="shared" si="31"/>
        <v>2517155.7990500005</v>
      </c>
    </row>
    <row r="249" spans="1:30" x14ac:dyDescent="0.3">
      <c r="A249" s="14">
        <v>45843.552083333336</v>
      </c>
      <c r="B249" s="1">
        <v>1120</v>
      </c>
      <c r="C249" s="11">
        <v>3.2732000000000001</v>
      </c>
      <c r="D249" s="1">
        <v>636.09</v>
      </c>
      <c r="E249" s="11">
        <v>3.0760000000000001</v>
      </c>
      <c r="F249" s="1">
        <v>398.57</v>
      </c>
      <c r="G249" s="11">
        <v>3.53</v>
      </c>
      <c r="H249" s="1">
        <v>25.39</v>
      </c>
      <c r="I249" s="11">
        <v>1.9005699999999999</v>
      </c>
      <c r="J249" s="1">
        <v>136.35</v>
      </c>
      <c r="K249" s="11">
        <v>1.79972</v>
      </c>
      <c r="L249" s="1">
        <v>86.98</v>
      </c>
      <c r="M249" s="11">
        <v>6.2</v>
      </c>
      <c r="N249" s="1">
        <v>446.42</v>
      </c>
      <c r="O249" s="11">
        <v>2.8224999999999998</v>
      </c>
      <c r="P249" s="1">
        <f t="shared" si="25"/>
        <v>2849.8</v>
      </c>
      <c r="Q249" s="1">
        <v>3030.94</v>
      </c>
      <c r="R249" s="16">
        <f t="shared" si="26"/>
        <v>2280623.171075</v>
      </c>
      <c r="S249" s="20">
        <v>632.18999999999994</v>
      </c>
      <c r="T249" s="21">
        <v>205.79999999999998</v>
      </c>
      <c r="U249" s="21">
        <v>6.4</v>
      </c>
      <c r="V249" s="8">
        <v>844.38999999999987</v>
      </c>
      <c r="W249" s="25">
        <v>1.238</v>
      </c>
      <c r="X249" s="25">
        <f t="shared" si="27"/>
        <v>261338.70499999996</v>
      </c>
      <c r="Y249" s="1">
        <f t="shared" si="28"/>
        <v>3694.19</v>
      </c>
      <c r="Z249" s="1">
        <f t="shared" si="29"/>
        <v>3875.33</v>
      </c>
      <c r="AA249" s="1">
        <v>3884.43</v>
      </c>
      <c r="AB249" s="1">
        <f t="shared" si="24"/>
        <v>-190.23999999999978</v>
      </c>
      <c r="AC249" s="29">
        <f t="shared" si="30"/>
        <v>9.0999999999999091</v>
      </c>
      <c r="AD249" s="11">
        <f t="shared" si="31"/>
        <v>2541961.876075</v>
      </c>
    </row>
    <row r="250" spans="1:30" x14ac:dyDescent="0.3">
      <c r="A250" s="14">
        <v>45843.5625</v>
      </c>
      <c r="B250" s="1">
        <v>1120</v>
      </c>
      <c r="C250" s="11">
        <v>3.2732000000000001</v>
      </c>
      <c r="D250" s="1">
        <v>636.09</v>
      </c>
      <c r="E250" s="11">
        <v>3.0760000000000001</v>
      </c>
      <c r="F250" s="1">
        <v>398.57</v>
      </c>
      <c r="G250" s="11">
        <v>3.53</v>
      </c>
      <c r="H250" s="1">
        <v>25.32</v>
      </c>
      <c r="I250" s="11">
        <v>1.9008800000000001</v>
      </c>
      <c r="J250" s="1">
        <v>171.74</v>
      </c>
      <c r="K250" s="11">
        <v>1.98048</v>
      </c>
      <c r="L250" s="1">
        <v>86.79</v>
      </c>
      <c r="M250" s="11">
        <v>6.2</v>
      </c>
      <c r="N250" s="1">
        <v>441.8</v>
      </c>
      <c r="O250" s="11">
        <v>2.8224999999999998</v>
      </c>
      <c r="P250" s="1">
        <f t="shared" si="25"/>
        <v>2880.3100000000004</v>
      </c>
      <c r="Q250" s="1">
        <v>3036.48</v>
      </c>
      <c r="R250" s="16">
        <f t="shared" si="26"/>
        <v>2300721.3392000003</v>
      </c>
      <c r="S250" s="20">
        <v>642.70000000000005</v>
      </c>
      <c r="T250" s="21">
        <v>204.9</v>
      </c>
      <c r="U250" s="21">
        <v>6.38</v>
      </c>
      <c r="V250" s="8">
        <v>853.98</v>
      </c>
      <c r="W250" s="25">
        <v>1.238</v>
      </c>
      <c r="X250" s="25">
        <f t="shared" si="27"/>
        <v>264306.81</v>
      </c>
      <c r="Y250" s="1">
        <f t="shared" si="28"/>
        <v>3734.2900000000004</v>
      </c>
      <c r="Z250" s="1">
        <f t="shared" si="29"/>
        <v>3890.46</v>
      </c>
      <c r="AA250" s="1">
        <v>3901.03</v>
      </c>
      <c r="AB250" s="1">
        <f t="shared" si="24"/>
        <v>-166.73999999999978</v>
      </c>
      <c r="AC250" s="29">
        <f t="shared" si="30"/>
        <v>10.570000000000164</v>
      </c>
      <c r="AD250" s="11">
        <f t="shared" si="31"/>
        <v>2565028.1492000003</v>
      </c>
    </row>
    <row r="251" spans="1:30" x14ac:dyDescent="0.3">
      <c r="A251" s="14">
        <v>45843.572916666664</v>
      </c>
      <c r="B251" s="1">
        <v>1120</v>
      </c>
      <c r="C251" s="11">
        <v>3.2732000000000001</v>
      </c>
      <c r="D251" s="1">
        <v>636.09</v>
      </c>
      <c r="E251" s="11">
        <v>3.0760000000000001</v>
      </c>
      <c r="F251" s="1">
        <v>398.57</v>
      </c>
      <c r="G251" s="11">
        <v>3.53</v>
      </c>
      <c r="H251" s="1">
        <v>26.22</v>
      </c>
      <c r="I251" s="11">
        <v>1.9803299999999999</v>
      </c>
      <c r="J251" s="1">
        <v>199.64</v>
      </c>
      <c r="K251" s="11">
        <v>2.0763000000000003</v>
      </c>
      <c r="L251" s="1">
        <v>87.14</v>
      </c>
      <c r="M251" s="11">
        <v>6.2</v>
      </c>
      <c r="N251" s="1">
        <v>438.9</v>
      </c>
      <c r="O251" s="11">
        <v>2.8224999999999998</v>
      </c>
      <c r="P251" s="1">
        <f t="shared" si="25"/>
        <v>2906.56</v>
      </c>
      <c r="Q251" s="1">
        <v>3084.37</v>
      </c>
      <c r="R251" s="16">
        <f t="shared" si="26"/>
        <v>2318762.2436500001</v>
      </c>
      <c r="S251" s="20">
        <v>666.28999999999985</v>
      </c>
      <c r="T251" s="21">
        <v>198.52</v>
      </c>
      <c r="U251" s="21">
        <v>7.5500000000000007</v>
      </c>
      <c r="V251" s="8">
        <v>872.35999999999979</v>
      </c>
      <c r="W251" s="25">
        <v>1.238</v>
      </c>
      <c r="X251" s="25">
        <f t="shared" si="27"/>
        <v>269995.41999999993</v>
      </c>
      <c r="Y251" s="1">
        <f t="shared" si="28"/>
        <v>3778.9199999999996</v>
      </c>
      <c r="Z251" s="1">
        <f t="shared" si="29"/>
        <v>3956.7299999999996</v>
      </c>
      <c r="AA251" s="1">
        <v>3965.71</v>
      </c>
      <c r="AB251" s="1">
        <f t="shared" si="24"/>
        <v>-186.79000000000042</v>
      </c>
      <c r="AC251" s="29">
        <f t="shared" si="30"/>
        <v>8.9800000000004729</v>
      </c>
      <c r="AD251" s="11">
        <f t="shared" si="31"/>
        <v>2588757.66365</v>
      </c>
    </row>
    <row r="252" spans="1:30" x14ac:dyDescent="0.3">
      <c r="A252" s="14">
        <v>45843.583333333336</v>
      </c>
      <c r="B252" s="1">
        <v>1120</v>
      </c>
      <c r="C252" s="11">
        <v>3.2732000000000001</v>
      </c>
      <c r="D252" s="1">
        <v>636.09</v>
      </c>
      <c r="E252" s="11">
        <v>3.0760000000000001</v>
      </c>
      <c r="F252" s="1">
        <v>398.57</v>
      </c>
      <c r="G252" s="11">
        <v>3.53</v>
      </c>
      <c r="H252" s="1">
        <v>27.81</v>
      </c>
      <c r="I252" s="11">
        <v>2.37182</v>
      </c>
      <c r="J252" s="1">
        <v>155.34</v>
      </c>
      <c r="K252" s="11">
        <v>2.90036</v>
      </c>
      <c r="L252" s="1">
        <v>84.83</v>
      </c>
      <c r="M252" s="11">
        <v>6.2</v>
      </c>
      <c r="N252" s="1">
        <v>448.56</v>
      </c>
      <c r="O252" s="11">
        <v>2.8224999999999998</v>
      </c>
      <c r="P252" s="1">
        <f t="shared" si="25"/>
        <v>2871.2000000000003</v>
      </c>
      <c r="Q252" s="1">
        <v>3085.2</v>
      </c>
      <c r="R252" s="16">
        <f t="shared" si="26"/>
        <v>2334514.4441500003</v>
      </c>
      <c r="S252" s="20">
        <v>791.9</v>
      </c>
      <c r="T252" s="21">
        <v>186.76000000000002</v>
      </c>
      <c r="U252" s="21">
        <v>6.54</v>
      </c>
      <c r="V252" s="8">
        <v>985.19999999999993</v>
      </c>
      <c r="W252" s="25">
        <v>1.238</v>
      </c>
      <c r="X252" s="25">
        <f t="shared" si="27"/>
        <v>304919.40000000002</v>
      </c>
      <c r="Y252" s="1">
        <f t="shared" si="28"/>
        <v>3856.4</v>
      </c>
      <c r="Z252" s="1">
        <f t="shared" si="29"/>
        <v>4070.3999999999996</v>
      </c>
      <c r="AA252" s="1">
        <v>4082.61</v>
      </c>
      <c r="AB252" s="1">
        <f t="shared" si="24"/>
        <v>-226.21000000000004</v>
      </c>
      <c r="AC252" s="29">
        <f t="shared" si="30"/>
        <v>12.210000000000491</v>
      </c>
      <c r="AD252" s="11">
        <f t="shared" si="31"/>
        <v>2639433.8441500003</v>
      </c>
    </row>
    <row r="253" spans="1:30" x14ac:dyDescent="0.3">
      <c r="A253" s="14">
        <v>45843.59375</v>
      </c>
      <c r="B253" s="1">
        <v>1120</v>
      </c>
      <c r="C253" s="11">
        <v>3.2732000000000001</v>
      </c>
      <c r="D253" s="1">
        <v>636.09</v>
      </c>
      <c r="E253" s="11">
        <v>3.0760000000000001</v>
      </c>
      <c r="F253" s="1">
        <v>398.57</v>
      </c>
      <c r="G253" s="11">
        <v>3.53</v>
      </c>
      <c r="H253" s="1">
        <v>28.82</v>
      </c>
      <c r="I253" s="11">
        <v>2.3952300000000002</v>
      </c>
      <c r="J253" s="1">
        <v>151.87</v>
      </c>
      <c r="K253" s="11">
        <v>2.9803699999999997</v>
      </c>
      <c r="L253" s="1">
        <v>84.84</v>
      </c>
      <c r="M253" s="11">
        <v>6.2</v>
      </c>
      <c r="N253" s="1">
        <v>448.81</v>
      </c>
      <c r="O253" s="11">
        <v>2.8224999999999998</v>
      </c>
      <c r="P253" s="1">
        <f t="shared" si="25"/>
        <v>2869.0000000000005</v>
      </c>
      <c r="Q253" s="1">
        <v>3106.17</v>
      </c>
      <c r="R253" s="16">
        <f t="shared" si="26"/>
        <v>2335995.6213750001</v>
      </c>
      <c r="S253" s="20">
        <v>879.2700000000001</v>
      </c>
      <c r="T253" s="21">
        <v>195.54</v>
      </c>
      <c r="U253" s="21">
        <v>7.7299999999999995</v>
      </c>
      <c r="V253" s="8">
        <v>1082.5400000000002</v>
      </c>
      <c r="W253" s="25">
        <v>1.238</v>
      </c>
      <c r="X253" s="25">
        <f t="shared" si="27"/>
        <v>335046.13000000006</v>
      </c>
      <c r="Y253" s="1">
        <f t="shared" si="28"/>
        <v>3951.5400000000009</v>
      </c>
      <c r="Z253" s="1">
        <f t="shared" si="29"/>
        <v>4188.71</v>
      </c>
      <c r="AA253" s="1">
        <v>4200.99</v>
      </c>
      <c r="AB253" s="1">
        <f t="shared" si="24"/>
        <v>-249.44999999999891</v>
      </c>
      <c r="AC253" s="29">
        <f t="shared" si="30"/>
        <v>12.279999999999745</v>
      </c>
      <c r="AD253" s="11">
        <f t="shared" si="31"/>
        <v>2671041.751375</v>
      </c>
    </row>
    <row r="254" spans="1:30" x14ac:dyDescent="0.3">
      <c r="A254" s="14">
        <v>45843.604166666664</v>
      </c>
      <c r="B254" s="1">
        <v>1120</v>
      </c>
      <c r="C254" s="11">
        <v>3.2732000000000001</v>
      </c>
      <c r="D254" s="1">
        <v>636.09</v>
      </c>
      <c r="E254" s="11">
        <v>3.0760000000000001</v>
      </c>
      <c r="F254" s="1">
        <v>398.57</v>
      </c>
      <c r="G254" s="11">
        <v>3.53</v>
      </c>
      <c r="H254" s="1">
        <v>28.89</v>
      </c>
      <c r="I254" s="11">
        <v>2.39588</v>
      </c>
      <c r="J254" s="1">
        <v>106.09</v>
      </c>
      <c r="K254" s="11">
        <v>2.9001300000000003</v>
      </c>
      <c r="L254" s="1">
        <v>83.94</v>
      </c>
      <c r="M254" s="11">
        <v>6.2</v>
      </c>
      <c r="N254" s="1">
        <v>434.97</v>
      </c>
      <c r="O254" s="11">
        <v>2.8224999999999998</v>
      </c>
      <c r="P254" s="1">
        <f t="shared" si="25"/>
        <v>2808.55</v>
      </c>
      <c r="Q254" s="1">
        <v>3083.53</v>
      </c>
      <c r="R254" s="16">
        <f t="shared" si="26"/>
        <v>2288642.8824749999</v>
      </c>
      <c r="S254" s="20">
        <v>1016.79</v>
      </c>
      <c r="T254" s="21">
        <v>189.02</v>
      </c>
      <c r="U254" s="21">
        <v>9.2199999999999989</v>
      </c>
      <c r="V254" s="8">
        <v>1215.03</v>
      </c>
      <c r="W254" s="25">
        <v>1.238</v>
      </c>
      <c r="X254" s="25">
        <f t="shared" si="27"/>
        <v>376051.78499999997</v>
      </c>
      <c r="Y254" s="1">
        <f t="shared" si="28"/>
        <v>4023.58</v>
      </c>
      <c r="Z254" s="1">
        <f t="shared" si="29"/>
        <v>4298.5600000000004</v>
      </c>
      <c r="AA254" s="1">
        <v>4306.05</v>
      </c>
      <c r="AB254" s="1">
        <f t="shared" si="24"/>
        <v>-282.47000000000025</v>
      </c>
      <c r="AC254" s="29">
        <f t="shared" si="30"/>
        <v>7.4899999999997817</v>
      </c>
      <c r="AD254" s="11">
        <f t="shared" si="31"/>
        <v>2664694.667475</v>
      </c>
    </row>
    <row r="255" spans="1:30" x14ac:dyDescent="0.3">
      <c r="A255" s="14">
        <v>45843.614583333336</v>
      </c>
      <c r="B255" s="1">
        <v>1115.74</v>
      </c>
      <c r="C255" s="11">
        <v>3.2732000000000001</v>
      </c>
      <c r="D255" s="1">
        <v>636.09</v>
      </c>
      <c r="E255" s="11">
        <v>3.0760000000000001</v>
      </c>
      <c r="F255" s="1">
        <v>398.57</v>
      </c>
      <c r="G255" s="11">
        <v>3.53</v>
      </c>
      <c r="H255" s="1">
        <v>28.89</v>
      </c>
      <c r="I255" s="11">
        <v>2.60005</v>
      </c>
      <c r="J255" s="1">
        <v>12.97</v>
      </c>
      <c r="K255" s="11">
        <v>3.00061</v>
      </c>
      <c r="L255" s="1">
        <v>84.51</v>
      </c>
      <c r="M255" s="11">
        <v>6.2</v>
      </c>
      <c r="N255" s="1">
        <v>415.49</v>
      </c>
      <c r="O255" s="11">
        <v>2.8224999999999998</v>
      </c>
      <c r="P255" s="1">
        <f t="shared" si="25"/>
        <v>2692.26</v>
      </c>
      <c r="Q255" s="1">
        <v>3027.58</v>
      </c>
      <c r="R255" s="16">
        <f t="shared" si="26"/>
        <v>2206580.2473000004</v>
      </c>
      <c r="S255" s="20">
        <v>1096.1100000000001</v>
      </c>
      <c r="T255" s="21">
        <v>183.77</v>
      </c>
      <c r="U255" s="21">
        <v>9.19</v>
      </c>
      <c r="V255" s="8">
        <v>1289.0700000000002</v>
      </c>
      <c r="W255" s="25">
        <v>1.238</v>
      </c>
      <c r="X255" s="25">
        <f t="shared" si="27"/>
        <v>398967.16500000004</v>
      </c>
      <c r="Y255" s="1">
        <f t="shared" si="28"/>
        <v>3981.3300000000004</v>
      </c>
      <c r="Z255" s="1">
        <f t="shared" si="29"/>
        <v>4316.6499999999996</v>
      </c>
      <c r="AA255" s="1">
        <v>4330.3599999999997</v>
      </c>
      <c r="AB255" s="1">
        <f t="shared" si="24"/>
        <v>-349.02999999999929</v>
      </c>
      <c r="AC255" s="29">
        <f t="shared" si="30"/>
        <v>13.710000000000036</v>
      </c>
      <c r="AD255" s="11">
        <f t="shared" si="31"/>
        <v>2605547.4123000004</v>
      </c>
    </row>
    <row r="256" spans="1:30" x14ac:dyDescent="0.3">
      <c r="A256" s="14">
        <v>45843.625</v>
      </c>
      <c r="B256" s="1">
        <v>1115.4100000000001</v>
      </c>
      <c r="C256" s="11">
        <v>3.2732000000000001</v>
      </c>
      <c r="D256" s="1">
        <v>636.09</v>
      </c>
      <c r="E256" s="11">
        <v>3.0760000000000001</v>
      </c>
      <c r="F256" s="1">
        <v>398.57</v>
      </c>
      <c r="G256" s="11">
        <v>3.53</v>
      </c>
      <c r="H256" s="1">
        <v>49.13</v>
      </c>
      <c r="I256" s="11">
        <v>2.8492600000000001</v>
      </c>
      <c r="J256" s="1">
        <v>9.7899999999999991</v>
      </c>
      <c r="K256" s="11">
        <v>3.17475</v>
      </c>
      <c r="L256" s="1">
        <v>39.17</v>
      </c>
      <c r="M256" s="11">
        <v>6.2</v>
      </c>
      <c r="N256" s="1">
        <v>401.7</v>
      </c>
      <c r="O256" s="11">
        <v>2.8224999999999998</v>
      </c>
      <c r="P256" s="1">
        <f t="shared" si="25"/>
        <v>2649.86</v>
      </c>
      <c r="Q256" s="1">
        <v>3026.16</v>
      </c>
      <c r="R256" s="16">
        <f t="shared" si="26"/>
        <v>2140560.5370750003</v>
      </c>
      <c r="S256" s="20">
        <v>1110.6600000000001</v>
      </c>
      <c r="T256" s="21">
        <v>182.09</v>
      </c>
      <c r="U256" s="21">
        <v>8.66</v>
      </c>
      <c r="V256" s="8">
        <v>1301.4100000000001</v>
      </c>
      <c r="W256" s="25">
        <v>1.238</v>
      </c>
      <c r="X256" s="25">
        <f t="shared" si="27"/>
        <v>402786.39500000002</v>
      </c>
      <c r="Y256" s="1">
        <f t="shared" si="28"/>
        <v>3951.2700000000004</v>
      </c>
      <c r="Z256" s="1">
        <f t="shared" si="29"/>
        <v>4327.57</v>
      </c>
      <c r="AA256" s="1">
        <v>4352.29</v>
      </c>
      <c r="AB256" s="1">
        <f t="shared" si="24"/>
        <v>-401.01999999999953</v>
      </c>
      <c r="AC256" s="29">
        <f t="shared" si="30"/>
        <v>24.720000000000255</v>
      </c>
      <c r="AD256" s="11">
        <f t="shared" si="31"/>
        <v>2543346.9320750004</v>
      </c>
    </row>
    <row r="257" spans="1:30" x14ac:dyDescent="0.3">
      <c r="A257" s="14">
        <v>45843.635416666664</v>
      </c>
      <c r="B257" s="1">
        <v>1115.4100000000001</v>
      </c>
      <c r="C257" s="11">
        <v>3.2732000000000001</v>
      </c>
      <c r="D257" s="1">
        <v>636.09</v>
      </c>
      <c r="E257" s="11">
        <v>3.0760000000000001</v>
      </c>
      <c r="F257" s="1">
        <v>398.57</v>
      </c>
      <c r="G257" s="11">
        <v>3.53</v>
      </c>
      <c r="H257" s="1">
        <v>54.93</v>
      </c>
      <c r="I257" s="11">
        <v>2.9021399999999997</v>
      </c>
      <c r="J257" s="1">
        <v>10.06</v>
      </c>
      <c r="K257" s="11">
        <v>3.1905799999999997</v>
      </c>
      <c r="L257" s="1">
        <v>31.39</v>
      </c>
      <c r="M257" s="11">
        <v>6.2</v>
      </c>
      <c r="N257" s="1">
        <v>390.75</v>
      </c>
      <c r="O257" s="11">
        <v>2.8224999999999998</v>
      </c>
      <c r="P257" s="1">
        <f t="shared" si="25"/>
        <v>2637.2</v>
      </c>
      <c r="Q257" s="1">
        <v>3076.92</v>
      </c>
      <c r="R257" s="16">
        <f t="shared" si="26"/>
        <v>2125886.6530000004</v>
      </c>
      <c r="S257" s="20">
        <v>1137.8499999999997</v>
      </c>
      <c r="T257" s="21">
        <v>174.7</v>
      </c>
      <c r="U257" s="21">
        <v>10.4</v>
      </c>
      <c r="V257" s="8">
        <v>1322.9499999999998</v>
      </c>
      <c r="W257" s="25">
        <v>1.238</v>
      </c>
      <c r="X257" s="25">
        <f t="shared" si="27"/>
        <v>409453.02499999997</v>
      </c>
      <c r="Y257" s="1">
        <f t="shared" si="28"/>
        <v>3960.1499999999996</v>
      </c>
      <c r="Z257" s="1">
        <f t="shared" si="29"/>
        <v>4399.87</v>
      </c>
      <c r="AA257" s="1">
        <v>4428.8900000000003</v>
      </c>
      <c r="AB257" s="1">
        <f t="shared" si="24"/>
        <v>-468.74000000000069</v>
      </c>
      <c r="AC257" s="29">
        <f t="shared" si="30"/>
        <v>29.020000000000437</v>
      </c>
      <c r="AD257" s="11">
        <f t="shared" si="31"/>
        <v>2535339.6780000003</v>
      </c>
    </row>
    <row r="258" spans="1:30" x14ac:dyDescent="0.3">
      <c r="A258" s="14">
        <v>45843.645833333336</v>
      </c>
      <c r="B258" s="1">
        <v>1110.98</v>
      </c>
      <c r="C258" s="11">
        <v>3.2732000000000001</v>
      </c>
      <c r="D258" s="1">
        <v>636.09</v>
      </c>
      <c r="E258" s="11">
        <v>3.0760000000000001</v>
      </c>
      <c r="F258" s="1">
        <v>398.57</v>
      </c>
      <c r="G258" s="11">
        <v>3.53</v>
      </c>
      <c r="H258" s="1">
        <v>76.09</v>
      </c>
      <c r="I258" s="11">
        <v>2.903</v>
      </c>
      <c r="J258" s="1">
        <v>10.54</v>
      </c>
      <c r="K258" s="11">
        <v>3.3225100000000003</v>
      </c>
      <c r="L258" s="1">
        <v>3.74</v>
      </c>
      <c r="M258" s="11">
        <v>6.2</v>
      </c>
      <c r="N258" s="1">
        <v>360.37</v>
      </c>
      <c r="O258" s="11">
        <v>2.8224999999999998</v>
      </c>
      <c r="P258" s="1">
        <f t="shared" si="25"/>
        <v>2596.38</v>
      </c>
      <c r="Q258" s="1">
        <v>2945.79</v>
      </c>
      <c r="R258" s="16">
        <f t="shared" si="26"/>
        <v>2074066.3816000002</v>
      </c>
      <c r="S258" s="20">
        <v>1295.07</v>
      </c>
      <c r="T258" s="21">
        <v>169.05</v>
      </c>
      <c r="U258" s="21">
        <v>10.23</v>
      </c>
      <c r="V258" s="8">
        <v>1474.35</v>
      </c>
      <c r="W258" s="25">
        <v>1.238</v>
      </c>
      <c r="X258" s="25">
        <f t="shared" si="27"/>
        <v>456311.32499999995</v>
      </c>
      <c r="Y258" s="1">
        <f t="shared" si="28"/>
        <v>4070.73</v>
      </c>
      <c r="Z258" s="1">
        <f t="shared" si="29"/>
        <v>4420.1399999999994</v>
      </c>
      <c r="AA258" s="1">
        <v>4441.12</v>
      </c>
      <c r="AB258" s="1">
        <f t="shared" si="24"/>
        <v>-370.38999999999987</v>
      </c>
      <c r="AC258" s="29">
        <f t="shared" si="30"/>
        <v>20.980000000000473</v>
      </c>
      <c r="AD258" s="11">
        <f t="shared" si="31"/>
        <v>2530377.7066000002</v>
      </c>
    </row>
    <row r="259" spans="1:30" x14ac:dyDescent="0.3">
      <c r="A259" s="14">
        <v>45843.65625</v>
      </c>
      <c r="B259" s="1">
        <v>1110.6600000000001</v>
      </c>
      <c r="C259" s="11">
        <v>3.2732000000000001</v>
      </c>
      <c r="D259" s="1">
        <v>636.09</v>
      </c>
      <c r="E259" s="11">
        <v>3.0760000000000001</v>
      </c>
      <c r="F259" s="1">
        <v>398.57</v>
      </c>
      <c r="G259" s="11">
        <v>3.53</v>
      </c>
      <c r="H259" s="1">
        <v>78.44</v>
      </c>
      <c r="I259" s="11">
        <v>2.9025599999999998</v>
      </c>
      <c r="J259" s="1">
        <v>10.58</v>
      </c>
      <c r="K259" s="11">
        <v>3.3509899999999999</v>
      </c>
      <c r="L259" s="1">
        <v>1.93</v>
      </c>
      <c r="M259" s="11">
        <v>6.2</v>
      </c>
      <c r="N259" s="1">
        <v>336.04</v>
      </c>
      <c r="O259" s="11">
        <v>2.8224999999999998</v>
      </c>
      <c r="P259" s="1">
        <f t="shared" si="25"/>
        <v>2572.31</v>
      </c>
      <c r="Q259" s="1">
        <v>2949.73</v>
      </c>
      <c r="R259" s="16">
        <f t="shared" si="26"/>
        <v>2055636.60815</v>
      </c>
      <c r="S259" s="20">
        <v>1325.1299999999999</v>
      </c>
      <c r="T259" s="21">
        <v>165.57</v>
      </c>
      <c r="U259" s="21">
        <v>11.62</v>
      </c>
      <c r="V259" s="8">
        <v>1502.3199999999997</v>
      </c>
      <c r="W259" s="25">
        <v>1.238</v>
      </c>
      <c r="X259" s="25">
        <f t="shared" si="27"/>
        <v>464968.03999999992</v>
      </c>
      <c r="Y259" s="1">
        <f t="shared" si="28"/>
        <v>4074.6299999999997</v>
      </c>
      <c r="Z259" s="1">
        <f t="shared" si="29"/>
        <v>4452.0499999999993</v>
      </c>
      <c r="AA259" s="1">
        <v>4478.4799999999996</v>
      </c>
      <c r="AB259" s="1">
        <f t="shared" si="24"/>
        <v>-403.84999999999991</v>
      </c>
      <c r="AC259" s="29">
        <f t="shared" si="30"/>
        <v>26.430000000000291</v>
      </c>
      <c r="AD259" s="11">
        <f t="shared" si="31"/>
        <v>2520604.6481499998</v>
      </c>
    </row>
    <row r="260" spans="1:30" x14ac:dyDescent="0.3">
      <c r="A260" s="14">
        <v>45843.666666666664</v>
      </c>
      <c r="B260" s="1">
        <v>1043.08</v>
      </c>
      <c r="C260" s="11">
        <v>3.2732000000000001</v>
      </c>
      <c r="D260" s="1">
        <v>636.09</v>
      </c>
      <c r="E260" s="11">
        <v>3.0760000000000001</v>
      </c>
      <c r="F260" s="1">
        <v>694.47</v>
      </c>
      <c r="G260" s="11">
        <v>3.53</v>
      </c>
      <c r="H260" s="1">
        <v>79.760000000000005</v>
      </c>
      <c r="I260" s="11">
        <v>2.94869</v>
      </c>
      <c r="J260" s="1">
        <v>11.49</v>
      </c>
      <c r="K260" s="11">
        <v>3.3212700000000002</v>
      </c>
      <c r="L260" s="1">
        <v>0.12</v>
      </c>
      <c r="M260" s="11">
        <v>6.2</v>
      </c>
      <c r="N260" s="1">
        <v>303.61</v>
      </c>
      <c r="O260" s="11">
        <v>2.8224999999999998</v>
      </c>
      <c r="P260" s="1">
        <f t="shared" si="25"/>
        <v>2768.6200000000003</v>
      </c>
      <c r="Q260" s="1">
        <v>3151.46</v>
      </c>
      <c r="R260" s="16">
        <f t="shared" si="26"/>
        <v>2238333.3819250003</v>
      </c>
      <c r="S260" s="20">
        <v>979.42</v>
      </c>
      <c r="T260" s="21">
        <v>158.24</v>
      </c>
      <c r="U260" s="21">
        <v>12.54</v>
      </c>
      <c r="V260" s="8">
        <v>1150.1999999999998</v>
      </c>
      <c r="W260" s="25">
        <v>1.238</v>
      </c>
      <c r="X260" s="25">
        <f t="shared" si="27"/>
        <v>355986.89999999991</v>
      </c>
      <c r="Y260" s="1">
        <f t="shared" si="28"/>
        <v>3918.82</v>
      </c>
      <c r="Z260" s="1">
        <f t="shared" si="29"/>
        <v>4301.66</v>
      </c>
      <c r="AA260" s="1">
        <v>4329.99</v>
      </c>
      <c r="AB260" s="1">
        <f t="shared" ref="AB260:AB323" si="32">Y260-AA260</f>
        <v>-411.16999999999962</v>
      </c>
      <c r="AC260" s="29">
        <f t="shared" si="30"/>
        <v>28.329999999999927</v>
      </c>
      <c r="AD260" s="11">
        <f t="shared" si="31"/>
        <v>2594320.2819250003</v>
      </c>
    </row>
    <row r="261" spans="1:30" x14ac:dyDescent="0.3">
      <c r="A261" s="14">
        <v>45843.677083333336</v>
      </c>
      <c r="B261" s="1">
        <v>1038.42</v>
      </c>
      <c r="C261" s="11">
        <v>3.2732000000000001</v>
      </c>
      <c r="D261" s="1">
        <v>636.09</v>
      </c>
      <c r="E261" s="11">
        <v>3.0760000000000001</v>
      </c>
      <c r="F261" s="1">
        <v>717.12</v>
      </c>
      <c r="G261" s="11">
        <v>3.53</v>
      </c>
      <c r="H261" s="1">
        <v>80.39</v>
      </c>
      <c r="I261" s="11">
        <v>3.0306199999999999</v>
      </c>
      <c r="J261" s="1">
        <v>11.55</v>
      </c>
      <c r="K261" s="11">
        <v>3.32273</v>
      </c>
      <c r="L261" s="1">
        <v>0</v>
      </c>
      <c r="M261" s="11">
        <v>6.2</v>
      </c>
      <c r="N261" s="1">
        <v>276.32</v>
      </c>
      <c r="O261" s="11">
        <v>2.8224999999999998</v>
      </c>
      <c r="P261" s="1">
        <f t="shared" ref="P261:P324" si="33">(B261+D261+F261+H261+J261+L261+N261)</f>
        <v>2759.8900000000003</v>
      </c>
      <c r="Q261" s="1">
        <v>2997.48</v>
      </c>
      <c r="R261" s="16">
        <f t="shared" ref="R261:R324" si="34">(((B261*C261)+(D261*E261)+(F261*G261)+(H261*I261)+(J261*K261)+(L261*M261)+(N261*O261))*(1000/4))</f>
        <v>2237231.2643250003</v>
      </c>
      <c r="S261" s="20">
        <v>1181.9600000000003</v>
      </c>
      <c r="T261" s="21">
        <v>151.74</v>
      </c>
      <c r="U261" s="21">
        <v>12.899999999999999</v>
      </c>
      <c r="V261" s="8">
        <v>1346.6000000000004</v>
      </c>
      <c r="W261" s="25">
        <v>1.238</v>
      </c>
      <c r="X261" s="25">
        <f t="shared" ref="X261:X324" si="35">((V261*W261*1000)/4)</f>
        <v>416772.70000000013</v>
      </c>
      <c r="Y261" s="1">
        <f t="shared" ref="Y261:Y324" si="36">B261+D261+F261+H261+J261+L261+N261+V261</f>
        <v>4106.4900000000007</v>
      </c>
      <c r="Z261" s="1">
        <f t="shared" ref="Z261:Z324" si="37">Q261+V261</f>
        <v>4344.08</v>
      </c>
      <c r="AA261" s="1">
        <v>4368.8900000000003</v>
      </c>
      <c r="AB261" s="1">
        <f t="shared" si="32"/>
        <v>-262.39999999999964</v>
      </c>
      <c r="AC261" s="29">
        <f t="shared" ref="AC261:AC324" si="38">AA261-Z261</f>
        <v>24.8100000000004</v>
      </c>
      <c r="AD261" s="11">
        <f t="shared" ref="AD261:AD324" si="39">(R261+X261)</f>
        <v>2654003.9643250005</v>
      </c>
    </row>
    <row r="262" spans="1:30" x14ac:dyDescent="0.3">
      <c r="A262" s="14">
        <v>45843.6875</v>
      </c>
      <c r="B262" s="1">
        <v>1068.53</v>
      </c>
      <c r="C262" s="11">
        <v>3.2732000000000001</v>
      </c>
      <c r="D262" s="1">
        <v>636.09</v>
      </c>
      <c r="E262" s="11">
        <v>3.0760000000000001</v>
      </c>
      <c r="F262" s="1">
        <v>717.12</v>
      </c>
      <c r="G262" s="11">
        <v>3.53</v>
      </c>
      <c r="H262" s="1">
        <v>77.489999999999995</v>
      </c>
      <c r="I262" s="11">
        <v>3.30002</v>
      </c>
      <c r="J262" s="1">
        <v>275.48</v>
      </c>
      <c r="K262" s="11">
        <v>3.4940000000000002</v>
      </c>
      <c r="L262" s="1">
        <v>0</v>
      </c>
      <c r="M262" s="11">
        <v>6.2</v>
      </c>
      <c r="N262" s="1">
        <v>252.59</v>
      </c>
      <c r="O262" s="11">
        <v>2.8224999999999998</v>
      </c>
      <c r="P262" s="1">
        <f t="shared" si="33"/>
        <v>3027.2999999999997</v>
      </c>
      <c r="Q262" s="1">
        <v>3123.79</v>
      </c>
      <c r="R262" s="16">
        <f t="shared" si="34"/>
        <v>2479184.9452</v>
      </c>
      <c r="S262" s="20">
        <v>1065.43</v>
      </c>
      <c r="T262" s="21">
        <v>144.76999999999998</v>
      </c>
      <c r="U262" s="21">
        <v>12.29</v>
      </c>
      <c r="V262" s="8">
        <v>1222.49</v>
      </c>
      <c r="W262" s="25">
        <v>1.238</v>
      </c>
      <c r="X262" s="25">
        <f t="shared" si="35"/>
        <v>378360.65500000003</v>
      </c>
      <c r="Y262" s="1">
        <f t="shared" si="36"/>
        <v>4249.79</v>
      </c>
      <c r="Z262" s="1">
        <f t="shared" si="37"/>
        <v>4346.28</v>
      </c>
      <c r="AA262" s="1">
        <v>4410.16</v>
      </c>
      <c r="AB262" s="1">
        <f t="shared" si="32"/>
        <v>-160.36999999999989</v>
      </c>
      <c r="AC262" s="29">
        <f t="shared" si="38"/>
        <v>63.880000000000109</v>
      </c>
      <c r="AD262" s="11">
        <f t="shared" si="39"/>
        <v>2857545.6002000002</v>
      </c>
    </row>
    <row r="263" spans="1:30" x14ac:dyDescent="0.3">
      <c r="A263" s="14">
        <v>45843.697916666664</v>
      </c>
      <c r="B263" s="1">
        <v>1132.4000000000001</v>
      </c>
      <c r="C263" s="11">
        <v>3.2732000000000001</v>
      </c>
      <c r="D263" s="1">
        <v>636.09</v>
      </c>
      <c r="E263" s="11">
        <v>3.0760000000000001</v>
      </c>
      <c r="F263" s="1">
        <v>717.12</v>
      </c>
      <c r="G263" s="11">
        <v>3.53</v>
      </c>
      <c r="H263" s="1">
        <v>77.17</v>
      </c>
      <c r="I263" s="11">
        <v>3.3279800000000002</v>
      </c>
      <c r="J263" s="1">
        <v>223.44</v>
      </c>
      <c r="K263" s="11">
        <v>3.4220900000000003</v>
      </c>
      <c r="L263" s="1">
        <v>0</v>
      </c>
      <c r="M263" s="11">
        <v>6.2</v>
      </c>
      <c r="N263" s="1">
        <v>224.67</v>
      </c>
      <c r="O263" s="11">
        <v>2.8224999999999998</v>
      </c>
      <c r="P263" s="1">
        <f t="shared" si="33"/>
        <v>3010.8900000000003</v>
      </c>
      <c r="Q263" s="1">
        <v>3185.31</v>
      </c>
      <c r="R263" s="16">
        <f t="shared" si="34"/>
        <v>2462550.3002999998</v>
      </c>
      <c r="S263" s="20">
        <v>1032.2400000000002</v>
      </c>
      <c r="T263" s="21">
        <v>139.10000000000002</v>
      </c>
      <c r="U263" s="21">
        <v>9.3099999999999987</v>
      </c>
      <c r="V263" s="8">
        <v>1180.6500000000001</v>
      </c>
      <c r="W263" s="25">
        <v>1.238</v>
      </c>
      <c r="X263" s="25">
        <f t="shared" si="35"/>
        <v>365411.17499999999</v>
      </c>
      <c r="Y263" s="1">
        <f t="shared" si="36"/>
        <v>4191.5400000000009</v>
      </c>
      <c r="Z263" s="1">
        <f t="shared" si="37"/>
        <v>4365.96</v>
      </c>
      <c r="AA263" s="1">
        <v>4421.79</v>
      </c>
      <c r="AB263" s="1">
        <f t="shared" si="32"/>
        <v>-230.24999999999909</v>
      </c>
      <c r="AC263" s="29">
        <f t="shared" si="38"/>
        <v>55.829999999999927</v>
      </c>
      <c r="AD263" s="11">
        <f t="shared" si="39"/>
        <v>2827961.4752999996</v>
      </c>
    </row>
    <row r="264" spans="1:30" x14ac:dyDescent="0.3">
      <c r="A264" s="14">
        <v>45843.708333333336</v>
      </c>
      <c r="B264" s="1">
        <v>1149.3900000000001</v>
      </c>
      <c r="C264" s="11">
        <v>3.2732000000000001</v>
      </c>
      <c r="D264" s="1">
        <v>636.09</v>
      </c>
      <c r="E264" s="11">
        <v>3.0760000000000001</v>
      </c>
      <c r="F264" s="1">
        <v>717.12</v>
      </c>
      <c r="G264" s="11">
        <v>3.53</v>
      </c>
      <c r="H264" s="1">
        <v>70.069999999999993</v>
      </c>
      <c r="I264" s="11">
        <v>3.2365399999999998</v>
      </c>
      <c r="J264" s="1">
        <v>213.62</v>
      </c>
      <c r="K264" s="11">
        <v>3.2006600000000001</v>
      </c>
      <c r="L264" s="1">
        <v>0</v>
      </c>
      <c r="M264" s="11">
        <v>6.2</v>
      </c>
      <c r="N264" s="1">
        <v>193.28</v>
      </c>
      <c r="O264" s="11">
        <v>2.8224999999999998</v>
      </c>
      <c r="P264" s="1">
        <f t="shared" si="33"/>
        <v>2979.57</v>
      </c>
      <c r="Q264" s="1">
        <v>3191.4</v>
      </c>
      <c r="R264" s="16">
        <f t="shared" si="34"/>
        <v>2426567.9837500001</v>
      </c>
      <c r="S264" s="20">
        <v>980.82999999999993</v>
      </c>
      <c r="T264" s="21">
        <v>131.63999999999999</v>
      </c>
      <c r="U264" s="21">
        <v>7.8100000000000005</v>
      </c>
      <c r="V264" s="8">
        <v>1120.2799999999997</v>
      </c>
      <c r="W264" s="25">
        <v>1.238</v>
      </c>
      <c r="X264" s="25">
        <f t="shared" si="35"/>
        <v>346726.65999999992</v>
      </c>
      <c r="Y264" s="1">
        <f t="shared" si="36"/>
        <v>4099.8500000000004</v>
      </c>
      <c r="Z264" s="1">
        <f t="shared" si="37"/>
        <v>4311.68</v>
      </c>
      <c r="AA264" s="1">
        <v>4370.75</v>
      </c>
      <c r="AB264" s="1">
        <f t="shared" si="32"/>
        <v>-270.89999999999964</v>
      </c>
      <c r="AC264" s="29">
        <f t="shared" si="38"/>
        <v>59.069999999999709</v>
      </c>
      <c r="AD264" s="11">
        <f t="shared" si="39"/>
        <v>2773294.6437499998</v>
      </c>
    </row>
    <row r="265" spans="1:30" x14ac:dyDescent="0.3">
      <c r="A265" s="14">
        <v>45843.71875</v>
      </c>
      <c r="B265" s="1">
        <v>1243.47</v>
      </c>
      <c r="C265" s="11">
        <v>3.2732000000000001</v>
      </c>
      <c r="D265" s="1">
        <v>636.09</v>
      </c>
      <c r="E265" s="11">
        <v>3.0760000000000001</v>
      </c>
      <c r="F265" s="1">
        <v>717.12</v>
      </c>
      <c r="G265" s="11">
        <v>3.53</v>
      </c>
      <c r="H265" s="1">
        <v>69.45</v>
      </c>
      <c r="I265" s="11">
        <v>3.3005399999999998</v>
      </c>
      <c r="J265" s="1">
        <v>123.74</v>
      </c>
      <c r="K265" s="11">
        <v>3.2107199999999998</v>
      </c>
      <c r="L265" s="1">
        <v>0</v>
      </c>
      <c r="M265" s="11">
        <v>6.2</v>
      </c>
      <c r="N265" s="1">
        <v>163.82</v>
      </c>
      <c r="O265" s="11">
        <v>2.8224999999999998</v>
      </c>
      <c r="P265" s="1">
        <f t="shared" si="33"/>
        <v>2953.6899999999996</v>
      </c>
      <c r="Q265" s="1">
        <v>3166.31</v>
      </c>
      <c r="R265" s="16">
        <f t="shared" si="34"/>
        <v>2411767.8474499998</v>
      </c>
      <c r="S265" s="20">
        <v>975.28</v>
      </c>
      <c r="T265" s="21">
        <v>94.219999999999985</v>
      </c>
      <c r="U265" s="21">
        <v>11.37</v>
      </c>
      <c r="V265" s="8">
        <v>1080.8699999999999</v>
      </c>
      <c r="W265" s="25">
        <v>1.238</v>
      </c>
      <c r="X265" s="25">
        <f t="shared" si="35"/>
        <v>334529.26499999996</v>
      </c>
      <c r="Y265" s="1">
        <f t="shared" si="36"/>
        <v>4034.5599999999995</v>
      </c>
      <c r="Z265" s="1">
        <f t="shared" si="37"/>
        <v>4247.18</v>
      </c>
      <c r="AA265" s="1">
        <v>4303.3900000000003</v>
      </c>
      <c r="AB265" s="1">
        <f t="shared" si="32"/>
        <v>-268.83000000000084</v>
      </c>
      <c r="AC265" s="29">
        <f t="shared" si="38"/>
        <v>56.210000000000036</v>
      </c>
      <c r="AD265" s="11">
        <f t="shared" si="39"/>
        <v>2746297.1124499999</v>
      </c>
    </row>
    <row r="266" spans="1:30" x14ac:dyDescent="0.3">
      <c r="A266" s="14">
        <v>45843.729166666664</v>
      </c>
      <c r="B266" s="1">
        <v>1269.44</v>
      </c>
      <c r="C266" s="11">
        <v>3.2732000000000001</v>
      </c>
      <c r="D266" s="1">
        <v>636.09</v>
      </c>
      <c r="E266" s="11">
        <v>3.0760000000000001</v>
      </c>
      <c r="F266" s="1">
        <v>717.12</v>
      </c>
      <c r="G266" s="11">
        <v>3.53</v>
      </c>
      <c r="H266" s="1">
        <v>-26.2</v>
      </c>
      <c r="I266" s="11">
        <v>3.42238</v>
      </c>
      <c r="J266" s="1">
        <v>151</v>
      </c>
      <c r="K266" s="11">
        <v>3.3229499999999996</v>
      </c>
      <c r="L266" s="1">
        <v>0</v>
      </c>
      <c r="M266" s="11">
        <v>6.2</v>
      </c>
      <c r="N266" s="1">
        <v>146.77000000000001</v>
      </c>
      <c r="O266" s="11">
        <v>2.8224999999999998</v>
      </c>
      <c r="P266" s="1">
        <f t="shared" si="33"/>
        <v>2894.2200000000003</v>
      </c>
      <c r="Q266" s="1">
        <v>3020.43</v>
      </c>
      <c r="R266" s="16">
        <f t="shared" si="34"/>
        <v>2367383.7167500006</v>
      </c>
      <c r="S266" s="20">
        <v>1119.5</v>
      </c>
      <c r="T266" s="21">
        <v>36.059999999999995</v>
      </c>
      <c r="U266" s="21">
        <v>15.66</v>
      </c>
      <c r="V266" s="8">
        <v>1171.22</v>
      </c>
      <c r="W266" s="25">
        <v>1.238</v>
      </c>
      <c r="X266" s="25">
        <f t="shared" si="35"/>
        <v>362492.59</v>
      </c>
      <c r="Y266" s="1">
        <f t="shared" si="36"/>
        <v>4065.4400000000005</v>
      </c>
      <c r="Z266" s="1">
        <f t="shared" si="37"/>
        <v>4191.6499999999996</v>
      </c>
      <c r="AA266" s="1">
        <v>4243.8900000000003</v>
      </c>
      <c r="AB266" s="1">
        <f t="shared" si="32"/>
        <v>-178.44999999999982</v>
      </c>
      <c r="AC266" s="29">
        <f t="shared" si="38"/>
        <v>52.240000000000691</v>
      </c>
      <c r="AD266" s="11">
        <f t="shared" si="39"/>
        <v>2729876.3067500005</v>
      </c>
    </row>
    <row r="267" spans="1:30" x14ac:dyDescent="0.3">
      <c r="A267" s="14">
        <v>45843.739583333336</v>
      </c>
      <c r="B267" s="1">
        <v>1270.73</v>
      </c>
      <c r="C267" s="11">
        <v>3.2732000000000001</v>
      </c>
      <c r="D267" s="1">
        <v>636.09</v>
      </c>
      <c r="E267" s="11">
        <v>3.0760000000000001</v>
      </c>
      <c r="F267" s="1">
        <v>717.12</v>
      </c>
      <c r="G267" s="11">
        <v>3.53</v>
      </c>
      <c r="H267" s="1">
        <v>-36.520000000000003</v>
      </c>
      <c r="I267" s="11">
        <v>3.4518899999999997</v>
      </c>
      <c r="J267" s="1">
        <v>122.82</v>
      </c>
      <c r="K267" s="11">
        <v>3.4220199999999998</v>
      </c>
      <c r="L267" s="1">
        <v>0</v>
      </c>
      <c r="M267" s="11">
        <v>6.2</v>
      </c>
      <c r="N267" s="1">
        <v>118.15</v>
      </c>
      <c r="O267" s="11">
        <v>2.8224999999999998</v>
      </c>
      <c r="P267" s="1">
        <f t="shared" si="33"/>
        <v>2828.3900000000003</v>
      </c>
      <c r="Q267" s="1">
        <v>2978.72</v>
      </c>
      <c r="R267" s="16">
        <f t="shared" si="34"/>
        <v>2318776.9311500005</v>
      </c>
      <c r="S267" s="20">
        <v>1148.8099999999997</v>
      </c>
      <c r="T267" s="21">
        <v>23.889999999999997</v>
      </c>
      <c r="U267" s="21">
        <v>16.53</v>
      </c>
      <c r="V267" s="8">
        <v>1189.2299999999998</v>
      </c>
      <c r="W267" s="25">
        <v>1.238</v>
      </c>
      <c r="X267" s="25">
        <f t="shared" si="35"/>
        <v>368066.68499999994</v>
      </c>
      <c r="Y267" s="1">
        <f t="shared" si="36"/>
        <v>4017.62</v>
      </c>
      <c r="Z267" s="1">
        <f t="shared" si="37"/>
        <v>4167.95</v>
      </c>
      <c r="AA267" s="1">
        <v>4218.55</v>
      </c>
      <c r="AB267" s="1">
        <f t="shared" si="32"/>
        <v>-200.93000000000029</v>
      </c>
      <c r="AC267" s="29">
        <f t="shared" si="38"/>
        <v>50.600000000000364</v>
      </c>
      <c r="AD267" s="11">
        <f t="shared" si="39"/>
        <v>2686843.6161500006</v>
      </c>
    </row>
    <row r="268" spans="1:30" x14ac:dyDescent="0.3">
      <c r="A268" s="14">
        <v>45843.75</v>
      </c>
      <c r="B268" s="1">
        <v>1401.94</v>
      </c>
      <c r="C268" s="11">
        <v>3.2732000000000001</v>
      </c>
      <c r="D268" s="1">
        <v>636.09</v>
      </c>
      <c r="E268" s="11">
        <v>3.0760000000000001</v>
      </c>
      <c r="F268" s="1">
        <v>717.12</v>
      </c>
      <c r="G268" s="11">
        <v>3.53</v>
      </c>
      <c r="H268" s="1">
        <v>-2.0499999999999998</v>
      </c>
      <c r="I268" s="11">
        <v>3.5422199999999999</v>
      </c>
      <c r="J268" s="1">
        <v>288.58999999999997</v>
      </c>
      <c r="K268" s="11">
        <v>3.09415</v>
      </c>
      <c r="L268" s="1">
        <v>13.1</v>
      </c>
      <c r="M268" s="11">
        <v>6.2</v>
      </c>
      <c r="N268" s="1">
        <v>94.01</v>
      </c>
      <c r="O268" s="11">
        <v>2.8224999999999998</v>
      </c>
      <c r="P268" s="1">
        <f t="shared" si="33"/>
        <v>3148.8</v>
      </c>
      <c r="Q268" s="1">
        <v>3191.58</v>
      </c>
      <c r="R268" s="16">
        <f t="shared" si="34"/>
        <v>2577279.717625</v>
      </c>
      <c r="S268" s="20">
        <v>931.85</v>
      </c>
      <c r="T268" s="21">
        <v>12.189999999999998</v>
      </c>
      <c r="U268" s="21">
        <v>16.850000000000001</v>
      </c>
      <c r="V268" s="8">
        <v>960.89</v>
      </c>
      <c r="W268" s="25">
        <v>1.238</v>
      </c>
      <c r="X268" s="25">
        <f t="shared" si="35"/>
        <v>297395.45499999996</v>
      </c>
      <c r="Y268" s="1">
        <f t="shared" si="36"/>
        <v>4109.6900000000005</v>
      </c>
      <c r="Z268" s="1">
        <f t="shared" si="37"/>
        <v>4152.47</v>
      </c>
      <c r="AA268" s="1">
        <v>4209.0600000000004</v>
      </c>
      <c r="AB268" s="1">
        <f t="shared" si="32"/>
        <v>-99.369999999999891</v>
      </c>
      <c r="AC268" s="29">
        <f t="shared" si="38"/>
        <v>56.590000000000146</v>
      </c>
      <c r="AD268" s="11">
        <f t="shared" si="39"/>
        <v>2874675.1726250001</v>
      </c>
    </row>
    <row r="269" spans="1:30" x14ac:dyDescent="0.3">
      <c r="A269" s="14">
        <v>45843.760416666664</v>
      </c>
      <c r="B269" s="1">
        <v>1411.82</v>
      </c>
      <c r="C269" s="11">
        <v>3.2732000000000001</v>
      </c>
      <c r="D269" s="1">
        <v>636.09</v>
      </c>
      <c r="E269" s="11">
        <v>3.0760000000000001</v>
      </c>
      <c r="F269" s="1">
        <v>717.12</v>
      </c>
      <c r="G269" s="11">
        <v>3.53</v>
      </c>
      <c r="H269" s="1">
        <v>99.81</v>
      </c>
      <c r="I269" s="11">
        <v>3.8773299999999997</v>
      </c>
      <c r="J269" s="1">
        <v>304.81</v>
      </c>
      <c r="K269" s="11">
        <v>3.5408499999999998</v>
      </c>
      <c r="L269" s="1">
        <v>5.29</v>
      </c>
      <c r="M269" s="11">
        <v>6.2</v>
      </c>
      <c r="N269" s="1">
        <v>74.64</v>
      </c>
      <c r="O269" s="11">
        <v>2.8224999999999998</v>
      </c>
      <c r="P269" s="1">
        <f t="shared" si="33"/>
        <v>3249.5799999999995</v>
      </c>
      <c r="Q269" s="1">
        <v>3188.41</v>
      </c>
      <c r="R269" s="16">
        <f t="shared" si="34"/>
        <v>2704741.9649500004</v>
      </c>
      <c r="S269" s="20">
        <v>970.33</v>
      </c>
      <c r="T269" s="21">
        <v>4.93</v>
      </c>
      <c r="U269" s="21">
        <v>13.05</v>
      </c>
      <c r="V269" s="8">
        <v>988.31</v>
      </c>
      <c r="W269" s="25">
        <v>1.238</v>
      </c>
      <c r="X269" s="25">
        <f t="shared" si="35"/>
        <v>305881.94499999995</v>
      </c>
      <c r="Y269" s="1">
        <f t="shared" si="36"/>
        <v>4237.8899999999994</v>
      </c>
      <c r="Z269" s="1">
        <f t="shared" si="37"/>
        <v>4176.7199999999993</v>
      </c>
      <c r="AA269" s="1">
        <v>4231.54</v>
      </c>
      <c r="AB269" s="1">
        <f t="shared" si="32"/>
        <v>6.3499999999994543</v>
      </c>
      <c r="AC269" s="29">
        <f t="shared" si="38"/>
        <v>54.820000000000618</v>
      </c>
      <c r="AD269" s="11">
        <f t="shared" si="39"/>
        <v>3010623.9099500002</v>
      </c>
    </row>
    <row r="270" spans="1:30" x14ac:dyDescent="0.3">
      <c r="A270" s="14">
        <v>45843.770833333336</v>
      </c>
      <c r="B270" s="1">
        <v>1469.22</v>
      </c>
      <c r="C270" s="11">
        <v>3.2732000000000001</v>
      </c>
      <c r="D270" s="1">
        <v>636.09</v>
      </c>
      <c r="E270" s="11">
        <v>3.0760000000000001</v>
      </c>
      <c r="F270" s="1">
        <v>717.12</v>
      </c>
      <c r="G270" s="11">
        <v>3.53</v>
      </c>
      <c r="H270" s="1">
        <v>107.19</v>
      </c>
      <c r="I270" s="11">
        <v>4.1707900000000002</v>
      </c>
      <c r="J270" s="1">
        <v>59.42</v>
      </c>
      <c r="K270" s="11">
        <v>3.7697699999999998</v>
      </c>
      <c r="L270" s="1">
        <v>0.33</v>
      </c>
      <c r="M270" s="11">
        <v>6.2</v>
      </c>
      <c r="N270" s="1">
        <v>60.49</v>
      </c>
      <c r="O270" s="11">
        <v>2.8224999999999998</v>
      </c>
      <c r="P270" s="1">
        <f t="shared" si="33"/>
        <v>3049.8599999999997</v>
      </c>
      <c r="Q270" s="1">
        <v>3130.12</v>
      </c>
      <c r="R270" s="16">
        <f t="shared" si="34"/>
        <v>2535235.7706250004</v>
      </c>
      <c r="S270" s="20">
        <v>1182.6300000000001</v>
      </c>
      <c r="T270" s="21">
        <v>1.1300000000000001</v>
      </c>
      <c r="U270" s="21">
        <v>12.58</v>
      </c>
      <c r="V270" s="8">
        <v>1196.3400000000001</v>
      </c>
      <c r="W270" s="25">
        <v>1.238</v>
      </c>
      <c r="X270" s="25">
        <f t="shared" si="35"/>
        <v>370267.23000000004</v>
      </c>
      <c r="Y270" s="1">
        <f t="shared" si="36"/>
        <v>4246.2</v>
      </c>
      <c r="Z270" s="1">
        <f t="shared" si="37"/>
        <v>4326.46</v>
      </c>
      <c r="AA270" s="1">
        <v>4369.2</v>
      </c>
      <c r="AB270" s="1">
        <f t="shared" si="32"/>
        <v>-123</v>
      </c>
      <c r="AC270" s="29">
        <f t="shared" si="38"/>
        <v>42.739999999999782</v>
      </c>
      <c r="AD270" s="11">
        <f t="shared" si="39"/>
        <v>2905503.0006250003</v>
      </c>
    </row>
    <row r="271" spans="1:30" x14ac:dyDescent="0.3">
      <c r="A271" s="14">
        <v>45843.78125</v>
      </c>
      <c r="B271" s="1">
        <v>1476.51</v>
      </c>
      <c r="C271" s="11">
        <v>3.2732000000000001</v>
      </c>
      <c r="D271" s="1">
        <v>636.09</v>
      </c>
      <c r="E271" s="11">
        <v>3.0760000000000001</v>
      </c>
      <c r="F271" s="1">
        <v>717.12</v>
      </c>
      <c r="G271" s="11">
        <v>3.53</v>
      </c>
      <c r="H271" s="1">
        <v>108.61</v>
      </c>
      <c r="I271" s="11">
        <v>4.4096599999999997</v>
      </c>
      <c r="J271" s="1">
        <v>61.9</v>
      </c>
      <c r="K271" s="11">
        <v>4.0002199999999997</v>
      </c>
      <c r="L271" s="1">
        <v>0</v>
      </c>
      <c r="M271" s="11">
        <v>6.2</v>
      </c>
      <c r="N271" s="1">
        <v>39.700000000000003</v>
      </c>
      <c r="O271" s="11">
        <v>2.8224999999999998</v>
      </c>
      <c r="P271" s="1">
        <f t="shared" si="33"/>
        <v>3039.93</v>
      </c>
      <c r="Q271" s="1">
        <v>2983.13</v>
      </c>
      <c r="R271" s="16">
        <f t="shared" si="34"/>
        <v>2539889.7531500002</v>
      </c>
      <c r="S271" s="20">
        <v>1493.83</v>
      </c>
      <c r="T271" s="21">
        <v>0.28000000000000003</v>
      </c>
      <c r="U271" s="21">
        <v>13.89</v>
      </c>
      <c r="V271" s="8">
        <v>1508</v>
      </c>
      <c r="W271" s="25">
        <v>1.238</v>
      </c>
      <c r="X271" s="25">
        <f t="shared" si="35"/>
        <v>466726</v>
      </c>
      <c r="Y271" s="1">
        <f t="shared" si="36"/>
        <v>4547.93</v>
      </c>
      <c r="Z271" s="1">
        <f t="shared" si="37"/>
        <v>4491.13</v>
      </c>
      <c r="AA271" s="1">
        <v>4540.8900000000003</v>
      </c>
      <c r="AB271" s="1">
        <f t="shared" si="32"/>
        <v>7.0399999999999636</v>
      </c>
      <c r="AC271" s="29">
        <f t="shared" si="38"/>
        <v>49.760000000000218</v>
      </c>
      <c r="AD271" s="11">
        <f t="shared" si="39"/>
        <v>3006615.7531500002</v>
      </c>
    </row>
    <row r="272" spans="1:30" x14ac:dyDescent="0.3">
      <c r="A272" s="14">
        <v>45843.791666666664</v>
      </c>
      <c r="B272" s="1">
        <v>1476.72</v>
      </c>
      <c r="C272" s="11">
        <v>3.2732000000000001</v>
      </c>
      <c r="D272" s="1">
        <v>636.09</v>
      </c>
      <c r="E272" s="11">
        <v>3.0760000000000001</v>
      </c>
      <c r="F272" s="1">
        <v>717.12</v>
      </c>
      <c r="G272" s="11">
        <v>3.53</v>
      </c>
      <c r="H272" s="1">
        <v>108</v>
      </c>
      <c r="I272" s="11">
        <v>4.5827299999999997</v>
      </c>
      <c r="J272" s="1">
        <v>99.17</v>
      </c>
      <c r="K272" s="11">
        <v>4.5002200000000006</v>
      </c>
      <c r="L272" s="1">
        <v>0</v>
      </c>
      <c r="M272" s="11">
        <v>6.2</v>
      </c>
      <c r="N272" s="1">
        <v>31.91</v>
      </c>
      <c r="O272" s="11">
        <v>2.8224999999999998</v>
      </c>
      <c r="P272" s="1">
        <f t="shared" si="33"/>
        <v>3069.0099999999998</v>
      </c>
      <c r="Q272" s="1">
        <v>3055.98</v>
      </c>
      <c r="R272" s="16">
        <f t="shared" si="34"/>
        <v>2588233.4940999998</v>
      </c>
      <c r="S272" s="20">
        <v>1513.17</v>
      </c>
      <c r="T272" s="21">
        <v>0.27</v>
      </c>
      <c r="U272" s="21">
        <v>14.95</v>
      </c>
      <c r="V272" s="8">
        <v>1528.39</v>
      </c>
      <c r="W272" s="25">
        <v>1.238</v>
      </c>
      <c r="X272" s="25">
        <f t="shared" si="35"/>
        <v>473036.70500000002</v>
      </c>
      <c r="Y272" s="1">
        <f t="shared" si="36"/>
        <v>4597.3999999999996</v>
      </c>
      <c r="Z272" s="1">
        <f t="shared" si="37"/>
        <v>4584.37</v>
      </c>
      <c r="AA272" s="1">
        <v>4630.63</v>
      </c>
      <c r="AB272" s="1">
        <f t="shared" si="32"/>
        <v>-33.230000000000473</v>
      </c>
      <c r="AC272" s="29">
        <f t="shared" si="38"/>
        <v>46.260000000000218</v>
      </c>
      <c r="AD272" s="11">
        <f t="shared" si="39"/>
        <v>3061270.1990999999</v>
      </c>
    </row>
    <row r="273" spans="1:30" x14ac:dyDescent="0.3">
      <c r="A273" s="14">
        <v>45843.802083333336</v>
      </c>
      <c r="B273" s="1">
        <v>1476.72</v>
      </c>
      <c r="C273" s="11">
        <v>3.2732000000000001</v>
      </c>
      <c r="D273" s="1">
        <v>636.09</v>
      </c>
      <c r="E273" s="11">
        <v>3.0760000000000001</v>
      </c>
      <c r="F273" s="1">
        <v>717.12</v>
      </c>
      <c r="G273" s="11">
        <v>3.53</v>
      </c>
      <c r="H273" s="1">
        <v>108.94</v>
      </c>
      <c r="I273" s="11">
        <v>5.0796599999999996</v>
      </c>
      <c r="J273" s="1">
        <v>119.96</v>
      </c>
      <c r="K273" s="11">
        <v>4.7891199999999996</v>
      </c>
      <c r="L273" s="1">
        <v>0</v>
      </c>
      <c r="M273" s="11">
        <v>6.2</v>
      </c>
      <c r="N273" s="1">
        <v>24.52</v>
      </c>
      <c r="O273" s="11">
        <v>2.8224999999999998</v>
      </c>
      <c r="P273" s="1">
        <f t="shared" si="33"/>
        <v>3083.35</v>
      </c>
      <c r="Q273" s="1">
        <v>3004.31</v>
      </c>
      <c r="R273" s="16">
        <f t="shared" si="34"/>
        <v>2629683.7599000004</v>
      </c>
      <c r="S273" s="20">
        <v>1586.79</v>
      </c>
      <c r="T273" s="21">
        <v>0.25</v>
      </c>
      <c r="U273" s="21">
        <v>16</v>
      </c>
      <c r="V273" s="8">
        <v>1603.04</v>
      </c>
      <c r="W273" s="25">
        <v>1.238</v>
      </c>
      <c r="X273" s="25">
        <f t="shared" si="35"/>
        <v>496140.88</v>
      </c>
      <c r="Y273" s="1">
        <f t="shared" si="36"/>
        <v>4686.3899999999994</v>
      </c>
      <c r="Z273" s="1">
        <f t="shared" si="37"/>
        <v>4607.3500000000004</v>
      </c>
      <c r="AA273" s="1">
        <v>4657.8500000000004</v>
      </c>
      <c r="AB273" s="1">
        <f t="shared" si="32"/>
        <v>28.539999999999054</v>
      </c>
      <c r="AC273" s="29">
        <f t="shared" si="38"/>
        <v>50.5</v>
      </c>
      <c r="AD273" s="11">
        <f t="shared" si="39"/>
        <v>3125824.6399000003</v>
      </c>
    </row>
    <row r="274" spans="1:30" x14ac:dyDescent="0.3">
      <c r="A274" s="14">
        <v>45843.8125</v>
      </c>
      <c r="B274" s="1">
        <v>1476.72</v>
      </c>
      <c r="C274" s="11">
        <v>3.2732000000000001</v>
      </c>
      <c r="D274" s="1">
        <v>636.09</v>
      </c>
      <c r="E274" s="11">
        <v>3.0760000000000001</v>
      </c>
      <c r="F274" s="1">
        <v>717.12</v>
      </c>
      <c r="G274" s="11">
        <v>3.53</v>
      </c>
      <c r="H274" s="1">
        <v>108.83</v>
      </c>
      <c r="I274" s="11">
        <v>5.4503399999999997</v>
      </c>
      <c r="J274" s="1">
        <v>65.7</v>
      </c>
      <c r="K274" s="11">
        <v>4.5001499999999997</v>
      </c>
      <c r="L274" s="1">
        <v>0</v>
      </c>
      <c r="M274" s="11">
        <v>6.2</v>
      </c>
      <c r="N274" s="1">
        <v>24</v>
      </c>
      <c r="O274" s="11">
        <v>2.8224999999999998</v>
      </c>
      <c r="P274" s="1">
        <f t="shared" si="33"/>
        <v>3028.4599999999996</v>
      </c>
      <c r="Q274" s="1">
        <v>3015.76</v>
      </c>
      <c r="R274" s="16">
        <f t="shared" si="34"/>
        <v>2569551.6753000002</v>
      </c>
      <c r="S274" s="20">
        <v>1583.01</v>
      </c>
      <c r="T274" s="21">
        <v>0.25</v>
      </c>
      <c r="U274" s="21">
        <v>14.62</v>
      </c>
      <c r="V274" s="8">
        <v>1597.8799999999999</v>
      </c>
      <c r="W274" s="25">
        <v>1.238</v>
      </c>
      <c r="X274" s="25">
        <f t="shared" si="35"/>
        <v>494543.85999999993</v>
      </c>
      <c r="Y274" s="1">
        <f t="shared" si="36"/>
        <v>4626.3399999999992</v>
      </c>
      <c r="Z274" s="1">
        <f t="shared" si="37"/>
        <v>4613.6400000000003</v>
      </c>
      <c r="AA274" s="1">
        <v>4664.1400000000003</v>
      </c>
      <c r="AB274" s="1">
        <f t="shared" si="32"/>
        <v>-37.800000000001091</v>
      </c>
      <c r="AC274" s="29">
        <f t="shared" si="38"/>
        <v>50.5</v>
      </c>
      <c r="AD274" s="11">
        <f t="shared" si="39"/>
        <v>3064095.5353000001</v>
      </c>
    </row>
    <row r="275" spans="1:30" x14ac:dyDescent="0.3">
      <c r="A275" s="14">
        <v>45843.822916666664</v>
      </c>
      <c r="B275" s="1">
        <v>1476.72</v>
      </c>
      <c r="C275" s="11">
        <v>3.2732000000000001</v>
      </c>
      <c r="D275" s="1">
        <v>636.09</v>
      </c>
      <c r="E275" s="11">
        <v>3.0760000000000001</v>
      </c>
      <c r="F275" s="1">
        <v>717.12</v>
      </c>
      <c r="G275" s="11">
        <v>3.53</v>
      </c>
      <c r="H275" s="1">
        <v>110.08</v>
      </c>
      <c r="I275" s="11">
        <v>5.0756999999999994</v>
      </c>
      <c r="J275" s="1">
        <v>61.07</v>
      </c>
      <c r="K275" s="11">
        <v>4.1072100000000002</v>
      </c>
      <c r="L275" s="1">
        <v>0</v>
      </c>
      <c r="M275" s="11">
        <v>6.2</v>
      </c>
      <c r="N275" s="1">
        <v>24</v>
      </c>
      <c r="O275" s="11">
        <v>2.8224999999999998</v>
      </c>
      <c r="P275" s="1">
        <f t="shared" si="33"/>
        <v>3025.08</v>
      </c>
      <c r="Q275" s="1">
        <v>3012.37</v>
      </c>
      <c r="R275" s="16">
        <f t="shared" si="34"/>
        <v>2549736.6786750001</v>
      </c>
      <c r="S275" s="20">
        <v>1587.17</v>
      </c>
      <c r="T275" s="21">
        <v>0.25</v>
      </c>
      <c r="U275" s="21">
        <v>12.649999999999999</v>
      </c>
      <c r="V275" s="8">
        <v>1600.0700000000002</v>
      </c>
      <c r="W275" s="25">
        <v>1.238</v>
      </c>
      <c r="X275" s="25">
        <f t="shared" si="35"/>
        <v>495221.66500000004</v>
      </c>
      <c r="Y275" s="1">
        <f t="shared" si="36"/>
        <v>4625.1499999999996</v>
      </c>
      <c r="Z275" s="1">
        <f t="shared" si="37"/>
        <v>4612.4400000000005</v>
      </c>
      <c r="AA275" s="1">
        <v>4664.7299999999996</v>
      </c>
      <c r="AB275" s="1">
        <f t="shared" si="32"/>
        <v>-39.579999999999927</v>
      </c>
      <c r="AC275" s="29">
        <f t="shared" si="38"/>
        <v>52.289999999999054</v>
      </c>
      <c r="AD275" s="11">
        <f t="shared" si="39"/>
        <v>3044958.3436750001</v>
      </c>
    </row>
    <row r="276" spans="1:30" x14ac:dyDescent="0.3">
      <c r="A276" s="14">
        <v>45843.833333333336</v>
      </c>
      <c r="B276" s="1">
        <v>1476.72</v>
      </c>
      <c r="C276" s="11">
        <v>3.2732000000000001</v>
      </c>
      <c r="D276" s="1">
        <v>636.09</v>
      </c>
      <c r="E276" s="11">
        <v>3.0760000000000001</v>
      </c>
      <c r="F276" s="1">
        <v>717.12</v>
      </c>
      <c r="G276" s="11">
        <v>3.53</v>
      </c>
      <c r="H276" s="1">
        <v>109.99</v>
      </c>
      <c r="I276" s="11">
        <v>5.0228199999999994</v>
      </c>
      <c r="J276" s="1">
        <v>195.53</v>
      </c>
      <c r="K276" s="11">
        <v>3.4306999999999999</v>
      </c>
      <c r="L276" s="1">
        <v>0</v>
      </c>
      <c r="M276" s="11">
        <v>6.2</v>
      </c>
      <c r="N276" s="1">
        <v>23.44</v>
      </c>
      <c r="O276" s="11">
        <v>2.8224999999999998</v>
      </c>
      <c r="P276" s="1">
        <f t="shared" si="33"/>
        <v>3158.89</v>
      </c>
      <c r="Q276" s="1">
        <v>3157.38</v>
      </c>
      <c r="R276" s="16">
        <f t="shared" si="34"/>
        <v>2652767.6217</v>
      </c>
      <c r="S276" s="20">
        <v>1431.28</v>
      </c>
      <c r="T276" s="21">
        <v>0.24</v>
      </c>
      <c r="U276" s="21">
        <v>13.700000000000001</v>
      </c>
      <c r="V276" s="8">
        <v>1445.22</v>
      </c>
      <c r="W276" s="25">
        <v>1.238</v>
      </c>
      <c r="X276" s="25">
        <f t="shared" si="35"/>
        <v>447295.59</v>
      </c>
      <c r="Y276" s="1">
        <f t="shared" si="36"/>
        <v>4604.1099999999997</v>
      </c>
      <c r="Z276" s="1">
        <f t="shared" si="37"/>
        <v>4602.6000000000004</v>
      </c>
      <c r="AA276" s="1">
        <v>4660.2299999999996</v>
      </c>
      <c r="AB276" s="1">
        <f t="shared" si="32"/>
        <v>-56.119999999999891</v>
      </c>
      <c r="AC276" s="29">
        <f t="shared" si="38"/>
        <v>57.6299999999992</v>
      </c>
      <c r="AD276" s="11">
        <f t="shared" si="39"/>
        <v>3100063.2116999999</v>
      </c>
    </row>
    <row r="277" spans="1:30" x14ac:dyDescent="0.3">
      <c r="A277" s="14">
        <v>45843.84375</v>
      </c>
      <c r="B277" s="1">
        <v>1476.72</v>
      </c>
      <c r="C277" s="11">
        <v>3.2732000000000001</v>
      </c>
      <c r="D277" s="1">
        <v>636.09</v>
      </c>
      <c r="E277" s="11">
        <v>3.0760000000000001</v>
      </c>
      <c r="F277" s="1">
        <v>717.12</v>
      </c>
      <c r="G277" s="11">
        <v>3.53</v>
      </c>
      <c r="H277" s="1">
        <v>109.8</v>
      </c>
      <c r="I277" s="11">
        <v>5.00047</v>
      </c>
      <c r="J277" s="1">
        <v>206.35</v>
      </c>
      <c r="K277" s="11">
        <v>3.5003000000000002</v>
      </c>
      <c r="L277" s="1">
        <v>0</v>
      </c>
      <c r="M277" s="11">
        <v>6.2</v>
      </c>
      <c r="N277" s="1">
        <v>22.56</v>
      </c>
      <c r="O277" s="11">
        <v>2.8224999999999998</v>
      </c>
      <c r="P277" s="1">
        <f t="shared" si="33"/>
        <v>3168.64</v>
      </c>
      <c r="Q277" s="1">
        <v>3132.62</v>
      </c>
      <c r="R277" s="16">
        <f t="shared" si="34"/>
        <v>2664165.1137500009</v>
      </c>
      <c r="S277" s="20">
        <v>1468.01</v>
      </c>
      <c r="T277" s="21">
        <v>0.25</v>
      </c>
      <c r="U277" s="21">
        <v>13.459999999999999</v>
      </c>
      <c r="V277" s="8">
        <v>1481.72</v>
      </c>
      <c r="W277" s="25">
        <v>1.238</v>
      </c>
      <c r="X277" s="25">
        <f t="shared" si="35"/>
        <v>458592.33999999997</v>
      </c>
      <c r="Y277" s="1">
        <f t="shared" si="36"/>
        <v>4650.3599999999997</v>
      </c>
      <c r="Z277" s="1">
        <f t="shared" si="37"/>
        <v>4614.34</v>
      </c>
      <c r="AA277" s="1">
        <v>4660.6099999999997</v>
      </c>
      <c r="AB277" s="1">
        <f t="shared" si="32"/>
        <v>-10.25</v>
      </c>
      <c r="AC277" s="29">
        <f t="shared" si="38"/>
        <v>46.269999999999527</v>
      </c>
      <c r="AD277" s="11">
        <f t="shared" si="39"/>
        <v>3122757.4537500008</v>
      </c>
    </row>
    <row r="278" spans="1:30" x14ac:dyDescent="0.3">
      <c r="A278" s="14">
        <v>45843.854166666664</v>
      </c>
      <c r="B278" s="1">
        <v>1477.7</v>
      </c>
      <c r="C278" s="11">
        <v>3.2732000000000001</v>
      </c>
      <c r="D278" s="1">
        <v>636.09</v>
      </c>
      <c r="E278" s="11">
        <v>3.0760000000000001</v>
      </c>
      <c r="F278" s="1">
        <v>717.12</v>
      </c>
      <c r="G278" s="11">
        <v>3.53</v>
      </c>
      <c r="H278" s="1">
        <v>108.79</v>
      </c>
      <c r="I278" s="11">
        <v>5.0753000000000004</v>
      </c>
      <c r="J278" s="1">
        <v>205.9</v>
      </c>
      <c r="K278" s="11">
        <v>3.87588</v>
      </c>
      <c r="L278" s="1">
        <v>0</v>
      </c>
      <c r="M278" s="11">
        <v>6.2</v>
      </c>
      <c r="N278" s="1">
        <v>22.5</v>
      </c>
      <c r="O278" s="11">
        <v>2.8224999999999998</v>
      </c>
      <c r="P278" s="1">
        <f t="shared" si="33"/>
        <v>3168.1</v>
      </c>
      <c r="Q278" s="1">
        <v>3011.76</v>
      </c>
      <c r="R278" s="16">
        <f t="shared" si="34"/>
        <v>2684636.47725</v>
      </c>
      <c r="S278" s="20">
        <v>1582.2299999999998</v>
      </c>
      <c r="T278" s="21">
        <v>0.24</v>
      </c>
      <c r="U278" s="21">
        <v>13.25</v>
      </c>
      <c r="V278" s="8">
        <v>1595.7199999999998</v>
      </c>
      <c r="W278" s="25">
        <v>1.238</v>
      </c>
      <c r="X278" s="25">
        <f t="shared" si="35"/>
        <v>493875.33999999991</v>
      </c>
      <c r="Y278" s="1">
        <f t="shared" si="36"/>
        <v>4763.82</v>
      </c>
      <c r="Z278" s="1">
        <f t="shared" si="37"/>
        <v>4607.4799999999996</v>
      </c>
      <c r="AA278" s="1">
        <v>4654.08</v>
      </c>
      <c r="AB278" s="1">
        <f t="shared" si="32"/>
        <v>109.73999999999978</v>
      </c>
      <c r="AC278" s="29">
        <f t="shared" si="38"/>
        <v>46.600000000000364</v>
      </c>
      <c r="AD278" s="11">
        <f t="shared" si="39"/>
        <v>3178511.8172499998</v>
      </c>
    </row>
    <row r="279" spans="1:30" x14ac:dyDescent="0.3">
      <c r="A279" s="14">
        <v>45843.864583333336</v>
      </c>
      <c r="B279" s="1">
        <v>1478.08</v>
      </c>
      <c r="C279" s="11">
        <v>3.2732000000000001</v>
      </c>
      <c r="D279" s="1">
        <v>636.09</v>
      </c>
      <c r="E279" s="11">
        <v>3.0760000000000001</v>
      </c>
      <c r="F279" s="1">
        <v>717.12</v>
      </c>
      <c r="G279" s="11">
        <v>3.53</v>
      </c>
      <c r="H279" s="1">
        <v>108.81</v>
      </c>
      <c r="I279" s="11">
        <v>5.0750900000000003</v>
      </c>
      <c r="J279" s="1">
        <v>205.86</v>
      </c>
      <c r="K279" s="11">
        <v>3.5826199999999999</v>
      </c>
      <c r="L279" s="1">
        <v>0</v>
      </c>
      <c r="M279" s="11">
        <v>6.2</v>
      </c>
      <c r="N279" s="1">
        <v>22.5</v>
      </c>
      <c r="O279" s="11">
        <v>2.8224999999999998</v>
      </c>
      <c r="P279" s="1">
        <f t="shared" si="33"/>
        <v>3168.46</v>
      </c>
      <c r="Q279" s="1">
        <v>3007.74</v>
      </c>
      <c r="R279" s="16">
        <f t="shared" si="34"/>
        <v>2669835.7105250005</v>
      </c>
      <c r="S279" s="20">
        <v>1592.08</v>
      </c>
      <c r="T279" s="21">
        <v>0.24</v>
      </c>
      <c r="U279" s="21">
        <v>14.4</v>
      </c>
      <c r="V279" s="8">
        <v>1606.72</v>
      </c>
      <c r="W279" s="25">
        <v>1.238</v>
      </c>
      <c r="X279" s="25">
        <f t="shared" si="35"/>
        <v>497279.83999999997</v>
      </c>
      <c r="Y279" s="1">
        <f t="shared" si="36"/>
        <v>4775.18</v>
      </c>
      <c r="Z279" s="1">
        <f t="shared" si="37"/>
        <v>4614.46</v>
      </c>
      <c r="AA279" s="1">
        <v>4670.16</v>
      </c>
      <c r="AB279" s="1">
        <f t="shared" si="32"/>
        <v>105.02000000000044</v>
      </c>
      <c r="AC279" s="29">
        <f t="shared" si="38"/>
        <v>55.699999999999818</v>
      </c>
      <c r="AD279" s="11">
        <f t="shared" si="39"/>
        <v>3167115.5505250003</v>
      </c>
    </row>
    <row r="280" spans="1:30" x14ac:dyDescent="0.3">
      <c r="A280" s="14">
        <v>45843.875</v>
      </c>
      <c r="B280" s="1">
        <v>1460.08</v>
      </c>
      <c r="C280" s="11">
        <v>3.2732000000000001</v>
      </c>
      <c r="D280" s="1">
        <v>636.09</v>
      </c>
      <c r="E280" s="11">
        <v>3.0760000000000001</v>
      </c>
      <c r="F280" s="1">
        <v>717.12</v>
      </c>
      <c r="G280" s="11">
        <v>3.53</v>
      </c>
      <c r="H280" s="1">
        <v>75.52</v>
      </c>
      <c r="I280" s="11">
        <v>6.2812000000000001</v>
      </c>
      <c r="J280" s="1">
        <v>241.3</v>
      </c>
      <c r="K280" s="11">
        <v>3.5316300000000003</v>
      </c>
      <c r="L280" s="1">
        <v>0</v>
      </c>
      <c r="M280" s="11">
        <v>6.2</v>
      </c>
      <c r="N280" s="1">
        <v>35.04</v>
      </c>
      <c r="O280" s="11">
        <v>2.8224999999999998</v>
      </c>
      <c r="P280" s="1">
        <f t="shared" si="33"/>
        <v>3165.15</v>
      </c>
      <c r="Q280" s="1">
        <v>3041.97</v>
      </c>
      <c r="R280" s="16">
        <f t="shared" si="34"/>
        <v>2673154.80975</v>
      </c>
      <c r="S280" s="20">
        <v>1579.1499999999999</v>
      </c>
      <c r="T280" s="21">
        <v>0.24</v>
      </c>
      <c r="U280" s="21">
        <v>13.299999999999999</v>
      </c>
      <c r="V280" s="8">
        <v>1592.6899999999998</v>
      </c>
      <c r="W280" s="25">
        <v>1.238</v>
      </c>
      <c r="X280" s="25">
        <f t="shared" si="35"/>
        <v>492937.55499999993</v>
      </c>
      <c r="Y280" s="1">
        <f t="shared" si="36"/>
        <v>4757.84</v>
      </c>
      <c r="Z280" s="1">
        <f t="shared" si="37"/>
        <v>4634.66</v>
      </c>
      <c r="AA280" s="1">
        <v>4680.22</v>
      </c>
      <c r="AB280" s="1">
        <f t="shared" si="32"/>
        <v>77.619999999999891</v>
      </c>
      <c r="AC280" s="29">
        <f t="shared" si="38"/>
        <v>45.5600000000004</v>
      </c>
      <c r="AD280" s="11">
        <f t="shared" si="39"/>
        <v>3166092.3647499997</v>
      </c>
    </row>
    <row r="281" spans="1:30" x14ac:dyDescent="0.3">
      <c r="A281" s="14">
        <v>45843.885416666664</v>
      </c>
      <c r="B281" s="1">
        <v>1458.7</v>
      </c>
      <c r="C281" s="11">
        <v>3.2732000000000001</v>
      </c>
      <c r="D281" s="1">
        <v>636.09</v>
      </c>
      <c r="E281" s="11">
        <v>3.0760000000000001</v>
      </c>
      <c r="F281" s="1">
        <v>717.12</v>
      </c>
      <c r="G281" s="11">
        <v>3.53</v>
      </c>
      <c r="H281" s="1">
        <v>77.489999999999995</v>
      </c>
      <c r="I281" s="11">
        <v>5.4004599999999998</v>
      </c>
      <c r="J281" s="1">
        <v>275.24</v>
      </c>
      <c r="K281" s="11">
        <v>3.7808299999999999</v>
      </c>
      <c r="L281" s="1">
        <v>0</v>
      </c>
      <c r="M281" s="11">
        <v>6.2</v>
      </c>
      <c r="N281" s="1">
        <v>36</v>
      </c>
      <c r="O281" s="11">
        <v>2.8224999999999998</v>
      </c>
      <c r="P281" s="1">
        <f t="shared" si="33"/>
        <v>3200.6399999999994</v>
      </c>
      <c r="Q281" s="1">
        <v>3080.77</v>
      </c>
      <c r="R281" s="16">
        <f t="shared" si="34"/>
        <v>2705847.64365</v>
      </c>
      <c r="S281" s="20">
        <v>1571.8000000000002</v>
      </c>
      <c r="T281" s="21">
        <v>0.22999999999999998</v>
      </c>
      <c r="U281" s="21">
        <v>13.02</v>
      </c>
      <c r="V281" s="8">
        <v>1585.0500000000002</v>
      </c>
      <c r="W281" s="25">
        <v>1.238</v>
      </c>
      <c r="X281" s="25">
        <f t="shared" si="35"/>
        <v>490572.97500000003</v>
      </c>
      <c r="Y281" s="1">
        <f t="shared" si="36"/>
        <v>4785.6899999999996</v>
      </c>
      <c r="Z281" s="1">
        <f t="shared" si="37"/>
        <v>4665.82</v>
      </c>
      <c r="AA281" s="1">
        <v>4713.4799999999996</v>
      </c>
      <c r="AB281" s="1">
        <f t="shared" si="32"/>
        <v>72.210000000000036</v>
      </c>
      <c r="AC281" s="29">
        <f t="shared" si="38"/>
        <v>47.659999999999854</v>
      </c>
      <c r="AD281" s="11">
        <f t="shared" si="39"/>
        <v>3196420.6186500001</v>
      </c>
    </row>
    <row r="282" spans="1:30" x14ac:dyDescent="0.3">
      <c r="A282" s="14">
        <v>45843.895833333336</v>
      </c>
      <c r="B282" s="1">
        <v>1458.7</v>
      </c>
      <c r="C282" s="11">
        <v>3.2732000000000001</v>
      </c>
      <c r="D282" s="1">
        <v>636.09</v>
      </c>
      <c r="E282" s="11">
        <v>3.0760000000000001</v>
      </c>
      <c r="F282" s="1">
        <v>717.12</v>
      </c>
      <c r="G282" s="11">
        <v>3.53</v>
      </c>
      <c r="H282" s="1">
        <v>73.430000000000007</v>
      </c>
      <c r="I282" s="11">
        <v>5.4002799999999995</v>
      </c>
      <c r="J282" s="1">
        <v>259.70999999999998</v>
      </c>
      <c r="K282" s="11">
        <v>4.1200100000000006</v>
      </c>
      <c r="L282" s="1">
        <v>0</v>
      </c>
      <c r="M282" s="11">
        <v>6.2</v>
      </c>
      <c r="N282" s="1">
        <v>36</v>
      </c>
      <c r="O282" s="11">
        <v>2.8224999999999998</v>
      </c>
      <c r="P282" s="1">
        <f t="shared" si="33"/>
        <v>3181.0499999999997</v>
      </c>
      <c r="Q282" s="1">
        <v>3158.61</v>
      </c>
      <c r="R282" s="16">
        <f t="shared" si="34"/>
        <v>2707705.9093750003</v>
      </c>
      <c r="S282" s="20">
        <v>1536.3400000000001</v>
      </c>
      <c r="T282" s="21">
        <v>0.22999999999999998</v>
      </c>
      <c r="U282" s="21">
        <v>11.370000000000001</v>
      </c>
      <c r="V282" s="8">
        <v>1547.94</v>
      </c>
      <c r="W282" s="25">
        <v>1.238</v>
      </c>
      <c r="X282" s="25">
        <f t="shared" si="35"/>
        <v>479087.43000000005</v>
      </c>
      <c r="Y282" s="1">
        <f t="shared" si="36"/>
        <v>4728.99</v>
      </c>
      <c r="Z282" s="1">
        <f t="shared" si="37"/>
        <v>4706.55</v>
      </c>
      <c r="AA282" s="1">
        <v>4753.25</v>
      </c>
      <c r="AB282" s="1">
        <f t="shared" si="32"/>
        <v>-24.260000000000218</v>
      </c>
      <c r="AC282" s="29">
        <f t="shared" si="38"/>
        <v>46.699999999999818</v>
      </c>
      <c r="AD282" s="11">
        <f t="shared" si="39"/>
        <v>3186793.3393750004</v>
      </c>
    </row>
    <row r="283" spans="1:30" x14ac:dyDescent="0.3">
      <c r="A283" s="14">
        <v>45843.90625</v>
      </c>
      <c r="B283" s="1">
        <v>1458.7</v>
      </c>
      <c r="C283" s="11">
        <v>3.2732000000000001</v>
      </c>
      <c r="D283" s="1">
        <v>636.09</v>
      </c>
      <c r="E283" s="11">
        <v>3.0760000000000001</v>
      </c>
      <c r="F283" s="1">
        <v>717.12</v>
      </c>
      <c r="G283" s="11">
        <v>3.53</v>
      </c>
      <c r="H283" s="1">
        <v>46.89</v>
      </c>
      <c r="I283" s="11">
        <v>6.49953</v>
      </c>
      <c r="J283" s="1">
        <v>369.39</v>
      </c>
      <c r="K283" s="11">
        <v>4.4108599999999996</v>
      </c>
      <c r="L283" s="1">
        <v>0</v>
      </c>
      <c r="M283" s="11">
        <v>6.2</v>
      </c>
      <c r="N283" s="1">
        <v>36</v>
      </c>
      <c r="O283" s="11">
        <v>2.8224999999999998</v>
      </c>
      <c r="P283" s="1">
        <f t="shared" si="33"/>
        <v>3264.1899999999996</v>
      </c>
      <c r="Q283" s="1">
        <v>3205.59</v>
      </c>
      <c r="R283" s="16">
        <f t="shared" si="34"/>
        <v>2824590.9542750004</v>
      </c>
      <c r="S283" s="20">
        <v>1561.82</v>
      </c>
      <c r="T283" s="21">
        <v>0.22999999999999998</v>
      </c>
      <c r="U283" s="21">
        <v>10.900000000000002</v>
      </c>
      <c r="V283" s="8">
        <v>1572.95</v>
      </c>
      <c r="W283" s="25">
        <v>1.238</v>
      </c>
      <c r="X283" s="25">
        <f t="shared" si="35"/>
        <v>486828.02500000002</v>
      </c>
      <c r="Y283" s="1">
        <f t="shared" si="36"/>
        <v>4837.1399999999994</v>
      </c>
      <c r="Z283" s="1">
        <f t="shared" si="37"/>
        <v>4778.54</v>
      </c>
      <c r="AA283" s="1">
        <v>4828.46</v>
      </c>
      <c r="AB283" s="1">
        <f t="shared" si="32"/>
        <v>8.6799999999993815</v>
      </c>
      <c r="AC283" s="29">
        <f t="shared" si="38"/>
        <v>49.920000000000073</v>
      </c>
      <c r="AD283" s="11">
        <f t="shared" si="39"/>
        <v>3311418.9792750003</v>
      </c>
    </row>
    <row r="284" spans="1:30" x14ac:dyDescent="0.3">
      <c r="A284" s="14">
        <v>45843.916666666664</v>
      </c>
      <c r="B284" s="1">
        <v>1460.44</v>
      </c>
      <c r="C284" s="11">
        <v>3.2732000000000001</v>
      </c>
      <c r="D284" s="1">
        <v>636.09</v>
      </c>
      <c r="E284" s="11">
        <v>3.0760000000000001</v>
      </c>
      <c r="F284" s="1">
        <v>717.12</v>
      </c>
      <c r="G284" s="11">
        <v>3.53</v>
      </c>
      <c r="H284" s="1">
        <v>1.33</v>
      </c>
      <c r="I284" s="11">
        <v>9.49939</v>
      </c>
      <c r="J284" s="1">
        <v>427.22</v>
      </c>
      <c r="K284" s="11">
        <v>4.0111999999999997</v>
      </c>
      <c r="L284" s="1">
        <v>0</v>
      </c>
      <c r="M284" s="11">
        <v>6.2</v>
      </c>
      <c r="N284" s="1">
        <v>36</v>
      </c>
      <c r="O284" s="11">
        <v>2.8224999999999998</v>
      </c>
      <c r="P284" s="1">
        <f t="shared" si="33"/>
        <v>3278.2</v>
      </c>
      <c r="Q284" s="1">
        <v>3282.84</v>
      </c>
      <c r="R284" s="16">
        <f t="shared" si="34"/>
        <v>2774066.9251750004</v>
      </c>
      <c r="S284" s="20">
        <v>1553.4699999999996</v>
      </c>
      <c r="T284" s="21">
        <v>0.22999999999999998</v>
      </c>
      <c r="U284" s="21">
        <v>12.540000000000001</v>
      </c>
      <c r="V284" s="8">
        <v>1566.2399999999996</v>
      </c>
      <c r="W284" s="25">
        <v>1.238</v>
      </c>
      <c r="X284" s="25">
        <f t="shared" si="35"/>
        <v>484751.27999999985</v>
      </c>
      <c r="Y284" s="1">
        <f t="shared" si="36"/>
        <v>4844.4399999999996</v>
      </c>
      <c r="Z284" s="1">
        <f t="shared" si="37"/>
        <v>4849.08</v>
      </c>
      <c r="AA284" s="1">
        <v>4890.63</v>
      </c>
      <c r="AB284" s="1">
        <f t="shared" si="32"/>
        <v>-46.190000000000509</v>
      </c>
      <c r="AC284" s="29">
        <f t="shared" si="38"/>
        <v>41.550000000000182</v>
      </c>
      <c r="AD284" s="11">
        <f t="shared" si="39"/>
        <v>3258818.2051750002</v>
      </c>
    </row>
    <row r="285" spans="1:30" x14ac:dyDescent="0.3">
      <c r="A285" s="14">
        <v>45843.927083333336</v>
      </c>
      <c r="B285" s="1">
        <v>1460.84</v>
      </c>
      <c r="C285" s="11">
        <v>3.2732000000000001</v>
      </c>
      <c r="D285" s="1">
        <v>636.09</v>
      </c>
      <c r="E285" s="11">
        <v>3.0760000000000001</v>
      </c>
      <c r="F285" s="1">
        <v>717.12</v>
      </c>
      <c r="G285" s="11">
        <v>3.53</v>
      </c>
      <c r="H285" s="1">
        <v>-32.25</v>
      </c>
      <c r="I285" s="11">
        <v>9.9093300000000006</v>
      </c>
      <c r="J285" s="1">
        <v>511.09</v>
      </c>
      <c r="K285" s="11">
        <v>4.2743799999999998</v>
      </c>
      <c r="L285" s="1">
        <v>0</v>
      </c>
      <c r="M285" s="11">
        <v>6.2</v>
      </c>
      <c r="N285" s="1">
        <v>36</v>
      </c>
      <c r="O285" s="11">
        <v>2.8224999999999998</v>
      </c>
      <c r="P285" s="1">
        <f t="shared" si="33"/>
        <v>3328.89</v>
      </c>
      <c r="Q285" s="1">
        <v>3112.74</v>
      </c>
      <c r="R285" s="16">
        <f t="shared" si="34"/>
        <v>2809073.7274250006</v>
      </c>
      <c r="S285" s="20">
        <v>1392.67</v>
      </c>
      <c r="T285" s="21">
        <v>0.21000000000000002</v>
      </c>
      <c r="U285" s="21">
        <v>13.27</v>
      </c>
      <c r="V285" s="8">
        <v>1406.15</v>
      </c>
      <c r="W285" s="25">
        <v>1.238</v>
      </c>
      <c r="X285" s="25">
        <f t="shared" si="35"/>
        <v>435203.42500000005</v>
      </c>
      <c r="Y285" s="1">
        <f t="shared" si="36"/>
        <v>4735.04</v>
      </c>
      <c r="Z285" s="1">
        <f t="shared" si="37"/>
        <v>4518.8899999999994</v>
      </c>
      <c r="AA285" s="1">
        <v>4564.84</v>
      </c>
      <c r="AB285" s="1">
        <f t="shared" si="32"/>
        <v>170.19999999999982</v>
      </c>
      <c r="AC285" s="29">
        <f t="shared" si="38"/>
        <v>45.950000000000728</v>
      </c>
      <c r="AD285" s="11">
        <f t="shared" si="39"/>
        <v>3244277.1524250004</v>
      </c>
    </row>
    <row r="286" spans="1:30" x14ac:dyDescent="0.3">
      <c r="A286" s="14">
        <v>45843.9375</v>
      </c>
      <c r="B286" s="1">
        <v>1460.86</v>
      </c>
      <c r="C286" s="11">
        <v>3.2732000000000001</v>
      </c>
      <c r="D286" s="1">
        <v>636.09</v>
      </c>
      <c r="E286" s="11">
        <v>3.0760000000000001</v>
      </c>
      <c r="F286" s="1">
        <v>717.12</v>
      </c>
      <c r="G286" s="11">
        <v>3.53</v>
      </c>
      <c r="H286" s="1">
        <v>-93.35</v>
      </c>
      <c r="I286" s="11">
        <v>9.9099599999999999</v>
      </c>
      <c r="J286" s="1">
        <v>589.03</v>
      </c>
      <c r="K286" s="11">
        <v>4.9203700000000001</v>
      </c>
      <c r="L286" s="1">
        <v>0</v>
      </c>
      <c r="M286" s="11">
        <v>6.2</v>
      </c>
      <c r="N286" s="1">
        <v>36</v>
      </c>
      <c r="O286" s="11">
        <v>2.8224999999999998</v>
      </c>
      <c r="P286" s="1">
        <f t="shared" si="33"/>
        <v>3345.75</v>
      </c>
      <c r="Q286" s="1">
        <v>3129.53</v>
      </c>
      <c r="R286" s="16">
        <f t="shared" si="34"/>
        <v>2836123.5417750003</v>
      </c>
      <c r="S286" s="20">
        <v>817.64</v>
      </c>
      <c r="T286" s="21">
        <v>0.19</v>
      </c>
      <c r="U286" s="21">
        <v>14.09</v>
      </c>
      <c r="V286" s="8">
        <v>831.92000000000007</v>
      </c>
      <c r="W286" s="25">
        <v>1.238</v>
      </c>
      <c r="X286" s="25">
        <f t="shared" si="35"/>
        <v>257479.24</v>
      </c>
      <c r="Y286" s="1">
        <f t="shared" si="36"/>
        <v>4177.67</v>
      </c>
      <c r="Z286" s="1">
        <f t="shared" si="37"/>
        <v>3961.4500000000003</v>
      </c>
      <c r="AA286" s="1">
        <v>3997</v>
      </c>
      <c r="AB286" s="1">
        <f t="shared" si="32"/>
        <v>180.67000000000007</v>
      </c>
      <c r="AC286" s="29">
        <f t="shared" si="38"/>
        <v>35.549999999999727</v>
      </c>
      <c r="AD286" s="11">
        <f t="shared" si="39"/>
        <v>3093602.7817750005</v>
      </c>
    </row>
    <row r="287" spans="1:30" x14ac:dyDescent="0.3">
      <c r="A287" s="14">
        <v>45843.947916666664</v>
      </c>
      <c r="B287" s="1">
        <v>1459.26</v>
      </c>
      <c r="C287" s="11">
        <v>3.2732000000000001</v>
      </c>
      <c r="D287" s="1">
        <v>636.09</v>
      </c>
      <c r="E287" s="11">
        <v>3.0760000000000001</v>
      </c>
      <c r="F287" s="1">
        <v>717.12</v>
      </c>
      <c r="G287" s="11">
        <v>3.53</v>
      </c>
      <c r="H287" s="1">
        <v>-101.61</v>
      </c>
      <c r="I287" s="11">
        <v>9.9994399999999999</v>
      </c>
      <c r="J287" s="1">
        <v>612.75</v>
      </c>
      <c r="K287" s="11">
        <v>5.0003400000000005</v>
      </c>
      <c r="L287" s="1">
        <v>0</v>
      </c>
      <c r="M287" s="11">
        <v>6.2</v>
      </c>
      <c r="N287" s="1">
        <v>36</v>
      </c>
      <c r="O287" s="11">
        <v>2.8224999999999998</v>
      </c>
      <c r="P287" s="1">
        <f t="shared" si="33"/>
        <v>3359.6099999999997</v>
      </c>
      <c r="Q287" s="1">
        <v>3003.36</v>
      </c>
      <c r="R287" s="16">
        <f t="shared" si="34"/>
        <v>2853505.3771500005</v>
      </c>
      <c r="S287" s="20">
        <v>792.32</v>
      </c>
      <c r="T287" s="21">
        <v>0.18999999999999997</v>
      </c>
      <c r="U287" s="21">
        <v>13.610000000000001</v>
      </c>
      <c r="V287" s="8">
        <v>806.12000000000012</v>
      </c>
      <c r="W287" s="25">
        <v>1.238</v>
      </c>
      <c r="X287" s="25">
        <f t="shared" si="35"/>
        <v>249494.14000000004</v>
      </c>
      <c r="Y287" s="1">
        <f t="shared" si="36"/>
        <v>4165.7299999999996</v>
      </c>
      <c r="Z287" s="1">
        <f t="shared" si="37"/>
        <v>3809.4800000000005</v>
      </c>
      <c r="AA287" s="1">
        <v>3856.34</v>
      </c>
      <c r="AB287" s="1">
        <f t="shared" si="32"/>
        <v>309.38999999999942</v>
      </c>
      <c r="AC287" s="29">
        <f t="shared" si="38"/>
        <v>46.859999999999673</v>
      </c>
      <c r="AD287" s="11">
        <f t="shared" si="39"/>
        <v>3102999.5171500007</v>
      </c>
    </row>
    <row r="288" spans="1:30" x14ac:dyDescent="0.3">
      <c r="A288" s="14">
        <v>45843.958333333336</v>
      </c>
      <c r="B288" s="1">
        <v>1459.14</v>
      </c>
      <c r="C288" s="11">
        <v>3.2732000000000001</v>
      </c>
      <c r="D288" s="1">
        <v>636.09</v>
      </c>
      <c r="E288" s="11">
        <v>3.0760000000000001</v>
      </c>
      <c r="F288" s="1">
        <v>717.12</v>
      </c>
      <c r="G288" s="11">
        <v>3.53</v>
      </c>
      <c r="H288" s="1">
        <v>-101.9</v>
      </c>
      <c r="I288" s="11">
        <v>9.4998299999999993</v>
      </c>
      <c r="J288" s="1">
        <v>560.45000000000005</v>
      </c>
      <c r="K288" s="11">
        <v>3.9990900000000003</v>
      </c>
      <c r="L288" s="1">
        <v>0</v>
      </c>
      <c r="M288" s="11">
        <v>6.2</v>
      </c>
      <c r="N288" s="1">
        <v>36</v>
      </c>
      <c r="O288" s="11">
        <v>2.8224999999999998</v>
      </c>
      <c r="P288" s="1">
        <f t="shared" si="33"/>
        <v>3306.8999999999996</v>
      </c>
      <c r="Q288" s="1">
        <v>3087.33</v>
      </c>
      <c r="R288" s="16">
        <f t="shared" si="34"/>
        <v>2659742.7003750009</v>
      </c>
      <c r="S288" s="20">
        <v>710.40999999999985</v>
      </c>
      <c r="T288" s="21">
        <v>0.26</v>
      </c>
      <c r="U288" s="21">
        <v>11.940000000000001</v>
      </c>
      <c r="V288" s="8">
        <v>722.6099999999999</v>
      </c>
      <c r="W288" s="25">
        <v>1.238</v>
      </c>
      <c r="X288" s="25">
        <f t="shared" si="35"/>
        <v>223647.79499999998</v>
      </c>
      <c r="Y288" s="1">
        <f t="shared" si="36"/>
        <v>4029.5099999999993</v>
      </c>
      <c r="Z288" s="1">
        <f t="shared" si="37"/>
        <v>3809.9399999999996</v>
      </c>
      <c r="AA288" s="1">
        <v>3850.89</v>
      </c>
      <c r="AB288" s="1">
        <f t="shared" si="32"/>
        <v>178.61999999999944</v>
      </c>
      <c r="AC288" s="29">
        <f t="shared" si="38"/>
        <v>40.950000000000273</v>
      </c>
      <c r="AD288" s="11">
        <f t="shared" si="39"/>
        <v>2883390.4953750009</v>
      </c>
    </row>
    <row r="289" spans="1:31" x14ac:dyDescent="0.3">
      <c r="A289" s="14">
        <v>45843.96875</v>
      </c>
      <c r="B289" s="1">
        <v>1459.14</v>
      </c>
      <c r="C289" s="11">
        <v>3.2732000000000001</v>
      </c>
      <c r="D289" s="1">
        <v>636.09</v>
      </c>
      <c r="E289" s="11">
        <v>3.0760000000000001</v>
      </c>
      <c r="F289" s="1">
        <v>717.12</v>
      </c>
      <c r="G289" s="11">
        <v>3.53</v>
      </c>
      <c r="H289" s="1">
        <v>-195.01</v>
      </c>
      <c r="I289" s="11">
        <v>9.9991800000000008</v>
      </c>
      <c r="J289" s="1">
        <v>573.96</v>
      </c>
      <c r="K289" s="11">
        <v>3.9907600000000003</v>
      </c>
      <c r="L289" s="1">
        <v>0</v>
      </c>
      <c r="M289" s="11">
        <v>6.2</v>
      </c>
      <c r="N289" s="1">
        <v>36</v>
      </c>
      <c r="O289" s="11">
        <v>2.8224999999999998</v>
      </c>
      <c r="P289" s="1">
        <f t="shared" si="33"/>
        <v>3227.3</v>
      </c>
      <c r="Q289" s="1">
        <v>3120.81</v>
      </c>
      <c r="R289" s="16">
        <f t="shared" si="34"/>
        <v>2426577.5014500003</v>
      </c>
      <c r="S289" s="20">
        <v>720.20999999999981</v>
      </c>
      <c r="T289" s="21">
        <v>0.26</v>
      </c>
      <c r="U289" s="21">
        <v>9.18</v>
      </c>
      <c r="V289" s="8">
        <v>729.64999999999975</v>
      </c>
      <c r="W289" s="25">
        <v>1.238</v>
      </c>
      <c r="X289" s="25">
        <f t="shared" si="35"/>
        <v>225826.6749999999</v>
      </c>
      <c r="Y289" s="1">
        <f t="shared" si="36"/>
        <v>3956.95</v>
      </c>
      <c r="Z289" s="1">
        <f t="shared" si="37"/>
        <v>3850.4599999999996</v>
      </c>
      <c r="AA289" s="1">
        <v>3891.89</v>
      </c>
      <c r="AB289" s="1">
        <f t="shared" si="32"/>
        <v>65.059999999999945</v>
      </c>
      <c r="AC289" s="29">
        <f t="shared" si="38"/>
        <v>41.430000000000291</v>
      </c>
      <c r="AD289" s="11">
        <f t="shared" si="39"/>
        <v>2652404.1764500001</v>
      </c>
    </row>
    <row r="290" spans="1:31" x14ac:dyDescent="0.3">
      <c r="A290" s="14">
        <v>45843.979166666664</v>
      </c>
      <c r="B290" s="1">
        <v>1461.28</v>
      </c>
      <c r="C290" s="11">
        <v>3.2732000000000001</v>
      </c>
      <c r="D290" s="1">
        <v>636.09</v>
      </c>
      <c r="E290" s="11">
        <v>3.0760000000000001</v>
      </c>
      <c r="F290" s="1">
        <v>717.12</v>
      </c>
      <c r="G290" s="11">
        <v>3.53</v>
      </c>
      <c r="H290" s="1">
        <v>-108.79</v>
      </c>
      <c r="I290" s="11">
        <v>9.0856600000000007</v>
      </c>
      <c r="J290" s="1">
        <v>396.69</v>
      </c>
      <c r="K290" s="11">
        <v>3.82002</v>
      </c>
      <c r="L290" s="1">
        <v>0</v>
      </c>
      <c r="M290" s="11">
        <v>6.2</v>
      </c>
      <c r="N290" s="1">
        <v>36</v>
      </c>
      <c r="O290" s="11">
        <v>2.8224999999999998</v>
      </c>
      <c r="P290" s="1">
        <f t="shared" si="33"/>
        <v>3138.39</v>
      </c>
      <c r="Q290" s="1">
        <v>3147.44</v>
      </c>
      <c r="R290" s="16">
        <f t="shared" si="34"/>
        <v>2474913.2296000007</v>
      </c>
      <c r="S290" s="20">
        <v>984.65</v>
      </c>
      <c r="T290" s="21">
        <v>0.26</v>
      </c>
      <c r="U290" s="21">
        <v>7.4099999999999993</v>
      </c>
      <c r="V290" s="8">
        <v>992.31999999999994</v>
      </c>
      <c r="W290" s="25">
        <v>1.238</v>
      </c>
      <c r="X290" s="25">
        <f t="shared" si="35"/>
        <v>307123.03999999998</v>
      </c>
      <c r="Y290" s="1">
        <f t="shared" si="36"/>
        <v>4130.71</v>
      </c>
      <c r="Z290" s="1">
        <f t="shared" si="37"/>
        <v>4139.76</v>
      </c>
      <c r="AA290" s="1">
        <v>4183.6000000000004</v>
      </c>
      <c r="AB290" s="1">
        <f t="shared" si="32"/>
        <v>-52.890000000000327</v>
      </c>
      <c r="AC290" s="29">
        <f t="shared" si="38"/>
        <v>43.840000000000146</v>
      </c>
      <c r="AD290" s="11">
        <f t="shared" si="39"/>
        <v>2782036.2696000007</v>
      </c>
    </row>
    <row r="291" spans="1:31" x14ac:dyDescent="0.3">
      <c r="A291" s="14">
        <v>45843.989583333336</v>
      </c>
      <c r="B291" s="1">
        <v>1461.82</v>
      </c>
      <c r="C291" s="11">
        <v>3.2732000000000001</v>
      </c>
      <c r="D291" s="1">
        <v>636.09</v>
      </c>
      <c r="E291" s="11">
        <v>3.0760000000000001</v>
      </c>
      <c r="F291" s="1">
        <v>717.12</v>
      </c>
      <c r="G291" s="11">
        <v>3.53</v>
      </c>
      <c r="H291" s="1">
        <v>-101.9</v>
      </c>
      <c r="I291" s="11">
        <v>9.0666799999999999</v>
      </c>
      <c r="J291" s="1">
        <v>301.04000000000002</v>
      </c>
      <c r="K291" s="11">
        <v>3.62059</v>
      </c>
      <c r="L291" s="1">
        <v>0</v>
      </c>
      <c r="M291" s="11">
        <v>6.2</v>
      </c>
      <c r="N291" s="1">
        <v>36</v>
      </c>
      <c r="O291" s="11">
        <v>2.8224999999999998</v>
      </c>
      <c r="P291" s="1">
        <f t="shared" si="33"/>
        <v>3050.1699999999996</v>
      </c>
      <c r="Q291" s="1">
        <v>3013.87</v>
      </c>
      <c r="R291" s="16">
        <f t="shared" si="34"/>
        <v>2385133.3464000006</v>
      </c>
      <c r="S291" s="20">
        <v>1415.3799999999999</v>
      </c>
      <c r="T291" s="21">
        <v>0.22999999999999998</v>
      </c>
      <c r="U291" s="21">
        <v>7.04</v>
      </c>
      <c r="V291" s="8">
        <v>1422.6499999999999</v>
      </c>
      <c r="W291" s="25">
        <v>1.238</v>
      </c>
      <c r="X291" s="25">
        <f t="shared" si="35"/>
        <v>440310.17499999993</v>
      </c>
      <c r="Y291" s="1">
        <f t="shared" si="36"/>
        <v>4472.82</v>
      </c>
      <c r="Z291" s="1">
        <f t="shared" si="37"/>
        <v>4436.5199999999995</v>
      </c>
      <c r="AA291" s="1">
        <v>4479.29</v>
      </c>
      <c r="AB291" s="1">
        <f t="shared" si="32"/>
        <v>-6.4700000000002547</v>
      </c>
      <c r="AC291" s="29">
        <f t="shared" si="38"/>
        <v>42.770000000000437</v>
      </c>
      <c r="AD291" s="11">
        <f t="shared" si="39"/>
        <v>2825443.5214000004</v>
      </c>
      <c r="AE291" s="31">
        <f>SUM(AD196:AD291)</f>
        <v>259515339.67265001</v>
      </c>
    </row>
    <row r="292" spans="1:31" x14ac:dyDescent="0.3">
      <c r="A292" s="14">
        <v>45874</v>
      </c>
      <c r="B292" s="1">
        <v>1461.3</v>
      </c>
      <c r="C292" s="11">
        <v>3.2732000000000001</v>
      </c>
      <c r="D292" s="1">
        <v>547.1</v>
      </c>
      <c r="E292" s="11">
        <v>3.0760000000000001</v>
      </c>
      <c r="F292" s="1">
        <v>444.29</v>
      </c>
      <c r="G292" s="11">
        <v>3.53</v>
      </c>
      <c r="H292" s="1">
        <v>-101.9</v>
      </c>
      <c r="I292" s="11">
        <v>4.0526</v>
      </c>
      <c r="J292" s="1">
        <v>16.809999999999999</v>
      </c>
      <c r="K292" s="11">
        <v>3.8207900000000001</v>
      </c>
      <c r="L292" s="1">
        <v>0</v>
      </c>
      <c r="M292" s="11">
        <v>6.2</v>
      </c>
      <c r="N292" s="1">
        <v>22.1</v>
      </c>
      <c r="O292" s="11">
        <v>2.8224999999999998</v>
      </c>
      <c r="P292" s="1">
        <f t="shared" si="33"/>
        <v>2389.6999999999998</v>
      </c>
      <c r="Q292" s="1">
        <v>2885.33</v>
      </c>
      <c r="R292" s="16">
        <f t="shared" si="34"/>
        <v>1936998.8124749998</v>
      </c>
      <c r="S292" s="20">
        <v>1549.0299999999997</v>
      </c>
      <c r="T292" s="21">
        <v>0.24</v>
      </c>
      <c r="U292" s="21">
        <v>6.41</v>
      </c>
      <c r="V292" s="8">
        <v>1555.6799999999998</v>
      </c>
      <c r="W292" s="25">
        <v>1.238</v>
      </c>
      <c r="X292" s="25">
        <f t="shared" si="35"/>
        <v>481482.95999999996</v>
      </c>
      <c r="Y292" s="1">
        <f t="shared" si="36"/>
        <v>3945.3799999999997</v>
      </c>
      <c r="Z292" s="1">
        <f t="shared" si="37"/>
        <v>4441.01</v>
      </c>
      <c r="AA292" s="1">
        <v>4491.08</v>
      </c>
      <c r="AB292" s="1">
        <f t="shared" si="32"/>
        <v>-545.70000000000027</v>
      </c>
      <c r="AC292" s="29">
        <f t="shared" si="38"/>
        <v>50.069999999999709</v>
      </c>
      <c r="AD292" s="11">
        <f t="shared" si="39"/>
        <v>2418481.7724749995</v>
      </c>
    </row>
    <row r="293" spans="1:31" x14ac:dyDescent="0.3">
      <c r="A293" s="14">
        <v>45874.010416666664</v>
      </c>
      <c r="B293" s="1">
        <v>1461.94</v>
      </c>
      <c r="C293" s="11">
        <v>3.2732000000000001</v>
      </c>
      <c r="D293" s="1">
        <v>540.05999999999995</v>
      </c>
      <c r="E293" s="11">
        <v>3.0760000000000001</v>
      </c>
      <c r="F293" s="1">
        <v>422.7</v>
      </c>
      <c r="G293" s="11">
        <v>3.53</v>
      </c>
      <c r="H293" s="1">
        <v>-101.9</v>
      </c>
      <c r="I293" s="11">
        <v>3.7716099999999999</v>
      </c>
      <c r="J293" s="1">
        <v>-3.8</v>
      </c>
      <c r="K293" s="11">
        <v>3.5624899999999999</v>
      </c>
      <c r="L293" s="1">
        <v>0</v>
      </c>
      <c r="M293" s="11">
        <v>6.2</v>
      </c>
      <c r="N293" s="1">
        <v>20.45</v>
      </c>
      <c r="O293" s="11">
        <v>2.8224999999999998</v>
      </c>
      <c r="P293" s="1">
        <f t="shared" si="33"/>
        <v>2339.4499999999994</v>
      </c>
      <c r="Q293" s="1">
        <v>2797.61</v>
      </c>
      <c r="R293" s="16">
        <f t="shared" si="34"/>
        <v>1899608.2930000001</v>
      </c>
      <c r="S293" s="20">
        <v>1561.8899999999996</v>
      </c>
      <c r="T293" s="21">
        <v>0.24</v>
      </c>
      <c r="U293" s="21">
        <v>4.43</v>
      </c>
      <c r="V293" s="8">
        <v>1566.5599999999997</v>
      </c>
      <c r="W293" s="25">
        <v>1.238</v>
      </c>
      <c r="X293" s="25">
        <f t="shared" si="35"/>
        <v>484850.31999999989</v>
      </c>
      <c r="Y293" s="1">
        <f t="shared" si="36"/>
        <v>3906.0099999999993</v>
      </c>
      <c r="Z293" s="1">
        <f t="shared" si="37"/>
        <v>4364.17</v>
      </c>
      <c r="AA293" s="1">
        <v>4443.47</v>
      </c>
      <c r="AB293" s="1">
        <f t="shared" si="32"/>
        <v>-537.46000000000095</v>
      </c>
      <c r="AC293" s="29">
        <f t="shared" si="38"/>
        <v>79.300000000000182</v>
      </c>
      <c r="AD293" s="11">
        <f t="shared" si="39"/>
        <v>2384458.6129999999</v>
      </c>
    </row>
    <row r="294" spans="1:31" x14ac:dyDescent="0.3">
      <c r="A294" s="14">
        <v>45874.020833333336</v>
      </c>
      <c r="B294" s="1">
        <v>1462</v>
      </c>
      <c r="C294" s="11">
        <v>3.2732000000000001</v>
      </c>
      <c r="D294" s="1">
        <v>540.05999999999995</v>
      </c>
      <c r="E294" s="11">
        <v>3.0760000000000001</v>
      </c>
      <c r="F294" s="1">
        <v>422.7</v>
      </c>
      <c r="G294" s="11">
        <v>3.53</v>
      </c>
      <c r="H294" s="1">
        <v>-101.9</v>
      </c>
      <c r="I294" s="11">
        <v>3.5853800000000002</v>
      </c>
      <c r="J294" s="1">
        <v>442.38</v>
      </c>
      <c r="K294" s="11">
        <v>3.77129</v>
      </c>
      <c r="L294" s="1">
        <v>0</v>
      </c>
      <c r="M294" s="11">
        <v>6.2</v>
      </c>
      <c r="N294" s="1">
        <v>19.559999999999999</v>
      </c>
      <c r="O294" s="11">
        <v>2.8224999999999998</v>
      </c>
      <c r="P294" s="1">
        <f t="shared" si="33"/>
        <v>2784.7999999999997</v>
      </c>
      <c r="Q294" s="1">
        <v>2763.9</v>
      </c>
      <c r="R294" s="16">
        <f t="shared" si="34"/>
        <v>2324243.7770500001</v>
      </c>
      <c r="S294" s="20">
        <v>1509.8199999999995</v>
      </c>
      <c r="T294" s="21">
        <v>0.25</v>
      </c>
      <c r="U294" s="21">
        <v>3.73</v>
      </c>
      <c r="V294" s="8">
        <v>1513.7999999999995</v>
      </c>
      <c r="W294" s="25">
        <v>1.238</v>
      </c>
      <c r="X294" s="25">
        <f t="shared" si="35"/>
        <v>468521.0999999998</v>
      </c>
      <c r="Y294" s="1">
        <f t="shared" si="36"/>
        <v>4298.5999999999995</v>
      </c>
      <c r="Z294" s="1">
        <f t="shared" si="37"/>
        <v>4277.7</v>
      </c>
      <c r="AA294" s="1">
        <v>4360.54</v>
      </c>
      <c r="AB294" s="1">
        <f t="shared" si="32"/>
        <v>-61.940000000000509</v>
      </c>
      <c r="AC294" s="29">
        <f t="shared" si="38"/>
        <v>82.840000000000146</v>
      </c>
      <c r="AD294" s="11">
        <f t="shared" si="39"/>
        <v>2792764.8770499998</v>
      </c>
    </row>
    <row r="295" spans="1:31" x14ac:dyDescent="0.3">
      <c r="A295" s="14">
        <v>45874.03125</v>
      </c>
      <c r="B295" s="1">
        <v>1462</v>
      </c>
      <c r="C295" s="11">
        <v>3.2732000000000001</v>
      </c>
      <c r="D295" s="1">
        <v>540.05999999999995</v>
      </c>
      <c r="E295" s="11">
        <v>3.0760000000000001</v>
      </c>
      <c r="F295" s="1">
        <v>422.7</v>
      </c>
      <c r="G295" s="11">
        <v>3.53</v>
      </c>
      <c r="H295" s="1">
        <v>-101.9</v>
      </c>
      <c r="I295" s="11">
        <v>3.5606</v>
      </c>
      <c r="J295" s="1">
        <v>406.69</v>
      </c>
      <c r="K295" s="11">
        <v>3.71027</v>
      </c>
      <c r="L295" s="1">
        <v>0</v>
      </c>
      <c r="M295" s="11">
        <v>6.2</v>
      </c>
      <c r="N295" s="1">
        <v>18.66</v>
      </c>
      <c r="O295" s="11">
        <v>2.8224999999999998</v>
      </c>
      <c r="P295" s="1">
        <f t="shared" si="33"/>
        <v>2748.2099999999996</v>
      </c>
      <c r="Q295" s="1">
        <v>2740.58</v>
      </c>
      <c r="R295" s="16">
        <f t="shared" si="34"/>
        <v>2284386.5940750004</v>
      </c>
      <c r="S295" s="20">
        <v>1466.4</v>
      </c>
      <c r="T295" s="21">
        <v>0.25</v>
      </c>
      <c r="U295" s="21">
        <v>2.74</v>
      </c>
      <c r="V295" s="8">
        <v>1469.39</v>
      </c>
      <c r="W295" s="25">
        <v>1.238</v>
      </c>
      <c r="X295" s="25">
        <f t="shared" si="35"/>
        <v>454776.20500000002</v>
      </c>
      <c r="Y295" s="1">
        <f t="shared" si="36"/>
        <v>4217.5999999999995</v>
      </c>
      <c r="Z295" s="1">
        <f t="shared" si="37"/>
        <v>4209.97</v>
      </c>
      <c r="AA295" s="1">
        <v>4288.51</v>
      </c>
      <c r="AB295" s="1">
        <f t="shared" si="32"/>
        <v>-70.910000000000764</v>
      </c>
      <c r="AC295" s="29">
        <f t="shared" si="38"/>
        <v>78.539999999999964</v>
      </c>
      <c r="AD295" s="11">
        <f t="shared" si="39"/>
        <v>2739162.7990750005</v>
      </c>
    </row>
    <row r="296" spans="1:31" x14ac:dyDescent="0.3">
      <c r="A296" s="14">
        <v>45874.041666666664</v>
      </c>
      <c r="B296" s="1">
        <v>1463.07</v>
      </c>
      <c r="C296" s="11">
        <v>3.2732000000000001</v>
      </c>
      <c r="D296" s="1">
        <v>540.05999999999995</v>
      </c>
      <c r="E296" s="11">
        <v>3.0760000000000001</v>
      </c>
      <c r="F296" s="1">
        <v>422.7</v>
      </c>
      <c r="G296" s="11">
        <v>3.53</v>
      </c>
      <c r="H296" s="1">
        <v>-101.9</v>
      </c>
      <c r="I296" s="11">
        <v>3.40665</v>
      </c>
      <c r="J296" s="1">
        <v>294.41000000000003</v>
      </c>
      <c r="K296" s="11">
        <v>3.7384899999999996</v>
      </c>
      <c r="L296" s="1">
        <v>0</v>
      </c>
      <c r="M296" s="11">
        <v>6.2</v>
      </c>
      <c r="N296" s="1">
        <v>9.67</v>
      </c>
      <c r="O296" s="11">
        <v>2.8224999999999998</v>
      </c>
      <c r="P296" s="1">
        <f t="shared" si="33"/>
        <v>2628.0099999999998</v>
      </c>
      <c r="Q296" s="1">
        <v>2642.27</v>
      </c>
      <c r="R296" s="16">
        <f t="shared" si="34"/>
        <v>2180770.2662249999</v>
      </c>
      <c r="S296" s="20">
        <v>1473.6200000000001</v>
      </c>
      <c r="T296" s="21">
        <v>0.22999999999999998</v>
      </c>
      <c r="U296" s="21">
        <v>1.49</v>
      </c>
      <c r="V296" s="8">
        <v>1475.3400000000001</v>
      </c>
      <c r="W296" s="25">
        <v>1.238</v>
      </c>
      <c r="X296" s="25">
        <f t="shared" si="35"/>
        <v>456617.73000000004</v>
      </c>
      <c r="Y296" s="1">
        <f t="shared" si="36"/>
        <v>4103.3500000000004</v>
      </c>
      <c r="Z296" s="1">
        <f t="shared" si="37"/>
        <v>4117.6100000000006</v>
      </c>
      <c r="AA296" s="1">
        <v>4197.26</v>
      </c>
      <c r="AB296" s="1">
        <f t="shared" si="32"/>
        <v>-93.909999999999854</v>
      </c>
      <c r="AC296" s="29">
        <f t="shared" si="38"/>
        <v>79.649999999999636</v>
      </c>
      <c r="AD296" s="11">
        <f t="shared" si="39"/>
        <v>2637387.9962249999</v>
      </c>
    </row>
    <row r="297" spans="1:31" x14ac:dyDescent="0.3">
      <c r="A297" s="14">
        <v>45874.052083333336</v>
      </c>
      <c r="B297" s="1">
        <v>1465.05</v>
      </c>
      <c r="C297" s="11">
        <v>3.2732000000000001</v>
      </c>
      <c r="D297" s="1">
        <v>540.05999999999995</v>
      </c>
      <c r="E297" s="11">
        <v>3.0760000000000001</v>
      </c>
      <c r="F297" s="1">
        <v>422.7</v>
      </c>
      <c r="G297" s="11">
        <v>3.53</v>
      </c>
      <c r="H297" s="1">
        <v>-101.9</v>
      </c>
      <c r="I297" s="11">
        <v>3.3818600000000001</v>
      </c>
      <c r="J297" s="1">
        <v>259.47000000000003</v>
      </c>
      <c r="K297" s="11">
        <v>3.7103600000000001</v>
      </c>
      <c r="L297" s="1">
        <v>0</v>
      </c>
      <c r="M297" s="11">
        <v>6.2</v>
      </c>
      <c r="N297" s="1">
        <v>9</v>
      </c>
      <c r="O297" s="11">
        <v>2.8224999999999998</v>
      </c>
      <c r="P297" s="1">
        <f t="shared" si="33"/>
        <v>2594.38</v>
      </c>
      <c r="Q297" s="1">
        <v>2573.06</v>
      </c>
      <c r="R297" s="16">
        <f t="shared" si="34"/>
        <v>2148068.8238000004</v>
      </c>
      <c r="S297" s="20">
        <v>1478.2500000000002</v>
      </c>
      <c r="T297" s="21">
        <v>0.24</v>
      </c>
      <c r="U297" s="21">
        <v>1.01</v>
      </c>
      <c r="V297" s="8">
        <v>1479.5000000000002</v>
      </c>
      <c r="W297" s="25">
        <v>1.238</v>
      </c>
      <c r="X297" s="25">
        <f t="shared" si="35"/>
        <v>457905.25000000006</v>
      </c>
      <c r="Y297" s="1">
        <f t="shared" si="36"/>
        <v>4073.88</v>
      </c>
      <c r="Z297" s="1">
        <f t="shared" si="37"/>
        <v>4052.5600000000004</v>
      </c>
      <c r="AA297" s="1">
        <v>4135.21</v>
      </c>
      <c r="AB297" s="1">
        <f t="shared" si="32"/>
        <v>-61.329999999999927</v>
      </c>
      <c r="AC297" s="29">
        <f t="shared" si="38"/>
        <v>82.649999999999636</v>
      </c>
      <c r="AD297" s="11">
        <f t="shared" si="39"/>
        <v>2605974.0738000004</v>
      </c>
    </row>
    <row r="298" spans="1:31" x14ac:dyDescent="0.3">
      <c r="A298" s="14">
        <v>45874.0625</v>
      </c>
      <c r="B298" s="1">
        <v>1465.24</v>
      </c>
      <c r="C298" s="11">
        <v>3.2732000000000001</v>
      </c>
      <c r="D298" s="1">
        <v>540.05999999999995</v>
      </c>
      <c r="E298" s="11">
        <v>3.0760000000000001</v>
      </c>
      <c r="F298" s="1">
        <v>422.7</v>
      </c>
      <c r="G298" s="11">
        <v>3.53</v>
      </c>
      <c r="H298" s="1">
        <v>-101.9</v>
      </c>
      <c r="I298" s="11">
        <v>3.3814899999999999</v>
      </c>
      <c r="J298" s="1">
        <v>329</v>
      </c>
      <c r="K298" s="11">
        <v>3.7510700000000003</v>
      </c>
      <c r="L298" s="1">
        <v>0</v>
      </c>
      <c r="M298" s="11">
        <v>6.2</v>
      </c>
      <c r="N298" s="1">
        <v>9</v>
      </c>
      <c r="O298" s="11">
        <v>2.8224999999999998</v>
      </c>
      <c r="P298" s="1">
        <f t="shared" si="33"/>
        <v>2664.1</v>
      </c>
      <c r="Q298" s="1">
        <v>2648.6</v>
      </c>
      <c r="R298" s="16">
        <f t="shared" si="34"/>
        <v>2216077.4567500004</v>
      </c>
      <c r="S298" s="20">
        <v>1350.91</v>
      </c>
      <c r="T298" s="21">
        <v>0.24</v>
      </c>
      <c r="U298" s="21">
        <v>1.02</v>
      </c>
      <c r="V298" s="8">
        <v>1352.17</v>
      </c>
      <c r="W298" s="25">
        <v>1.238</v>
      </c>
      <c r="X298" s="25">
        <f t="shared" si="35"/>
        <v>418496.61499999999</v>
      </c>
      <c r="Y298" s="1">
        <f t="shared" si="36"/>
        <v>4016.27</v>
      </c>
      <c r="Z298" s="1">
        <f t="shared" si="37"/>
        <v>4000.77</v>
      </c>
      <c r="AA298" s="1">
        <v>4088.61</v>
      </c>
      <c r="AB298" s="1">
        <f t="shared" si="32"/>
        <v>-72.340000000000146</v>
      </c>
      <c r="AC298" s="29">
        <f t="shared" si="38"/>
        <v>87.840000000000146</v>
      </c>
      <c r="AD298" s="11">
        <f t="shared" si="39"/>
        <v>2634574.0717500001</v>
      </c>
    </row>
    <row r="299" spans="1:31" x14ac:dyDescent="0.3">
      <c r="A299" s="14">
        <v>45874.072916666664</v>
      </c>
      <c r="B299" s="1">
        <v>1465.24</v>
      </c>
      <c r="C299" s="11">
        <v>3.2732000000000001</v>
      </c>
      <c r="D299" s="1">
        <v>540.05999999999995</v>
      </c>
      <c r="E299" s="11">
        <v>3.0760000000000001</v>
      </c>
      <c r="F299" s="1">
        <v>422.7</v>
      </c>
      <c r="G299" s="11">
        <v>3.53</v>
      </c>
      <c r="H299" s="1">
        <v>-101.9</v>
      </c>
      <c r="I299" s="11">
        <v>3.3817900000000001</v>
      </c>
      <c r="J299" s="1">
        <v>289.38</v>
      </c>
      <c r="K299" s="11">
        <v>3.7384400000000002</v>
      </c>
      <c r="L299" s="1">
        <v>0</v>
      </c>
      <c r="M299" s="11">
        <v>6.2</v>
      </c>
      <c r="N299" s="1">
        <v>9</v>
      </c>
      <c r="O299" s="11">
        <v>2.8224999999999998</v>
      </c>
      <c r="P299" s="1">
        <f t="shared" si="33"/>
        <v>2624.48</v>
      </c>
      <c r="Q299" s="1">
        <v>2608.88</v>
      </c>
      <c r="R299" s="16">
        <f t="shared" si="34"/>
        <v>2178001.7485500001</v>
      </c>
      <c r="S299" s="20">
        <v>1350.26</v>
      </c>
      <c r="T299" s="21">
        <v>0.24</v>
      </c>
      <c r="U299" s="21">
        <v>1.03</v>
      </c>
      <c r="V299" s="8">
        <v>1351.53</v>
      </c>
      <c r="W299" s="25">
        <v>1.238</v>
      </c>
      <c r="X299" s="25">
        <f t="shared" si="35"/>
        <v>418298.53500000003</v>
      </c>
      <c r="Y299" s="1">
        <f t="shared" si="36"/>
        <v>3976.01</v>
      </c>
      <c r="Z299" s="1">
        <f t="shared" si="37"/>
        <v>3960.41</v>
      </c>
      <c r="AA299" s="1">
        <v>4040.9</v>
      </c>
      <c r="AB299" s="1">
        <f t="shared" si="32"/>
        <v>-64.889999999999873</v>
      </c>
      <c r="AC299" s="29">
        <f t="shared" si="38"/>
        <v>80.490000000000236</v>
      </c>
      <c r="AD299" s="11">
        <f t="shared" si="39"/>
        <v>2596300.2835500003</v>
      </c>
    </row>
    <row r="300" spans="1:31" x14ac:dyDescent="0.3">
      <c r="A300" s="14">
        <v>45874.083333333336</v>
      </c>
      <c r="B300" s="1">
        <v>1465.24</v>
      </c>
      <c r="C300" s="11">
        <v>3.2732000000000001</v>
      </c>
      <c r="D300" s="1">
        <v>540.05999999999995</v>
      </c>
      <c r="E300" s="11">
        <v>3.0760000000000001</v>
      </c>
      <c r="F300" s="1">
        <v>400.23</v>
      </c>
      <c r="G300" s="11">
        <v>3.53</v>
      </c>
      <c r="H300" s="1">
        <v>-101.9</v>
      </c>
      <c r="I300" s="11">
        <v>3.38198</v>
      </c>
      <c r="J300" s="1">
        <v>232.18</v>
      </c>
      <c r="K300" s="11">
        <v>3.5154200000000002</v>
      </c>
      <c r="L300" s="1">
        <v>0</v>
      </c>
      <c r="M300" s="11">
        <v>6.2</v>
      </c>
      <c r="N300" s="1">
        <v>9</v>
      </c>
      <c r="O300" s="11">
        <v>2.8224999999999998</v>
      </c>
      <c r="P300" s="1">
        <f t="shared" si="33"/>
        <v>2544.8099999999995</v>
      </c>
      <c r="Q300" s="1">
        <v>2562.63</v>
      </c>
      <c r="R300" s="16">
        <f t="shared" si="34"/>
        <v>2091762.2454000001</v>
      </c>
      <c r="S300" s="20">
        <v>1353.2099999999998</v>
      </c>
      <c r="T300" s="21">
        <v>0.24</v>
      </c>
      <c r="U300" s="21">
        <v>0.81</v>
      </c>
      <c r="V300" s="8">
        <v>1354.2599999999998</v>
      </c>
      <c r="W300" s="25">
        <v>1.238</v>
      </c>
      <c r="X300" s="25">
        <f t="shared" si="35"/>
        <v>419143.46999999991</v>
      </c>
      <c r="Y300" s="1">
        <f t="shared" si="36"/>
        <v>3899.0699999999993</v>
      </c>
      <c r="Z300" s="1">
        <f t="shared" si="37"/>
        <v>3916.89</v>
      </c>
      <c r="AA300" s="1">
        <v>3994.19</v>
      </c>
      <c r="AB300" s="1">
        <f t="shared" si="32"/>
        <v>-95.1200000000008</v>
      </c>
      <c r="AC300" s="29">
        <f t="shared" si="38"/>
        <v>77.300000000000182</v>
      </c>
      <c r="AD300" s="11">
        <f t="shared" si="39"/>
        <v>2510905.7154000001</v>
      </c>
    </row>
    <row r="301" spans="1:31" x14ac:dyDescent="0.3">
      <c r="A301" s="14">
        <v>45874.09375</v>
      </c>
      <c r="B301" s="1">
        <v>1465.24</v>
      </c>
      <c r="C301" s="11">
        <v>3.2732000000000001</v>
      </c>
      <c r="D301" s="1">
        <v>540.05999999999995</v>
      </c>
      <c r="E301" s="11">
        <v>3.0760000000000001</v>
      </c>
      <c r="F301" s="1">
        <v>398.57</v>
      </c>
      <c r="G301" s="11">
        <v>3.53</v>
      </c>
      <c r="H301" s="1">
        <v>-101.9</v>
      </c>
      <c r="I301" s="11">
        <v>3.3816999999999999</v>
      </c>
      <c r="J301" s="1">
        <v>182.99</v>
      </c>
      <c r="K301" s="11">
        <v>3.4702899999999999</v>
      </c>
      <c r="L301" s="1">
        <v>0</v>
      </c>
      <c r="M301" s="11">
        <v>6.2</v>
      </c>
      <c r="N301" s="1">
        <v>9</v>
      </c>
      <c r="O301" s="11">
        <v>2.8224999999999998</v>
      </c>
      <c r="P301" s="1">
        <f t="shared" si="33"/>
        <v>2493.96</v>
      </c>
      <c r="Q301" s="1">
        <v>2487.75</v>
      </c>
      <c r="R301" s="16">
        <f t="shared" si="34"/>
        <v>2045008.966275</v>
      </c>
      <c r="S301" s="20">
        <v>1362.5299999999997</v>
      </c>
      <c r="T301" s="21">
        <v>0.24</v>
      </c>
      <c r="U301" s="21">
        <v>1.0900000000000001</v>
      </c>
      <c r="V301" s="8">
        <v>1363.8599999999997</v>
      </c>
      <c r="W301" s="25">
        <v>1.238</v>
      </c>
      <c r="X301" s="25">
        <f t="shared" si="35"/>
        <v>422114.66999999987</v>
      </c>
      <c r="Y301" s="1">
        <f t="shared" si="36"/>
        <v>3857.8199999999997</v>
      </c>
      <c r="Z301" s="1">
        <f t="shared" si="37"/>
        <v>3851.6099999999997</v>
      </c>
      <c r="AA301" s="1">
        <v>3934.26</v>
      </c>
      <c r="AB301" s="1">
        <f t="shared" si="32"/>
        <v>-76.440000000000509</v>
      </c>
      <c r="AC301" s="29">
        <f t="shared" si="38"/>
        <v>82.650000000000546</v>
      </c>
      <c r="AD301" s="11">
        <f t="shared" si="39"/>
        <v>2467123.6362749999</v>
      </c>
    </row>
    <row r="302" spans="1:31" x14ac:dyDescent="0.3">
      <c r="A302" s="14">
        <v>45874.104166666664</v>
      </c>
      <c r="B302" s="1">
        <v>1465.24</v>
      </c>
      <c r="C302" s="11">
        <v>3.2732000000000001</v>
      </c>
      <c r="D302" s="1">
        <v>540.05999999999995</v>
      </c>
      <c r="E302" s="11">
        <v>3.0760000000000001</v>
      </c>
      <c r="F302" s="1">
        <v>398.57</v>
      </c>
      <c r="G302" s="11">
        <v>3.53</v>
      </c>
      <c r="H302" s="1">
        <v>-101.9</v>
      </c>
      <c r="I302" s="11">
        <v>3.3814099999999998</v>
      </c>
      <c r="J302" s="1">
        <v>134.93</v>
      </c>
      <c r="K302" s="11">
        <v>3.0152299999999999</v>
      </c>
      <c r="L302" s="1">
        <v>0</v>
      </c>
      <c r="M302" s="11">
        <v>6.2</v>
      </c>
      <c r="N302" s="1">
        <v>9</v>
      </c>
      <c r="O302" s="11">
        <v>2.8224999999999998</v>
      </c>
      <c r="P302" s="1">
        <f t="shared" si="33"/>
        <v>2445.8999999999996</v>
      </c>
      <c r="Q302" s="1">
        <v>2437.63</v>
      </c>
      <c r="R302" s="16">
        <f t="shared" si="34"/>
        <v>1987970.5082249998</v>
      </c>
      <c r="S302" s="20">
        <v>1372.8799999999999</v>
      </c>
      <c r="T302" s="21">
        <v>0.24</v>
      </c>
      <c r="U302" s="21">
        <v>0.45999999999999996</v>
      </c>
      <c r="V302" s="8">
        <v>1373.58</v>
      </c>
      <c r="W302" s="25">
        <v>1.238</v>
      </c>
      <c r="X302" s="25">
        <f t="shared" si="35"/>
        <v>425123.00999999995</v>
      </c>
      <c r="Y302" s="1">
        <f t="shared" si="36"/>
        <v>3819.4799999999996</v>
      </c>
      <c r="Z302" s="1">
        <f t="shared" si="37"/>
        <v>3811.21</v>
      </c>
      <c r="AA302" s="1">
        <v>3893.74</v>
      </c>
      <c r="AB302" s="1">
        <f t="shared" si="32"/>
        <v>-74.260000000000218</v>
      </c>
      <c r="AC302" s="29">
        <f t="shared" si="38"/>
        <v>82.529999999999745</v>
      </c>
      <c r="AD302" s="11">
        <f t="shared" si="39"/>
        <v>2413093.5182249998</v>
      </c>
    </row>
    <row r="303" spans="1:31" x14ac:dyDescent="0.3">
      <c r="A303" s="14">
        <v>45874.114583333336</v>
      </c>
      <c r="B303" s="1">
        <v>1465.24</v>
      </c>
      <c r="C303" s="11">
        <v>3.2732000000000001</v>
      </c>
      <c r="D303" s="1">
        <v>540.05999999999995</v>
      </c>
      <c r="E303" s="11">
        <v>3.0760000000000001</v>
      </c>
      <c r="F303" s="1">
        <v>398.57</v>
      </c>
      <c r="G303" s="11">
        <v>3.53</v>
      </c>
      <c r="H303" s="1">
        <v>-101.9</v>
      </c>
      <c r="I303" s="11">
        <v>3.38123</v>
      </c>
      <c r="J303" s="1">
        <v>59.87</v>
      </c>
      <c r="K303" s="11">
        <v>3.0156799999999997</v>
      </c>
      <c r="L303" s="1">
        <v>0</v>
      </c>
      <c r="M303" s="11">
        <v>6.2</v>
      </c>
      <c r="N303" s="1">
        <v>9</v>
      </c>
      <c r="O303" s="11">
        <v>2.8224999999999998</v>
      </c>
      <c r="P303" s="1">
        <f t="shared" si="33"/>
        <v>2370.8399999999997</v>
      </c>
      <c r="Q303" s="1">
        <v>2366.92</v>
      </c>
      <c r="R303" s="16">
        <f t="shared" si="34"/>
        <v>1931401.0381499999</v>
      </c>
      <c r="S303" s="20">
        <v>1387.5299999999997</v>
      </c>
      <c r="T303" s="21">
        <v>0.24</v>
      </c>
      <c r="U303" s="21">
        <v>0.41000000000000003</v>
      </c>
      <c r="V303" s="8">
        <v>1388.1799999999998</v>
      </c>
      <c r="W303" s="25">
        <v>1.238</v>
      </c>
      <c r="X303" s="25">
        <f t="shared" si="35"/>
        <v>429641.7099999999</v>
      </c>
      <c r="Y303" s="1">
        <f t="shared" si="36"/>
        <v>3759.0199999999995</v>
      </c>
      <c r="Z303" s="1">
        <f t="shared" si="37"/>
        <v>3755.1</v>
      </c>
      <c r="AA303" s="1">
        <v>3840.2</v>
      </c>
      <c r="AB303" s="1">
        <f t="shared" si="32"/>
        <v>-81.180000000000291</v>
      </c>
      <c r="AC303" s="29">
        <f t="shared" si="38"/>
        <v>85.099999999999909</v>
      </c>
      <c r="AD303" s="11">
        <f t="shared" si="39"/>
        <v>2361042.7481499999</v>
      </c>
    </row>
    <row r="304" spans="1:31" x14ac:dyDescent="0.3">
      <c r="A304" s="14">
        <v>45874.125</v>
      </c>
      <c r="B304" s="1">
        <v>1465.24</v>
      </c>
      <c r="C304" s="11">
        <v>3.2732000000000001</v>
      </c>
      <c r="D304" s="1">
        <v>911.17</v>
      </c>
      <c r="E304" s="11">
        <v>3.0760000000000001</v>
      </c>
      <c r="F304" s="1">
        <v>27.46</v>
      </c>
      <c r="G304" s="11">
        <v>3.53</v>
      </c>
      <c r="H304" s="1">
        <v>-101.9</v>
      </c>
      <c r="I304" s="11">
        <v>3.2441199999999997</v>
      </c>
      <c r="J304" s="1">
        <v>0.51</v>
      </c>
      <c r="K304" s="11">
        <v>3.0979999999999999</v>
      </c>
      <c r="L304" s="1">
        <v>0</v>
      </c>
      <c r="M304" s="11">
        <v>6.2</v>
      </c>
      <c r="N304" s="1">
        <v>9</v>
      </c>
      <c r="O304" s="11">
        <v>2.8224999999999998</v>
      </c>
      <c r="P304" s="1">
        <f t="shared" si="33"/>
        <v>2311.48</v>
      </c>
      <c r="Q304" s="1">
        <v>2328.37</v>
      </c>
      <c r="R304" s="16">
        <f t="shared" si="34"/>
        <v>1848030.7350000003</v>
      </c>
      <c r="S304" s="20">
        <v>1387.8099999999997</v>
      </c>
      <c r="T304" s="21">
        <v>0.25</v>
      </c>
      <c r="U304" s="21">
        <v>0.53</v>
      </c>
      <c r="V304" s="8">
        <v>1388.5899999999997</v>
      </c>
      <c r="W304" s="25">
        <v>1.238</v>
      </c>
      <c r="X304" s="25">
        <f t="shared" si="35"/>
        <v>429768.60499999992</v>
      </c>
      <c r="Y304" s="1">
        <f t="shared" si="36"/>
        <v>3700.0699999999997</v>
      </c>
      <c r="Z304" s="1">
        <f t="shared" si="37"/>
        <v>3716.9599999999996</v>
      </c>
      <c r="AA304" s="1">
        <v>3801.88</v>
      </c>
      <c r="AB304" s="1">
        <f t="shared" si="32"/>
        <v>-101.8100000000004</v>
      </c>
      <c r="AC304" s="29">
        <f t="shared" si="38"/>
        <v>84.920000000000528</v>
      </c>
      <c r="AD304" s="11">
        <f t="shared" si="39"/>
        <v>2277799.3400000003</v>
      </c>
    </row>
    <row r="305" spans="1:30" x14ac:dyDescent="0.3">
      <c r="A305" s="14">
        <v>45874.135416666664</v>
      </c>
      <c r="B305" s="1">
        <v>1465.24</v>
      </c>
      <c r="C305" s="11">
        <v>3.2732000000000001</v>
      </c>
      <c r="D305" s="1">
        <v>938.63</v>
      </c>
      <c r="E305" s="11">
        <v>3.0760000000000001</v>
      </c>
      <c r="F305" s="1">
        <v>0</v>
      </c>
      <c r="G305" s="11">
        <v>3.53</v>
      </c>
      <c r="H305" s="1">
        <v>-101.9</v>
      </c>
      <c r="I305" s="11">
        <v>3.2050799999999997</v>
      </c>
      <c r="J305" s="1">
        <v>-3.8</v>
      </c>
      <c r="K305" s="11">
        <v>3.2210799999999997</v>
      </c>
      <c r="L305" s="1">
        <v>0</v>
      </c>
      <c r="M305" s="11">
        <v>6.2</v>
      </c>
      <c r="N305" s="1">
        <v>9</v>
      </c>
      <c r="O305" s="11">
        <v>2.8224999999999998</v>
      </c>
      <c r="P305" s="1">
        <f t="shared" si="33"/>
        <v>2307.1699999999996</v>
      </c>
      <c r="Q305" s="1">
        <v>2275.5</v>
      </c>
      <c r="R305" s="16">
        <f t="shared" si="34"/>
        <v>1842453.548</v>
      </c>
      <c r="S305" s="20">
        <v>1389.3799999999999</v>
      </c>
      <c r="T305" s="21">
        <v>0.24</v>
      </c>
      <c r="U305" s="21">
        <v>0.22</v>
      </c>
      <c r="V305" s="8">
        <v>1389.84</v>
      </c>
      <c r="W305" s="25">
        <v>1.238</v>
      </c>
      <c r="X305" s="25">
        <f t="shared" si="35"/>
        <v>430155.48</v>
      </c>
      <c r="Y305" s="1">
        <f t="shared" si="36"/>
        <v>3697.0099999999993</v>
      </c>
      <c r="Z305" s="1">
        <f t="shared" si="37"/>
        <v>3665.34</v>
      </c>
      <c r="AA305" s="1">
        <v>3746.74</v>
      </c>
      <c r="AB305" s="1">
        <f t="shared" si="32"/>
        <v>-49.730000000000473</v>
      </c>
      <c r="AC305" s="29">
        <f t="shared" si="38"/>
        <v>81.399999999999636</v>
      </c>
      <c r="AD305" s="11">
        <f t="shared" si="39"/>
        <v>2272609.0279999999</v>
      </c>
    </row>
    <row r="306" spans="1:30" x14ac:dyDescent="0.3">
      <c r="A306" s="14">
        <v>45874.145833333336</v>
      </c>
      <c r="B306" s="1">
        <v>1465.24</v>
      </c>
      <c r="C306" s="11">
        <v>3.2732000000000001</v>
      </c>
      <c r="D306" s="1">
        <v>938.63</v>
      </c>
      <c r="E306" s="11">
        <v>3.0760000000000001</v>
      </c>
      <c r="F306" s="1">
        <v>0</v>
      </c>
      <c r="G306" s="11">
        <v>3.53</v>
      </c>
      <c r="H306" s="1">
        <v>-101.9</v>
      </c>
      <c r="I306" s="11">
        <v>3.0807600000000002</v>
      </c>
      <c r="J306" s="1">
        <v>121.13</v>
      </c>
      <c r="K306" s="11">
        <v>3.2100500000000003</v>
      </c>
      <c r="L306" s="1">
        <v>0</v>
      </c>
      <c r="M306" s="11">
        <v>6.2</v>
      </c>
      <c r="N306" s="1">
        <v>9</v>
      </c>
      <c r="O306" s="11">
        <v>2.8224999999999998</v>
      </c>
      <c r="P306" s="1">
        <f t="shared" si="33"/>
        <v>2432.1</v>
      </c>
      <c r="Q306" s="1">
        <v>2396.4699999999998</v>
      </c>
      <c r="R306" s="16">
        <f t="shared" si="34"/>
        <v>1945888.9651250001</v>
      </c>
      <c r="S306" s="20">
        <v>1247.9100000000001</v>
      </c>
      <c r="T306" s="21">
        <v>0.24</v>
      </c>
      <c r="U306" s="21">
        <v>0.13</v>
      </c>
      <c r="V306" s="8">
        <v>1248.2800000000002</v>
      </c>
      <c r="W306" s="25">
        <v>1.238</v>
      </c>
      <c r="X306" s="25">
        <f t="shared" si="35"/>
        <v>386342.66000000009</v>
      </c>
      <c r="Y306" s="1">
        <f t="shared" si="36"/>
        <v>3680.38</v>
      </c>
      <c r="Z306" s="1">
        <f t="shared" si="37"/>
        <v>3644.75</v>
      </c>
      <c r="AA306" s="1">
        <v>3705.17</v>
      </c>
      <c r="AB306" s="1">
        <f t="shared" si="32"/>
        <v>-24.789999999999964</v>
      </c>
      <c r="AC306" s="29">
        <f t="shared" si="38"/>
        <v>60.420000000000073</v>
      </c>
      <c r="AD306" s="11">
        <f t="shared" si="39"/>
        <v>2332231.6251250003</v>
      </c>
    </row>
    <row r="307" spans="1:30" x14ac:dyDescent="0.3">
      <c r="A307" s="14">
        <v>45874.15625</v>
      </c>
      <c r="B307" s="1">
        <v>1465.24</v>
      </c>
      <c r="C307" s="11">
        <v>3.2732000000000001</v>
      </c>
      <c r="D307" s="1">
        <v>938.63</v>
      </c>
      <c r="E307" s="11">
        <v>3.0760000000000001</v>
      </c>
      <c r="F307" s="1">
        <v>0</v>
      </c>
      <c r="G307" s="11">
        <v>3.53</v>
      </c>
      <c r="H307" s="1">
        <v>-101.9</v>
      </c>
      <c r="I307" s="11">
        <v>3.0802299999999998</v>
      </c>
      <c r="J307" s="1">
        <v>95.6</v>
      </c>
      <c r="K307" s="11">
        <v>3.0121599999999997</v>
      </c>
      <c r="L307" s="1">
        <v>0</v>
      </c>
      <c r="M307" s="11">
        <v>6.2</v>
      </c>
      <c r="N307" s="1">
        <v>9</v>
      </c>
      <c r="O307" s="11">
        <v>2.8224999999999998</v>
      </c>
      <c r="P307" s="1">
        <f t="shared" si="33"/>
        <v>2406.5699999999997</v>
      </c>
      <c r="Q307" s="1">
        <v>2409.58</v>
      </c>
      <c r="R307" s="16">
        <f t="shared" si="34"/>
        <v>1920684.7517500003</v>
      </c>
      <c r="S307" s="20">
        <v>1225.9099999999999</v>
      </c>
      <c r="T307" s="21">
        <v>0.24</v>
      </c>
      <c r="U307" s="21">
        <v>0.13</v>
      </c>
      <c r="V307" s="8">
        <v>1226.28</v>
      </c>
      <c r="W307" s="25">
        <v>1.238</v>
      </c>
      <c r="X307" s="25">
        <f t="shared" si="35"/>
        <v>379533.66</v>
      </c>
      <c r="Y307" s="1">
        <f t="shared" si="36"/>
        <v>3632.8499999999995</v>
      </c>
      <c r="Z307" s="1">
        <f t="shared" si="37"/>
        <v>3635.8599999999997</v>
      </c>
      <c r="AA307" s="1">
        <v>3677.14</v>
      </c>
      <c r="AB307" s="1">
        <f t="shared" si="32"/>
        <v>-44.290000000000418</v>
      </c>
      <c r="AC307" s="29">
        <f t="shared" si="38"/>
        <v>41.2800000000002</v>
      </c>
      <c r="AD307" s="11">
        <f t="shared" si="39"/>
        <v>2300218.4117500004</v>
      </c>
    </row>
    <row r="308" spans="1:30" x14ac:dyDescent="0.3">
      <c r="A308" s="14">
        <v>45874.166666666664</v>
      </c>
      <c r="B308" s="1">
        <v>1465.24</v>
      </c>
      <c r="C308" s="11">
        <v>3.2732000000000001</v>
      </c>
      <c r="D308" s="1">
        <v>938.63</v>
      </c>
      <c r="E308" s="11">
        <v>3.0760000000000001</v>
      </c>
      <c r="F308" s="1">
        <v>0</v>
      </c>
      <c r="G308" s="11">
        <v>3.53</v>
      </c>
      <c r="H308" s="1">
        <v>-101.9</v>
      </c>
      <c r="I308" s="11">
        <v>3.07063</v>
      </c>
      <c r="J308" s="1">
        <v>92.73</v>
      </c>
      <c r="K308" s="11">
        <v>2.9715100000000003</v>
      </c>
      <c r="L308" s="1">
        <v>0</v>
      </c>
      <c r="M308" s="11">
        <v>6.2</v>
      </c>
      <c r="N308" s="1">
        <v>9</v>
      </c>
      <c r="O308" s="11">
        <v>2.8224999999999998</v>
      </c>
      <c r="P308" s="1">
        <f t="shared" si="33"/>
        <v>2403.6999999999998</v>
      </c>
      <c r="Q308" s="1">
        <v>2375.92</v>
      </c>
      <c r="R308" s="16">
        <f t="shared" si="34"/>
        <v>1917825.718325</v>
      </c>
      <c r="S308" s="20">
        <v>1256.9999999999998</v>
      </c>
      <c r="T308" s="21">
        <v>0.24</v>
      </c>
      <c r="U308" s="21">
        <v>0.36000000000000004</v>
      </c>
      <c r="V308" s="8">
        <v>1257.5999999999997</v>
      </c>
      <c r="W308" s="25">
        <v>1.238</v>
      </c>
      <c r="X308" s="25">
        <f t="shared" si="35"/>
        <v>389227.19999999995</v>
      </c>
      <c r="Y308" s="1">
        <f t="shared" si="36"/>
        <v>3661.2999999999993</v>
      </c>
      <c r="Z308" s="1">
        <f t="shared" si="37"/>
        <v>3633.5199999999995</v>
      </c>
      <c r="AA308" s="1">
        <v>3646.55</v>
      </c>
      <c r="AB308" s="1">
        <f t="shared" si="32"/>
        <v>14.749999999999091</v>
      </c>
      <c r="AC308" s="29">
        <f t="shared" si="38"/>
        <v>13.030000000000655</v>
      </c>
      <c r="AD308" s="11">
        <f t="shared" si="39"/>
        <v>2307052.918325</v>
      </c>
    </row>
    <row r="309" spans="1:30" x14ac:dyDescent="0.3">
      <c r="A309" s="14">
        <v>45874.177083333336</v>
      </c>
      <c r="B309" s="1">
        <v>1465.24</v>
      </c>
      <c r="C309" s="11">
        <v>3.2732000000000001</v>
      </c>
      <c r="D309" s="1">
        <v>938.63</v>
      </c>
      <c r="E309" s="11">
        <v>3.0760000000000001</v>
      </c>
      <c r="F309" s="1">
        <v>0</v>
      </c>
      <c r="G309" s="11">
        <v>3.53</v>
      </c>
      <c r="H309" s="1">
        <v>-101.9</v>
      </c>
      <c r="I309" s="11">
        <v>3.0708500000000001</v>
      </c>
      <c r="J309" s="1">
        <v>48.16</v>
      </c>
      <c r="K309" s="11">
        <v>2.9717199999999999</v>
      </c>
      <c r="L309" s="1">
        <v>0</v>
      </c>
      <c r="M309" s="11">
        <v>6.2</v>
      </c>
      <c r="N309" s="1">
        <v>9</v>
      </c>
      <c r="O309" s="11">
        <v>2.8224999999999998</v>
      </c>
      <c r="P309" s="1">
        <f t="shared" si="33"/>
        <v>2359.1299999999997</v>
      </c>
      <c r="Q309" s="1">
        <v>2344.9699999999998</v>
      </c>
      <c r="R309" s="16">
        <f t="shared" si="34"/>
        <v>1884712.5920500003</v>
      </c>
      <c r="S309" s="20">
        <v>1276.6199999999999</v>
      </c>
      <c r="T309" s="21">
        <v>0.24</v>
      </c>
      <c r="U309" s="21">
        <v>1</v>
      </c>
      <c r="V309" s="8">
        <v>1277.8599999999999</v>
      </c>
      <c r="W309" s="25">
        <v>1.238</v>
      </c>
      <c r="X309" s="25">
        <f t="shared" si="35"/>
        <v>395497.67</v>
      </c>
      <c r="Y309" s="1">
        <f t="shared" si="36"/>
        <v>3636.99</v>
      </c>
      <c r="Z309" s="1">
        <f t="shared" si="37"/>
        <v>3622.83</v>
      </c>
      <c r="AA309" s="1">
        <v>3626.93</v>
      </c>
      <c r="AB309" s="1">
        <f t="shared" si="32"/>
        <v>10.059999999999945</v>
      </c>
      <c r="AC309" s="29">
        <f t="shared" si="38"/>
        <v>4.0999999999999091</v>
      </c>
      <c r="AD309" s="11">
        <f t="shared" si="39"/>
        <v>2280210.2620500005</v>
      </c>
    </row>
    <row r="310" spans="1:30" x14ac:dyDescent="0.3">
      <c r="A310" s="14">
        <v>45874.1875</v>
      </c>
      <c r="B310" s="1">
        <v>1465.24</v>
      </c>
      <c r="C310" s="11">
        <v>3.2732000000000001</v>
      </c>
      <c r="D310" s="1">
        <v>938.63</v>
      </c>
      <c r="E310" s="11">
        <v>3.0760000000000001</v>
      </c>
      <c r="F310" s="1">
        <v>0</v>
      </c>
      <c r="G310" s="11">
        <v>3.53</v>
      </c>
      <c r="H310" s="1">
        <v>-101.9</v>
      </c>
      <c r="I310" s="11">
        <v>3.08</v>
      </c>
      <c r="J310" s="1">
        <v>133.81</v>
      </c>
      <c r="K310" s="11">
        <v>3.3623400000000001</v>
      </c>
      <c r="L310" s="1">
        <v>0</v>
      </c>
      <c r="M310" s="11">
        <v>6.2</v>
      </c>
      <c r="N310" s="1">
        <v>9</v>
      </c>
      <c r="O310" s="11">
        <v>2.8224999999999998</v>
      </c>
      <c r="P310" s="1">
        <f t="shared" si="33"/>
        <v>2444.7799999999997</v>
      </c>
      <c r="Q310" s="1">
        <v>2328.5100000000002</v>
      </c>
      <c r="R310" s="16">
        <f t="shared" si="34"/>
        <v>1961178.6658500002</v>
      </c>
      <c r="S310" s="20">
        <v>1278.7999999999997</v>
      </c>
      <c r="T310" s="21">
        <v>0.24</v>
      </c>
      <c r="U310" s="21">
        <v>0.84</v>
      </c>
      <c r="V310" s="8">
        <v>1279.8799999999997</v>
      </c>
      <c r="W310" s="25">
        <v>1.238</v>
      </c>
      <c r="X310" s="25">
        <f t="shared" si="35"/>
        <v>396122.85999999987</v>
      </c>
      <c r="Y310" s="1">
        <f t="shared" si="36"/>
        <v>3724.6599999999994</v>
      </c>
      <c r="Z310" s="1">
        <f t="shared" si="37"/>
        <v>3608.39</v>
      </c>
      <c r="AA310" s="1">
        <v>3611.2</v>
      </c>
      <c r="AB310" s="1">
        <f t="shared" si="32"/>
        <v>113.45999999999958</v>
      </c>
      <c r="AC310" s="29">
        <f t="shared" si="38"/>
        <v>2.8099999999999454</v>
      </c>
      <c r="AD310" s="11">
        <f t="shared" si="39"/>
        <v>2357301.5258499999</v>
      </c>
    </row>
    <row r="311" spans="1:30" x14ac:dyDescent="0.3">
      <c r="A311" s="14">
        <v>45874.197916666664</v>
      </c>
      <c r="B311" s="1">
        <v>1465.24</v>
      </c>
      <c r="C311" s="11">
        <v>3.2732000000000001</v>
      </c>
      <c r="D311" s="1">
        <v>938.63</v>
      </c>
      <c r="E311" s="11">
        <v>3.0760000000000001</v>
      </c>
      <c r="F311" s="1">
        <v>0</v>
      </c>
      <c r="G311" s="11">
        <v>3.53</v>
      </c>
      <c r="H311" s="1">
        <v>-101.9</v>
      </c>
      <c r="I311" s="11">
        <v>3.0802899999999998</v>
      </c>
      <c r="J311" s="1">
        <v>141</v>
      </c>
      <c r="K311" s="11">
        <v>3.5158499999999999</v>
      </c>
      <c r="L311" s="1">
        <v>0</v>
      </c>
      <c r="M311" s="11">
        <v>6.2</v>
      </c>
      <c r="N311" s="1">
        <v>9</v>
      </c>
      <c r="O311" s="11">
        <v>2.8224999999999998</v>
      </c>
      <c r="P311" s="1">
        <f t="shared" si="33"/>
        <v>2451.9699999999998</v>
      </c>
      <c r="Q311" s="1">
        <v>2313.73</v>
      </c>
      <c r="R311" s="16">
        <f t="shared" si="34"/>
        <v>1972626.3117500001</v>
      </c>
      <c r="S311" s="20">
        <v>1276.7</v>
      </c>
      <c r="T311" s="21">
        <v>0.24</v>
      </c>
      <c r="U311" s="21">
        <v>1.25</v>
      </c>
      <c r="V311" s="8">
        <v>1278.19</v>
      </c>
      <c r="W311" s="25">
        <v>1.238</v>
      </c>
      <c r="X311" s="25">
        <f t="shared" si="35"/>
        <v>395599.80499999999</v>
      </c>
      <c r="Y311" s="1">
        <f t="shared" si="36"/>
        <v>3730.16</v>
      </c>
      <c r="Z311" s="1">
        <f t="shared" si="37"/>
        <v>3591.92</v>
      </c>
      <c r="AA311" s="1">
        <v>3599.56</v>
      </c>
      <c r="AB311" s="1">
        <f t="shared" si="32"/>
        <v>130.59999999999991</v>
      </c>
      <c r="AC311" s="29">
        <f t="shared" si="38"/>
        <v>7.6399999999998727</v>
      </c>
      <c r="AD311" s="11">
        <f t="shared" si="39"/>
        <v>2368226.11675</v>
      </c>
    </row>
    <row r="312" spans="1:30" x14ac:dyDescent="0.3">
      <c r="A312" s="14">
        <v>45874.208333333336</v>
      </c>
      <c r="B312" s="1">
        <v>1465.24</v>
      </c>
      <c r="C312" s="11">
        <v>3.2732000000000001</v>
      </c>
      <c r="D312" s="1">
        <v>938.63</v>
      </c>
      <c r="E312" s="11">
        <v>3.0760000000000001</v>
      </c>
      <c r="F312" s="1">
        <v>0</v>
      </c>
      <c r="G312" s="11">
        <v>3.53</v>
      </c>
      <c r="H312" s="1">
        <v>-101.9</v>
      </c>
      <c r="I312" s="11">
        <v>3.0701100000000001</v>
      </c>
      <c r="J312" s="1">
        <v>95.89</v>
      </c>
      <c r="K312" s="11">
        <v>2.8235199999999998</v>
      </c>
      <c r="L312" s="1">
        <v>0</v>
      </c>
      <c r="M312" s="11">
        <v>6.2</v>
      </c>
      <c r="N312" s="1">
        <v>9</v>
      </c>
      <c r="O312" s="11">
        <v>2.8224999999999998</v>
      </c>
      <c r="P312" s="1">
        <f t="shared" si="33"/>
        <v>2406.8599999999997</v>
      </c>
      <c r="Q312" s="1">
        <v>2328.4899999999998</v>
      </c>
      <c r="R312" s="16">
        <f t="shared" si="34"/>
        <v>1916638.76795</v>
      </c>
      <c r="S312" s="20">
        <v>1270.54</v>
      </c>
      <c r="T312" s="21">
        <v>0.24</v>
      </c>
      <c r="U312" s="21">
        <v>0.96000000000000008</v>
      </c>
      <c r="V312" s="8">
        <v>1271.74</v>
      </c>
      <c r="W312" s="25">
        <v>1.238</v>
      </c>
      <c r="X312" s="25">
        <f t="shared" si="35"/>
        <v>393603.52999999997</v>
      </c>
      <c r="Y312" s="1">
        <f t="shared" si="36"/>
        <v>3678.5999999999995</v>
      </c>
      <c r="Z312" s="1">
        <f t="shared" si="37"/>
        <v>3600.2299999999996</v>
      </c>
      <c r="AA312" s="1">
        <v>3604.63</v>
      </c>
      <c r="AB312" s="1">
        <f t="shared" si="32"/>
        <v>73.969999999999345</v>
      </c>
      <c r="AC312" s="29">
        <f t="shared" si="38"/>
        <v>4.4000000000005457</v>
      </c>
      <c r="AD312" s="11">
        <f t="shared" si="39"/>
        <v>2310242.29795</v>
      </c>
    </row>
    <row r="313" spans="1:30" x14ac:dyDescent="0.3">
      <c r="A313" s="14">
        <v>45874.21875</v>
      </c>
      <c r="B313" s="1">
        <v>1465.24</v>
      </c>
      <c r="C313" s="11">
        <v>3.2732000000000001</v>
      </c>
      <c r="D313" s="1">
        <v>938.63</v>
      </c>
      <c r="E313" s="11">
        <v>3.0760000000000001</v>
      </c>
      <c r="F313" s="1">
        <v>0</v>
      </c>
      <c r="G313" s="11">
        <v>3.53</v>
      </c>
      <c r="H313" s="1">
        <v>-101.9</v>
      </c>
      <c r="I313" s="11">
        <v>3.0709499999999998</v>
      </c>
      <c r="J313" s="1">
        <v>92.73</v>
      </c>
      <c r="K313" s="11">
        <v>3.2905900000000003</v>
      </c>
      <c r="L313" s="1">
        <v>0</v>
      </c>
      <c r="M313" s="11">
        <v>6.2</v>
      </c>
      <c r="N313" s="1">
        <v>9</v>
      </c>
      <c r="O313" s="11">
        <v>2.8224999999999998</v>
      </c>
      <c r="P313" s="1">
        <f t="shared" si="33"/>
        <v>2403.6999999999998</v>
      </c>
      <c r="Q313" s="1">
        <v>2349.61</v>
      </c>
      <c r="R313" s="16">
        <f t="shared" si="34"/>
        <v>1925214.6384250002</v>
      </c>
      <c r="S313" s="20">
        <v>1257.1299999999999</v>
      </c>
      <c r="T313" s="21">
        <v>0.23</v>
      </c>
      <c r="U313" s="21">
        <v>1.5</v>
      </c>
      <c r="V313" s="8">
        <v>1258.8599999999999</v>
      </c>
      <c r="W313" s="25">
        <v>1.238</v>
      </c>
      <c r="X313" s="25">
        <f t="shared" si="35"/>
        <v>389617.17</v>
      </c>
      <c r="Y313" s="1">
        <f t="shared" si="36"/>
        <v>3662.5599999999995</v>
      </c>
      <c r="Z313" s="1">
        <f t="shared" si="37"/>
        <v>3608.4700000000003</v>
      </c>
      <c r="AA313" s="1">
        <v>3613.4</v>
      </c>
      <c r="AB313" s="1">
        <f t="shared" si="32"/>
        <v>49.1599999999994</v>
      </c>
      <c r="AC313" s="29">
        <f t="shared" si="38"/>
        <v>4.9299999999998363</v>
      </c>
      <c r="AD313" s="11">
        <f t="shared" si="39"/>
        <v>2314831.8084250004</v>
      </c>
    </row>
    <row r="314" spans="1:30" x14ac:dyDescent="0.3">
      <c r="A314" s="14">
        <v>45874.229166666664</v>
      </c>
      <c r="B314" s="1">
        <v>1465.24</v>
      </c>
      <c r="C314" s="11">
        <v>3.2732000000000001</v>
      </c>
      <c r="D314" s="1">
        <v>938.63</v>
      </c>
      <c r="E314" s="11">
        <v>3.0760000000000001</v>
      </c>
      <c r="F314" s="1">
        <v>0</v>
      </c>
      <c r="G314" s="11">
        <v>3.53</v>
      </c>
      <c r="H314" s="1">
        <v>-101.9</v>
      </c>
      <c r="I314" s="11">
        <v>3.0806399999999998</v>
      </c>
      <c r="J314" s="1">
        <v>92.73</v>
      </c>
      <c r="K314" s="11">
        <v>3.4997800000000003</v>
      </c>
      <c r="L314" s="1">
        <v>0</v>
      </c>
      <c r="M314" s="11">
        <v>6.2</v>
      </c>
      <c r="N314" s="1">
        <v>9</v>
      </c>
      <c r="O314" s="11">
        <v>2.8224999999999998</v>
      </c>
      <c r="P314" s="1">
        <f t="shared" si="33"/>
        <v>2403.6999999999998</v>
      </c>
      <c r="Q314" s="1">
        <v>2400.9</v>
      </c>
      <c r="R314" s="16">
        <f t="shared" si="34"/>
        <v>1929817.3328500001</v>
      </c>
      <c r="S314" s="20">
        <v>1220.4999999999998</v>
      </c>
      <c r="T314" s="21">
        <v>0.23</v>
      </c>
      <c r="U314" s="21">
        <v>1.7900000000000003</v>
      </c>
      <c r="V314" s="8">
        <v>1222.5199999999998</v>
      </c>
      <c r="W314" s="25">
        <v>1.238</v>
      </c>
      <c r="X314" s="25">
        <f t="shared" si="35"/>
        <v>378369.93999999994</v>
      </c>
      <c r="Y314" s="1">
        <f t="shared" si="36"/>
        <v>3626.2199999999993</v>
      </c>
      <c r="Z314" s="1">
        <f t="shared" si="37"/>
        <v>3623.42</v>
      </c>
      <c r="AA314" s="1">
        <v>3627.21</v>
      </c>
      <c r="AB314" s="1">
        <f t="shared" si="32"/>
        <v>-0.99000000000069122</v>
      </c>
      <c r="AC314" s="29">
        <f t="shared" si="38"/>
        <v>3.7899999999999636</v>
      </c>
      <c r="AD314" s="11">
        <f t="shared" si="39"/>
        <v>2308187.2728500003</v>
      </c>
    </row>
    <row r="315" spans="1:30" x14ac:dyDescent="0.3">
      <c r="A315" s="14">
        <v>45874.239583333336</v>
      </c>
      <c r="B315" s="1">
        <v>1466.96</v>
      </c>
      <c r="C315" s="11">
        <v>3.2732000000000001</v>
      </c>
      <c r="D315" s="1">
        <v>938.63</v>
      </c>
      <c r="E315" s="11">
        <v>3.0760000000000001</v>
      </c>
      <c r="F315" s="1">
        <v>0</v>
      </c>
      <c r="G315" s="11">
        <v>3.53</v>
      </c>
      <c r="H315" s="1">
        <v>-101.9</v>
      </c>
      <c r="I315" s="11">
        <v>3.2003699999999999</v>
      </c>
      <c r="J315" s="1">
        <v>92.73</v>
      </c>
      <c r="K315" s="11">
        <v>3.5659999999999998</v>
      </c>
      <c r="L315" s="1">
        <v>0</v>
      </c>
      <c r="M315" s="11">
        <v>6.2</v>
      </c>
      <c r="N315" s="1">
        <v>20.5</v>
      </c>
      <c r="O315" s="11">
        <v>2.8224999999999998</v>
      </c>
      <c r="P315" s="1">
        <f t="shared" si="33"/>
        <v>2416.92</v>
      </c>
      <c r="Q315" s="1">
        <v>2415.8000000000002</v>
      </c>
      <c r="R315" s="16">
        <f t="shared" si="34"/>
        <v>1937824.51975</v>
      </c>
      <c r="S315" s="20">
        <v>1215.0099999999998</v>
      </c>
      <c r="T315" s="21">
        <v>0.22000000000000003</v>
      </c>
      <c r="U315" s="21">
        <v>1.76</v>
      </c>
      <c r="V315" s="8">
        <v>1216.9899999999998</v>
      </c>
      <c r="W315" s="25">
        <v>1.238</v>
      </c>
      <c r="X315" s="25">
        <f t="shared" si="35"/>
        <v>376658.40499999991</v>
      </c>
      <c r="Y315" s="1">
        <f t="shared" si="36"/>
        <v>3633.91</v>
      </c>
      <c r="Z315" s="1">
        <f t="shared" si="37"/>
        <v>3632.79</v>
      </c>
      <c r="AA315" s="1">
        <v>3637.45</v>
      </c>
      <c r="AB315" s="1">
        <f t="shared" si="32"/>
        <v>-3.5399999999999636</v>
      </c>
      <c r="AC315" s="29">
        <f t="shared" si="38"/>
        <v>4.6599999999998545</v>
      </c>
      <c r="AD315" s="11">
        <f t="shared" si="39"/>
        <v>2314482.9247499998</v>
      </c>
    </row>
    <row r="316" spans="1:30" x14ac:dyDescent="0.3">
      <c r="A316" s="14">
        <v>45874.25</v>
      </c>
      <c r="B316" s="1">
        <v>1467.37</v>
      </c>
      <c r="C316" s="11">
        <v>3.2732000000000001</v>
      </c>
      <c r="D316" s="1">
        <v>567.96</v>
      </c>
      <c r="E316" s="11">
        <v>3.0760000000000001</v>
      </c>
      <c r="F316" s="1">
        <v>370.67</v>
      </c>
      <c r="G316" s="11">
        <v>3.53</v>
      </c>
      <c r="H316" s="1">
        <v>-51.81</v>
      </c>
      <c r="I316" s="11">
        <v>3.4068700000000001</v>
      </c>
      <c r="J316" s="1">
        <v>102.03</v>
      </c>
      <c r="K316" s="11">
        <v>3.4998200000000002</v>
      </c>
      <c r="L316" s="1">
        <v>0</v>
      </c>
      <c r="M316" s="11">
        <v>6.2</v>
      </c>
      <c r="N316" s="1">
        <v>25.29</v>
      </c>
      <c r="O316" s="11">
        <v>2.8224999999999998</v>
      </c>
      <c r="P316" s="1">
        <f t="shared" si="33"/>
        <v>2481.5100000000002</v>
      </c>
      <c r="Q316" s="1">
        <v>2505.11</v>
      </c>
      <c r="R316" s="16">
        <f t="shared" si="34"/>
        <v>2027615.8172249999</v>
      </c>
      <c r="S316" s="20">
        <v>1147.04</v>
      </c>
      <c r="T316" s="21">
        <v>0.35000000000000003</v>
      </c>
      <c r="U316" s="21">
        <v>1.5099999999999998</v>
      </c>
      <c r="V316" s="8">
        <v>1148.8999999999999</v>
      </c>
      <c r="W316" s="25">
        <v>1.238</v>
      </c>
      <c r="X316" s="25">
        <f t="shared" si="35"/>
        <v>355584.55</v>
      </c>
      <c r="Y316" s="1">
        <f t="shared" si="36"/>
        <v>3630.41</v>
      </c>
      <c r="Z316" s="1">
        <f t="shared" si="37"/>
        <v>3654.01</v>
      </c>
      <c r="AA316" s="1">
        <v>3658.84</v>
      </c>
      <c r="AB316" s="1">
        <f t="shared" si="32"/>
        <v>-28.430000000000291</v>
      </c>
      <c r="AC316" s="29">
        <f t="shared" si="38"/>
        <v>4.8299999999999272</v>
      </c>
      <c r="AD316" s="11">
        <f t="shared" si="39"/>
        <v>2383200.3672249997</v>
      </c>
    </row>
    <row r="317" spans="1:30" x14ac:dyDescent="0.3">
      <c r="A317" s="14">
        <v>45874.260416666664</v>
      </c>
      <c r="B317" s="1">
        <v>1467.39</v>
      </c>
      <c r="C317" s="11">
        <v>3.2732000000000001</v>
      </c>
      <c r="D317" s="1">
        <v>540.05999999999995</v>
      </c>
      <c r="E317" s="11">
        <v>3.0760000000000001</v>
      </c>
      <c r="F317" s="1">
        <v>398.57</v>
      </c>
      <c r="G317" s="11">
        <v>3.53</v>
      </c>
      <c r="H317" s="1">
        <v>-47.95</v>
      </c>
      <c r="I317" s="11">
        <v>3.4066999999999998</v>
      </c>
      <c r="J317" s="1">
        <v>102.77</v>
      </c>
      <c r="K317" s="11">
        <v>3.4990999999999999</v>
      </c>
      <c r="L317" s="1">
        <v>0</v>
      </c>
      <c r="M317" s="11">
        <v>6.2</v>
      </c>
      <c r="N317" s="1">
        <v>31.31</v>
      </c>
      <c r="O317" s="11">
        <v>2.8224999999999998</v>
      </c>
      <c r="P317" s="1">
        <f t="shared" si="33"/>
        <v>2492.15</v>
      </c>
      <c r="Q317" s="1">
        <v>2485.77</v>
      </c>
      <c r="R317" s="16">
        <f t="shared" si="34"/>
        <v>2038965.3312499998</v>
      </c>
      <c r="S317" s="20">
        <v>1177.3700000000001</v>
      </c>
      <c r="T317" s="21">
        <v>3.2999999999999994</v>
      </c>
      <c r="U317" s="21">
        <v>1.04</v>
      </c>
      <c r="V317" s="8">
        <v>1181.71</v>
      </c>
      <c r="W317" s="25">
        <v>1.238</v>
      </c>
      <c r="X317" s="25">
        <f t="shared" si="35"/>
        <v>365739.245</v>
      </c>
      <c r="Y317" s="1">
        <f t="shared" si="36"/>
        <v>3673.86</v>
      </c>
      <c r="Z317" s="1">
        <f t="shared" si="37"/>
        <v>3667.48</v>
      </c>
      <c r="AA317" s="1">
        <v>3669.01</v>
      </c>
      <c r="AB317" s="1">
        <f t="shared" si="32"/>
        <v>4.8499999999999091</v>
      </c>
      <c r="AC317" s="29">
        <f t="shared" si="38"/>
        <v>1.5300000000002001</v>
      </c>
      <c r="AD317" s="11">
        <f t="shared" si="39"/>
        <v>2404704.5762499999</v>
      </c>
    </row>
    <row r="318" spans="1:30" x14ac:dyDescent="0.3">
      <c r="A318" s="14">
        <v>45874.270833333336</v>
      </c>
      <c r="B318" s="1">
        <v>1467.39</v>
      </c>
      <c r="C318" s="11">
        <v>3.2732000000000001</v>
      </c>
      <c r="D318" s="1">
        <v>540.05999999999995</v>
      </c>
      <c r="E318" s="11">
        <v>3.0760000000000001</v>
      </c>
      <c r="F318" s="1">
        <v>398.57</v>
      </c>
      <c r="G318" s="11">
        <v>3.53</v>
      </c>
      <c r="H318" s="1">
        <v>-50.18</v>
      </c>
      <c r="I318" s="11">
        <v>3.3004799999999999</v>
      </c>
      <c r="J318" s="1">
        <v>30.35</v>
      </c>
      <c r="K318" s="11">
        <v>2.9980000000000002</v>
      </c>
      <c r="L318" s="1">
        <v>0</v>
      </c>
      <c r="M318" s="11">
        <v>6.2</v>
      </c>
      <c r="N318" s="1">
        <v>39.6</v>
      </c>
      <c r="O318" s="11">
        <v>2.8224999999999998</v>
      </c>
      <c r="P318" s="1">
        <f t="shared" si="33"/>
        <v>2425.79</v>
      </c>
      <c r="Q318" s="1">
        <v>2403.54</v>
      </c>
      <c r="R318" s="16">
        <f t="shared" si="34"/>
        <v>1977094.9553999999</v>
      </c>
      <c r="S318" s="20">
        <v>1236.6499999999999</v>
      </c>
      <c r="T318" s="21">
        <v>8.6199999999999974</v>
      </c>
      <c r="U318" s="21">
        <v>0.72</v>
      </c>
      <c r="V318" s="8">
        <v>1245.9899999999998</v>
      </c>
      <c r="W318" s="25">
        <v>1.238</v>
      </c>
      <c r="X318" s="25">
        <f t="shared" si="35"/>
        <v>385633.90499999991</v>
      </c>
      <c r="Y318" s="1">
        <f t="shared" si="36"/>
        <v>3671.7799999999997</v>
      </c>
      <c r="Z318" s="1">
        <f t="shared" si="37"/>
        <v>3649.5299999999997</v>
      </c>
      <c r="AA318" s="1">
        <v>3647.88</v>
      </c>
      <c r="AB318" s="1">
        <f t="shared" si="32"/>
        <v>23.899999999999636</v>
      </c>
      <c r="AC318" s="29">
        <f t="shared" si="38"/>
        <v>-1.6499999999996362</v>
      </c>
      <c r="AD318" s="11">
        <f t="shared" si="39"/>
        <v>2362728.8603999997</v>
      </c>
    </row>
    <row r="319" spans="1:30" x14ac:dyDescent="0.3">
      <c r="A319" s="14">
        <v>45874.28125</v>
      </c>
      <c r="B319" s="1">
        <v>1467.39</v>
      </c>
      <c r="C319" s="11">
        <v>3.2732000000000001</v>
      </c>
      <c r="D319" s="1">
        <v>540.05999999999995</v>
      </c>
      <c r="E319" s="11">
        <v>3.0760000000000001</v>
      </c>
      <c r="F319" s="1">
        <v>398.57</v>
      </c>
      <c r="G319" s="11">
        <v>3.53</v>
      </c>
      <c r="H319" s="1">
        <v>-47.84</v>
      </c>
      <c r="I319" s="11">
        <v>3.0709400000000002</v>
      </c>
      <c r="J319" s="1">
        <v>26.35</v>
      </c>
      <c r="K319" s="11">
        <v>2.8234899999999996</v>
      </c>
      <c r="L319" s="1">
        <v>0</v>
      </c>
      <c r="M319" s="11">
        <v>6.2</v>
      </c>
      <c r="N319" s="1">
        <v>51.34</v>
      </c>
      <c r="O319" s="11">
        <v>2.8224999999999998</v>
      </c>
      <c r="P319" s="1">
        <f t="shared" si="33"/>
        <v>2435.87</v>
      </c>
      <c r="Q319" s="1">
        <v>2399.91</v>
      </c>
      <c r="R319" s="16">
        <f t="shared" si="34"/>
        <v>1985907.4874749999</v>
      </c>
      <c r="S319" s="20">
        <v>1197.21</v>
      </c>
      <c r="T319" s="21">
        <v>16.64</v>
      </c>
      <c r="U319" s="21">
        <v>0.99</v>
      </c>
      <c r="V319" s="8">
        <v>1214.8400000000001</v>
      </c>
      <c r="W319" s="25">
        <v>1.238</v>
      </c>
      <c r="X319" s="25">
        <f t="shared" si="35"/>
        <v>375992.98000000004</v>
      </c>
      <c r="Y319" s="1">
        <f t="shared" si="36"/>
        <v>3650.71</v>
      </c>
      <c r="Z319" s="1">
        <f t="shared" si="37"/>
        <v>3614.75</v>
      </c>
      <c r="AA319" s="1">
        <v>3613.71</v>
      </c>
      <c r="AB319" s="1">
        <f t="shared" si="32"/>
        <v>37</v>
      </c>
      <c r="AC319" s="29">
        <f t="shared" si="38"/>
        <v>-1.0399999999999636</v>
      </c>
      <c r="AD319" s="11">
        <f t="shared" si="39"/>
        <v>2361900.4674749998</v>
      </c>
    </row>
    <row r="320" spans="1:30" x14ac:dyDescent="0.3">
      <c r="A320" s="14">
        <v>45874.291666666664</v>
      </c>
      <c r="B320" s="1">
        <v>1466.08</v>
      </c>
      <c r="C320" s="11">
        <v>3.2732000000000001</v>
      </c>
      <c r="D320" s="1">
        <v>540.05999999999995</v>
      </c>
      <c r="E320" s="11">
        <v>3.0760000000000001</v>
      </c>
      <c r="F320" s="1">
        <v>398.57</v>
      </c>
      <c r="G320" s="11">
        <v>3.53</v>
      </c>
      <c r="H320" s="1">
        <v>-39.39</v>
      </c>
      <c r="I320" s="11">
        <v>3.0703499999999999</v>
      </c>
      <c r="J320" s="1">
        <v>202.77</v>
      </c>
      <c r="K320" s="11">
        <v>2.4206500000000002</v>
      </c>
      <c r="L320" s="1">
        <v>0</v>
      </c>
      <c r="M320" s="11">
        <v>6.2</v>
      </c>
      <c r="N320" s="1">
        <v>69.069999999999993</v>
      </c>
      <c r="O320" s="11">
        <v>2.8224999999999998</v>
      </c>
      <c r="P320" s="1">
        <f t="shared" si="33"/>
        <v>2637.1600000000003</v>
      </c>
      <c r="Q320" s="1">
        <v>2460.1</v>
      </c>
      <c r="R320" s="16">
        <f t="shared" si="34"/>
        <v>2107948.4762500003</v>
      </c>
      <c r="S320" s="20">
        <v>1104.0500000000002</v>
      </c>
      <c r="T320" s="21">
        <v>27.68</v>
      </c>
      <c r="U320" s="21">
        <v>0.95000000000000007</v>
      </c>
      <c r="V320" s="8">
        <v>1132.6800000000003</v>
      </c>
      <c r="W320" s="25">
        <v>1.238</v>
      </c>
      <c r="X320" s="25">
        <f t="shared" si="35"/>
        <v>350564.46000000014</v>
      </c>
      <c r="Y320" s="1">
        <f t="shared" si="36"/>
        <v>3769.8400000000006</v>
      </c>
      <c r="Z320" s="1">
        <f t="shared" si="37"/>
        <v>3592.78</v>
      </c>
      <c r="AA320" s="1">
        <v>3597.52</v>
      </c>
      <c r="AB320" s="1">
        <f t="shared" si="32"/>
        <v>172.32000000000062</v>
      </c>
      <c r="AC320" s="29">
        <f t="shared" si="38"/>
        <v>4.7399999999997817</v>
      </c>
      <c r="AD320" s="11">
        <f t="shared" si="39"/>
        <v>2458512.9362500003</v>
      </c>
    </row>
    <row r="321" spans="1:30" x14ac:dyDescent="0.3">
      <c r="A321" s="14">
        <v>45874.302083333336</v>
      </c>
      <c r="B321" s="1">
        <v>1465.98</v>
      </c>
      <c r="C321" s="11">
        <v>3.2732000000000001</v>
      </c>
      <c r="D321" s="1">
        <v>540.05999999999995</v>
      </c>
      <c r="E321" s="11">
        <v>3.0760000000000001</v>
      </c>
      <c r="F321" s="1">
        <v>398.57</v>
      </c>
      <c r="G321" s="11">
        <v>3.53</v>
      </c>
      <c r="H321" s="1">
        <v>58.72</v>
      </c>
      <c r="I321" s="11">
        <v>2.9025700000000003</v>
      </c>
      <c r="J321" s="1">
        <v>212.77</v>
      </c>
      <c r="K321" s="11">
        <v>2.3496700000000001</v>
      </c>
      <c r="L321" s="1">
        <v>0</v>
      </c>
      <c r="M321" s="11">
        <v>6.2</v>
      </c>
      <c r="N321" s="1">
        <v>91.8</v>
      </c>
      <c r="O321" s="11">
        <v>2.8224999999999998</v>
      </c>
      <c r="P321" s="1">
        <f t="shared" si="33"/>
        <v>2767.9</v>
      </c>
      <c r="Q321" s="1">
        <v>2712.75</v>
      </c>
      <c r="R321" s="16">
        <f t="shared" si="34"/>
        <v>2199026.5230749999</v>
      </c>
      <c r="S321" s="20">
        <v>806.26</v>
      </c>
      <c r="T321" s="21">
        <v>41.93</v>
      </c>
      <c r="U321" s="21">
        <v>0.31000000000000005</v>
      </c>
      <c r="V321" s="8">
        <v>848.49999999999989</v>
      </c>
      <c r="W321" s="25">
        <v>1.238</v>
      </c>
      <c r="X321" s="25">
        <f t="shared" si="35"/>
        <v>262610.74999999994</v>
      </c>
      <c r="Y321" s="1">
        <f t="shared" si="36"/>
        <v>3616.4</v>
      </c>
      <c r="Z321" s="1">
        <f t="shared" si="37"/>
        <v>3561.25</v>
      </c>
      <c r="AA321" s="1">
        <v>3567.13</v>
      </c>
      <c r="AB321" s="1">
        <f t="shared" si="32"/>
        <v>49.269999999999982</v>
      </c>
      <c r="AC321" s="29">
        <f t="shared" si="38"/>
        <v>5.8800000000001091</v>
      </c>
      <c r="AD321" s="11">
        <f t="shared" si="39"/>
        <v>2461637.2730749999</v>
      </c>
    </row>
    <row r="322" spans="1:30" x14ac:dyDescent="0.3">
      <c r="A322" s="14">
        <v>45874.3125</v>
      </c>
      <c r="B322" s="1">
        <v>1465.98</v>
      </c>
      <c r="C322" s="11">
        <v>3.2732000000000001</v>
      </c>
      <c r="D322" s="1">
        <v>540.05999999999995</v>
      </c>
      <c r="E322" s="11">
        <v>3.0760000000000001</v>
      </c>
      <c r="F322" s="1">
        <v>398.57</v>
      </c>
      <c r="G322" s="11">
        <v>3.53</v>
      </c>
      <c r="H322" s="1">
        <v>67.319999999999993</v>
      </c>
      <c r="I322" s="11">
        <v>2.5696699999999999</v>
      </c>
      <c r="J322" s="1">
        <v>30.01</v>
      </c>
      <c r="K322" s="11">
        <v>2.16913</v>
      </c>
      <c r="L322" s="1">
        <v>0</v>
      </c>
      <c r="M322" s="11">
        <v>6.2</v>
      </c>
      <c r="N322" s="1">
        <v>117.99</v>
      </c>
      <c r="O322" s="11">
        <v>2.8224999999999998</v>
      </c>
      <c r="P322" s="1">
        <f t="shared" si="33"/>
        <v>2619.9300000000003</v>
      </c>
      <c r="Q322" s="1">
        <v>2642.62</v>
      </c>
      <c r="R322" s="16">
        <f t="shared" si="34"/>
        <v>2109433.7366750003</v>
      </c>
      <c r="S322" s="20">
        <v>836.58</v>
      </c>
      <c r="T322" s="21">
        <v>53.980000000000011</v>
      </c>
      <c r="U322" s="21">
        <v>0.49</v>
      </c>
      <c r="V322" s="8">
        <v>891.05000000000007</v>
      </c>
      <c r="W322" s="25">
        <v>1.238</v>
      </c>
      <c r="X322" s="25">
        <f t="shared" si="35"/>
        <v>275779.97500000003</v>
      </c>
      <c r="Y322" s="1">
        <f t="shared" si="36"/>
        <v>3510.9800000000005</v>
      </c>
      <c r="Z322" s="1">
        <f t="shared" si="37"/>
        <v>3533.67</v>
      </c>
      <c r="AA322" s="1">
        <v>3526.67</v>
      </c>
      <c r="AB322" s="1">
        <f t="shared" si="32"/>
        <v>-15.6899999999996</v>
      </c>
      <c r="AC322" s="29">
        <f t="shared" si="38"/>
        <v>-7</v>
      </c>
      <c r="AD322" s="11">
        <f t="shared" si="39"/>
        <v>2385213.7116750004</v>
      </c>
    </row>
    <row r="323" spans="1:30" x14ac:dyDescent="0.3">
      <c r="A323" s="14">
        <v>45874.322916666664</v>
      </c>
      <c r="B323" s="1">
        <v>1465.98</v>
      </c>
      <c r="C323" s="11">
        <v>3.2732000000000001</v>
      </c>
      <c r="D323" s="1">
        <v>540.05999999999995</v>
      </c>
      <c r="E323" s="11">
        <v>3.0760000000000001</v>
      </c>
      <c r="F323" s="1">
        <v>398.57</v>
      </c>
      <c r="G323" s="11">
        <v>3.53</v>
      </c>
      <c r="H323" s="1">
        <v>65.66</v>
      </c>
      <c r="I323" s="11">
        <v>2.3957800000000002</v>
      </c>
      <c r="J323" s="1">
        <v>131.94999999999999</v>
      </c>
      <c r="K323" s="11">
        <v>1.7337799999999999</v>
      </c>
      <c r="L323" s="1">
        <v>0</v>
      </c>
      <c r="M323" s="11">
        <v>6.2</v>
      </c>
      <c r="N323" s="1">
        <v>146.4</v>
      </c>
      <c r="O323" s="11">
        <v>2.8224999999999998</v>
      </c>
      <c r="P323" s="1">
        <f t="shared" si="33"/>
        <v>2748.62</v>
      </c>
      <c r="Q323" s="1">
        <v>2730.35</v>
      </c>
      <c r="R323" s="16">
        <f t="shared" si="34"/>
        <v>2166478.8954500007</v>
      </c>
      <c r="S323" s="20">
        <v>671.06</v>
      </c>
      <c r="T323" s="21">
        <v>70.510000000000019</v>
      </c>
      <c r="U323" s="21">
        <v>0.89999999999999991</v>
      </c>
      <c r="V323" s="8">
        <v>742.46999999999991</v>
      </c>
      <c r="W323" s="25">
        <v>1.238</v>
      </c>
      <c r="X323" s="25">
        <f t="shared" si="35"/>
        <v>229794.46499999997</v>
      </c>
      <c r="Y323" s="1">
        <f t="shared" si="36"/>
        <v>3491.0899999999997</v>
      </c>
      <c r="Z323" s="1">
        <f t="shared" si="37"/>
        <v>3472.8199999999997</v>
      </c>
      <c r="AA323" s="1">
        <v>3481.65</v>
      </c>
      <c r="AB323" s="1">
        <f t="shared" si="32"/>
        <v>9.4399999999995998</v>
      </c>
      <c r="AC323" s="29">
        <f t="shared" si="38"/>
        <v>8.830000000000382</v>
      </c>
      <c r="AD323" s="11">
        <f t="shared" si="39"/>
        <v>2396273.3604500005</v>
      </c>
    </row>
    <row r="324" spans="1:30" x14ac:dyDescent="0.3">
      <c r="A324" s="14">
        <v>45874.333333333336</v>
      </c>
      <c r="B324" s="1">
        <v>1377.45</v>
      </c>
      <c r="C324" s="11">
        <v>3.2732000000000001</v>
      </c>
      <c r="D324" s="1">
        <v>540.05999999999995</v>
      </c>
      <c r="E324" s="11">
        <v>3.0760000000000001</v>
      </c>
      <c r="F324" s="1">
        <v>398.57</v>
      </c>
      <c r="G324" s="11">
        <v>3.53</v>
      </c>
      <c r="H324" s="1">
        <v>51.84</v>
      </c>
      <c r="I324" s="11">
        <v>1.99935</v>
      </c>
      <c r="J324" s="1">
        <v>27.74</v>
      </c>
      <c r="K324" s="11">
        <v>2.0142600000000002</v>
      </c>
      <c r="L324" s="1">
        <v>17.23</v>
      </c>
      <c r="M324" s="11">
        <v>6.2</v>
      </c>
      <c r="N324" s="1">
        <v>183.73</v>
      </c>
      <c r="O324" s="11">
        <v>2.8224999999999998</v>
      </c>
      <c r="P324" s="1">
        <f t="shared" si="33"/>
        <v>2596.62</v>
      </c>
      <c r="Q324" s="1">
        <v>2653.09</v>
      </c>
      <c r="R324" s="16">
        <f t="shared" si="34"/>
        <v>2090442.9503500001</v>
      </c>
      <c r="S324" s="20">
        <v>714.26</v>
      </c>
      <c r="T324" s="21">
        <v>84.490000000000009</v>
      </c>
      <c r="U324" s="21">
        <v>1.6800000000000002</v>
      </c>
      <c r="V324" s="8">
        <v>800.43</v>
      </c>
      <c r="W324" s="25">
        <v>1.238</v>
      </c>
      <c r="X324" s="25">
        <f t="shared" si="35"/>
        <v>247733.08499999999</v>
      </c>
      <c r="Y324" s="1">
        <f t="shared" si="36"/>
        <v>3397.0499999999997</v>
      </c>
      <c r="Z324" s="1">
        <f t="shared" si="37"/>
        <v>3453.52</v>
      </c>
      <c r="AA324" s="1">
        <v>3451.64</v>
      </c>
      <c r="AB324" s="1">
        <f t="shared" ref="AB324:AB387" si="40">Y324-AA324</f>
        <v>-54.590000000000146</v>
      </c>
      <c r="AC324" s="29">
        <f t="shared" si="38"/>
        <v>-1.8800000000001091</v>
      </c>
      <c r="AD324" s="11">
        <f t="shared" si="39"/>
        <v>2338176.03535</v>
      </c>
    </row>
    <row r="325" spans="1:30" x14ac:dyDescent="0.3">
      <c r="A325" s="14">
        <v>45874.34375</v>
      </c>
      <c r="B325" s="1">
        <v>1370.79</v>
      </c>
      <c r="C325" s="11">
        <v>3.2732000000000001</v>
      </c>
      <c r="D325" s="1">
        <v>540.05999999999995</v>
      </c>
      <c r="E325" s="11">
        <v>3.0760000000000001</v>
      </c>
      <c r="F325" s="1">
        <v>398.57</v>
      </c>
      <c r="G325" s="11">
        <v>3.53</v>
      </c>
      <c r="H325" s="1">
        <v>32.94</v>
      </c>
      <c r="I325" s="11">
        <v>1.99902</v>
      </c>
      <c r="J325" s="1">
        <v>15.06</v>
      </c>
      <c r="K325" s="11">
        <v>2.01471</v>
      </c>
      <c r="L325" s="1">
        <v>41.52</v>
      </c>
      <c r="M325" s="11">
        <v>6.2</v>
      </c>
      <c r="N325" s="1">
        <v>217.74</v>
      </c>
      <c r="O325" s="11">
        <v>2.8224999999999998</v>
      </c>
      <c r="P325" s="1">
        <f t="shared" ref="P325:P388" si="41">(B325+D325+F325+H325+J325+L325+N325)</f>
        <v>2616.6800000000003</v>
      </c>
      <c r="Q325" s="1">
        <v>2618.41</v>
      </c>
      <c r="R325" s="16">
        <f t="shared" ref="R325:R388" si="42">(((B325*C325)+(D325*E325)+(F325*G325)+(H325*I325)+(J325*K325)+(L325*M325)+(N325*O325))*(1000/4))</f>
        <v>2130807.7223499999</v>
      </c>
      <c r="S325" s="20">
        <v>726.05000000000007</v>
      </c>
      <c r="T325" s="21">
        <v>99.719999999999985</v>
      </c>
      <c r="U325" s="21">
        <v>3.34</v>
      </c>
      <c r="V325" s="8">
        <v>829.11000000000013</v>
      </c>
      <c r="W325" s="25">
        <v>1.238</v>
      </c>
      <c r="X325" s="25">
        <f t="shared" ref="X325:X388" si="43">((V325*W325*1000)/4)</f>
        <v>256609.54500000001</v>
      </c>
      <c r="Y325" s="1">
        <f t="shared" ref="Y325:Y388" si="44">B325+D325+F325+H325+J325+L325+N325+V325</f>
        <v>3445.7900000000004</v>
      </c>
      <c r="Z325" s="1">
        <f t="shared" ref="Z325:Z388" si="45">Q325+V325</f>
        <v>3447.52</v>
      </c>
      <c r="AA325" s="1">
        <v>3449.21</v>
      </c>
      <c r="AB325" s="1">
        <f t="shared" si="40"/>
        <v>-3.419999999999618</v>
      </c>
      <c r="AC325" s="29">
        <f t="shared" ref="AC325:AC388" si="46">AA325-Z325</f>
        <v>1.6900000000000546</v>
      </c>
      <c r="AD325" s="11">
        <f t="shared" ref="AD325:AD388" si="47">(R325+X325)</f>
        <v>2387417.2673499999</v>
      </c>
    </row>
    <row r="326" spans="1:30" x14ac:dyDescent="0.3">
      <c r="A326" s="14">
        <v>45874.354166666664</v>
      </c>
      <c r="B326" s="1">
        <v>1333.15</v>
      </c>
      <c r="C326" s="11">
        <v>3.2732000000000001</v>
      </c>
      <c r="D326" s="1">
        <v>540.05999999999995</v>
      </c>
      <c r="E326" s="11">
        <v>3.0760000000000001</v>
      </c>
      <c r="F326" s="1">
        <v>398.57</v>
      </c>
      <c r="G326" s="11">
        <v>3.53</v>
      </c>
      <c r="H326" s="1">
        <v>25.58</v>
      </c>
      <c r="I326" s="11">
        <v>1.99901</v>
      </c>
      <c r="J326" s="1">
        <v>106.05</v>
      </c>
      <c r="K326" s="11">
        <v>1.90286</v>
      </c>
      <c r="L326" s="1">
        <v>49.08</v>
      </c>
      <c r="M326" s="11">
        <v>6.2</v>
      </c>
      <c r="N326" s="1">
        <v>243.48</v>
      </c>
      <c r="O326" s="11">
        <v>2.8224999999999998</v>
      </c>
      <c r="P326" s="1">
        <f t="shared" si="41"/>
        <v>2695.9700000000003</v>
      </c>
      <c r="Q326" s="1">
        <v>2634.52</v>
      </c>
      <c r="R326" s="16">
        <f t="shared" si="42"/>
        <v>2169073.6296999999</v>
      </c>
      <c r="S326" s="20">
        <v>661.44999999999993</v>
      </c>
      <c r="T326" s="21">
        <v>115.28</v>
      </c>
      <c r="U326" s="21">
        <v>4.6500000000000004</v>
      </c>
      <c r="V326" s="8">
        <v>781.37999999999988</v>
      </c>
      <c r="W326" s="25">
        <v>1.238</v>
      </c>
      <c r="X326" s="25">
        <f t="shared" si="43"/>
        <v>241837.10999999996</v>
      </c>
      <c r="Y326" s="1">
        <f t="shared" si="44"/>
        <v>3477.3500000000004</v>
      </c>
      <c r="Z326" s="1">
        <f t="shared" si="45"/>
        <v>3415.8999999999996</v>
      </c>
      <c r="AA326" s="1">
        <v>3424.37</v>
      </c>
      <c r="AB326" s="1">
        <f t="shared" si="40"/>
        <v>52.980000000000473</v>
      </c>
      <c r="AC326" s="29">
        <f t="shared" si="46"/>
        <v>8.4700000000002547</v>
      </c>
      <c r="AD326" s="11">
        <f t="shared" si="47"/>
        <v>2410910.7396999998</v>
      </c>
    </row>
    <row r="327" spans="1:30" x14ac:dyDescent="0.3">
      <c r="A327" s="14">
        <v>45874.364583333336</v>
      </c>
      <c r="B327" s="1">
        <v>1330.32</v>
      </c>
      <c r="C327" s="11">
        <v>3.2732000000000001</v>
      </c>
      <c r="D327" s="1">
        <v>540.05999999999995</v>
      </c>
      <c r="E327" s="11">
        <v>3.0760000000000001</v>
      </c>
      <c r="F327" s="1">
        <v>398.57</v>
      </c>
      <c r="G327" s="11">
        <v>3.53</v>
      </c>
      <c r="H327" s="1">
        <v>25.13</v>
      </c>
      <c r="I327" s="11">
        <v>1.80098</v>
      </c>
      <c r="J327" s="1">
        <v>85.69</v>
      </c>
      <c r="K327" s="11">
        <v>1.78888</v>
      </c>
      <c r="L327" s="1">
        <v>49.97</v>
      </c>
      <c r="M327" s="11">
        <v>6.2</v>
      </c>
      <c r="N327" s="1">
        <v>275.92</v>
      </c>
      <c r="O327" s="11">
        <v>2.8224999999999998</v>
      </c>
      <c r="P327" s="1">
        <f t="shared" si="41"/>
        <v>2705.66</v>
      </c>
      <c r="Q327" s="1">
        <v>2725.47</v>
      </c>
      <c r="R327" s="16">
        <f t="shared" si="42"/>
        <v>2177431.5096499994</v>
      </c>
      <c r="S327" s="20">
        <v>578.48</v>
      </c>
      <c r="T327" s="21">
        <v>129.1</v>
      </c>
      <c r="U327" s="21">
        <v>4.93</v>
      </c>
      <c r="V327" s="8">
        <v>712.51</v>
      </c>
      <c r="W327" s="25">
        <v>1.238</v>
      </c>
      <c r="X327" s="25">
        <f t="shared" si="43"/>
        <v>220521.84499999997</v>
      </c>
      <c r="Y327" s="1">
        <f t="shared" si="44"/>
        <v>3418.17</v>
      </c>
      <c r="Z327" s="1">
        <f t="shared" si="45"/>
        <v>3437.9799999999996</v>
      </c>
      <c r="AA327" s="1">
        <v>3450.41</v>
      </c>
      <c r="AB327" s="1">
        <f t="shared" si="40"/>
        <v>-32.239999999999782</v>
      </c>
      <c r="AC327" s="29">
        <f t="shared" si="46"/>
        <v>12.430000000000291</v>
      </c>
      <c r="AD327" s="11">
        <f t="shared" si="47"/>
        <v>2397953.3546499992</v>
      </c>
    </row>
    <row r="328" spans="1:30" x14ac:dyDescent="0.3">
      <c r="A328" s="14">
        <v>45874.375</v>
      </c>
      <c r="B328" s="1">
        <v>1195.4000000000001</v>
      </c>
      <c r="C328" s="11">
        <v>3.2732000000000001</v>
      </c>
      <c r="D328" s="1">
        <v>540.05999999999995</v>
      </c>
      <c r="E328" s="11">
        <v>3.0760000000000001</v>
      </c>
      <c r="F328" s="1">
        <v>398.57</v>
      </c>
      <c r="G328" s="11">
        <v>3.53</v>
      </c>
      <c r="H328" s="1">
        <v>26.56</v>
      </c>
      <c r="I328" s="11">
        <v>1.8007200000000001</v>
      </c>
      <c r="J328" s="1">
        <v>25.14</v>
      </c>
      <c r="K328" s="11">
        <v>2.02562</v>
      </c>
      <c r="L328" s="1">
        <v>50.09</v>
      </c>
      <c r="M328" s="11">
        <v>6.2</v>
      </c>
      <c r="N328" s="1">
        <v>307.02</v>
      </c>
      <c r="O328" s="11">
        <v>2.8224999999999998</v>
      </c>
      <c r="P328" s="1">
        <f t="shared" si="41"/>
        <v>2542.84</v>
      </c>
      <c r="Q328" s="1">
        <v>2734.45</v>
      </c>
      <c r="R328" s="16">
        <f t="shared" si="42"/>
        <v>2064208.2749999999</v>
      </c>
      <c r="S328" s="20">
        <v>611.6400000000001</v>
      </c>
      <c r="T328" s="21">
        <v>141.70000000000002</v>
      </c>
      <c r="U328" s="21">
        <v>7.6400000000000006</v>
      </c>
      <c r="V328" s="8">
        <v>760.98000000000013</v>
      </c>
      <c r="W328" s="25">
        <v>1.238</v>
      </c>
      <c r="X328" s="25">
        <f t="shared" si="43"/>
        <v>235523.31000000003</v>
      </c>
      <c r="Y328" s="1">
        <f t="shared" si="44"/>
        <v>3303.82</v>
      </c>
      <c r="Z328" s="1">
        <f t="shared" si="45"/>
        <v>3495.43</v>
      </c>
      <c r="AA328" s="1">
        <v>3499.44</v>
      </c>
      <c r="AB328" s="1">
        <f t="shared" si="40"/>
        <v>-195.61999999999989</v>
      </c>
      <c r="AC328" s="29">
        <f t="shared" si="46"/>
        <v>4.0100000000002183</v>
      </c>
      <c r="AD328" s="11">
        <f t="shared" si="47"/>
        <v>2299731.585</v>
      </c>
    </row>
    <row r="329" spans="1:30" x14ac:dyDescent="0.3">
      <c r="A329" s="14">
        <v>45874.385416666664</v>
      </c>
      <c r="B329" s="1">
        <v>1111.92</v>
      </c>
      <c r="C329" s="11">
        <v>3.2732000000000001</v>
      </c>
      <c r="D329" s="1">
        <v>540.05999999999995</v>
      </c>
      <c r="E329" s="11">
        <v>3.0760000000000001</v>
      </c>
      <c r="F329" s="1">
        <v>398.57</v>
      </c>
      <c r="G329" s="11">
        <v>3.53</v>
      </c>
      <c r="H329" s="1">
        <v>26.67</v>
      </c>
      <c r="I329" s="11">
        <v>1.8004800000000001</v>
      </c>
      <c r="J329" s="1">
        <v>17.57</v>
      </c>
      <c r="K329" s="11">
        <v>2.6001099999999999</v>
      </c>
      <c r="L329" s="1">
        <v>50.19</v>
      </c>
      <c r="M329" s="11">
        <v>6.2</v>
      </c>
      <c r="N329" s="1">
        <v>333.29</v>
      </c>
      <c r="O329" s="11">
        <v>2.8224999999999998</v>
      </c>
      <c r="P329" s="1">
        <f t="shared" si="41"/>
        <v>2478.2700000000004</v>
      </c>
      <c r="Q329" s="1">
        <v>2654.11</v>
      </c>
      <c r="R329" s="16">
        <f t="shared" si="42"/>
        <v>2013326.2408249998</v>
      </c>
      <c r="S329" s="20">
        <v>759.20999999999992</v>
      </c>
      <c r="T329" s="21">
        <v>151.13999999999999</v>
      </c>
      <c r="U329" s="21">
        <v>7.44</v>
      </c>
      <c r="V329" s="8">
        <v>917.79</v>
      </c>
      <c r="W329" s="25">
        <v>1.238</v>
      </c>
      <c r="X329" s="25">
        <f t="shared" si="43"/>
        <v>284056.00499999995</v>
      </c>
      <c r="Y329" s="1">
        <f t="shared" si="44"/>
        <v>3396.0600000000004</v>
      </c>
      <c r="Z329" s="1">
        <f t="shared" si="45"/>
        <v>3571.9</v>
      </c>
      <c r="AA329" s="1">
        <v>3585.63</v>
      </c>
      <c r="AB329" s="1">
        <f t="shared" si="40"/>
        <v>-189.56999999999971</v>
      </c>
      <c r="AC329" s="29">
        <f t="shared" si="46"/>
        <v>13.730000000000018</v>
      </c>
      <c r="AD329" s="11">
        <f t="shared" si="47"/>
        <v>2297382.2458249996</v>
      </c>
    </row>
    <row r="330" spans="1:30" x14ac:dyDescent="0.3">
      <c r="A330" s="14">
        <v>45874.395833333336</v>
      </c>
      <c r="B330" s="1">
        <v>1106.4000000000001</v>
      </c>
      <c r="C330" s="11">
        <v>3.2732000000000001</v>
      </c>
      <c r="D330" s="1">
        <v>540.05999999999995</v>
      </c>
      <c r="E330" s="11">
        <v>3.0760000000000001</v>
      </c>
      <c r="F330" s="1">
        <v>398.57</v>
      </c>
      <c r="G330" s="11">
        <v>3.53</v>
      </c>
      <c r="H330" s="1">
        <v>24.87</v>
      </c>
      <c r="I330" s="11">
        <v>1.8002799999999999</v>
      </c>
      <c r="J330" s="1">
        <v>125.35</v>
      </c>
      <c r="K330" s="11">
        <v>1.99976</v>
      </c>
      <c r="L330" s="1">
        <v>50.73</v>
      </c>
      <c r="M330" s="11">
        <v>6.2</v>
      </c>
      <c r="N330" s="1">
        <v>357.16</v>
      </c>
      <c r="O330" s="11">
        <v>2.8224999999999998</v>
      </c>
      <c r="P330" s="1">
        <f t="shared" si="41"/>
        <v>2603.14</v>
      </c>
      <c r="Q330" s="1">
        <v>2715.25</v>
      </c>
      <c r="R330" s="16">
        <f t="shared" si="42"/>
        <v>2076924.5299000004</v>
      </c>
      <c r="S330" s="20">
        <v>747.42000000000007</v>
      </c>
      <c r="T330" s="21">
        <v>146.89999999999998</v>
      </c>
      <c r="U330" s="21">
        <v>8.620000000000001</v>
      </c>
      <c r="V330" s="8">
        <v>902.94</v>
      </c>
      <c r="W330" s="25">
        <v>1.238</v>
      </c>
      <c r="X330" s="25">
        <f t="shared" si="43"/>
        <v>279459.93000000005</v>
      </c>
      <c r="Y330" s="1">
        <f t="shared" si="44"/>
        <v>3506.08</v>
      </c>
      <c r="Z330" s="1">
        <f t="shared" si="45"/>
        <v>3618.19</v>
      </c>
      <c r="AA330" s="1">
        <v>3640.98</v>
      </c>
      <c r="AB330" s="1">
        <f t="shared" si="40"/>
        <v>-134.90000000000009</v>
      </c>
      <c r="AC330" s="29">
        <f t="shared" si="46"/>
        <v>22.789999999999964</v>
      </c>
      <c r="AD330" s="11">
        <f t="shared" si="47"/>
        <v>2356384.4599000006</v>
      </c>
    </row>
    <row r="331" spans="1:30" x14ac:dyDescent="0.3">
      <c r="A331" s="14">
        <v>45874.40625</v>
      </c>
      <c r="B331" s="1">
        <v>1107.54</v>
      </c>
      <c r="C331" s="11">
        <v>3.2732000000000001</v>
      </c>
      <c r="D331" s="1">
        <v>540.05999999999995</v>
      </c>
      <c r="E331" s="11">
        <v>3.0760000000000001</v>
      </c>
      <c r="F331" s="1">
        <v>398.57</v>
      </c>
      <c r="G331" s="11">
        <v>3.53</v>
      </c>
      <c r="H331" s="1">
        <v>25.64</v>
      </c>
      <c r="I331" s="11">
        <v>1.80013</v>
      </c>
      <c r="J331" s="1">
        <v>166.29</v>
      </c>
      <c r="K331" s="11">
        <v>1.91303</v>
      </c>
      <c r="L331" s="1">
        <v>50.86</v>
      </c>
      <c r="M331" s="11">
        <v>6.2</v>
      </c>
      <c r="N331" s="1">
        <v>380.46</v>
      </c>
      <c r="O331" s="11">
        <v>2.8224999999999998</v>
      </c>
      <c r="P331" s="1">
        <f t="shared" si="41"/>
        <v>2669.42</v>
      </c>
      <c r="Q331" s="1">
        <v>2827.02</v>
      </c>
      <c r="R331" s="16">
        <f t="shared" si="42"/>
        <v>2111707.5074749999</v>
      </c>
      <c r="S331" s="20">
        <v>707.16000000000008</v>
      </c>
      <c r="T331" s="21">
        <v>147.32</v>
      </c>
      <c r="U331" s="21">
        <v>8.99</v>
      </c>
      <c r="V331" s="8">
        <v>863.47</v>
      </c>
      <c r="W331" s="25">
        <v>1.238</v>
      </c>
      <c r="X331" s="25">
        <f t="shared" si="43"/>
        <v>267243.96500000003</v>
      </c>
      <c r="Y331" s="1">
        <f t="shared" si="44"/>
        <v>3532.8900000000003</v>
      </c>
      <c r="Z331" s="1">
        <f t="shared" si="45"/>
        <v>3690.49</v>
      </c>
      <c r="AA331" s="1">
        <v>3703.91</v>
      </c>
      <c r="AB331" s="1">
        <f t="shared" si="40"/>
        <v>-171.01999999999953</v>
      </c>
      <c r="AC331" s="29">
        <f t="shared" si="46"/>
        <v>13.420000000000073</v>
      </c>
      <c r="AD331" s="11">
        <f t="shared" si="47"/>
        <v>2378951.4724749997</v>
      </c>
    </row>
    <row r="332" spans="1:30" x14ac:dyDescent="0.3">
      <c r="A332" s="14">
        <v>45874.416666666664</v>
      </c>
      <c r="B332" s="1">
        <v>1107.69</v>
      </c>
      <c r="C332" s="11">
        <v>3.2732000000000001</v>
      </c>
      <c r="D332" s="1">
        <v>540.05999999999995</v>
      </c>
      <c r="E332" s="11">
        <v>3.0760000000000001</v>
      </c>
      <c r="F332" s="1">
        <v>398.57</v>
      </c>
      <c r="G332" s="11">
        <v>3.53</v>
      </c>
      <c r="H332" s="1">
        <v>24.9</v>
      </c>
      <c r="I332" s="11">
        <v>1.7314500000000002</v>
      </c>
      <c r="J332" s="1">
        <v>211.83</v>
      </c>
      <c r="K332" s="11">
        <v>1.7663800000000001</v>
      </c>
      <c r="L332" s="1">
        <v>50.87</v>
      </c>
      <c r="M332" s="11">
        <v>6.2</v>
      </c>
      <c r="N332" s="1">
        <v>389.52</v>
      </c>
      <c r="O332" s="11">
        <v>2.8224999999999998</v>
      </c>
      <c r="P332" s="1">
        <f t="shared" si="41"/>
        <v>2723.4399999999996</v>
      </c>
      <c r="Q332" s="1">
        <v>2830.02</v>
      </c>
      <c r="R332" s="16">
        <f t="shared" si="42"/>
        <v>2131491.7871000003</v>
      </c>
      <c r="S332" s="20">
        <v>675.72</v>
      </c>
      <c r="T332" s="21">
        <v>179.73999999999998</v>
      </c>
      <c r="U332" s="21">
        <v>9.01</v>
      </c>
      <c r="V332" s="8">
        <v>864.47</v>
      </c>
      <c r="W332" s="25">
        <v>1.238</v>
      </c>
      <c r="X332" s="25">
        <f t="shared" si="43"/>
        <v>267553.46500000003</v>
      </c>
      <c r="Y332" s="1">
        <f t="shared" si="44"/>
        <v>3587.91</v>
      </c>
      <c r="Z332" s="1">
        <f t="shared" si="45"/>
        <v>3694.49</v>
      </c>
      <c r="AA332" s="1">
        <v>3703.12</v>
      </c>
      <c r="AB332" s="1">
        <f t="shared" si="40"/>
        <v>-115.21000000000004</v>
      </c>
      <c r="AC332" s="29">
        <f t="shared" si="46"/>
        <v>8.6300000000001091</v>
      </c>
      <c r="AD332" s="11">
        <f t="shared" si="47"/>
        <v>2399045.2521000002</v>
      </c>
    </row>
    <row r="333" spans="1:30" x14ac:dyDescent="0.3">
      <c r="A333" s="14">
        <v>45874.427083333336</v>
      </c>
      <c r="B333" s="1">
        <v>1109.6600000000001</v>
      </c>
      <c r="C333" s="11">
        <v>3.2732000000000001</v>
      </c>
      <c r="D333" s="1">
        <v>540.05999999999995</v>
      </c>
      <c r="E333" s="11">
        <v>3.0760000000000001</v>
      </c>
      <c r="F333" s="1">
        <v>398.57</v>
      </c>
      <c r="G333" s="11">
        <v>3.53</v>
      </c>
      <c r="H333" s="1">
        <v>24.84</v>
      </c>
      <c r="I333" s="11">
        <v>1.7312799999999999</v>
      </c>
      <c r="J333" s="1">
        <v>215.23</v>
      </c>
      <c r="K333" s="11">
        <v>1.73169</v>
      </c>
      <c r="L333" s="1">
        <v>50.78</v>
      </c>
      <c r="M333" s="11">
        <v>6.2</v>
      </c>
      <c r="N333" s="1">
        <v>406.01</v>
      </c>
      <c r="O333" s="11">
        <v>2.8224999999999998</v>
      </c>
      <c r="P333" s="1">
        <f t="shared" si="41"/>
        <v>2745.1500000000005</v>
      </c>
      <c r="Q333" s="1">
        <v>2818.79</v>
      </c>
      <c r="R333" s="16">
        <f t="shared" si="42"/>
        <v>2144207.9077249998</v>
      </c>
      <c r="S333" s="20">
        <v>710.47</v>
      </c>
      <c r="T333" s="21">
        <v>176.23000000000005</v>
      </c>
      <c r="U333" s="21">
        <v>8.8099999999999987</v>
      </c>
      <c r="V333" s="8">
        <v>895.51</v>
      </c>
      <c r="W333" s="25">
        <v>1.238</v>
      </c>
      <c r="X333" s="25">
        <f t="shared" si="43"/>
        <v>277160.34500000003</v>
      </c>
      <c r="Y333" s="1">
        <f t="shared" si="44"/>
        <v>3640.6600000000008</v>
      </c>
      <c r="Z333" s="1">
        <f t="shared" si="45"/>
        <v>3714.3</v>
      </c>
      <c r="AA333" s="1">
        <v>3719.35</v>
      </c>
      <c r="AB333" s="1">
        <f t="shared" si="40"/>
        <v>-78.689999999999145</v>
      </c>
      <c r="AC333" s="29">
        <f t="shared" si="46"/>
        <v>5.0499999999997272</v>
      </c>
      <c r="AD333" s="11">
        <f t="shared" si="47"/>
        <v>2421368.252725</v>
      </c>
    </row>
    <row r="334" spans="1:30" x14ac:dyDescent="0.3">
      <c r="A334" s="14">
        <v>45874.4375</v>
      </c>
      <c r="B334" s="1">
        <v>1110.6600000000001</v>
      </c>
      <c r="C334" s="11">
        <v>3.2732000000000001</v>
      </c>
      <c r="D334" s="1">
        <v>540.05999999999995</v>
      </c>
      <c r="E334" s="11">
        <v>3.0760000000000001</v>
      </c>
      <c r="F334" s="1">
        <v>398.57</v>
      </c>
      <c r="G334" s="11">
        <v>3.53</v>
      </c>
      <c r="H334" s="1">
        <v>26.61</v>
      </c>
      <c r="I334" s="11">
        <v>1.7691300000000001</v>
      </c>
      <c r="J334" s="1">
        <v>261.66000000000003</v>
      </c>
      <c r="K334" s="11">
        <v>1.77667</v>
      </c>
      <c r="L334" s="1">
        <v>50.86</v>
      </c>
      <c r="M334" s="11">
        <v>6.2</v>
      </c>
      <c r="N334" s="1">
        <v>421.94</v>
      </c>
      <c r="O334" s="11">
        <v>2.8224999999999998</v>
      </c>
      <c r="P334" s="1">
        <f t="shared" si="41"/>
        <v>2810.36</v>
      </c>
      <c r="Q334" s="1">
        <v>2789.59</v>
      </c>
      <c r="R334" s="16">
        <f t="shared" si="42"/>
        <v>2180451.6608750001</v>
      </c>
      <c r="S334" s="20">
        <v>733.86</v>
      </c>
      <c r="T334" s="21">
        <v>163.57</v>
      </c>
      <c r="U334" s="21">
        <v>10.24</v>
      </c>
      <c r="V334" s="8">
        <v>907.67000000000007</v>
      </c>
      <c r="W334" s="25">
        <v>1.238</v>
      </c>
      <c r="X334" s="25">
        <f t="shared" si="43"/>
        <v>280923.86500000005</v>
      </c>
      <c r="Y334" s="1">
        <f t="shared" si="44"/>
        <v>3718.03</v>
      </c>
      <c r="Z334" s="1">
        <f t="shared" si="45"/>
        <v>3697.26</v>
      </c>
      <c r="AA334" s="1">
        <v>3710.54</v>
      </c>
      <c r="AB334" s="1">
        <f t="shared" si="40"/>
        <v>7.4900000000002365</v>
      </c>
      <c r="AC334" s="29">
        <f t="shared" si="46"/>
        <v>13.279999999999745</v>
      </c>
      <c r="AD334" s="11">
        <f t="shared" si="47"/>
        <v>2461375.5258750003</v>
      </c>
    </row>
    <row r="335" spans="1:30" x14ac:dyDescent="0.3">
      <c r="A335" s="14">
        <v>45874.447916666664</v>
      </c>
      <c r="B335" s="1">
        <v>1110.74</v>
      </c>
      <c r="C335" s="11">
        <v>3.2732000000000001</v>
      </c>
      <c r="D335" s="1">
        <v>540.05999999999995</v>
      </c>
      <c r="E335" s="11">
        <v>3.0760000000000001</v>
      </c>
      <c r="F335" s="1">
        <v>398.57</v>
      </c>
      <c r="G335" s="11">
        <v>3.53</v>
      </c>
      <c r="H335" s="1">
        <v>26.77</v>
      </c>
      <c r="I335" s="11">
        <v>1.7698699999999998</v>
      </c>
      <c r="J335" s="1">
        <v>266.89999999999998</v>
      </c>
      <c r="K335" s="11">
        <v>1.7767200000000001</v>
      </c>
      <c r="L335" s="1">
        <v>50.69</v>
      </c>
      <c r="M335" s="11">
        <v>6.2</v>
      </c>
      <c r="N335" s="1">
        <v>430.05</v>
      </c>
      <c r="O335" s="11">
        <v>2.8224999999999998</v>
      </c>
      <c r="P335" s="1">
        <f t="shared" si="41"/>
        <v>2823.78</v>
      </c>
      <c r="Q335" s="1">
        <v>2826.74</v>
      </c>
      <c r="R335" s="16">
        <f t="shared" si="42"/>
        <v>2188382.735225</v>
      </c>
      <c r="S335" s="20">
        <v>697.25</v>
      </c>
      <c r="T335" s="21">
        <v>164.91</v>
      </c>
      <c r="U335" s="21">
        <v>10.25</v>
      </c>
      <c r="V335" s="8">
        <v>872.41</v>
      </c>
      <c r="W335" s="25">
        <v>1.238</v>
      </c>
      <c r="X335" s="25">
        <f t="shared" si="43"/>
        <v>270010.89500000002</v>
      </c>
      <c r="Y335" s="1">
        <f t="shared" si="44"/>
        <v>3696.19</v>
      </c>
      <c r="Z335" s="1">
        <f t="shared" si="45"/>
        <v>3699.1499999999996</v>
      </c>
      <c r="AA335" s="1">
        <v>3715.42</v>
      </c>
      <c r="AB335" s="1">
        <f t="shared" si="40"/>
        <v>-19.230000000000018</v>
      </c>
      <c r="AC335" s="29">
        <f t="shared" si="46"/>
        <v>16.270000000000437</v>
      </c>
      <c r="AD335" s="11">
        <f t="shared" si="47"/>
        <v>2458393.630225</v>
      </c>
    </row>
    <row r="336" spans="1:30" x14ac:dyDescent="0.3">
      <c r="A336" s="14">
        <v>45874.458333333336</v>
      </c>
      <c r="B336" s="1">
        <v>1110.74</v>
      </c>
      <c r="C336" s="11">
        <v>3.2732000000000001</v>
      </c>
      <c r="D336" s="1">
        <v>540.05999999999995</v>
      </c>
      <c r="E336" s="11">
        <v>3.0760000000000001</v>
      </c>
      <c r="F336" s="1">
        <v>398.57</v>
      </c>
      <c r="G336" s="11">
        <v>3.53</v>
      </c>
      <c r="H336" s="1">
        <v>26.77</v>
      </c>
      <c r="I336" s="11">
        <v>1.7315999999999998</v>
      </c>
      <c r="J336" s="1">
        <v>330.26</v>
      </c>
      <c r="K336" s="11">
        <v>1.79976</v>
      </c>
      <c r="L336" s="1">
        <v>51.13</v>
      </c>
      <c r="M336" s="11">
        <v>6.2</v>
      </c>
      <c r="N336" s="1">
        <v>433.93</v>
      </c>
      <c r="O336" s="11">
        <v>2.8224999999999998</v>
      </c>
      <c r="P336" s="1">
        <f t="shared" si="41"/>
        <v>2891.4599999999996</v>
      </c>
      <c r="Q336" s="1">
        <v>3002.69</v>
      </c>
      <c r="R336" s="16">
        <f t="shared" si="42"/>
        <v>2221591.9806500007</v>
      </c>
      <c r="S336" s="20">
        <v>526.9899999999999</v>
      </c>
      <c r="T336" s="21">
        <v>159.19000000000003</v>
      </c>
      <c r="U336" s="21">
        <v>9.93</v>
      </c>
      <c r="V336" s="8">
        <v>696.1099999999999</v>
      </c>
      <c r="W336" s="25">
        <v>1.238</v>
      </c>
      <c r="X336" s="25">
        <f t="shared" si="43"/>
        <v>215446.04499999998</v>
      </c>
      <c r="Y336" s="1">
        <f t="shared" si="44"/>
        <v>3587.5699999999997</v>
      </c>
      <c r="Z336" s="1">
        <f t="shared" si="45"/>
        <v>3698.8</v>
      </c>
      <c r="AA336" s="1">
        <v>3715.26</v>
      </c>
      <c r="AB336" s="1">
        <f t="shared" si="40"/>
        <v>-127.69000000000051</v>
      </c>
      <c r="AC336" s="29">
        <f t="shared" si="46"/>
        <v>16.460000000000036</v>
      </c>
      <c r="AD336" s="11">
        <f t="shared" si="47"/>
        <v>2437038.0256500007</v>
      </c>
    </row>
    <row r="337" spans="1:30" x14ac:dyDescent="0.3">
      <c r="A337" s="14">
        <v>45874.46875</v>
      </c>
      <c r="B337" s="1">
        <v>1110.74</v>
      </c>
      <c r="C337" s="11">
        <v>3.2732000000000001</v>
      </c>
      <c r="D337" s="1">
        <v>540.05999999999995</v>
      </c>
      <c r="E337" s="11">
        <v>3.0760000000000001</v>
      </c>
      <c r="F337" s="1">
        <v>398.57</v>
      </c>
      <c r="G337" s="11">
        <v>3.53</v>
      </c>
      <c r="H337" s="1">
        <v>26.77</v>
      </c>
      <c r="I337" s="11">
        <v>1.76973</v>
      </c>
      <c r="J337" s="1">
        <v>334.54</v>
      </c>
      <c r="K337" s="11">
        <v>1.91218</v>
      </c>
      <c r="L337" s="1">
        <v>51.25</v>
      </c>
      <c r="M337" s="11">
        <v>6.2</v>
      </c>
      <c r="N337" s="1">
        <v>437</v>
      </c>
      <c r="O337" s="11">
        <v>2.8224999999999998</v>
      </c>
      <c r="P337" s="1">
        <f t="shared" si="41"/>
        <v>2898.93</v>
      </c>
      <c r="Q337" s="1">
        <v>2981.34</v>
      </c>
      <c r="R337" s="16">
        <f t="shared" si="42"/>
        <v>2235527.424325</v>
      </c>
      <c r="S337" s="20">
        <v>508.67</v>
      </c>
      <c r="T337" s="21">
        <v>189.41</v>
      </c>
      <c r="U337" s="21">
        <v>10.01</v>
      </c>
      <c r="V337" s="8">
        <v>708.09</v>
      </c>
      <c r="W337" s="25">
        <v>1.238</v>
      </c>
      <c r="X337" s="25">
        <f t="shared" si="43"/>
        <v>219153.85500000001</v>
      </c>
      <c r="Y337" s="1">
        <f t="shared" si="44"/>
        <v>3607.02</v>
      </c>
      <c r="Z337" s="1">
        <f t="shared" si="45"/>
        <v>3689.4300000000003</v>
      </c>
      <c r="AA337" s="1">
        <v>3696.16</v>
      </c>
      <c r="AB337" s="1">
        <f t="shared" si="40"/>
        <v>-89.139999999999873</v>
      </c>
      <c r="AC337" s="29">
        <f t="shared" si="46"/>
        <v>6.7299999999995634</v>
      </c>
      <c r="AD337" s="11">
        <f t="shared" si="47"/>
        <v>2454681.279325</v>
      </c>
    </row>
    <row r="338" spans="1:30" x14ac:dyDescent="0.3">
      <c r="A338" s="14">
        <v>45874.479166666664</v>
      </c>
      <c r="B338" s="1">
        <v>1112.8800000000001</v>
      </c>
      <c r="C338" s="11">
        <v>3.2732000000000001</v>
      </c>
      <c r="D338" s="1">
        <v>540.05999999999995</v>
      </c>
      <c r="E338" s="11">
        <v>3.0760000000000001</v>
      </c>
      <c r="F338" s="1">
        <v>398.57</v>
      </c>
      <c r="G338" s="11">
        <v>3.53</v>
      </c>
      <c r="H338" s="1">
        <v>26.77</v>
      </c>
      <c r="I338" s="11">
        <v>1.80026</v>
      </c>
      <c r="J338" s="1">
        <v>103.17</v>
      </c>
      <c r="K338" s="11">
        <v>1.9499200000000001</v>
      </c>
      <c r="L338" s="1">
        <v>51.44</v>
      </c>
      <c r="M338" s="11">
        <v>6.2</v>
      </c>
      <c r="N338" s="1">
        <v>445.56</v>
      </c>
      <c r="O338" s="11">
        <v>2.8224999999999998</v>
      </c>
      <c r="P338" s="1">
        <f t="shared" si="41"/>
        <v>2678.4500000000003</v>
      </c>
      <c r="Q338" s="1">
        <v>2964.75</v>
      </c>
      <c r="R338" s="16">
        <f t="shared" si="42"/>
        <v>2134185.6956500001</v>
      </c>
      <c r="S338" s="20">
        <v>504.24000000000007</v>
      </c>
      <c r="T338" s="21">
        <v>194.35000000000002</v>
      </c>
      <c r="U338" s="21">
        <v>8.3099999999999987</v>
      </c>
      <c r="V338" s="8">
        <v>706.90000000000009</v>
      </c>
      <c r="W338" s="25">
        <v>1.238</v>
      </c>
      <c r="X338" s="25">
        <f t="shared" si="43"/>
        <v>218785.55000000002</v>
      </c>
      <c r="Y338" s="1">
        <f t="shared" si="44"/>
        <v>3385.3500000000004</v>
      </c>
      <c r="Z338" s="1">
        <f t="shared" si="45"/>
        <v>3671.65</v>
      </c>
      <c r="AA338" s="1">
        <v>3680.66</v>
      </c>
      <c r="AB338" s="1">
        <f t="shared" si="40"/>
        <v>-295.30999999999949</v>
      </c>
      <c r="AC338" s="29">
        <f t="shared" si="46"/>
        <v>9.0099999999997635</v>
      </c>
      <c r="AD338" s="11">
        <f t="shared" si="47"/>
        <v>2352971.2456499999</v>
      </c>
    </row>
    <row r="339" spans="1:30" x14ac:dyDescent="0.3">
      <c r="A339" s="14">
        <v>45874.489583333336</v>
      </c>
      <c r="B339" s="1">
        <v>1113.05</v>
      </c>
      <c r="C339" s="11">
        <v>3.2732000000000001</v>
      </c>
      <c r="D339" s="1">
        <v>540.05999999999995</v>
      </c>
      <c r="E339" s="11">
        <v>3.0760000000000001</v>
      </c>
      <c r="F339" s="1">
        <v>398.57</v>
      </c>
      <c r="G339" s="11">
        <v>3.53</v>
      </c>
      <c r="H339" s="1">
        <v>26.77</v>
      </c>
      <c r="I339" s="11">
        <v>1.8006099999999998</v>
      </c>
      <c r="J339" s="1">
        <v>315.23</v>
      </c>
      <c r="K339" s="11">
        <v>1.9063399999999999</v>
      </c>
      <c r="L339" s="1">
        <v>51.36</v>
      </c>
      <c r="M339" s="11">
        <v>6.2</v>
      </c>
      <c r="N339" s="1">
        <v>447.73</v>
      </c>
      <c r="O339" s="11">
        <v>2.8224999999999998</v>
      </c>
      <c r="P339" s="1">
        <f t="shared" si="41"/>
        <v>2892.77</v>
      </c>
      <c r="Q339" s="1">
        <v>2966.92</v>
      </c>
      <c r="R339" s="16">
        <f t="shared" si="42"/>
        <v>2235674.9332250003</v>
      </c>
      <c r="S339" s="20">
        <v>495.4</v>
      </c>
      <c r="T339" s="21">
        <v>209.96</v>
      </c>
      <c r="U339" s="21">
        <v>7.51</v>
      </c>
      <c r="V339" s="8">
        <v>712.87</v>
      </c>
      <c r="W339" s="25">
        <v>1.238</v>
      </c>
      <c r="X339" s="25">
        <f t="shared" si="43"/>
        <v>220633.26499999998</v>
      </c>
      <c r="Y339" s="1">
        <f t="shared" si="44"/>
        <v>3605.64</v>
      </c>
      <c r="Z339" s="1">
        <f t="shared" si="45"/>
        <v>3679.79</v>
      </c>
      <c r="AA339" s="1">
        <v>3690.79</v>
      </c>
      <c r="AB339" s="1">
        <f t="shared" si="40"/>
        <v>-85.150000000000091</v>
      </c>
      <c r="AC339" s="29">
        <f t="shared" si="46"/>
        <v>11</v>
      </c>
      <c r="AD339" s="11">
        <f t="shared" si="47"/>
        <v>2456308.1982250004</v>
      </c>
    </row>
    <row r="340" spans="1:30" x14ac:dyDescent="0.3">
      <c r="A340" s="14">
        <v>45874.5</v>
      </c>
      <c r="B340" s="1">
        <v>1113.05</v>
      </c>
      <c r="C340" s="11">
        <v>3.2732000000000001</v>
      </c>
      <c r="D340" s="1">
        <v>540.05999999999995</v>
      </c>
      <c r="E340" s="11">
        <v>3.0760000000000001</v>
      </c>
      <c r="F340" s="1">
        <v>398.57</v>
      </c>
      <c r="G340" s="11">
        <v>3.53</v>
      </c>
      <c r="H340" s="1">
        <v>26.33</v>
      </c>
      <c r="I340" s="11">
        <v>1.80074</v>
      </c>
      <c r="J340" s="1">
        <v>178.86</v>
      </c>
      <c r="K340" s="11">
        <v>2.0550000000000002</v>
      </c>
      <c r="L340" s="1">
        <v>51.27</v>
      </c>
      <c r="M340" s="11">
        <v>6.2</v>
      </c>
      <c r="N340" s="1">
        <v>443.15</v>
      </c>
      <c r="O340" s="11">
        <v>2.8224999999999998</v>
      </c>
      <c r="P340" s="1">
        <f t="shared" si="41"/>
        <v>2751.29</v>
      </c>
      <c r="Q340" s="1">
        <v>2960.42</v>
      </c>
      <c r="R340" s="16">
        <f t="shared" si="42"/>
        <v>2173761.8948000004</v>
      </c>
      <c r="S340" s="20">
        <v>500.93000000000006</v>
      </c>
      <c r="T340" s="21">
        <v>214.89</v>
      </c>
      <c r="U340" s="21">
        <v>8.27</v>
      </c>
      <c r="V340" s="8">
        <v>724.09</v>
      </c>
      <c r="W340" s="25">
        <v>1.238</v>
      </c>
      <c r="X340" s="25">
        <f t="shared" si="43"/>
        <v>224105.85500000001</v>
      </c>
      <c r="Y340" s="1">
        <f t="shared" si="44"/>
        <v>3475.38</v>
      </c>
      <c r="Z340" s="1">
        <f t="shared" si="45"/>
        <v>3684.51</v>
      </c>
      <c r="AA340" s="1">
        <v>3696.04</v>
      </c>
      <c r="AB340" s="1">
        <f t="shared" si="40"/>
        <v>-220.65999999999985</v>
      </c>
      <c r="AC340" s="29">
        <f t="shared" si="46"/>
        <v>11.529999999999745</v>
      </c>
      <c r="AD340" s="11">
        <f t="shared" si="47"/>
        <v>2397867.7498000003</v>
      </c>
    </row>
    <row r="341" spans="1:30" x14ac:dyDescent="0.3">
      <c r="A341" s="14">
        <v>45874.510416666664</v>
      </c>
      <c r="B341" s="1">
        <v>1113.05</v>
      </c>
      <c r="C341" s="11">
        <v>3.2732000000000001</v>
      </c>
      <c r="D341" s="1">
        <v>540.05999999999995</v>
      </c>
      <c r="E341" s="11">
        <v>3.0760000000000001</v>
      </c>
      <c r="F341" s="1">
        <v>398.57</v>
      </c>
      <c r="G341" s="11">
        <v>3.53</v>
      </c>
      <c r="H341" s="1">
        <v>26.29</v>
      </c>
      <c r="I341" s="11">
        <v>1.8008900000000001</v>
      </c>
      <c r="J341" s="1">
        <v>205.64</v>
      </c>
      <c r="K341" s="11">
        <v>1.9996700000000001</v>
      </c>
      <c r="L341" s="1">
        <v>50.8</v>
      </c>
      <c r="M341" s="11">
        <v>6.2</v>
      </c>
      <c r="N341" s="1">
        <v>442.89</v>
      </c>
      <c r="O341" s="11">
        <v>2.8224999999999998</v>
      </c>
      <c r="P341" s="1">
        <f t="shared" si="41"/>
        <v>2777.2999999999997</v>
      </c>
      <c r="Q341" s="1">
        <v>2894.49</v>
      </c>
      <c r="R341" s="16">
        <f t="shared" si="42"/>
        <v>2183746.6204749998</v>
      </c>
      <c r="S341" s="20">
        <v>577.5</v>
      </c>
      <c r="T341" s="21">
        <v>216.60000000000002</v>
      </c>
      <c r="U341" s="21">
        <v>8.1300000000000008</v>
      </c>
      <c r="V341" s="8">
        <v>802.23</v>
      </c>
      <c r="W341" s="25">
        <v>1.238</v>
      </c>
      <c r="X341" s="25">
        <f t="shared" si="43"/>
        <v>248290.185</v>
      </c>
      <c r="Y341" s="1">
        <f t="shared" si="44"/>
        <v>3579.5299999999997</v>
      </c>
      <c r="Z341" s="1">
        <f t="shared" si="45"/>
        <v>3696.72</v>
      </c>
      <c r="AA341" s="1">
        <v>3709.92</v>
      </c>
      <c r="AB341" s="1">
        <f t="shared" si="40"/>
        <v>-130.39000000000033</v>
      </c>
      <c r="AC341" s="29">
        <f t="shared" si="46"/>
        <v>13.200000000000273</v>
      </c>
      <c r="AD341" s="11">
        <f t="shared" si="47"/>
        <v>2432036.8054749998</v>
      </c>
    </row>
    <row r="342" spans="1:30" x14ac:dyDescent="0.3">
      <c r="A342" s="14">
        <v>45874.520833333336</v>
      </c>
      <c r="B342" s="1">
        <v>1112.44</v>
      </c>
      <c r="C342" s="11">
        <v>3.2732000000000001</v>
      </c>
      <c r="D342" s="1">
        <v>540.05999999999995</v>
      </c>
      <c r="E342" s="11">
        <v>3.0760000000000001</v>
      </c>
      <c r="F342" s="1">
        <v>398.57</v>
      </c>
      <c r="G342" s="11">
        <v>3.53</v>
      </c>
      <c r="H342" s="1">
        <v>24.49</v>
      </c>
      <c r="I342" s="11">
        <v>1.87039</v>
      </c>
      <c r="J342" s="1">
        <v>267.72000000000003</v>
      </c>
      <c r="K342" s="11">
        <v>1.88923</v>
      </c>
      <c r="L342" s="1">
        <v>50.15</v>
      </c>
      <c r="M342" s="11">
        <v>6.2</v>
      </c>
      <c r="N342" s="1">
        <v>452.99</v>
      </c>
      <c r="O342" s="11">
        <v>2.8224999999999998</v>
      </c>
      <c r="P342" s="1">
        <f t="shared" si="41"/>
        <v>2846.42</v>
      </c>
      <c r="Q342" s="1">
        <v>2895.28</v>
      </c>
      <c r="R342" s="16">
        <f t="shared" si="42"/>
        <v>2212625.0124250003</v>
      </c>
      <c r="S342" s="20">
        <v>606.23</v>
      </c>
      <c r="T342" s="21">
        <v>222.75000000000003</v>
      </c>
      <c r="U342" s="21">
        <v>9.99</v>
      </c>
      <c r="V342" s="8">
        <v>838.97</v>
      </c>
      <c r="W342" s="25">
        <v>1.238</v>
      </c>
      <c r="X342" s="25">
        <f t="shared" si="43"/>
        <v>259661.21500000003</v>
      </c>
      <c r="Y342" s="1">
        <f t="shared" si="44"/>
        <v>3685.3900000000003</v>
      </c>
      <c r="Z342" s="1">
        <f t="shared" si="45"/>
        <v>3734.25</v>
      </c>
      <c r="AA342" s="1">
        <v>3746.75</v>
      </c>
      <c r="AB342" s="1">
        <f t="shared" si="40"/>
        <v>-61.359999999999673</v>
      </c>
      <c r="AC342" s="29">
        <f t="shared" si="46"/>
        <v>12.5</v>
      </c>
      <c r="AD342" s="11">
        <f t="shared" si="47"/>
        <v>2472286.2274250002</v>
      </c>
    </row>
    <row r="343" spans="1:30" x14ac:dyDescent="0.3">
      <c r="A343" s="14">
        <v>45874.53125</v>
      </c>
      <c r="B343" s="1">
        <v>1109.79</v>
      </c>
      <c r="C343" s="11">
        <v>3.2732000000000001</v>
      </c>
      <c r="D343" s="1">
        <v>540.05999999999995</v>
      </c>
      <c r="E343" s="11">
        <v>3.0760000000000001</v>
      </c>
      <c r="F343" s="1">
        <v>398.57</v>
      </c>
      <c r="G343" s="11">
        <v>3.53</v>
      </c>
      <c r="H343" s="1">
        <v>26.16</v>
      </c>
      <c r="I343" s="11">
        <v>1.87039</v>
      </c>
      <c r="J343" s="1">
        <v>270</v>
      </c>
      <c r="K343" s="11">
        <v>1.7889000000000002</v>
      </c>
      <c r="L343" s="1">
        <v>50.1</v>
      </c>
      <c r="M343" s="11">
        <v>6.2</v>
      </c>
      <c r="N343" s="1">
        <v>457.99</v>
      </c>
      <c r="O343" s="11">
        <v>2.8224999999999998</v>
      </c>
      <c r="P343" s="1">
        <f t="shared" si="41"/>
        <v>2852.67</v>
      </c>
      <c r="Q343" s="1">
        <v>2833.51</v>
      </c>
      <c r="R343" s="16">
        <f t="shared" si="42"/>
        <v>2208992.6163499993</v>
      </c>
      <c r="S343" s="20">
        <v>670.58</v>
      </c>
      <c r="T343" s="21">
        <v>223.06</v>
      </c>
      <c r="U343" s="21">
        <v>10.31</v>
      </c>
      <c r="V343" s="8">
        <v>903.95</v>
      </c>
      <c r="W343" s="25">
        <v>1.238</v>
      </c>
      <c r="X343" s="25">
        <f t="shared" si="43"/>
        <v>279772.52500000002</v>
      </c>
      <c r="Y343" s="1">
        <f t="shared" si="44"/>
        <v>3756.62</v>
      </c>
      <c r="Z343" s="1">
        <f t="shared" si="45"/>
        <v>3737.46</v>
      </c>
      <c r="AA343" s="1">
        <v>3750.88</v>
      </c>
      <c r="AB343" s="1">
        <f t="shared" si="40"/>
        <v>5.7399999999997817</v>
      </c>
      <c r="AC343" s="29">
        <f t="shared" si="46"/>
        <v>13.420000000000073</v>
      </c>
      <c r="AD343" s="11">
        <f t="shared" si="47"/>
        <v>2488765.1413499992</v>
      </c>
    </row>
    <row r="344" spans="1:30" x14ac:dyDescent="0.3">
      <c r="A344" s="14">
        <v>45874.541666666664</v>
      </c>
      <c r="B344" s="1">
        <v>1109.5899999999999</v>
      </c>
      <c r="C344" s="11">
        <v>3.2732000000000001</v>
      </c>
      <c r="D344" s="1">
        <v>540.05999999999995</v>
      </c>
      <c r="E344" s="11">
        <v>3.0760000000000001</v>
      </c>
      <c r="F344" s="1">
        <v>398.57</v>
      </c>
      <c r="G344" s="11">
        <v>3.53</v>
      </c>
      <c r="H344" s="1">
        <v>26.91</v>
      </c>
      <c r="I344" s="11">
        <v>1.8009200000000001</v>
      </c>
      <c r="J344" s="1">
        <v>224.35</v>
      </c>
      <c r="K344" s="11">
        <v>1.704</v>
      </c>
      <c r="L344" s="1">
        <v>49.48</v>
      </c>
      <c r="M344" s="11">
        <v>6.2</v>
      </c>
      <c r="N344" s="1">
        <v>464.56</v>
      </c>
      <c r="O344" s="11">
        <v>2.8224999999999998</v>
      </c>
      <c r="P344" s="1">
        <f t="shared" si="41"/>
        <v>2813.5199999999995</v>
      </c>
      <c r="Q344" s="1">
        <v>2828.4</v>
      </c>
      <c r="R344" s="16">
        <f t="shared" si="42"/>
        <v>2187209.6013000002</v>
      </c>
      <c r="S344" s="20">
        <v>603.6099999999999</v>
      </c>
      <c r="T344" s="21">
        <v>221.54000000000002</v>
      </c>
      <c r="U344" s="21">
        <v>10.010000000000002</v>
      </c>
      <c r="V344" s="8">
        <v>835.15999999999985</v>
      </c>
      <c r="W344" s="25">
        <v>1.238</v>
      </c>
      <c r="X344" s="25">
        <f t="shared" si="43"/>
        <v>258482.02</v>
      </c>
      <c r="Y344" s="1">
        <f t="shared" si="44"/>
        <v>3648.6799999999994</v>
      </c>
      <c r="Z344" s="1">
        <f t="shared" si="45"/>
        <v>3663.56</v>
      </c>
      <c r="AA344" s="1">
        <v>3675.99</v>
      </c>
      <c r="AB344" s="1">
        <f t="shared" si="40"/>
        <v>-27.3100000000004</v>
      </c>
      <c r="AC344" s="29">
        <f t="shared" si="46"/>
        <v>12.429999999999836</v>
      </c>
      <c r="AD344" s="11">
        <f t="shared" si="47"/>
        <v>2445691.6213000002</v>
      </c>
    </row>
    <row r="345" spans="1:30" x14ac:dyDescent="0.3">
      <c r="A345" s="14">
        <v>45874.552083333336</v>
      </c>
      <c r="B345" s="1">
        <v>1109.5899999999999</v>
      </c>
      <c r="C345" s="11">
        <v>3.2732000000000001</v>
      </c>
      <c r="D345" s="1">
        <v>540.05999999999995</v>
      </c>
      <c r="E345" s="11">
        <v>3.0760000000000001</v>
      </c>
      <c r="F345" s="1">
        <v>398.57</v>
      </c>
      <c r="G345" s="11">
        <v>3.53</v>
      </c>
      <c r="H345" s="1">
        <v>25.16</v>
      </c>
      <c r="I345" s="11">
        <v>1.80097</v>
      </c>
      <c r="J345" s="1">
        <v>220.63</v>
      </c>
      <c r="K345" s="11">
        <v>1.7145899999999998</v>
      </c>
      <c r="L345" s="1">
        <v>49.24</v>
      </c>
      <c r="M345" s="11">
        <v>6.2</v>
      </c>
      <c r="N345" s="1">
        <v>459.69</v>
      </c>
      <c r="O345" s="11">
        <v>2.8224999999999998</v>
      </c>
      <c r="P345" s="1">
        <f t="shared" si="41"/>
        <v>2802.9399999999996</v>
      </c>
      <c r="Q345" s="1">
        <v>2898.15</v>
      </c>
      <c r="R345" s="16">
        <f t="shared" si="42"/>
        <v>2181613.0174750001</v>
      </c>
      <c r="S345" s="20">
        <v>564.23</v>
      </c>
      <c r="T345" s="21">
        <v>221.06000000000003</v>
      </c>
      <c r="U345" s="21">
        <v>7.8599999999999994</v>
      </c>
      <c r="V345" s="8">
        <v>793.15000000000009</v>
      </c>
      <c r="W345" s="25">
        <v>1.238</v>
      </c>
      <c r="X345" s="25">
        <f t="shared" si="43"/>
        <v>245479.92500000005</v>
      </c>
      <c r="Y345" s="1">
        <f t="shared" si="44"/>
        <v>3596.0899999999997</v>
      </c>
      <c r="Z345" s="1">
        <f t="shared" si="45"/>
        <v>3691.3</v>
      </c>
      <c r="AA345" s="1">
        <v>3704.63</v>
      </c>
      <c r="AB345" s="1">
        <f t="shared" si="40"/>
        <v>-108.54000000000042</v>
      </c>
      <c r="AC345" s="29">
        <f t="shared" si="46"/>
        <v>13.329999999999927</v>
      </c>
      <c r="AD345" s="11">
        <f t="shared" si="47"/>
        <v>2427092.9424750004</v>
      </c>
    </row>
    <row r="346" spans="1:30" x14ac:dyDescent="0.3">
      <c r="A346" s="14">
        <v>45874.5625</v>
      </c>
      <c r="B346" s="1">
        <v>1100.18</v>
      </c>
      <c r="C346" s="11">
        <v>3.2732000000000001</v>
      </c>
      <c r="D346" s="1">
        <v>540.05999999999995</v>
      </c>
      <c r="E346" s="11">
        <v>3.0760000000000001</v>
      </c>
      <c r="F346" s="1">
        <v>398.57</v>
      </c>
      <c r="G346" s="11">
        <v>3.53</v>
      </c>
      <c r="H346" s="1">
        <v>25.03</v>
      </c>
      <c r="I346" s="11">
        <v>1.99905</v>
      </c>
      <c r="J346" s="1">
        <v>265.41000000000003</v>
      </c>
      <c r="K346" s="11">
        <v>1.88862</v>
      </c>
      <c r="L346" s="1">
        <v>49.05</v>
      </c>
      <c r="M346" s="11">
        <v>6.2</v>
      </c>
      <c r="N346" s="1">
        <v>466.3</v>
      </c>
      <c r="O346" s="11">
        <v>2.8224999999999998</v>
      </c>
      <c r="P346" s="1">
        <f t="shared" si="41"/>
        <v>2844.6000000000004</v>
      </c>
      <c r="Q346" s="1">
        <v>2924.06</v>
      </c>
      <c r="R346" s="16">
        <f t="shared" si="42"/>
        <v>2210205.6104250001</v>
      </c>
      <c r="S346" s="20">
        <v>602.01</v>
      </c>
      <c r="T346" s="21">
        <v>216.13000000000002</v>
      </c>
      <c r="U346" s="21">
        <v>7.15</v>
      </c>
      <c r="V346" s="8">
        <v>825.29</v>
      </c>
      <c r="W346" s="25">
        <v>1.238</v>
      </c>
      <c r="X346" s="25">
        <f t="shared" si="43"/>
        <v>255427.25499999998</v>
      </c>
      <c r="Y346" s="1">
        <f t="shared" si="44"/>
        <v>3669.8900000000003</v>
      </c>
      <c r="Z346" s="1">
        <f t="shared" si="45"/>
        <v>3749.35</v>
      </c>
      <c r="AA346" s="1">
        <v>3758.53</v>
      </c>
      <c r="AB346" s="1">
        <f t="shared" si="40"/>
        <v>-88.639999999999873</v>
      </c>
      <c r="AC346" s="29">
        <f t="shared" si="46"/>
        <v>9.180000000000291</v>
      </c>
      <c r="AD346" s="11">
        <f t="shared" si="47"/>
        <v>2465632.865425</v>
      </c>
    </row>
    <row r="347" spans="1:30" x14ac:dyDescent="0.3">
      <c r="A347" s="14">
        <v>45874.572916666664</v>
      </c>
      <c r="B347" s="1">
        <v>1099.4100000000001</v>
      </c>
      <c r="C347" s="11">
        <v>3.2732000000000001</v>
      </c>
      <c r="D347" s="1">
        <v>540.05999999999995</v>
      </c>
      <c r="E347" s="11">
        <v>3.0760000000000001</v>
      </c>
      <c r="F347" s="1">
        <v>398.57</v>
      </c>
      <c r="G347" s="11">
        <v>3.53</v>
      </c>
      <c r="H347" s="1">
        <v>26.82</v>
      </c>
      <c r="I347" s="11">
        <v>1.9994499999999999</v>
      </c>
      <c r="J347" s="1">
        <v>179.13</v>
      </c>
      <c r="K347" s="11">
        <v>2.15516</v>
      </c>
      <c r="L347" s="1">
        <v>49.39</v>
      </c>
      <c r="M347" s="11">
        <v>6.2</v>
      </c>
      <c r="N347" s="1">
        <v>468.56</v>
      </c>
      <c r="O347" s="11">
        <v>2.8224999999999998</v>
      </c>
      <c r="P347" s="1">
        <f t="shared" si="41"/>
        <v>2761.94</v>
      </c>
      <c r="Q347" s="1">
        <v>2853.21</v>
      </c>
      <c r="R347" s="16">
        <f t="shared" si="42"/>
        <v>2183793.2829499999</v>
      </c>
      <c r="S347" s="20">
        <v>761.7600000000001</v>
      </c>
      <c r="T347" s="21">
        <v>211.16</v>
      </c>
      <c r="U347" s="21">
        <v>6.21</v>
      </c>
      <c r="V347" s="8">
        <v>979.13000000000011</v>
      </c>
      <c r="W347" s="25">
        <v>1.238</v>
      </c>
      <c r="X347" s="25">
        <f t="shared" si="43"/>
        <v>303040.73500000004</v>
      </c>
      <c r="Y347" s="1">
        <f t="shared" si="44"/>
        <v>3741.07</v>
      </c>
      <c r="Z347" s="1">
        <f t="shared" si="45"/>
        <v>3832.34</v>
      </c>
      <c r="AA347" s="1">
        <v>3839.78</v>
      </c>
      <c r="AB347" s="1">
        <f t="shared" si="40"/>
        <v>-98.710000000000036</v>
      </c>
      <c r="AC347" s="29">
        <f t="shared" si="46"/>
        <v>7.4400000000000546</v>
      </c>
      <c r="AD347" s="11">
        <f t="shared" si="47"/>
        <v>2486834.0179499998</v>
      </c>
    </row>
    <row r="348" spans="1:30" x14ac:dyDescent="0.3">
      <c r="A348" s="14">
        <v>45874.583333333336</v>
      </c>
      <c r="B348" s="1">
        <v>1099.4100000000001</v>
      </c>
      <c r="C348" s="11">
        <v>3.2732000000000001</v>
      </c>
      <c r="D348" s="1">
        <v>540.05999999999995</v>
      </c>
      <c r="E348" s="11">
        <v>3.0760000000000001</v>
      </c>
      <c r="F348" s="1">
        <v>398.57</v>
      </c>
      <c r="G348" s="11">
        <v>3.53</v>
      </c>
      <c r="H348" s="1">
        <v>27.15</v>
      </c>
      <c r="I348" s="11">
        <v>1.99993</v>
      </c>
      <c r="J348" s="1">
        <v>260.89</v>
      </c>
      <c r="K348" s="11">
        <v>2.7997800000000002</v>
      </c>
      <c r="L348" s="1">
        <v>47.09</v>
      </c>
      <c r="M348" s="11">
        <v>6.2</v>
      </c>
      <c r="N348" s="1">
        <v>462.33</v>
      </c>
      <c r="O348" s="11">
        <v>2.8224999999999998</v>
      </c>
      <c r="P348" s="1">
        <f t="shared" si="41"/>
        <v>2835.5</v>
      </c>
      <c r="Q348" s="1">
        <v>2962.21</v>
      </c>
      <c r="R348" s="16">
        <f t="shared" si="42"/>
        <v>2262095.6501750001</v>
      </c>
      <c r="S348" s="20">
        <v>782.66999999999985</v>
      </c>
      <c r="T348" s="21">
        <v>211.26000000000002</v>
      </c>
      <c r="U348" s="21">
        <v>6.89</v>
      </c>
      <c r="V348" s="8">
        <v>1000.8199999999998</v>
      </c>
      <c r="W348" s="25">
        <v>1.238</v>
      </c>
      <c r="X348" s="25">
        <f t="shared" si="43"/>
        <v>309753.78999999992</v>
      </c>
      <c r="Y348" s="1">
        <f t="shared" si="44"/>
        <v>3836.3199999999997</v>
      </c>
      <c r="Z348" s="1">
        <f t="shared" si="45"/>
        <v>3963.0299999999997</v>
      </c>
      <c r="AA348" s="1">
        <v>3984.59</v>
      </c>
      <c r="AB348" s="1">
        <f t="shared" si="40"/>
        <v>-148.27000000000044</v>
      </c>
      <c r="AC348" s="29">
        <f t="shared" si="46"/>
        <v>21.5600000000004</v>
      </c>
      <c r="AD348" s="11">
        <f t="shared" si="47"/>
        <v>2571849.4401750001</v>
      </c>
    </row>
    <row r="349" spans="1:30" x14ac:dyDescent="0.3">
      <c r="A349" s="14">
        <v>45874.59375</v>
      </c>
      <c r="B349" s="1">
        <v>1102.3800000000001</v>
      </c>
      <c r="C349" s="11">
        <v>3.2732000000000001</v>
      </c>
      <c r="D349" s="1">
        <v>540.05999999999995</v>
      </c>
      <c r="E349" s="11">
        <v>3.0760000000000001</v>
      </c>
      <c r="F349" s="1">
        <v>398.57</v>
      </c>
      <c r="G349" s="11">
        <v>3.53</v>
      </c>
      <c r="H349" s="1">
        <v>27.16</v>
      </c>
      <c r="I349" s="11">
        <v>2.1183400000000003</v>
      </c>
      <c r="J349" s="1">
        <v>267.55</v>
      </c>
      <c r="K349" s="11">
        <v>3.03939</v>
      </c>
      <c r="L349" s="1">
        <v>47.1</v>
      </c>
      <c r="M349" s="11">
        <v>6.2</v>
      </c>
      <c r="N349" s="1">
        <v>448.48</v>
      </c>
      <c r="O349" s="11">
        <v>2.8224999999999998</v>
      </c>
      <c r="P349" s="1">
        <f t="shared" si="41"/>
        <v>2831.3</v>
      </c>
      <c r="Q349" s="1">
        <v>3017.21</v>
      </c>
      <c r="R349" s="16">
        <f t="shared" si="42"/>
        <v>2276266.1462250003</v>
      </c>
      <c r="S349" s="20">
        <v>835.29</v>
      </c>
      <c r="T349" s="21">
        <v>207.43</v>
      </c>
      <c r="U349" s="21">
        <v>8.7900000000000009</v>
      </c>
      <c r="V349" s="8">
        <v>1051.51</v>
      </c>
      <c r="W349" s="25">
        <v>1.238</v>
      </c>
      <c r="X349" s="25">
        <f t="shared" si="43"/>
        <v>325442.34499999997</v>
      </c>
      <c r="Y349" s="1">
        <f t="shared" si="44"/>
        <v>3882.8100000000004</v>
      </c>
      <c r="Z349" s="1">
        <f t="shared" si="45"/>
        <v>4068.7200000000003</v>
      </c>
      <c r="AA349" s="1">
        <v>4081.52</v>
      </c>
      <c r="AB349" s="1">
        <f t="shared" si="40"/>
        <v>-198.70999999999958</v>
      </c>
      <c r="AC349" s="29">
        <f t="shared" si="46"/>
        <v>12.799999999999727</v>
      </c>
      <c r="AD349" s="11">
        <f t="shared" si="47"/>
        <v>2601708.4912250005</v>
      </c>
    </row>
    <row r="350" spans="1:30" x14ac:dyDescent="0.3">
      <c r="A350" s="14">
        <v>45874.604166666664</v>
      </c>
      <c r="B350" s="1">
        <v>1107.8499999999999</v>
      </c>
      <c r="C350" s="11">
        <v>3.2732000000000001</v>
      </c>
      <c r="D350" s="1">
        <v>540.05999999999995</v>
      </c>
      <c r="E350" s="11">
        <v>3.0760000000000001</v>
      </c>
      <c r="F350" s="1">
        <v>398.57</v>
      </c>
      <c r="G350" s="11">
        <v>3.53</v>
      </c>
      <c r="H350" s="1">
        <v>29.76</v>
      </c>
      <c r="I350" s="11">
        <v>2.3956900000000001</v>
      </c>
      <c r="J350" s="1">
        <v>303.37</v>
      </c>
      <c r="K350" s="11">
        <v>3.30891</v>
      </c>
      <c r="L350" s="1">
        <v>43.59</v>
      </c>
      <c r="M350" s="11">
        <v>6.2</v>
      </c>
      <c r="N350" s="1">
        <v>432.11</v>
      </c>
      <c r="O350" s="11">
        <v>2.8224999999999998</v>
      </c>
      <c r="P350" s="1">
        <f t="shared" si="41"/>
        <v>2855.31</v>
      </c>
      <c r="Q350" s="1">
        <v>3132.94</v>
      </c>
      <c r="R350" s="16">
        <f t="shared" si="42"/>
        <v>2314849.8790249997</v>
      </c>
      <c r="S350" s="20">
        <v>793.55000000000018</v>
      </c>
      <c r="T350" s="21">
        <v>203.9</v>
      </c>
      <c r="U350" s="21">
        <v>8.92</v>
      </c>
      <c r="V350" s="8">
        <v>1006.3700000000001</v>
      </c>
      <c r="W350" s="25">
        <v>1.238</v>
      </c>
      <c r="X350" s="25">
        <f t="shared" si="43"/>
        <v>311471.51500000001</v>
      </c>
      <c r="Y350" s="1">
        <f t="shared" si="44"/>
        <v>3861.6800000000003</v>
      </c>
      <c r="Z350" s="1">
        <f t="shared" si="45"/>
        <v>4139.3100000000004</v>
      </c>
      <c r="AA350" s="1">
        <v>4155.45</v>
      </c>
      <c r="AB350" s="1">
        <f t="shared" si="40"/>
        <v>-293.76999999999953</v>
      </c>
      <c r="AC350" s="29">
        <f t="shared" si="46"/>
        <v>16.139999999999418</v>
      </c>
      <c r="AD350" s="11">
        <f t="shared" si="47"/>
        <v>2626321.3940249998</v>
      </c>
    </row>
    <row r="351" spans="1:30" x14ac:dyDescent="0.3">
      <c r="A351" s="14">
        <v>45874.614583333336</v>
      </c>
      <c r="B351" s="1">
        <v>1107.7</v>
      </c>
      <c r="C351" s="11">
        <v>3.2732000000000001</v>
      </c>
      <c r="D351" s="1">
        <v>540.05999999999995</v>
      </c>
      <c r="E351" s="11">
        <v>3.0760000000000001</v>
      </c>
      <c r="F351" s="1">
        <v>398.57</v>
      </c>
      <c r="G351" s="11">
        <v>3.53</v>
      </c>
      <c r="H351" s="1">
        <v>36.700000000000003</v>
      </c>
      <c r="I351" s="11">
        <v>2.6938599999999999</v>
      </c>
      <c r="J351" s="1">
        <v>306.16000000000003</v>
      </c>
      <c r="K351" s="11">
        <v>3.3809999999999998</v>
      </c>
      <c r="L351" s="1">
        <v>37.28</v>
      </c>
      <c r="M351" s="11">
        <v>6.2</v>
      </c>
      <c r="N351" s="1">
        <v>428.09</v>
      </c>
      <c r="O351" s="11">
        <v>2.8224999999999998</v>
      </c>
      <c r="P351" s="1">
        <f t="shared" si="41"/>
        <v>2854.56</v>
      </c>
      <c r="Q351" s="1">
        <v>3117.95</v>
      </c>
      <c r="R351" s="16">
        <f t="shared" si="42"/>
        <v>2316827.9867499997</v>
      </c>
      <c r="S351" s="20">
        <v>855.48</v>
      </c>
      <c r="T351" s="21">
        <v>199.17000000000002</v>
      </c>
      <c r="U351" s="21">
        <v>11.9</v>
      </c>
      <c r="V351" s="8">
        <v>1066.5500000000002</v>
      </c>
      <c r="W351" s="25">
        <v>1.238</v>
      </c>
      <c r="X351" s="25">
        <f t="shared" si="43"/>
        <v>330097.22500000003</v>
      </c>
      <c r="Y351" s="1">
        <f t="shared" si="44"/>
        <v>3921.11</v>
      </c>
      <c r="Z351" s="1">
        <f t="shared" si="45"/>
        <v>4184.5</v>
      </c>
      <c r="AA351" s="1">
        <v>4197.71</v>
      </c>
      <c r="AB351" s="1">
        <f t="shared" si="40"/>
        <v>-276.59999999999991</v>
      </c>
      <c r="AC351" s="29">
        <f t="shared" si="46"/>
        <v>13.210000000000036</v>
      </c>
      <c r="AD351" s="11">
        <f t="shared" si="47"/>
        <v>2646925.2117499998</v>
      </c>
    </row>
    <row r="352" spans="1:30" x14ac:dyDescent="0.3">
      <c r="A352" s="14">
        <v>45874.625</v>
      </c>
      <c r="B352" s="1">
        <v>1240.52</v>
      </c>
      <c r="C352" s="11">
        <v>3.2732000000000001</v>
      </c>
      <c r="D352" s="1">
        <v>540.05999999999995</v>
      </c>
      <c r="E352" s="11">
        <v>3.0760000000000001</v>
      </c>
      <c r="F352" s="1">
        <v>398.57</v>
      </c>
      <c r="G352" s="11">
        <v>3.53</v>
      </c>
      <c r="H352" s="1">
        <v>38.729999999999997</v>
      </c>
      <c r="I352" s="11">
        <v>2.7805599999999999</v>
      </c>
      <c r="J352" s="1">
        <v>190.97</v>
      </c>
      <c r="K352" s="11">
        <v>3.3080799999999999</v>
      </c>
      <c r="L352" s="1">
        <v>36.69</v>
      </c>
      <c r="M352" s="11">
        <v>6.2</v>
      </c>
      <c r="N352" s="1">
        <v>375.75</v>
      </c>
      <c r="O352" s="11">
        <v>2.8224999999999998</v>
      </c>
      <c r="P352" s="1">
        <f t="shared" si="41"/>
        <v>2821.29</v>
      </c>
      <c r="Q352" s="1">
        <v>3104.76</v>
      </c>
      <c r="R352" s="16">
        <f t="shared" si="42"/>
        <v>2289028.5563500002</v>
      </c>
      <c r="S352" s="20">
        <v>956.59</v>
      </c>
      <c r="T352" s="21">
        <v>193.56</v>
      </c>
      <c r="U352" s="21">
        <v>11.120000000000001</v>
      </c>
      <c r="V352" s="8">
        <v>1161.27</v>
      </c>
      <c r="W352" s="25">
        <v>1.238</v>
      </c>
      <c r="X352" s="25">
        <f t="shared" si="43"/>
        <v>359413.065</v>
      </c>
      <c r="Y352" s="1">
        <f t="shared" si="44"/>
        <v>3982.56</v>
      </c>
      <c r="Z352" s="1">
        <f t="shared" si="45"/>
        <v>4266.0300000000007</v>
      </c>
      <c r="AA352" s="1">
        <v>4273.91</v>
      </c>
      <c r="AB352" s="1">
        <f t="shared" si="40"/>
        <v>-291.34999999999991</v>
      </c>
      <c r="AC352" s="29">
        <f t="shared" si="46"/>
        <v>7.8799999999991996</v>
      </c>
      <c r="AD352" s="11">
        <f t="shared" si="47"/>
        <v>2648441.6213500001</v>
      </c>
    </row>
    <row r="353" spans="1:30" x14ac:dyDescent="0.3">
      <c r="A353" s="14">
        <v>45874.635416666664</v>
      </c>
      <c r="B353" s="1">
        <v>1323.68</v>
      </c>
      <c r="C353" s="11">
        <v>3.2732000000000001</v>
      </c>
      <c r="D353" s="1">
        <v>540.05999999999995</v>
      </c>
      <c r="E353" s="11">
        <v>3.0760000000000001</v>
      </c>
      <c r="F353" s="1">
        <v>398.57</v>
      </c>
      <c r="G353" s="11">
        <v>3.53</v>
      </c>
      <c r="H353" s="1">
        <v>38.840000000000003</v>
      </c>
      <c r="I353" s="11">
        <v>2.9020600000000001</v>
      </c>
      <c r="J353" s="1">
        <v>221.43</v>
      </c>
      <c r="K353" s="11">
        <v>3.30802</v>
      </c>
      <c r="L353" s="1">
        <v>36.68</v>
      </c>
      <c r="M353" s="11">
        <v>6.2</v>
      </c>
      <c r="N353" s="1">
        <v>358.65</v>
      </c>
      <c r="O353" s="11">
        <v>2.8224999999999998</v>
      </c>
      <c r="P353" s="1">
        <f t="shared" si="41"/>
        <v>2917.91</v>
      </c>
      <c r="Q353" s="1">
        <v>3085.57</v>
      </c>
      <c r="R353" s="16">
        <f t="shared" si="42"/>
        <v>2371440.6349999998</v>
      </c>
      <c r="S353" s="20">
        <v>1013.4499999999999</v>
      </c>
      <c r="T353" s="21">
        <v>187.03000000000003</v>
      </c>
      <c r="U353" s="21">
        <v>12.77</v>
      </c>
      <c r="V353" s="8">
        <v>1213.25</v>
      </c>
      <c r="W353" s="25">
        <v>1.238</v>
      </c>
      <c r="X353" s="25">
        <f t="shared" si="43"/>
        <v>375500.875</v>
      </c>
      <c r="Y353" s="1">
        <f t="shared" si="44"/>
        <v>4131.16</v>
      </c>
      <c r="Z353" s="1">
        <f t="shared" si="45"/>
        <v>4298.82</v>
      </c>
      <c r="AA353" s="1">
        <v>4310.18</v>
      </c>
      <c r="AB353" s="1">
        <f t="shared" si="40"/>
        <v>-179.02000000000044</v>
      </c>
      <c r="AC353" s="29">
        <f t="shared" si="46"/>
        <v>11.360000000000582</v>
      </c>
      <c r="AD353" s="11">
        <f t="shared" si="47"/>
        <v>2746941.51</v>
      </c>
    </row>
    <row r="354" spans="1:30" x14ac:dyDescent="0.3">
      <c r="A354" s="14">
        <v>45874.645833333336</v>
      </c>
      <c r="B354" s="1">
        <v>1324.34</v>
      </c>
      <c r="C354" s="11">
        <v>3.2732000000000001</v>
      </c>
      <c r="D354" s="1">
        <v>540.05999999999995</v>
      </c>
      <c r="E354" s="11">
        <v>3.0760000000000001</v>
      </c>
      <c r="F354" s="1">
        <v>398.57</v>
      </c>
      <c r="G354" s="11">
        <v>3.53</v>
      </c>
      <c r="H354" s="1">
        <v>38.11</v>
      </c>
      <c r="I354" s="11">
        <v>2.9227600000000002</v>
      </c>
      <c r="J354" s="1">
        <v>401.8</v>
      </c>
      <c r="K354" s="11">
        <v>3.0399699999999998</v>
      </c>
      <c r="L354" s="1">
        <v>36.86</v>
      </c>
      <c r="M354" s="11">
        <v>6.2</v>
      </c>
      <c r="N354" s="1">
        <v>333.06</v>
      </c>
      <c r="O354" s="11">
        <v>2.8224999999999998</v>
      </c>
      <c r="P354" s="1">
        <f t="shared" si="41"/>
        <v>3072.8</v>
      </c>
      <c r="Q354" s="1">
        <v>3089.49</v>
      </c>
      <c r="R354" s="16">
        <f t="shared" si="42"/>
        <v>2476111.6318999999</v>
      </c>
      <c r="S354" s="20">
        <v>1041.7</v>
      </c>
      <c r="T354" s="21">
        <v>180.03</v>
      </c>
      <c r="U354" s="21">
        <v>15.32</v>
      </c>
      <c r="V354" s="8">
        <v>1237.05</v>
      </c>
      <c r="W354" s="25">
        <v>1.238</v>
      </c>
      <c r="X354" s="25">
        <f t="shared" si="43"/>
        <v>382866.97499999998</v>
      </c>
      <c r="Y354" s="1">
        <f t="shared" si="44"/>
        <v>4309.8500000000004</v>
      </c>
      <c r="Z354" s="1">
        <f t="shared" si="45"/>
        <v>4326.54</v>
      </c>
      <c r="AA354" s="1">
        <v>4333.78</v>
      </c>
      <c r="AB354" s="1">
        <f t="shared" si="40"/>
        <v>-23.929999999999382</v>
      </c>
      <c r="AC354" s="29">
        <f t="shared" si="46"/>
        <v>7.2399999999997817</v>
      </c>
      <c r="AD354" s="11">
        <f t="shared" si="47"/>
        <v>2858978.6069</v>
      </c>
    </row>
    <row r="355" spans="1:30" x14ac:dyDescent="0.3">
      <c r="A355" s="14">
        <v>45874.65625</v>
      </c>
      <c r="B355" s="1">
        <v>1323.94</v>
      </c>
      <c r="C355" s="11">
        <v>3.2732000000000001</v>
      </c>
      <c r="D355" s="1">
        <v>540.05999999999995</v>
      </c>
      <c r="E355" s="11">
        <v>3.0760000000000001</v>
      </c>
      <c r="F355" s="1">
        <v>398.57</v>
      </c>
      <c r="G355" s="11">
        <v>3.53</v>
      </c>
      <c r="H355" s="1">
        <v>38.520000000000003</v>
      </c>
      <c r="I355" s="11">
        <v>2.9224899999999998</v>
      </c>
      <c r="J355" s="1">
        <v>412.47</v>
      </c>
      <c r="K355" s="11">
        <v>3.0395500000000002</v>
      </c>
      <c r="L355" s="1">
        <v>36.869999999999997</v>
      </c>
      <c r="M355" s="11">
        <v>6.2</v>
      </c>
      <c r="N355" s="1">
        <v>305.37</v>
      </c>
      <c r="O355" s="11">
        <v>2.8224999999999998</v>
      </c>
      <c r="P355" s="1">
        <f t="shared" si="41"/>
        <v>3055.8</v>
      </c>
      <c r="Q355" s="1">
        <v>3113.98</v>
      </c>
      <c r="R355" s="16">
        <f t="shared" si="42"/>
        <v>2464623.8490749998</v>
      </c>
      <c r="S355" s="20">
        <v>1071.23</v>
      </c>
      <c r="T355" s="21">
        <v>172.69</v>
      </c>
      <c r="U355" s="21">
        <v>16.25</v>
      </c>
      <c r="V355" s="8">
        <v>1260.17</v>
      </c>
      <c r="W355" s="25">
        <v>1.238</v>
      </c>
      <c r="X355" s="25">
        <f t="shared" si="43"/>
        <v>390022.61500000005</v>
      </c>
      <c r="Y355" s="1">
        <f t="shared" si="44"/>
        <v>4315.97</v>
      </c>
      <c r="Z355" s="1">
        <f t="shared" si="45"/>
        <v>4374.1499999999996</v>
      </c>
      <c r="AA355" s="1">
        <v>4382.09</v>
      </c>
      <c r="AB355" s="1">
        <f t="shared" si="40"/>
        <v>-66.119999999999891</v>
      </c>
      <c r="AC355" s="29">
        <f t="shared" si="46"/>
        <v>7.9400000000005093</v>
      </c>
      <c r="AD355" s="11">
        <f t="shared" si="47"/>
        <v>2854646.464075</v>
      </c>
    </row>
    <row r="356" spans="1:30" x14ac:dyDescent="0.3">
      <c r="A356" s="14">
        <v>45874.666666666664</v>
      </c>
      <c r="B356" s="1">
        <v>1418.28</v>
      </c>
      <c r="C356" s="11">
        <v>3.2732000000000001</v>
      </c>
      <c r="D356" s="1">
        <v>540.05999999999995</v>
      </c>
      <c r="E356" s="11">
        <v>3.0760000000000001</v>
      </c>
      <c r="F356" s="1">
        <v>512.58000000000004</v>
      </c>
      <c r="G356" s="11">
        <v>3.53</v>
      </c>
      <c r="H356" s="1">
        <v>-58.5</v>
      </c>
      <c r="I356" s="11">
        <v>3.07056</v>
      </c>
      <c r="J356" s="1">
        <v>478.82</v>
      </c>
      <c r="K356" s="11">
        <v>2.7996300000000001</v>
      </c>
      <c r="L356" s="1">
        <v>37.06</v>
      </c>
      <c r="M356" s="11">
        <v>6.2</v>
      </c>
      <c r="N356" s="1">
        <v>278.39</v>
      </c>
      <c r="O356" s="11">
        <v>2.8224999999999998</v>
      </c>
      <c r="P356" s="1">
        <f t="shared" si="41"/>
        <v>3206.69</v>
      </c>
      <c r="Q356" s="1">
        <v>3146.91</v>
      </c>
      <c r="R356" s="16">
        <f t="shared" si="42"/>
        <v>2572341.2269000001</v>
      </c>
      <c r="S356" s="20">
        <v>1044.0000000000002</v>
      </c>
      <c r="T356" s="21">
        <v>164.32</v>
      </c>
      <c r="U356" s="21">
        <v>13.759999999999998</v>
      </c>
      <c r="V356" s="8">
        <v>1222.0800000000002</v>
      </c>
      <c r="W356" s="25">
        <v>1.238</v>
      </c>
      <c r="X356" s="25">
        <f t="shared" si="43"/>
        <v>378233.76</v>
      </c>
      <c r="Y356" s="1">
        <f t="shared" si="44"/>
        <v>4428.7700000000004</v>
      </c>
      <c r="Z356" s="1">
        <f t="shared" si="45"/>
        <v>4368.99</v>
      </c>
      <c r="AA356" s="1">
        <v>4376.18</v>
      </c>
      <c r="AB356" s="1">
        <f t="shared" si="40"/>
        <v>52.590000000000146</v>
      </c>
      <c r="AC356" s="29">
        <f t="shared" si="46"/>
        <v>7.1900000000005093</v>
      </c>
      <c r="AD356" s="11">
        <f t="shared" si="47"/>
        <v>2950574.9868999999</v>
      </c>
    </row>
    <row r="357" spans="1:30" x14ac:dyDescent="0.3">
      <c r="A357" s="14">
        <v>45874.677083333336</v>
      </c>
      <c r="B357" s="1">
        <v>1438.96</v>
      </c>
      <c r="C357" s="11">
        <v>3.2732000000000001</v>
      </c>
      <c r="D357" s="1">
        <v>540.05999999999995</v>
      </c>
      <c r="E357" s="11">
        <v>3.0760000000000001</v>
      </c>
      <c r="F357" s="1">
        <v>521.16</v>
      </c>
      <c r="G357" s="11">
        <v>3.53</v>
      </c>
      <c r="H357" s="1">
        <v>-65.709999999999994</v>
      </c>
      <c r="I357" s="11">
        <v>3.3811100000000001</v>
      </c>
      <c r="J357" s="1">
        <v>474.45</v>
      </c>
      <c r="K357" s="11">
        <v>2.8297099999999999</v>
      </c>
      <c r="L357" s="1">
        <v>37.07</v>
      </c>
      <c r="M357" s="11">
        <v>6.2</v>
      </c>
      <c r="N357" s="1">
        <v>260.08999999999997</v>
      </c>
      <c r="O357" s="11">
        <v>2.8224999999999998</v>
      </c>
      <c r="P357" s="1">
        <f t="shared" si="41"/>
        <v>3206.08</v>
      </c>
      <c r="Q357" s="1">
        <v>3142.62</v>
      </c>
      <c r="R357" s="16">
        <f t="shared" si="42"/>
        <v>2573811.1070999997</v>
      </c>
      <c r="S357" s="20">
        <v>1006.94</v>
      </c>
      <c r="T357" s="21">
        <v>156.18999999999997</v>
      </c>
      <c r="U357" s="21">
        <v>15.489999999999998</v>
      </c>
      <c r="V357" s="8">
        <v>1178.6200000000001</v>
      </c>
      <c r="W357" s="25">
        <v>1.238</v>
      </c>
      <c r="X357" s="25">
        <f t="shared" si="43"/>
        <v>364782.89</v>
      </c>
      <c r="Y357" s="1">
        <f t="shared" si="44"/>
        <v>4384.7</v>
      </c>
      <c r="Z357" s="1">
        <f t="shared" si="45"/>
        <v>4321.24</v>
      </c>
      <c r="AA357" s="1">
        <v>4326.88</v>
      </c>
      <c r="AB357" s="1">
        <f t="shared" si="40"/>
        <v>57.819999999999709</v>
      </c>
      <c r="AC357" s="29">
        <f t="shared" si="46"/>
        <v>5.6400000000003274</v>
      </c>
      <c r="AD357" s="11">
        <f t="shared" si="47"/>
        <v>2938593.9970999998</v>
      </c>
    </row>
    <row r="358" spans="1:30" x14ac:dyDescent="0.3">
      <c r="A358" s="14">
        <v>45874.6875</v>
      </c>
      <c r="B358" s="1">
        <v>1463.19</v>
      </c>
      <c r="C358" s="11">
        <v>3.2732000000000001</v>
      </c>
      <c r="D358" s="1">
        <v>540.05999999999995</v>
      </c>
      <c r="E358" s="11">
        <v>3.0760000000000001</v>
      </c>
      <c r="F358" s="1">
        <v>521.16</v>
      </c>
      <c r="G358" s="11">
        <v>3.53</v>
      </c>
      <c r="H358" s="1">
        <v>-63.73</v>
      </c>
      <c r="I358" s="11">
        <v>3.4160200000000001</v>
      </c>
      <c r="J358" s="1">
        <v>476</v>
      </c>
      <c r="K358" s="11">
        <v>2.5001199999999999</v>
      </c>
      <c r="L358" s="1">
        <v>37.07</v>
      </c>
      <c r="M358" s="11">
        <v>6.2</v>
      </c>
      <c r="N358" s="1">
        <v>238.56</v>
      </c>
      <c r="O358" s="11">
        <v>2.8224999999999998</v>
      </c>
      <c r="P358" s="1">
        <f t="shared" si="41"/>
        <v>3212.31</v>
      </c>
      <c r="Q358" s="1">
        <v>3309.52</v>
      </c>
      <c r="R358" s="16">
        <f t="shared" si="42"/>
        <v>2541439.1583500002</v>
      </c>
      <c r="S358" s="20">
        <v>893.22</v>
      </c>
      <c r="T358" s="21">
        <v>146.67000000000004</v>
      </c>
      <c r="U358" s="21">
        <v>16.04</v>
      </c>
      <c r="V358" s="8">
        <v>1055.93</v>
      </c>
      <c r="W358" s="25">
        <v>1.238</v>
      </c>
      <c r="X358" s="25">
        <f t="shared" si="43"/>
        <v>326810.33500000002</v>
      </c>
      <c r="Y358" s="1">
        <f t="shared" si="44"/>
        <v>4268.24</v>
      </c>
      <c r="Z358" s="1">
        <f t="shared" si="45"/>
        <v>4365.45</v>
      </c>
      <c r="AA358" s="1">
        <v>4376.67</v>
      </c>
      <c r="AB358" s="1">
        <f t="shared" si="40"/>
        <v>-108.43000000000029</v>
      </c>
      <c r="AC358" s="29">
        <f t="shared" si="46"/>
        <v>11.220000000000255</v>
      </c>
      <c r="AD358" s="11">
        <f t="shared" si="47"/>
        <v>2868249.4933500001</v>
      </c>
    </row>
    <row r="359" spans="1:30" x14ac:dyDescent="0.3">
      <c r="A359" s="14">
        <v>45874.697916666664</v>
      </c>
      <c r="B359" s="1">
        <v>1465.03</v>
      </c>
      <c r="C359" s="11">
        <v>3.2732000000000001</v>
      </c>
      <c r="D359" s="1">
        <v>540.05999999999995</v>
      </c>
      <c r="E359" s="11">
        <v>3.0760000000000001</v>
      </c>
      <c r="F359" s="1">
        <v>521.16</v>
      </c>
      <c r="G359" s="11">
        <v>3.53</v>
      </c>
      <c r="H359" s="1">
        <v>-63.66</v>
      </c>
      <c r="I359" s="11">
        <v>3.4511500000000002</v>
      </c>
      <c r="J359" s="1">
        <v>405.14</v>
      </c>
      <c r="K359" s="11">
        <v>1.51966</v>
      </c>
      <c r="L359" s="1">
        <v>37.07</v>
      </c>
      <c r="M359" s="11">
        <v>6.2</v>
      </c>
      <c r="N359" s="1">
        <v>211.53</v>
      </c>
      <c r="O359" s="11">
        <v>2.8224999999999998</v>
      </c>
      <c r="P359" s="1">
        <f t="shared" si="41"/>
        <v>3116.3300000000004</v>
      </c>
      <c r="Q359" s="1">
        <v>3201.54</v>
      </c>
      <c r="R359" s="16">
        <f t="shared" si="42"/>
        <v>2379776.9561000005</v>
      </c>
      <c r="S359" s="20">
        <v>1025.5600000000002</v>
      </c>
      <c r="T359" s="21">
        <v>138.1</v>
      </c>
      <c r="U359" s="21">
        <v>13.82</v>
      </c>
      <c r="V359" s="8">
        <v>1177.48</v>
      </c>
      <c r="W359" s="25">
        <v>1.238</v>
      </c>
      <c r="X359" s="25">
        <f t="shared" si="43"/>
        <v>364430.06</v>
      </c>
      <c r="Y359" s="1">
        <f t="shared" si="44"/>
        <v>4293.8100000000004</v>
      </c>
      <c r="Z359" s="1">
        <f t="shared" si="45"/>
        <v>4379.0200000000004</v>
      </c>
      <c r="AA359" s="1">
        <v>4383.3999999999996</v>
      </c>
      <c r="AB359" s="1">
        <f t="shared" si="40"/>
        <v>-89.589999999999236</v>
      </c>
      <c r="AC359" s="29">
        <f t="shared" si="46"/>
        <v>4.3799999999991996</v>
      </c>
      <c r="AD359" s="11">
        <f t="shared" si="47"/>
        <v>2744207.0161000006</v>
      </c>
    </row>
    <row r="360" spans="1:30" x14ac:dyDescent="0.3">
      <c r="A360" s="14">
        <v>45874.708333333336</v>
      </c>
      <c r="B360" s="1">
        <v>1466.2</v>
      </c>
      <c r="C360" s="11">
        <v>3.2732000000000001</v>
      </c>
      <c r="D360" s="1">
        <v>540.05999999999995</v>
      </c>
      <c r="E360" s="11">
        <v>3.0760000000000001</v>
      </c>
      <c r="F360" s="1">
        <v>521.16</v>
      </c>
      <c r="G360" s="11">
        <v>3.53</v>
      </c>
      <c r="H360" s="1">
        <v>-38.72</v>
      </c>
      <c r="I360" s="11">
        <v>3.4166699999999999</v>
      </c>
      <c r="J360" s="1">
        <v>533.14</v>
      </c>
      <c r="K360" s="11">
        <v>0.99980999999999998</v>
      </c>
      <c r="L360" s="1">
        <v>2.68</v>
      </c>
      <c r="M360" s="11">
        <v>6.2</v>
      </c>
      <c r="N360" s="1">
        <v>188.61</v>
      </c>
      <c r="O360" s="11">
        <v>2.8224999999999998</v>
      </c>
      <c r="P360" s="1">
        <f t="shared" si="41"/>
        <v>3213.13</v>
      </c>
      <c r="Q360" s="1">
        <v>3210.32</v>
      </c>
      <c r="R360" s="16">
        <f t="shared" si="42"/>
        <v>2312449.5415000003</v>
      </c>
      <c r="S360" s="20">
        <v>1010.86</v>
      </c>
      <c r="T360" s="21">
        <v>128.45000000000002</v>
      </c>
      <c r="U360" s="21">
        <v>13.79</v>
      </c>
      <c r="V360" s="8">
        <v>1153.0999999999999</v>
      </c>
      <c r="W360" s="25">
        <v>1.238</v>
      </c>
      <c r="X360" s="25">
        <f t="shared" si="43"/>
        <v>356884.44999999995</v>
      </c>
      <c r="Y360" s="1">
        <f t="shared" si="44"/>
        <v>4366.2299999999996</v>
      </c>
      <c r="Z360" s="1">
        <f t="shared" si="45"/>
        <v>4363.42</v>
      </c>
      <c r="AA360" s="1">
        <v>4375.1400000000003</v>
      </c>
      <c r="AB360" s="1">
        <f t="shared" si="40"/>
        <v>-8.910000000000764</v>
      </c>
      <c r="AC360" s="29">
        <f t="shared" si="46"/>
        <v>11.720000000000255</v>
      </c>
      <c r="AD360" s="11">
        <f t="shared" si="47"/>
        <v>2669333.9915000005</v>
      </c>
    </row>
    <row r="361" spans="1:30" x14ac:dyDescent="0.3">
      <c r="A361" s="14">
        <v>45874.71875</v>
      </c>
      <c r="B361" s="1">
        <v>1468.06</v>
      </c>
      <c r="C361" s="11">
        <v>3.2732000000000001</v>
      </c>
      <c r="D361" s="1">
        <v>540.05999999999995</v>
      </c>
      <c r="E361" s="11">
        <v>3.0760000000000001</v>
      </c>
      <c r="F361" s="1">
        <v>521.16</v>
      </c>
      <c r="G361" s="11">
        <v>3.53</v>
      </c>
      <c r="H361" s="1">
        <v>-36.93</v>
      </c>
      <c r="I361" s="11">
        <v>3.4512899999999997</v>
      </c>
      <c r="J361" s="1">
        <v>434.91</v>
      </c>
      <c r="K361" s="11">
        <v>2.0009600000000001</v>
      </c>
      <c r="L361" s="1">
        <v>0</v>
      </c>
      <c r="M361" s="11">
        <v>6.2</v>
      </c>
      <c r="N361" s="1">
        <v>161.04</v>
      </c>
      <c r="O361" s="11">
        <v>2.8224999999999998</v>
      </c>
      <c r="P361" s="1">
        <f t="shared" si="41"/>
        <v>3088.2999999999997</v>
      </c>
      <c r="Q361" s="1">
        <v>3038.82</v>
      </c>
      <c r="R361" s="16">
        <f t="shared" si="42"/>
        <v>2375872.5314750001</v>
      </c>
      <c r="S361" s="20">
        <v>1173.6299999999999</v>
      </c>
      <c r="T361" s="21">
        <v>120.1</v>
      </c>
      <c r="U361" s="21">
        <v>15.43</v>
      </c>
      <c r="V361" s="8">
        <v>1309.1599999999999</v>
      </c>
      <c r="W361" s="25">
        <v>1.238</v>
      </c>
      <c r="X361" s="25">
        <f t="shared" si="43"/>
        <v>405185.01999999996</v>
      </c>
      <c r="Y361" s="1">
        <f t="shared" si="44"/>
        <v>4397.4599999999991</v>
      </c>
      <c r="Z361" s="1">
        <f t="shared" si="45"/>
        <v>4347.9799999999996</v>
      </c>
      <c r="AA361" s="1">
        <v>4352.1499999999996</v>
      </c>
      <c r="AB361" s="1">
        <f t="shared" si="40"/>
        <v>45.309999999999491</v>
      </c>
      <c r="AC361" s="29">
        <f t="shared" si="46"/>
        <v>4.1700000000000728</v>
      </c>
      <c r="AD361" s="11">
        <f t="shared" si="47"/>
        <v>2781057.5514750001</v>
      </c>
    </row>
    <row r="362" spans="1:30" x14ac:dyDescent="0.3">
      <c r="A362" s="14">
        <v>45874.729166666664</v>
      </c>
      <c r="B362" s="1">
        <v>1468.41</v>
      </c>
      <c r="C362" s="11">
        <v>3.2732000000000001</v>
      </c>
      <c r="D362" s="1">
        <v>540.05999999999995</v>
      </c>
      <c r="E362" s="11">
        <v>3.0760000000000001</v>
      </c>
      <c r="F362" s="1">
        <v>521.16</v>
      </c>
      <c r="G362" s="11">
        <v>3.53</v>
      </c>
      <c r="H362" s="1">
        <v>-36.75</v>
      </c>
      <c r="I362" s="11">
        <v>3.4517099999999998</v>
      </c>
      <c r="J362" s="1">
        <v>422.99</v>
      </c>
      <c r="K362" s="11">
        <v>2.4998800000000001</v>
      </c>
      <c r="L362" s="1">
        <v>0</v>
      </c>
      <c r="M362" s="11">
        <v>6.2</v>
      </c>
      <c r="N362" s="1">
        <v>132.44</v>
      </c>
      <c r="O362" s="11">
        <v>2.8224999999999998</v>
      </c>
      <c r="P362" s="1">
        <f t="shared" si="41"/>
        <v>3048.31</v>
      </c>
      <c r="Q362" s="1">
        <v>2915.62</v>
      </c>
      <c r="R362" s="16">
        <f t="shared" si="42"/>
        <v>2402926.1926750001</v>
      </c>
      <c r="S362" s="20">
        <v>1260.8799999999999</v>
      </c>
      <c r="T362" s="21">
        <v>112.92999999999999</v>
      </c>
      <c r="U362" s="21">
        <v>14.23</v>
      </c>
      <c r="V362" s="8">
        <v>1388.04</v>
      </c>
      <c r="W362" s="25">
        <v>1.238</v>
      </c>
      <c r="X362" s="25">
        <f t="shared" si="43"/>
        <v>429598.37999999995</v>
      </c>
      <c r="Y362" s="1">
        <f t="shared" si="44"/>
        <v>4436.3500000000004</v>
      </c>
      <c r="Z362" s="1">
        <f t="shared" si="45"/>
        <v>4303.66</v>
      </c>
      <c r="AA362" s="1">
        <v>4307.3599999999997</v>
      </c>
      <c r="AB362" s="1">
        <f t="shared" si="40"/>
        <v>128.99000000000069</v>
      </c>
      <c r="AC362" s="29">
        <f t="shared" si="46"/>
        <v>3.6999999999998181</v>
      </c>
      <c r="AD362" s="11">
        <f t="shared" si="47"/>
        <v>2832524.5726749999</v>
      </c>
    </row>
    <row r="363" spans="1:30" x14ac:dyDescent="0.3">
      <c r="A363" s="14">
        <v>45874.739583333336</v>
      </c>
      <c r="B363" s="1">
        <v>1468.43</v>
      </c>
      <c r="C363" s="11">
        <v>3.2732000000000001</v>
      </c>
      <c r="D363" s="1">
        <v>540.05999999999995</v>
      </c>
      <c r="E363" s="11">
        <v>3.0760000000000001</v>
      </c>
      <c r="F363" s="1">
        <v>521.16</v>
      </c>
      <c r="G363" s="11">
        <v>3.53</v>
      </c>
      <c r="H363" s="1">
        <v>-57.94</v>
      </c>
      <c r="I363" s="11">
        <v>3.5651700000000002</v>
      </c>
      <c r="J363" s="1">
        <v>425.56</v>
      </c>
      <c r="K363" s="11">
        <v>2.8077299999999998</v>
      </c>
      <c r="L363" s="1">
        <v>0</v>
      </c>
      <c r="M363" s="11">
        <v>6.2</v>
      </c>
      <c r="N363" s="1">
        <v>107.08</v>
      </c>
      <c r="O363" s="11">
        <v>2.8224999999999998</v>
      </c>
      <c r="P363" s="1">
        <f t="shared" si="41"/>
        <v>3004.35</v>
      </c>
      <c r="Q363" s="1">
        <v>2957.88</v>
      </c>
      <c r="R363" s="16">
        <f t="shared" si="42"/>
        <v>2399477.3412500001</v>
      </c>
      <c r="S363" s="20">
        <v>1266.6599999999999</v>
      </c>
      <c r="T363" s="21">
        <v>106.97999999999999</v>
      </c>
      <c r="U363" s="21">
        <v>13.88</v>
      </c>
      <c r="V363" s="8">
        <v>1387.52</v>
      </c>
      <c r="W363" s="25">
        <v>1.238</v>
      </c>
      <c r="X363" s="25">
        <f t="shared" si="43"/>
        <v>429437.44</v>
      </c>
      <c r="Y363" s="1">
        <f t="shared" si="44"/>
        <v>4391.87</v>
      </c>
      <c r="Z363" s="1">
        <f t="shared" si="45"/>
        <v>4345.3999999999996</v>
      </c>
      <c r="AA363" s="1">
        <v>4348.3900000000003</v>
      </c>
      <c r="AB363" s="1">
        <f t="shared" si="40"/>
        <v>43.479999999999563</v>
      </c>
      <c r="AC363" s="29">
        <f t="shared" si="46"/>
        <v>2.9900000000006912</v>
      </c>
      <c r="AD363" s="11">
        <f t="shared" si="47"/>
        <v>2828914.78125</v>
      </c>
    </row>
    <row r="364" spans="1:30" x14ac:dyDescent="0.3">
      <c r="A364" s="14">
        <v>45874.75</v>
      </c>
      <c r="B364" s="1">
        <v>1468.43</v>
      </c>
      <c r="C364" s="11">
        <v>3.2732000000000001</v>
      </c>
      <c r="D364" s="1">
        <v>540.05999999999995</v>
      </c>
      <c r="E364" s="11">
        <v>3.0760000000000001</v>
      </c>
      <c r="F364" s="1">
        <v>521.16</v>
      </c>
      <c r="G364" s="11">
        <v>3.53</v>
      </c>
      <c r="H364" s="1">
        <v>-50.31</v>
      </c>
      <c r="I364" s="11">
        <v>3.5859699999999997</v>
      </c>
      <c r="J364" s="1">
        <v>409.88</v>
      </c>
      <c r="K364" s="11">
        <v>2.8495599999999999</v>
      </c>
      <c r="L364" s="1">
        <v>24.33</v>
      </c>
      <c r="M364" s="11">
        <v>6.2</v>
      </c>
      <c r="N364" s="1">
        <v>101.79</v>
      </c>
      <c r="O364" s="11">
        <v>2.8224999999999998</v>
      </c>
      <c r="P364" s="1">
        <f t="shared" si="41"/>
        <v>3015.34</v>
      </c>
      <c r="Q364" s="1">
        <v>2996.58</v>
      </c>
      <c r="R364" s="16">
        <f t="shared" si="42"/>
        <v>2433275.0532750003</v>
      </c>
      <c r="S364" s="20">
        <v>1195.76</v>
      </c>
      <c r="T364" s="21">
        <v>101.44000000000001</v>
      </c>
      <c r="U364" s="21">
        <v>11.5</v>
      </c>
      <c r="V364" s="8">
        <v>1308.7</v>
      </c>
      <c r="W364" s="25">
        <v>1.238</v>
      </c>
      <c r="X364" s="25">
        <f t="shared" si="43"/>
        <v>405042.65</v>
      </c>
      <c r="Y364" s="1">
        <f t="shared" si="44"/>
        <v>4324.04</v>
      </c>
      <c r="Z364" s="1">
        <f t="shared" si="45"/>
        <v>4305.28</v>
      </c>
      <c r="AA364" s="1">
        <v>4313.1899999999996</v>
      </c>
      <c r="AB364" s="1">
        <f t="shared" si="40"/>
        <v>10.850000000000364</v>
      </c>
      <c r="AC364" s="29">
        <f t="shared" si="46"/>
        <v>7.9099999999998545</v>
      </c>
      <c r="AD364" s="11">
        <f t="shared" si="47"/>
        <v>2838317.7032750002</v>
      </c>
    </row>
    <row r="365" spans="1:30" x14ac:dyDescent="0.3">
      <c r="A365" s="14">
        <v>45874.760416666664</v>
      </c>
      <c r="B365" s="1">
        <v>1468.43</v>
      </c>
      <c r="C365" s="11">
        <v>3.2732000000000001</v>
      </c>
      <c r="D365" s="1">
        <v>540.05999999999995</v>
      </c>
      <c r="E365" s="11">
        <v>3.0760000000000001</v>
      </c>
      <c r="F365" s="1">
        <v>521.16</v>
      </c>
      <c r="G365" s="11">
        <v>3.53</v>
      </c>
      <c r="H365" s="1">
        <v>49.43</v>
      </c>
      <c r="I365" s="11">
        <v>3.6924099999999997</v>
      </c>
      <c r="J365" s="1">
        <v>318.56</v>
      </c>
      <c r="K365" s="11">
        <v>3.5009699999999997</v>
      </c>
      <c r="L365" s="1">
        <v>20.12</v>
      </c>
      <c r="M365" s="11">
        <v>6.2</v>
      </c>
      <c r="N365" s="1">
        <v>85.41</v>
      </c>
      <c r="O365" s="11">
        <v>2.8224999999999998</v>
      </c>
      <c r="P365" s="1">
        <f t="shared" si="41"/>
        <v>3003.1699999999996</v>
      </c>
      <c r="Q365" s="1">
        <v>2985.19</v>
      </c>
      <c r="R365" s="16">
        <f t="shared" si="42"/>
        <v>2492745.7476249998</v>
      </c>
      <c r="S365" s="20">
        <v>1241.3099999999997</v>
      </c>
      <c r="T365" s="21">
        <v>99.320000000000007</v>
      </c>
      <c r="U365" s="21">
        <v>10.07</v>
      </c>
      <c r="V365" s="8">
        <v>1350.6999999999996</v>
      </c>
      <c r="W365" s="25">
        <v>1.238</v>
      </c>
      <c r="X365" s="25">
        <f t="shared" si="43"/>
        <v>418041.64999999991</v>
      </c>
      <c r="Y365" s="1">
        <f t="shared" si="44"/>
        <v>4353.869999999999</v>
      </c>
      <c r="Z365" s="1">
        <f t="shared" si="45"/>
        <v>4335.8899999999994</v>
      </c>
      <c r="AA365" s="1">
        <v>4349.72</v>
      </c>
      <c r="AB365" s="1">
        <f t="shared" si="40"/>
        <v>4.1499999999987267</v>
      </c>
      <c r="AC365" s="29">
        <f t="shared" si="46"/>
        <v>13.830000000000837</v>
      </c>
      <c r="AD365" s="11">
        <f t="shared" si="47"/>
        <v>2910787.3976249998</v>
      </c>
    </row>
    <row r="366" spans="1:30" x14ac:dyDescent="0.3">
      <c r="A366" s="14">
        <v>45874.770833333336</v>
      </c>
      <c r="B366" s="1">
        <v>1468.43</v>
      </c>
      <c r="C366" s="11">
        <v>3.2732000000000001</v>
      </c>
      <c r="D366" s="1">
        <v>540.05999999999995</v>
      </c>
      <c r="E366" s="11">
        <v>3.0760000000000001</v>
      </c>
      <c r="F366" s="1">
        <v>521.16</v>
      </c>
      <c r="G366" s="11">
        <v>3.53</v>
      </c>
      <c r="H366" s="1">
        <v>47.33</v>
      </c>
      <c r="I366" s="11">
        <v>3.8374800000000002</v>
      </c>
      <c r="J366" s="1">
        <v>222.03</v>
      </c>
      <c r="K366" s="11">
        <v>3.8168299999999999</v>
      </c>
      <c r="L366" s="1">
        <v>26.05</v>
      </c>
      <c r="M366" s="11">
        <v>6.2</v>
      </c>
      <c r="N366" s="1">
        <v>72.17</v>
      </c>
      <c r="O366" s="11">
        <v>2.8224999999999998</v>
      </c>
      <c r="P366" s="1">
        <f t="shared" si="41"/>
        <v>2897.2300000000005</v>
      </c>
      <c r="Q366" s="1">
        <v>2945.99</v>
      </c>
      <c r="R366" s="16">
        <f t="shared" si="42"/>
        <v>2425418.2385749999</v>
      </c>
      <c r="S366" s="20">
        <v>1437.35</v>
      </c>
      <c r="T366" s="21">
        <v>98.29</v>
      </c>
      <c r="U366" s="21">
        <v>10.48</v>
      </c>
      <c r="V366" s="8">
        <v>1546.12</v>
      </c>
      <c r="W366" s="25">
        <v>1.238</v>
      </c>
      <c r="X366" s="25">
        <f t="shared" si="43"/>
        <v>478524.14</v>
      </c>
      <c r="Y366" s="1">
        <f t="shared" si="44"/>
        <v>4443.3500000000004</v>
      </c>
      <c r="Z366" s="1">
        <f t="shared" si="45"/>
        <v>4492.1099999999997</v>
      </c>
      <c r="AA366" s="1">
        <v>4492.5600000000004</v>
      </c>
      <c r="AB366" s="1">
        <f t="shared" si="40"/>
        <v>-49.210000000000036</v>
      </c>
      <c r="AC366" s="29">
        <f t="shared" si="46"/>
        <v>0.4500000000007276</v>
      </c>
      <c r="AD366" s="11">
        <f t="shared" si="47"/>
        <v>2903942.378575</v>
      </c>
    </row>
    <row r="367" spans="1:30" x14ac:dyDescent="0.3">
      <c r="A367" s="14">
        <v>45874.78125</v>
      </c>
      <c r="B367" s="1">
        <v>1468.43</v>
      </c>
      <c r="C367" s="11">
        <v>3.2732000000000001</v>
      </c>
      <c r="D367" s="1">
        <v>540.05999999999995</v>
      </c>
      <c r="E367" s="11">
        <v>3.0760000000000001</v>
      </c>
      <c r="F367" s="1">
        <v>521.16</v>
      </c>
      <c r="G367" s="11">
        <v>3.53</v>
      </c>
      <c r="H367" s="1">
        <v>48.35</v>
      </c>
      <c r="I367" s="11">
        <v>3.9692699999999999</v>
      </c>
      <c r="J367" s="1">
        <v>410.54</v>
      </c>
      <c r="K367" s="11">
        <v>3.9065100000000004</v>
      </c>
      <c r="L367" s="1">
        <v>26.19</v>
      </c>
      <c r="M367" s="11">
        <v>6.2</v>
      </c>
      <c r="N367" s="1">
        <v>52.03</v>
      </c>
      <c r="O367" s="11">
        <v>2.8224999999999998</v>
      </c>
      <c r="P367" s="1">
        <f t="shared" si="41"/>
        <v>3066.76</v>
      </c>
      <c r="Q367" s="1">
        <v>3083.43</v>
      </c>
      <c r="R367" s="16">
        <f t="shared" si="42"/>
        <v>2603077.4827250005</v>
      </c>
      <c r="S367" s="20">
        <v>1507.6200000000001</v>
      </c>
      <c r="T367" s="21">
        <v>98.22</v>
      </c>
      <c r="U367" s="21">
        <v>10.55</v>
      </c>
      <c r="V367" s="8">
        <v>1616.39</v>
      </c>
      <c r="W367" s="25">
        <v>1.238</v>
      </c>
      <c r="X367" s="25">
        <f t="shared" si="43"/>
        <v>500272.70500000002</v>
      </c>
      <c r="Y367" s="1">
        <f t="shared" si="44"/>
        <v>4683.1500000000005</v>
      </c>
      <c r="Z367" s="1">
        <f t="shared" si="45"/>
        <v>4699.82</v>
      </c>
      <c r="AA367" s="1">
        <v>4654.16</v>
      </c>
      <c r="AB367" s="1">
        <f t="shared" si="40"/>
        <v>28.990000000000691</v>
      </c>
      <c r="AC367" s="29">
        <f t="shared" si="46"/>
        <v>-45.659999999999854</v>
      </c>
      <c r="AD367" s="11">
        <f t="shared" si="47"/>
        <v>3103350.1877250005</v>
      </c>
    </row>
    <row r="368" spans="1:30" x14ac:dyDescent="0.3">
      <c r="A368" s="14">
        <v>45874.791666666664</v>
      </c>
      <c r="B368" s="1">
        <v>1468.43</v>
      </c>
      <c r="C368" s="11">
        <v>3.2732000000000001</v>
      </c>
      <c r="D368" s="1">
        <v>540.05999999999995</v>
      </c>
      <c r="E368" s="11">
        <v>3.0760000000000001</v>
      </c>
      <c r="F368" s="1">
        <v>516.69000000000005</v>
      </c>
      <c r="G368" s="11">
        <v>3.53</v>
      </c>
      <c r="H368" s="1">
        <v>68.819999999999993</v>
      </c>
      <c r="I368" s="11">
        <v>4.2614700000000001</v>
      </c>
      <c r="J368" s="1">
        <v>613.41999999999996</v>
      </c>
      <c r="K368" s="11">
        <v>4.5913199999999996</v>
      </c>
      <c r="L368" s="1">
        <v>1.92</v>
      </c>
      <c r="M368" s="11">
        <v>6.2</v>
      </c>
      <c r="N368" s="1">
        <v>39.299999999999997</v>
      </c>
      <c r="O368" s="11">
        <v>2.8224999999999998</v>
      </c>
      <c r="P368" s="1">
        <f t="shared" si="41"/>
        <v>3248.6400000000008</v>
      </c>
      <c r="Q368" s="1">
        <v>3203.32</v>
      </c>
      <c r="R368" s="16">
        <f t="shared" si="42"/>
        <v>2881028.8664500006</v>
      </c>
      <c r="S368" s="20">
        <v>1534.91</v>
      </c>
      <c r="T368" s="21">
        <v>98.2</v>
      </c>
      <c r="U368" s="21">
        <v>8.75</v>
      </c>
      <c r="V368" s="8">
        <v>1641.8600000000001</v>
      </c>
      <c r="W368" s="25">
        <v>1.238</v>
      </c>
      <c r="X368" s="25">
        <f t="shared" si="43"/>
        <v>508155.67000000004</v>
      </c>
      <c r="Y368" s="1">
        <f t="shared" si="44"/>
        <v>4890.5000000000009</v>
      </c>
      <c r="Z368" s="1">
        <f t="shared" si="45"/>
        <v>4845.18</v>
      </c>
      <c r="AA368" s="1">
        <v>4797.42</v>
      </c>
      <c r="AB368" s="1">
        <f t="shared" si="40"/>
        <v>93.080000000000837</v>
      </c>
      <c r="AC368" s="29">
        <f t="shared" si="46"/>
        <v>-47.760000000000218</v>
      </c>
      <c r="AD368" s="11">
        <f t="shared" si="47"/>
        <v>3389184.5364500005</v>
      </c>
    </row>
    <row r="369" spans="1:30" x14ac:dyDescent="0.3">
      <c r="A369" s="14">
        <v>45874.802083333336</v>
      </c>
      <c r="B369" s="1">
        <v>1468.43</v>
      </c>
      <c r="C369" s="11">
        <v>3.2732000000000001</v>
      </c>
      <c r="D369" s="1">
        <v>540.05999999999995</v>
      </c>
      <c r="E369" s="11">
        <v>3.0760000000000001</v>
      </c>
      <c r="F369" s="1">
        <v>516.34</v>
      </c>
      <c r="G369" s="11">
        <v>3.53</v>
      </c>
      <c r="H369" s="1">
        <v>72.28</v>
      </c>
      <c r="I369" s="11">
        <v>4.6496499999999994</v>
      </c>
      <c r="J369" s="1">
        <v>643.5</v>
      </c>
      <c r="K369" s="11">
        <v>4.7898800000000001</v>
      </c>
      <c r="L369" s="1">
        <v>0</v>
      </c>
      <c r="M369" s="11">
        <v>6.2</v>
      </c>
      <c r="N369" s="1">
        <v>37.020000000000003</v>
      </c>
      <c r="O369" s="11">
        <v>2.8224999999999998</v>
      </c>
      <c r="P369" s="1">
        <f t="shared" si="41"/>
        <v>3277.63</v>
      </c>
      <c r="Q369" s="1">
        <v>3215.84</v>
      </c>
      <c r="R369" s="16">
        <f t="shared" si="42"/>
        <v>2953305.8170000003</v>
      </c>
      <c r="S369" s="20">
        <v>1538.3499999999997</v>
      </c>
      <c r="T369" s="21">
        <v>98.190000000000012</v>
      </c>
      <c r="U369" s="21">
        <v>9.2100000000000009</v>
      </c>
      <c r="V369" s="8">
        <v>1645.7499999999998</v>
      </c>
      <c r="W369" s="25">
        <v>1.238</v>
      </c>
      <c r="X369" s="25">
        <f t="shared" si="43"/>
        <v>509359.62499999994</v>
      </c>
      <c r="Y369" s="1">
        <f t="shared" si="44"/>
        <v>4923.38</v>
      </c>
      <c r="Z369" s="1">
        <f t="shared" si="45"/>
        <v>4861.59</v>
      </c>
      <c r="AA369" s="1">
        <v>4812.76</v>
      </c>
      <c r="AB369" s="1">
        <f t="shared" si="40"/>
        <v>110.61999999999989</v>
      </c>
      <c r="AC369" s="29">
        <f t="shared" si="46"/>
        <v>-48.829999999999927</v>
      </c>
      <c r="AD369" s="11">
        <f t="shared" si="47"/>
        <v>3462665.4420000003</v>
      </c>
    </row>
    <row r="370" spans="1:30" x14ac:dyDescent="0.3">
      <c r="A370" s="14">
        <v>45874.8125</v>
      </c>
      <c r="B370" s="1">
        <v>1465.93</v>
      </c>
      <c r="C370" s="11">
        <v>3.2732000000000001</v>
      </c>
      <c r="D370" s="1">
        <v>540.05999999999995</v>
      </c>
      <c r="E370" s="11">
        <v>3.0760000000000001</v>
      </c>
      <c r="F370" s="1">
        <v>516.34</v>
      </c>
      <c r="G370" s="11">
        <v>3.53</v>
      </c>
      <c r="H370" s="1">
        <v>71.45</v>
      </c>
      <c r="I370" s="11">
        <v>4.9003399999999999</v>
      </c>
      <c r="J370" s="1">
        <v>762.45</v>
      </c>
      <c r="K370" s="11">
        <v>4.2504099999999996</v>
      </c>
      <c r="L370" s="1">
        <v>0</v>
      </c>
      <c r="M370" s="11">
        <v>6.2</v>
      </c>
      <c r="N370" s="1">
        <v>25.03</v>
      </c>
      <c r="O370" s="11">
        <v>2.8224999999999998</v>
      </c>
      <c r="P370" s="1">
        <f t="shared" si="41"/>
        <v>3381.2599999999998</v>
      </c>
      <c r="Q370" s="1">
        <v>3209.67</v>
      </c>
      <c r="R370" s="16">
        <f t="shared" si="42"/>
        <v>2985922.1021250002</v>
      </c>
      <c r="S370" s="20">
        <v>1528.81</v>
      </c>
      <c r="T370" s="21">
        <v>98.190000000000012</v>
      </c>
      <c r="U370" s="21">
        <v>9.24</v>
      </c>
      <c r="V370" s="8">
        <v>1636.24</v>
      </c>
      <c r="W370" s="25">
        <v>1.238</v>
      </c>
      <c r="X370" s="25">
        <f t="shared" si="43"/>
        <v>506416.27999999997</v>
      </c>
      <c r="Y370" s="1">
        <f t="shared" si="44"/>
        <v>5017.5</v>
      </c>
      <c r="Z370" s="1">
        <f t="shared" si="45"/>
        <v>4845.91</v>
      </c>
      <c r="AA370" s="1">
        <v>4799.3</v>
      </c>
      <c r="AB370" s="1">
        <f t="shared" si="40"/>
        <v>218.19999999999982</v>
      </c>
      <c r="AC370" s="29">
        <f t="shared" si="46"/>
        <v>-46.609999999999673</v>
      </c>
      <c r="AD370" s="11">
        <f t="shared" si="47"/>
        <v>3492338.382125</v>
      </c>
    </row>
    <row r="371" spans="1:30" x14ac:dyDescent="0.3">
      <c r="A371" s="14">
        <v>45874.822916666664</v>
      </c>
      <c r="B371" s="1">
        <v>1465.71</v>
      </c>
      <c r="C371" s="11">
        <v>3.2732000000000001</v>
      </c>
      <c r="D371" s="1">
        <v>540.05999999999995</v>
      </c>
      <c r="E371" s="11">
        <v>3.0760000000000001</v>
      </c>
      <c r="F371" s="1">
        <v>516.34</v>
      </c>
      <c r="G371" s="11">
        <v>3.53</v>
      </c>
      <c r="H371" s="1">
        <v>71.72</v>
      </c>
      <c r="I371" s="11">
        <v>5.0759699999999999</v>
      </c>
      <c r="J371" s="1">
        <v>772.69</v>
      </c>
      <c r="K371" s="11">
        <v>3.9006399999999997</v>
      </c>
      <c r="L371" s="1">
        <v>0</v>
      </c>
      <c r="M371" s="11">
        <v>6.2</v>
      </c>
      <c r="N371" s="1">
        <v>23.44</v>
      </c>
      <c r="O371" s="11">
        <v>2.8224999999999998</v>
      </c>
      <c r="P371" s="1">
        <f t="shared" si="41"/>
        <v>3389.96</v>
      </c>
      <c r="Q371" s="1">
        <v>3215.25</v>
      </c>
      <c r="R371" s="16">
        <f t="shared" si="42"/>
        <v>2931415.0555000002</v>
      </c>
      <c r="S371" s="20">
        <v>1517.6599999999999</v>
      </c>
      <c r="T371" s="21">
        <v>98.18</v>
      </c>
      <c r="U371" s="21">
        <v>9.4600000000000009</v>
      </c>
      <c r="V371" s="8">
        <v>1625.3</v>
      </c>
      <c r="W371" s="25">
        <v>1.238</v>
      </c>
      <c r="X371" s="25">
        <f t="shared" si="43"/>
        <v>503030.35</v>
      </c>
      <c r="Y371" s="1">
        <f t="shared" si="44"/>
        <v>5015.26</v>
      </c>
      <c r="Z371" s="1">
        <f t="shared" si="45"/>
        <v>4840.55</v>
      </c>
      <c r="AA371" s="1">
        <v>4793.17</v>
      </c>
      <c r="AB371" s="1">
        <f t="shared" si="40"/>
        <v>222.09000000000015</v>
      </c>
      <c r="AC371" s="29">
        <f t="shared" si="46"/>
        <v>-47.380000000000109</v>
      </c>
      <c r="AD371" s="11">
        <f t="shared" si="47"/>
        <v>3434445.4055000003</v>
      </c>
    </row>
    <row r="372" spans="1:30" x14ac:dyDescent="0.3">
      <c r="A372" s="14">
        <v>45874.833333333336</v>
      </c>
      <c r="B372" s="1">
        <v>1465.71</v>
      </c>
      <c r="C372" s="11">
        <v>3.2732000000000001</v>
      </c>
      <c r="D372" s="1">
        <v>540.05999999999995</v>
      </c>
      <c r="E372" s="11">
        <v>3.0760000000000001</v>
      </c>
      <c r="F372" s="1">
        <v>516.34</v>
      </c>
      <c r="G372" s="11">
        <v>3.53</v>
      </c>
      <c r="H372" s="1">
        <v>71.48</v>
      </c>
      <c r="I372" s="11">
        <v>5.0009499999999996</v>
      </c>
      <c r="J372" s="1">
        <v>834.03</v>
      </c>
      <c r="K372" s="11">
        <v>4.0000400000000003</v>
      </c>
      <c r="L372" s="1">
        <v>0</v>
      </c>
      <c r="M372" s="11">
        <v>6.2</v>
      </c>
      <c r="N372" s="1">
        <v>22.84</v>
      </c>
      <c r="O372" s="11">
        <v>2.8224999999999998</v>
      </c>
      <c r="P372" s="1">
        <f t="shared" si="41"/>
        <v>3450.46</v>
      </c>
      <c r="Q372" s="1">
        <v>3393.99</v>
      </c>
      <c r="R372" s="16">
        <f t="shared" si="42"/>
        <v>3009888.4748</v>
      </c>
      <c r="S372" s="20">
        <v>1321.63</v>
      </c>
      <c r="T372" s="21">
        <v>98.17</v>
      </c>
      <c r="U372" s="21">
        <v>9.5200000000000014</v>
      </c>
      <c r="V372" s="8">
        <v>1429.3200000000002</v>
      </c>
      <c r="W372" s="25">
        <v>1.238</v>
      </c>
      <c r="X372" s="25">
        <f t="shared" si="43"/>
        <v>442374.54000000004</v>
      </c>
      <c r="Y372" s="1">
        <f t="shared" si="44"/>
        <v>4879.7800000000007</v>
      </c>
      <c r="Z372" s="1">
        <f t="shared" si="45"/>
        <v>4823.3099999999995</v>
      </c>
      <c r="AA372" s="1">
        <v>4779.79</v>
      </c>
      <c r="AB372" s="1">
        <f t="shared" si="40"/>
        <v>99.990000000000691</v>
      </c>
      <c r="AC372" s="29">
        <f t="shared" si="46"/>
        <v>-43.519999999999527</v>
      </c>
      <c r="AD372" s="11">
        <f t="shared" si="47"/>
        <v>3452263.0148</v>
      </c>
    </row>
    <row r="373" spans="1:30" x14ac:dyDescent="0.3">
      <c r="A373" s="14">
        <v>45874.84375</v>
      </c>
      <c r="B373" s="1">
        <v>1465.71</v>
      </c>
      <c r="C373" s="11">
        <v>3.2732000000000001</v>
      </c>
      <c r="D373" s="1">
        <v>540.05999999999995</v>
      </c>
      <c r="E373" s="11">
        <v>3.0760000000000001</v>
      </c>
      <c r="F373" s="1">
        <v>516.34</v>
      </c>
      <c r="G373" s="11">
        <v>3.53</v>
      </c>
      <c r="H373" s="1">
        <v>71.28</v>
      </c>
      <c r="I373" s="11">
        <v>5.0009399999999999</v>
      </c>
      <c r="J373" s="1">
        <v>838.33</v>
      </c>
      <c r="K373" s="11">
        <v>4.1203400000000006</v>
      </c>
      <c r="L373" s="1">
        <v>0</v>
      </c>
      <c r="M373" s="11">
        <v>6.2</v>
      </c>
      <c r="N373" s="1">
        <v>22.24</v>
      </c>
      <c r="O373" s="11">
        <v>2.8224999999999998</v>
      </c>
      <c r="P373" s="1">
        <f t="shared" si="41"/>
        <v>3453.96</v>
      </c>
      <c r="Q373" s="1">
        <v>3425.66</v>
      </c>
      <c r="R373" s="16">
        <f t="shared" si="42"/>
        <v>3038727.6918500001</v>
      </c>
      <c r="S373" s="20">
        <v>1282.8500000000001</v>
      </c>
      <c r="T373" s="21">
        <v>98.18</v>
      </c>
      <c r="U373" s="21">
        <v>10.450000000000001</v>
      </c>
      <c r="V373" s="8">
        <v>1391.4800000000002</v>
      </c>
      <c r="W373" s="25">
        <v>1.238</v>
      </c>
      <c r="X373" s="25">
        <f t="shared" si="43"/>
        <v>430663.06000000011</v>
      </c>
      <c r="Y373" s="1">
        <f t="shared" si="44"/>
        <v>4845.4400000000005</v>
      </c>
      <c r="Z373" s="1">
        <f t="shared" si="45"/>
        <v>4817.1400000000003</v>
      </c>
      <c r="AA373" s="1">
        <v>4767.18</v>
      </c>
      <c r="AB373" s="1">
        <f t="shared" si="40"/>
        <v>78.260000000000218</v>
      </c>
      <c r="AC373" s="29">
        <f t="shared" si="46"/>
        <v>-49.960000000000036</v>
      </c>
      <c r="AD373" s="11">
        <f t="shared" si="47"/>
        <v>3469390.7518500001</v>
      </c>
    </row>
    <row r="374" spans="1:30" x14ac:dyDescent="0.3">
      <c r="A374" s="14">
        <v>45874.854166666664</v>
      </c>
      <c r="B374" s="1">
        <v>1465.71</v>
      </c>
      <c r="C374" s="11">
        <v>3.2732000000000001</v>
      </c>
      <c r="D374" s="1">
        <v>540.05999999999995</v>
      </c>
      <c r="E374" s="11">
        <v>3.0760000000000001</v>
      </c>
      <c r="F374" s="1">
        <v>516.34</v>
      </c>
      <c r="G374" s="11">
        <v>3.53</v>
      </c>
      <c r="H374" s="1">
        <v>66.349999999999994</v>
      </c>
      <c r="I374" s="11">
        <v>5.8008299999999995</v>
      </c>
      <c r="J374" s="1">
        <v>975.16</v>
      </c>
      <c r="K374" s="11">
        <v>4.9994199999999998</v>
      </c>
      <c r="L374" s="1">
        <v>0</v>
      </c>
      <c r="M374" s="11">
        <v>6.2</v>
      </c>
      <c r="N374" s="1">
        <v>21.64</v>
      </c>
      <c r="O374" s="11">
        <v>2.8224999999999998</v>
      </c>
      <c r="P374" s="1">
        <f t="shared" si="41"/>
        <v>3585.2599999999998</v>
      </c>
      <c r="Q374" s="1">
        <v>3393.94</v>
      </c>
      <c r="R374" s="16">
        <f t="shared" si="42"/>
        <v>3400666.2774250004</v>
      </c>
      <c r="S374" s="20">
        <v>1294.1799999999998</v>
      </c>
      <c r="T374" s="21">
        <v>98.18</v>
      </c>
      <c r="U374" s="21">
        <v>11.03</v>
      </c>
      <c r="V374" s="8">
        <v>1403.3899999999999</v>
      </c>
      <c r="W374" s="25">
        <v>1.238</v>
      </c>
      <c r="X374" s="25">
        <f t="shared" si="43"/>
        <v>434349.20499999996</v>
      </c>
      <c r="Y374" s="1">
        <f t="shared" si="44"/>
        <v>4988.6499999999996</v>
      </c>
      <c r="Z374" s="1">
        <f t="shared" si="45"/>
        <v>4797.33</v>
      </c>
      <c r="AA374" s="1">
        <v>4749.3100000000004</v>
      </c>
      <c r="AB374" s="1">
        <f t="shared" si="40"/>
        <v>239.33999999999924</v>
      </c>
      <c r="AC374" s="29">
        <f t="shared" si="46"/>
        <v>-48.019999999999527</v>
      </c>
      <c r="AD374" s="11">
        <f t="shared" si="47"/>
        <v>3835015.4824250005</v>
      </c>
    </row>
    <row r="375" spans="1:30" x14ac:dyDescent="0.3">
      <c r="A375" s="14">
        <v>45874.864583333336</v>
      </c>
      <c r="B375" s="1">
        <v>1465.71</v>
      </c>
      <c r="C375" s="11">
        <v>3.2732000000000001</v>
      </c>
      <c r="D375" s="1">
        <v>540.05999999999995</v>
      </c>
      <c r="E375" s="11">
        <v>3.0760000000000001</v>
      </c>
      <c r="F375" s="1">
        <v>516.34</v>
      </c>
      <c r="G375" s="11">
        <v>3.53</v>
      </c>
      <c r="H375" s="1">
        <v>70.260000000000005</v>
      </c>
      <c r="I375" s="11">
        <v>5.6009200000000003</v>
      </c>
      <c r="J375" s="1">
        <v>965.19</v>
      </c>
      <c r="K375" s="11">
        <v>4.9995799999999999</v>
      </c>
      <c r="L375" s="1">
        <v>0</v>
      </c>
      <c r="M375" s="11">
        <v>6.2</v>
      </c>
      <c r="N375" s="1">
        <v>21.04</v>
      </c>
      <c r="O375" s="11">
        <v>2.8224999999999998</v>
      </c>
      <c r="P375" s="1">
        <f t="shared" si="41"/>
        <v>3578.6000000000004</v>
      </c>
      <c r="Q375" s="1">
        <v>3400.25</v>
      </c>
      <c r="R375" s="16">
        <f t="shared" si="42"/>
        <v>3389979.34785</v>
      </c>
      <c r="S375" s="20">
        <v>1286.3999999999996</v>
      </c>
      <c r="T375" s="21">
        <v>98.18</v>
      </c>
      <c r="U375" s="21">
        <v>11.059999999999999</v>
      </c>
      <c r="V375" s="8">
        <v>1395.6399999999996</v>
      </c>
      <c r="W375" s="25">
        <v>1.238</v>
      </c>
      <c r="X375" s="25">
        <f t="shared" si="43"/>
        <v>431950.5799999999</v>
      </c>
      <c r="Y375" s="1">
        <f t="shared" si="44"/>
        <v>4974.24</v>
      </c>
      <c r="Z375" s="1">
        <f t="shared" si="45"/>
        <v>4795.8899999999994</v>
      </c>
      <c r="AA375" s="1">
        <v>4746.03</v>
      </c>
      <c r="AB375" s="1">
        <f t="shared" si="40"/>
        <v>228.21000000000004</v>
      </c>
      <c r="AC375" s="29">
        <f t="shared" si="46"/>
        <v>-49.859999999999673</v>
      </c>
      <c r="AD375" s="11">
        <f t="shared" si="47"/>
        <v>3821929.9278500001</v>
      </c>
    </row>
    <row r="376" spans="1:30" x14ac:dyDescent="0.3">
      <c r="A376" s="14">
        <v>45874.875</v>
      </c>
      <c r="B376" s="1">
        <v>1465.71</v>
      </c>
      <c r="C376" s="11">
        <v>3.2732000000000001</v>
      </c>
      <c r="D376" s="1">
        <v>540.05999999999995</v>
      </c>
      <c r="E376" s="11">
        <v>3.0760000000000001</v>
      </c>
      <c r="F376" s="1">
        <v>516.34</v>
      </c>
      <c r="G376" s="11">
        <v>3.53</v>
      </c>
      <c r="H376" s="1">
        <v>18.02</v>
      </c>
      <c r="I376" s="11">
        <v>6.9995900000000004</v>
      </c>
      <c r="J376" s="1">
        <v>956.6</v>
      </c>
      <c r="K376" s="11">
        <v>5.2509399999999999</v>
      </c>
      <c r="L376" s="1">
        <v>0</v>
      </c>
      <c r="M376" s="11">
        <v>6.2</v>
      </c>
      <c r="N376" s="1">
        <v>21</v>
      </c>
      <c r="O376" s="11">
        <v>2.8224999999999998</v>
      </c>
      <c r="P376" s="1">
        <f t="shared" si="41"/>
        <v>3517.73</v>
      </c>
      <c r="Q376" s="1">
        <v>3419.89</v>
      </c>
      <c r="R376" s="16">
        <f t="shared" si="42"/>
        <v>3372480.2619499997</v>
      </c>
      <c r="S376" s="20">
        <v>1272.7</v>
      </c>
      <c r="T376" s="21">
        <v>98.18</v>
      </c>
      <c r="U376" s="21">
        <v>10.86</v>
      </c>
      <c r="V376" s="8">
        <v>1381.74</v>
      </c>
      <c r="W376" s="25">
        <v>1.238</v>
      </c>
      <c r="X376" s="25">
        <f t="shared" si="43"/>
        <v>427648.52999999997</v>
      </c>
      <c r="Y376" s="1">
        <f t="shared" si="44"/>
        <v>4899.47</v>
      </c>
      <c r="Z376" s="1">
        <f t="shared" si="45"/>
        <v>4801.63</v>
      </c>
      <c r="AA376" s="1">
        <v>4750.0200000000004</v>
      </c>
      <c r="AB376" s="1">
        <f t="shared" si="40"/>
        <v>149.44999999999982</v>
      </c>
      <c r="AC376" s="29">
        <f t="shared" si="46"/>
        <v>-51.609999999999673</v>
      </c>
      <c r="AD376" s="11">
        <f t="shared" si="47"/>
        <v>3800128.7919499995</v>
      </c>
    </row>
    <row r="377" spans="1:30" x14ac:dyDescent="0.3">
      <c r="A377" s="14">
        <v>45874.885416666664</v>
      </c>
      <c r="B377" s="1">
        <v>1465.71</v>
      </c>
      <c r="C377" s="11">
        <v>3.2732000000000001</v>
      </c>
      <c r="D377" s="1">
        <v>540.05999999999995</v>
      </c>
      <c r="E377" s="11">
        <v>3.0760000000000001</v>
      </c>
      <c r="F377" s="1">
        <v>516.34</v>
      </c>
      <c r="G377" s="11">
        <v>3.53</v>
      </c>
      <c r="H377" s="1">
        <v>51.14</v>
      </c>
      <c r="I377" s="11">
        <v>6.2003900000000005</v>
      </c>
      <c r="J377" s="1">
        <v>989.83</v>
      </c>
      <c r="K377" s="11">
        <v>4.91221</v>
      </c>
      <c r="L377" s="1">
        <v>0</v>
      </c>
      <c r="M377" s="11">
        <v>6.2</v>
      </c>
      <c r="N377" s="1">
        <v>21.28</v>
      </c>
      <c r="O377" s="11">
        <v>2.8224999999999998</v>
      </c>
      <c r="P377" s="1">
        <f t="shared" si="41"/>
        <v>3584.36</v>
      </c>
      <c r="Q377" s="1">
        <v>3461.2</v>
      </c>
      <c r="R377" s="16">
        <f t="shared" si="42"/>
        <v>3380217.5752250003</v>
      </c>
      <c r="S377" s="20">
        <v>1271.0099999999998</v>
      </c>
      <c r="T377" s="21">
        <v>98.160000000000011</v>
      </c>
      <c r="U377" s="21">
        <v>12.9</v>
      </c>
      <c r="V377" s="8">
        <v>1382.07</v>
      </c>
      <c r="W377" s="25">
        <v>1.238</v>
      </c>
      <c r="X377" s="25">
        <f t="shared" si="43"/>
        <v>427750.66499999998</v>
      </c>
      <c r="Y377" s="1">
        <f t="shared" si="44"/>
        <v>4966.43</v>
      </c>
      <c r="Z377" s="1">
        <f t="shared" si="45"/>
        <v>4843.2699999999995</v>
      </c>
      <c r="AA377" s="1">
        <v>4791.7700000000004</v>
      </c>
      <c r="AB377" s="1">
        <f t="shared" si="40"/>
        <v>174.65999999999985</v>
      </c>
      <c r="AC377" s="29">
        <f t="shared" si="46"/>
        <v>-51.499999999999091</v>
      </c>
      <c r="AD377" s="11">
        <f t="shared" si="47"/>
        <v>3807968.2402250003</v>
      </c>
    </row>
    <row r="378" spans="1:30" x14ac:dyDescent="0.3">
      <c r="A378" s="14">
        <v>45874.895833333336</v>
      </c>
      <c r="B378" s="1">
        <v>1465.71</v>
      </c>
      <c r="C378" s="11">
        <v>3.2732000000000001</v>
      </c>
      <c r="D378" s="1">
        <v>540.05999999999995</v>
      </c>
      <c r="E378" s="11">
        <v>3.0760000000000001</v>
      </c>
      <c r="F378" s="1">
        <v>516.34</v>
      </c>
      <c r="G378" s="11">
        <v>3.53</v>
      </c>
      <c r="H378" s="1">
        <v>55.7</v>
      </c>
      <c r="I378" s="11">
        <v>5.8002399999999996</v>
      </c>
      <c r="J378" s="1">
        <v>863.21</v>
      </c>
      <c r="K378" s="11">
        <v>4.5001999999999995</v>
      </c>
      <c r="L378" s="1">
        <v>0</v>
      </c>
      <c r="M378" s="11">
        <v>6.2</v>
      </c>
      <c r="N378" s="1">
        <v>21.58</v>
      </c>
      <c r="O378" s="11">
        <v>2.8224999999999998</v>
      </c>
      <c r="P378" s="1">
        <f t="shared" si="41"/>
        <v>3462.6</v>
      </c>
      <c r="Q378" s="1">
        <v>3390.59</v>
      </c>
      <c r="R378" s="16">
        <f t="shared" si="42"/>
        <v>3137516.8229999999</v>
      </c>
      <c r="S378" s="20">
        <v>1387.2699999999998</v>
      </c>
      <c r="T378" s="21">
        <v>98.17</v>
      </c>
      <c r="U378" s="21">
        <v>15.399999999999999</v>
      </c>
      <c r="V378" s="8">
        <v>1500.84</v>
      </c>
      <c r="W378" s="25">
        <v>1.238</v>
      </c>
      <c r="X378" s="25">
        <f t="shared" si="43"/>
        <v>464509.98</v>
      </c>
      <c r="Y378" s="1">
        <f t="shared" si="44"/>
        <v>4963.4399999999996</v>
      </c>
      <c r="Z378" s="1">
        <f t="shared" si="45"/>
        <v>4891.43</v>
      </c>
      <c r="AA378" s="1">
        <v>4835.3</v>
      </c>
      <c r="AB378" s="1">
        <f t="shared" si="40"/>
        <v>128.13999999999942</v>
      </c>
      <c r="AC378" s="29">
        <f t="shared" si="46"/>
        <v>-56.130000000000109</v>
      </c>
      <c r="AD378" s="11">
        <f t="shared" si="47"/>
        <v>3602026.8029999998</v>
      </c>
    </row>
    <row r="379" spans="1:30" x14ac:dyDescent="0.3">
      <c r="A379" s="14">
        <v>45874.90625</v>
      </c>
      <c r="B379" s="1">
        <v>1465.71</v>
      </c>
      <c r="C379" s="11">
        <v>3.2732000000000001</v>
      </c>
      <c r="D379" s="1">
        <v>540.05999999999995</v>
      </c>
      <c r="E379" s="11">
        <v>3.0760000000000001</v>
      </c>
      <c r="F379" s="1">
        <v>516.34</v>
      </c>
      <c r="G379" s="11">
        <v>3.53</v>
      </c>
      <c r="H379" s="1">
        <v>55.74</v>
      </c>
      <c r="I379" s="11">
        <v>6.23881</v>
      </c>
      <c r="J379" s="1">
        <v>944.36</v>
      </c>
      <c r="K379" s="11">
        <v>4.5911499999999998</v>
      </c>
      <c r="L379" s="1">
        <v>0</v>
      </c>
      <c r="M379" s="11">
        <v>6.2</v>
      </c>
      <c r="N379" s="1">
        <v>21.88</v>
      </c>
      <c r="O379" s="11">
        <v>2.8224999999999998</v>
      </c>
      <c r="P379" s="1">
        <f t="shared" si="41"/>
        <v>3544.09</v>
      </c>
      <c r="Q379" s="1">
        <v>3388.25</v>
      </c>
      <c r="R379" s="16">
        <f t="shared" si="42"/>
        <v>3256668.1788499993</v>
      </c>
      <c r="S379" s="20">
        <v>1446.87</v>
      </c>
      <c r="T379" s="21">
        <v>98.17</v>
      </c>
      <c r="U379" s="21">
        <v>13.620000000000001</v>
      </c>
      <c r="V379" s="8">
        <v>1558.6599999999999</v>
      </c>
      <c r="W379" s="25">
        <v>1.238</v>
      </c>
      <c r="X379" s="25">
        <f t="shared" si="43"/>
        <v>482405.26999999996</v>
      </c>
      <c r="Y379" s="1">
        <f t="shared" si="44"/>
        <v>5102.75</v>
      </c>
      <c r="Z379" s="1">
        <f t="shared" si="45"/>
        <v>4946.91</v>
      </c>
      <c r="AA379" s="1">
        <v>4895.29</v>
      </c>
      <c r="AB379" s="1">
        <f t="shared" si="40"/>
        <v>207.46000000000004</v>
      </c>
      <c r="AC379" s="29">
        <f t="shared" si="46"/>
        <v>-51.619999999999891</v>
      </c>
      <c r="AD379" s="11">
        <f t="shared" si="47"/>
        <v>3739073.4488499993</v>
      </c>
    </row>
    <row r="380" spans="1:30" x14ac:dyDescent="0.3">
      <c r="A380" s="14">
        <v>45874.916666666664</v>
      </c>
      <c r="B380" s="1">
        <v>1467.44</v>
      </c>
      <c r="C380" s="11">
        <v>3.2732000000000001</v>
      </c>
      <c r="D380" s="1">
        <v>540.05999999999995</v>
      </c>
      <c r="E380" s="11">
        <v>3.0760000000000001</v>
      </c>
      <c r="F380" s="1">
        <v>516.34</v>
      </c>
      <c r="G380" s="11">
        <v>3.53</v>
      </c>
      <c r="H380" s="1">
        <v>-90.52</v>
      </c>
      <c r="I380" s="11">
        <v>7.3837999999999999</v>
      </c>
      <c r="J380" s="1">
        <v>1203.8900000000001</v>
      </c>
      <c r="K380" s="11">
        <v>5.3008599999999992</v>
      </c>
      <c r="L380" s="1">
        <v>0</v>
      </c>
      <c r="M380" s="11">
        <v>6.2</v>
      </c>
      <c r="N380" s="1">
        <v>22.18</v>
      </c>
      <c r="O380" s="11">
        <v>2.8224999999999998</v>
      </c>
      <c r="P380" s="1">
        <f t="shared" si="41"/>
        <v>3659.39</v>
      </c>
      <c r="Q380" s="1">
        <v>3485.43</v>
      </c>
      <c r="R380" s="16">
        <f t="shared" si="42"/>
        <v>3515750.79685</v>
      </c>
      <c r="S380" s="20">
        <v>1452.17</v>
      </c>
      <c r="T380" s="21">
        <v>98.17</v>
      </c>
      <c r="U380" s="21">
        <v>11.15</v>
      </c>
      <c r="V380" s="8">
        <v>1561.4900000000002</v>
      </c>
      <c r="W380" s="25">
        <v>1.238</v>
      </c>
      <c r="X380" s="25">
        <f t="shared" si="43"/>
        <v>483281.15500000009</v>
      </c>
      <c r="Y380" s="1">
        <f t="shared" si="44"/>
        <v>5220.88</v>
      </c>
      <c r="Z380" s="1">
        <f t="shared" si="45"/>
        <v>5046.92</v>
      </c>
      <c r="AA380" s="1">
        <v>4994.72</v>
      </c>
      <c r="AB380" s="1">
        <f t="shared" si="40"/>
        <v>226.15999999999985</v>
      </c>
      <c r="AC380" s="29">
        <f t="shared" si="46"/>
        <v>-52.199999999999818</v>
      </c>
      <c r="AD380" s="11">
        <f t="shared" si="47"/>
        <v>3999031.9518500003</v>
      </c>
    </row>
    <row r="381" spans="1:30" x14ac:dyDescent="0.3">
      <c r="A381" s="14">
        <v>45874.927083333336</v>
      </c>
      <c r="B381" s="1">
        <v>1467.84</v>
      </c>
      <c r="C381" s="11">
        <v>3.2732000000000001</v>
      </c>
      <c r="D381" s="1">
        <v>540.05999999999995</v>
      </c>
      <c r="E381" s="11">
        <v>3.0760000000000001</v>
      </c>
      <c r="F381" s="1">
        <v>516.34</v>
      </c>
      <c r="G381" s="11">
        <v>3.53</v>
      </c>
      <c r="H381" s="1">
        <v>-101.9</v>
      </c>
      <c r="I381" s="11">
        <v>7.4997100000000003</v>
      </c>
      <c r="J381" s="1">
        <v>1222.07</v>
      </c>
      <c r="K381" s="11">
        <v>5.8002200000000004</v>
      </c>
      <c r="L381" s="1">
        <v>0</v>
      </c>
      <c r="M381" s="11">
        <v>6.2</v>
      </c>
      <c r="N381" s="1">
        <v>21.64</v>
      </c>
      <c r="O381" s="11">
        <v>2.8224999999999998</v>
      </c>
      <c r="P381" s="1">
        <f t="shared" si="41"/>
        <v>3666.0499999999997</v>
      </c>
      <c r="Q381" s="1">
        <v>3466.12</v>
      </c>
      <c r="R381" s="16">
        <f t="shared" si="42"/>
        <v>3668392.9885999998</v>
      </c>
      <c r="S381" s="20">
        <v>1556.3</v>
      </c>
      <c r="T381" s="21">
        <v>98.17</v>
      </c>
      <c r="U381" s="21">
        <v>9.6300000000000008</v>
      </c>
      <c r="V381" s="8">
        <v>1664.1000000000001</v>
      </c>
      <c r="W381" s="25">
        <v>1.238</v>
      </c>
      <c r="X381" s="25">
        <f t="shared" si="43"/>
        <v>515038.95</v>
      </c>
      <c r="Y381" s="1">
        <f t="shared" si="44"/>
        <v>5330.15</v>
      </c>
      <c r="Z381" s="1">
        <f t="shared" si="45"/>
        <v>5130.22</v>
      </c>
      <c r="AA381" s="1">
        <v>5079.63</v>
      </c>
      <c r="AB381" s="1">
        <f t="shared" si="40"/>
        <v>250.51999999999953</v>
      </c>
      <c r="AC381" s="29">
        <f t="shared" si="46"/>
        <v>-50.590000000000146</v>
      </c>
      <c r="AD381" s="11">
        <f t="shared" si="47"/>
        <v>4183431.9386</v>
      </c>
    </row>
    <row r="382" spans="1:30" x14ac:dyDescent="0.3">
      <c r="A382" s="14">
        <v>45874.9375</v>
      </c>
      <c r="B382" s="1">
        <v>1467.86</v>
      </c>
      <c r="C382" s="11">
        <v>3.2732000000000001</v>
      </c>
      <c r="D382" s="1">
        <v>540.05999999999995</v>
      </c>
      <c r="E382" s="11">
        <v>3.0760000000000001</v>
      </c>
      <c r="F382" s="1">
        <v>516.34</v>
      </c>
      <c r="G382" s="11">
        <v>3.53</v>
      </c>
      <c r="H382" s="1">
        <v>-368.25</v>
      </c>
      <c r="I382" s="11">
        <v>9.90991</v>
      </c>
      <c r="J382" s="1">
        <v>1285.19</v>
      </c>
      <c r="K382" s="11">
        <v>5.4833400000000001</v>
      </c>
      <c r="L382" s="1">
        <v>0</v>
      </c>
      <c r="M382" s="11">
        <v>6.2</v>
      </c>
      <c r="N382" s="1">
        <v>21.04</v>
      </c>
      <c r="O382" s="11">
        <v>2.8224999999999998</v>
      </c>
      <c r="P382" s="1">
        <f t="shared" si="41"/>
        <v>3462.24</v>
      </c>
      <c r="Q382" s="1">
        <v>3413.64</v>
      </c>
      <c r="R382" s="16">
        <f t="shared" si="42"/>
        <v>2936424.7222750001</v>
      </c>
      <c r="S382" s="20">
        <v>1591.3599999999997</v>
      </c>
      <c r="T382" s="21">
        <v>98.17</v>
      </c>
      <c r="U382" s="21">
        <v>9.33</v>
      </c>
      <c r="V382" s="8">
        <v>1698.8599999999997</v>
      </c>
      <c r="W382" s="25">
        <v>1.238</v>
      </c>
      <c r="X382" s="25">
        <f t="shared" si="43"/>
        <v>525797.16999999993</v>
      </c>
      <c r="Y382" s="1">
        <f t="shared" si="44"/>
        <v>5161.0999999999995</v>
      </c>
      <c r="Z382" s="1">
        <f t="shared" si="45"/>
        <v>5112.5</v>
      </c>
      <c r="AA382" s="1">
        <v>5086.1099999999997</v>
      </c>
      <c r="AB382" s="1">
        <f t="shared" si="40"/>
        <v>74.989999999999782</v>
      </c>
      <c r="AC382" s="29">
        <f t="shared" si="46"/>
        <v>-26.390000000000327</v>
      </c>
      <c r="AD382" s="11">
        <f t="shared" si="47"/>
        <v>3462221.892275</v>
      </c>
    </row>
    <row r="383" spans="1:30" x14ac:dyDescent="0.3">
      <c r="A383" s="14">
        <v>45874.947916666664</v>
      </c>
      <c r="B383" s="1">
        <v>1466.25</v>
      </c>
      <c r="C383" s="11">
        <v>3.2732000000000001</v>
      </c>
      <c r="D383" s="1">
        <v>540.05999999999995</v>
      </c>
      <c r="E383" s="11">
        <v>3.0760000000000001</v>
      </c>
      <c r="F383" s="1">
        <v>516.34</v>
      </c>
      <c r="G383" s="11">
        <v>3.53</v>
      </c>
      <c r="H383" s="1">
        <v>-400.97</v>
      </c>
      <c r="I383" s="11">
        <v>9.9995200000000004</v>
      </c>
      <c r="J383" s="1">
        <v>1280.68</v>
      </c>
      <c r="K383" s="11">
        <v>5.7952599999999999</v>
      </c>
      <c r="L383" s="1">
        <v>0</v>
      </c>
      <c r="M383" s="11">
        <v>6.2</v>
      </c>
      <c r="N383" s="1">
        <v>20.440000000000001</v>
      </c>
      <c r="O383" s="11">
        <v>2.8224999999999998</v>
      </c>
      <c r="P383" s="1">
        <f t="shared" si="41"/>
        <v>3422.8000000000006</v>
      </c>
      <c r="Q383" s="1">
        <v>3397.43</v>
      </c>
      <c r="R383" s="16">
        <f t="shared" si="42"/>
        <v>2938323.0505999997</v>
      </c>
      <c r="S383" s="20">
        <v>1586.09</v>
      </c>
      <c r="T383" s="21">
        <v>98.17</v>
      </c>
      <c r="U383" s="21">
        <v>8.7899999999999991</v>
      </c>
      <c r="V383" s="8">
        <v>1693.05</v>
      </c>
      <c r="W383" s="25">
        <v>1.238</v>
      </c>
      <c r="X383" s="25">
        <f t="shared" si="43"/>
        <v>523998.97499999998</v>
      </c>
      <c r="Y383" s="1">
        <f t="shared" si="44"/>
        <v>5115.8500000000004</v>
      </c>
      <c r="Z383" s="1">
        <f t="shared" si="45"/>
        <v>5090.4799999999996</v>
      </c>
      <c r="AA383" s="1">
        <v>5069.68</v>
      </c>
      <c r="AB383" s="1">
        <f t="shared" si="40"/>
        <v>46.170000000000073</v>
      </c>
      <c r="AC383" s="29">
        <f t="shared" si="46"/>
        <v>-20.799999999999272</v>
      </c>
      <c r="AD383" s="11">
        <f t="shared" si="47"/>
        <v>3462322.0255999998</v>
      </c>
    </row>
    <row r="384" spans="1:30" x14ac:dyDescent="0.3">
      <c r="A384" s="14">
        <v>45874.958333333336</v>
      </c>
      <c r="B384" s="1">
        <v>1466.13</v>
      </c>
      <c r="C384" s="11">
        <v>3.2732000000000001</v>
      </c>
      <c r="D384" s="1">
        <v>540.05999999999995</v>
      </c>
      <c r="E384" s="11">
        <v>3.0760000000000001</v>
      </c>
      <c r="F384" s="1">
        <v>516.34</v>
      </c>
      <c r="G384" s="11">
        <v>3.53</v>
      </c>
      <c r="H384" s="1">
        <v>-397.27</v>
      </c>
      <c r="I384" s="11">
        <v>9.9099699999999995</v>
      </c>
      <c r="J384" s="1">
        <v>1117.8800000000001</v>
      </c>
      <c r="K384" s="11">
        <v>3.9998400000000003</v>
      </c>
      <c r="L384" s="1">
        <v>0</v>
      </c>
      <c r="M384" s="11">
        <v>6.2</v>
      </c>
      <c r="N384" s="1">
        <v>19.84</v>
      </c>
      <c r="O384" s="11">
        <v>2.8224999999999998</v>
      </c>
      <c r="P384" s="1">
        <f t="shared" si="41"/>
        <v>3262.9800000000005</v>
      </c>
      <c r="Q384" s="1">
        <v>3352.61</v>
      </c>
      <c r="R384" s="16">
        <f t="shared" si="42"/>
        <v>2218311.8083250001</v>
      </c>
      <c r="S384" s="20">
        <v>1589.6999999999998</v>
      </c>
      <c r="T384" s="21">
        <v>98.18</v>
      </c>
      <c r="U384" s="21">
        <v>7.4599999999999991</v>
      </c>
      <c r="V384" s="8">
        <v>1695.34</v>
      </c>
      <c r="W384" s="25">
        <v>1.238</v>
      </c>
      <c r="X384" s="25">
        <f t="shared" si="43"/>
        <v>524707.73</v>
      </c>
      <c r="Y384" s="1">
        <f t="shared" si="44"/>
        <v>4958.3200000000006</v>
      </c>
      <c r="Z384" s="1">
        <f t="shared" si="45"/>
        <v>5047.95</v>
      </c>
      <c r="AA384" s="1">
        <v>5025.7299999999996</v>
      </c>
      <c r="AB384" s="1">
        <f t="shared" si="40"/>
        <v>-67.409999999998945</v>
      </c>
      <c r="AC384" s="29">
        <f t="shared" si="46"/>
        <v>-22.220000000000255</v>
      </c>
      <c r="AD384" s="11">
        <f t="shared" si="47"/>
        <v>2743019.5383250001</v>
      </c>
    </row>
    <row r="385" spans="1:31" x14ac:dyDescent="0.3">
      <c r="A385" s="14">
        <v>45874.96875</v>
      </c>
      <c r="B385" s="1">
        <v>1466.13</v>
      </c>
      <c r="C385" s="11">
        <v>3.2732000000000001</v>
      </c>
      <c r="D385" s="1">
        <v>540.05999999999995</v>
      </c>
      <c r="E385" s="11">
        <v>3.0760000000000001</v>
      </c>
      <c r="F385" s="1">
        <v>516.34</v>
      </c>
      <c r="G385" s="11">
        <v>3.53</v>
      </c>
      <c r="H385" s="1">
        <v>-262.52999999999997</v>
      </c>
      <c r="I385" s="11">
        <v>9.6218199999999996</v>
      </c>
      <c r="J385" s="1">
        <v>925.9</v>
      </c>
      <c r="K385" s="11">
        <v>3.9105300000000001</v>
      </c>
      <c r="L385" s="1">
        <v>0</v>
      </c>
      <c r="M385" s="11">
        <v>6.2</v>
      </c>
      <c r="N385" s="1">
        <v>19.239999999999998</v>
      </c>
      <c r="O385" s="11">
        <v>2.8224999999999998</v>
      </c>
      <c r="P385" s="1">
        <f t="shared" si="41"/>
        <v>3205.14</v>
      </c>
      <c r="Q385" s="1">
        <v>3291.82</v>
      </c>
      <c r="R385" s="16">
        <f t="shared" si="42"/>
        <v>2357972.4246</v>
      </c>
      <c r="S385" s="20">
        <v>1588.8399999999997</v>
      </c>
      <c r="T385" s="21">
        <v>98.18</v>
      </c>
      <c r="U385" s="21">
        <v>8.06</v>
      </c>
      <c r="V385" s="8">
        <v>1695.0799999999997</v>
      </c>
      <c r="W385" s="25">
        <v>1.238</v>
      </c>
      <c r="X385" s="25">
        <f t="shared" si="43"/>
        <v>524627.25999999989</v>
      </c>
      <c r="Y385" s="1">
        <f t="shared" si="44"/>
        <v>4900.2199999999993</v>
      </c>
      <c r="Z385" s="1">
        <f t="shared" si="45"/>
        <v>4986.8999999999996</v>
      </c>
      <c r="AA385" s="1">
        <v>4962.97</v>
      </c>
      <c r="AB385" s="1">
        <f t="shared" si="40"/>
        <v>-62.750000000000909</v>
      </c>
      <c r="AC385" s="29">
        <f t="shared" si="46"/>
        <v>-23.929999999999382</v>
      </c>
      <c r="AD385" s="11">
        <f t="shared" si="47"/>
        <v>2882599.6845999998</v>
      </c>
    </row>
    <row r="386" spans="1:31" x14ac:dyDescent="0.3">
      <c r="A386" s="14">
        <v>45874.979166666664</v>
      </c>
      <c r="B386" s="1">
        <v>1466.13</v>
      </c>
      <c r="C386" s="11">
        <v>3.2732000000000001</v>
      </c>
      <c r="D386" s="1">
        <v>540.05999999999995</v>
      </c>
      <c r="E386" s="11">
        <v>3.0760000000000001</v>
      </c>
      <c r="F386" s="1">
        <v>516.34</v>
      </c>
      <c r="G386" s="11">
        <v>3.53</v>
      </c>
      <c r="H386" s="1">
        <v>-112.73</v>
      </c>
      <c r="I386" s="11">
        <v>7.2</v>
      </c>
      <c r="J386" s="1">
        <v>642.95000000000005</v>
      </c>
      <c r="K386" s="11">
        <v>3.5000800000000001</v>
      </c>
      <c r="L386" s="1">
        <v>0</v>
      </c>
      <c r="M386" s="11">
        <v>6.2</v>
      </c>
      <c r="N386" s="1">
        <v>18.920000000000002</v>
      </c>
      <c r="O386" s="11">
        <v>2.8224999999999998</v>
      </c>
      <c r="P386" s="1">
        <f t="shared" si="41"/>
        <v>3071.67</v>
      </c>
      <c r="Q386" s="1">
        <v>3188.68</v>
      </c>
      <c r="R386" s="16">
        <f t="shared" si="42"/>
        <v>2443740.9029999999</v>
      </c>
      <c r="S386" s="20">
        <v>1592.6499999999999</v>
      </c>
      <c r="T386" s="21">
        <v>98.18</v>
      </c>
      <c r="U386" s="21">
        <v>6.67</v>
      </c>
      <c r="V386" s="8">
        <v>1697.5</v>
      </c>
      <c r="W386" s="25">
        <v>1.238</v>
      </c>
      <c r="X386" s="25">
        <f t="shared" si="43"/>
        <v>525376.25</v>
      </c>
      <c r="Y386" s="1">
        <f t="shared" si="44"/>
        <v>4769.17</v>
      </c>
      <c r="Z386" s="1">
        <f t="shared" si="45"/>
        <v>4886.18</v>
      </c>
      <c r="AA386" s="1">
        <v>4862.58</v>
      </c>
      <c r="AB386" s="1">
        <f t="shared" si="40"/>
        <v>-93.409999999999854</v>
      </c>
      <c r="AC386" s="29">
        <f t="shared" si="46"/>
        <v>-23.600000000000364</v>
      </c>
      <c r="AD386" s="11">
        <f t="shared" si="47"/>
        <v>2969117.1529999999</v>
      </c>
    </row>
    <row r="387" spans="1:31" x14ac:dyDescent="0.3">
      <c r="A387" s="14">
        <v>45874.989583333336</v>
      </c>
      <c r="B387" s="1">
        <v>1466.13</v>
      </c>
      <c r="C387" s="11">
        <v>3.2732000000000001</v>
      </c>
      <c r="D387" s="1">
        <v>540.05999999999995</v>
      </c>
      <c r="E387" s="11">
        <v>3.0760000000000001</v>
      </c>
      <c r="F387" s="1">
        <v>516.34</v>
      </c>
      <c r="G387" s="11">
        <v>3.53</v>
      </c>
      <c r="H387" s="1">
        <v>-9.1199999999999992</v>
      </c>
      <c r="I387" s="11">
        <v>6.9995000000000003</v>
      </c>
      <c r="J387" s="1">
        <v>416.18</v>
      </c>
      <c r="K387" s="11">
        <v>3.1615199999999999</v>
      </c>
      <c r="L387" s="1">
        <v>0</v>
      </c>
      <c r="M387" s="11">
        <v>6.2</v>
      </c>
      <c r="N387" s="1">
        <v>18.62</v>
      </c>
      <c r="O387" s="11">
        <v>2.8224999999999998</v>
      </c>
      <c r="P387" s="1">
        <f t="shared" si="41"/>
        <v>2948.21</v>
      </c>
      <c r="Q387" s="1">
        <v>3075.88</v>
      </c>
      <c r="R387" s="16">
        <f t="shared" si="42"/>
        <v>2396830.5948999994</v>
      </c>
      <c r="S387" s="20">
        <v>1609.2500000000002</v>
      </c>
      <c r="T387" s="21">
        <v>98.2</v>
      </c>
      <c r="U387" s="21">
        <v>6.2999999999999989</v>
      </c>
      <c r="V387" s="8">
        <v>1713.7500000000002</v>
      </c>
      <c r="W387" s="25">
        <v>1.238</v>
      </c>
      <c r="X387" s="25">
        <f t="shared" si="43"/>
        <v>530405.62500000012</v>
      </c>
      <c r="Y387" s="1">
        <f t="shared" si="44"/>
        <v>4661.96</v>
      </c>
      <c r="Z387" s="1">
        <f t="shared" si="45"/>
        <v>4789.63</v>
      </c>
      <c r="AA387" s="1">
        <v>4768.18</v>
      </c>
      <c r="AB387" s="1">
        <f t="shared" si="40"/>
        <v>-106.22000000000025</v>
      </c>
      <c r="AC387" s="29">
        <f t="shared" si="46"/>
        <v>-21.449999999999818</v>
      </c>
      <c r="AD387" s="11">
        <f t="shared" si="47"/>
        <v>2927236.2198999994</v>
      </c>
      <c r="AE387" s="31">
        <f>SUM(AD292:AD387)</f>
        <v>261304208.55904996</v>
      </c>
    </row>
    <row r="388" spans="1:31" x14ac:dyDescent="0.3">
      <c r="A388" s="14">
        <v>45905</v>
      </c>
      <c r="B388" s="1">
        <v>1467.26</v>
      </c>
      <c r="C388" s="11">
        <v>3.2732000000000001</v>
      </c>
      <c r="D388" s="1">
        <v>629.95000000000005</v>
      </c>
      <c r="E388" s="11">
        <v>3.0760000000000001</v>
      </c>
      <c r="F388" s="1">
        <v>415.72</v>
      </c>
      <c r="G388" s="11">
        <v>3.53</v>
      </c>
      <c r="H388" s="1">
        <v>-94.68</v>
      </c>
      <c r="I388" s="11">
        <v>4.4339300000000001</v>
      </c>
      <c r="J388" s="1">
        <v>545.77</v>
      </c>
      <c r="K388" s="11">
        <v>4.2558599999999993</v>
      </c>
      <c r="L388" s="1">
        <v>0</v>
      </c>
      <c r="M388" s="11">
        <v>6.2</v>
      </c>
      <c r="N388" s="1">
        <v>23.05</v>
      </c>
      <c r="O388" s="11">
        <v>2.8224999999999998</v>
      </c>
      <c r="P388" s="1">
        <f t="shared" si="41"/>
        <v>2987.0700000000006</v>
      </c>
      <c r="Q388" s="1">
        <v>2970.63</v>
      </c>
      <c r="R388" s="16">
        <f t="shared" si="42"/>
        <v>2543957.0191999995</v>
      </c>
      <c r="S388" s="20">
        <v>1595.1699999999998</v>
      </c>
      <c r="T388" s="21">
        <v>98.23</v>
      </c>
      <c r="U388" s="21">
        <v>5.7500000000000009</v>
      </c>
      <c r="V388" s="8">
        <v>1699.1499999999999</v>
      </c>
      <c r="W388" s="25">
        <v>1.238</v>
      </c>
      <c r="X388" s="25">
        <f t="shared" si="43"/>
        <v>525886.92499999993</v>
      </c>
      <c r="Y388" s="1">
        <f t="shared" si="44"/>
        <v>4686.22</v>
      </c>
      <c r="Z388" s="1">
        <f t="shared" si="45"/>
        <v>4669.78</v>
      </c>
      <c r="AA388" s="1">
        <v>4648.8900000000003</v>
      </c>
      <c r="AB388" s="1">
        <f t="shared" ref="AB388:AB451" si="48">Y388-AA388</f>
        <v>37.329999999999927</v>
      </c>
      <c r="AC388" s="29">
        <f t="shared" si="46"/>
        <v>-20.889999999999418</v>
      </c>
      <c r="AD388" s="11">
        <f t="shared" si="47"/>
        <v>3069843.9441999993</v>
      </c>
    </row>
    <row r="389" spans="1:31" x14ac:dyDescent="0.3">
      <c r="A389" s="14">
        <v>45905.010416666664</v>
      </c>
      <c r="B389" s="1">
        <v>1467.79</v>
      </c>
      <c r="C389" s="11">
        <v>3.2732000000000001</v>
      </c>
      <c r="D389" s="1">
        <v>636.95000000000005</v>
      </c>
      <c r="E389" s="11">
        <v>3.0760000000000001</v>
      </c>
      <c r="F389" s="1">
        <v>407.89</v>
      </c>
      <c r="G389" s="11">
        <v>3.53</v>
      </c>
      <c r="H389" s="1">
        <v>-101.9</v>
      </c>
      <c r="I389" s="11">
        <v>4.0137099999999997</v>
      </c>
      <c r="J389" s="1">
        <v>484</v>
      </c>
      <c r="K389" s="11">
        <v>4.1073999999999993</v>
      </c>
      <c r="L389" s="1">
        <v>0</v>
      </c>
      <c r="M389" s="11">
        <v>6.2</v>
      </c>
      <c r="N389" s="1">
        <v>22.56</v>
      </c>
      <c r="O389" s="11">
        <v>2.8224999999999998</v>
      </c>
      <c r="P389" s="1">
        <f t="shared" ref="P389:P452" si="49">(B389+D389+F389+H389+J389+L389+N389)</f>
        <v>2917.2899999999995</v>
      </c>
      <c r="Q389" s="1">
        <v>2935.73</v>
      </c>
      <c r="R389" s="16">
        <f t="shared" ref="R389:R452" si="50">(((B389*C389)+(D389*E389)+(F389*G389)+(H389*I389)+(J389*K389)+(L389*M389)+(N389*O389))*(1000/4))</f>
        <v>2461535.0697499998</v>
      </c>
      <c r="S389" s="20">
        <v>1566.7699999999998</v>
      </c>
      <c r="T389" s="21">
        <v>98.23</v>
      </c>
      <c r="U389" s="21">
        <v>3.7700000000000005</v>
      </c>
      <c r="V389" s="8">
        <v>1668.7699999999998</v>
      </c>
      <c r="W389" s="25">
        <v>1.238</v>
      </c>
      <c r="X389" s="25">
        <f t="shared" ref="X389:X452" si="51">((V389*W389*1000)/4)</f>
        <v>516484.31499999994</v>
      </c>
      <c r="Y389" s="1">
        <f t="shared" ref="Y389:Y452" si="52">B389+D389+F389+H389+J389+L389+N389+V389</f>
        <v>4586.0599999999995</v>
      </c>
      <c r="Z389" s="1">
        <f t="shared" ref="Z389:Z452" si="53">Q389+V389</f>
        <v>4604.5</v>
      </c>
      <c r="AA389" s="1">
        <v>4562.09</v>
      </c>
      <c r="AB389" s="1">
        <f t="shared" si="48"/>
        <v>23.969999999999345</v>
      </c>
      <c r="AC389" s="29">
        <f t="shared" ref="AC389:AC452" si="54">AA389-Z389</f>
        <v>-42.409999999999854</v>
      </c>
      <c r="AD389" s="11">
        <f t="shared" ref="AD389:AD452" si="55">(R389+X389)</f>
        <v>2978019.3847499997</v>
      </c>
    </row>
    <row r="390" spans="1:31" x14ac:dyDescent="0.3">
      <c r="A390" s="14">
        <v>45905.020833333336</v>
      </c>
      <c r="B390" s="1">
        <v>1467.82</v>
      </c>
      <c r="C390" s="11">
        <v>3.2732000000000001</v>
      </c>
      <c r="D390" s="1">
        <v>636.95000000000005</v>
      </c>
      <c r="E390" s="11">
        <v>3.0760000000000001</v>
      </c>
      <c r="F390" s="1">
        <v>407.89</v>
      </c>
      <c r="G390" s="11">
        <v>3.53</v>
      </c>
      <c r="H390" s="1">
        <v>-101.9</v>
      </c>
      <c r="I390" s="11">
        <v>3.9698000000000002</v>
      </c>
      <c r="J390" s="1">
        <v>523.96</v>
      </c>
      <c r="K390" s="11">
        <v>3.00034</v>
      </c>
      <c r="L390" s="1">
        <v>0</v>
      </c>
      <c r="M390" s="11">
        <v>6.2</v>
      </c>
      <c r="N390" s="1">
        <v>12.76</v>
      </c>
      <c r="O390" s="11">
        <v>2.8224999999999998</v>
      </c>
      <c r="P390" s="1">
        <f t="shared" si="49"/>
        <v>2947.48</v>
      </c>
      <c r="Q390" s="1">
        <v>2885.42</v>
      </c>
      <c r="R390" s="16">
        <f t="shared" si="50"/>
        <v>2351782.2376000006</v>
      </c>
      <c r="S390" s="20">
        <v>1531.03</v>
      </c>
      <c r="T390" s="21">
        <v>98.23</v>
      </c>
      <c r="U390" s="21">
        <v>2.5100000000000002</v>
      </c>
      <c r="V390" s="8">
        <v>1631.77</v>
      </c>
      <c r="W390" s="25">
        <v>1.238</v>
      </c>
      <c r="X390" s="25">
        <f t="shared" si="51"/>
        <v>505032.81499999994</v>
      </c>
      <c r="Y390" s="1">
        <f t="shared" si="52"/>
        <v>4579.25</v>
      </c>
      <c r="Z390" s="1">
        <f t="shared" si="53"/>
        <v>4517.1900000000005</v>
      </c>
      <c r="AA390" s="1">
        <v>4467.3500000000004</v>
      </c>
      <c r="AB390" s="1">
        <f t="shared" si="48"/>
        <v>111.89999999999964</v>
      </c>
      <c r="AC390" s="29">
        <f t="shared" si="54"/>
        <v>-49.840000000000146</v>
      </c>
      <c r="AD390" s="11">
        <f t="shared" si="55"/>
        <v>2856815.0526000005</v>
      </c>
    </row>
    <row r="391" spans="1:31" x14ac:dyDescent="0.3">
      <c r="A391" s="14">
        <v>45905.03125</v>
      </c>
      <c r="B391" s="1">
        <v>1467.82</v>
      </c>
      <c r="C391" s="11">
        <v>3.2732000000000001</v>
      </c>
      <c r="D391" s="1">
        <v>636.95000000000005</v>
      </c>
      <c r="E391" s="11">
        <v>3.0760000000000001</v>
      </c>
      <c r="F391" s="1">
        <v>407.89</v>
      </c>
      <c r="G391" s="11">
        <v>3.53</v>
      </c>
      <c r="H391" s="1">
        <v>-101.9</v>
      </c>
      <c r="I391" s="11">
        <v>4.0086300000000001</v>
      </c>
      <c r="J391" s="1">
        <v>482.01</v>
      </c>
      <c r="K391" s="11">
        <v>2.94923</v>
      </c>
      <c r="L391" s="1">
        <v>0</v>
      </c>
      <c r="M391" s="11">
        <v>6.2</v>
      </c>
      <c r="N391" s="1">
        <v>11.44</v>
      </c>
      <c r="O391" s="11">
        <v>2.8224999999999998</v>
      </c>
      <c r="P391" s="1">
        <f t="shared" si="49"/>
        <v>2904.2099999999996</v>
      </c>
      <c r="Q391" s="1">
        <v>2856.39</v>
      </c>
      <c r="R391" s="16">
        <f t="shared" si="50"/>
        <v>2312236.6698249998</v>
      </c>
      <c r="S391" s="20">
        <v>1485.5900000000001</v>
      </c>
      <c r="T391" s="21">
        <v>98.23</v>
      </c>
      <c r="U391" s="21">
        <v>2.7199999999999998</v>
      </c>
      <c r="V391" s="8">
        <v>1586.5400000000002</v>
      </c>
      <c r="W391" s="25">
        <v>1.238</v>
      </c>
      <c r="X391" s="25">
        <f t="shared" si="51"/>
        <v>491034.13000000006</v>
      </c>
      <c r="Y391" s="1">
        <f t="shared" si="52"/>
        <v>4490.75</v>
      </c>
      <c r="Z391" s="1">
        <f t="shared" si="53"/>
        <v>4442.93</v>
      </c>
      <c r="AA391" s="1">
        <v>4395.88</v>
      </c>
      <c r="AB391" s="1">
        <f t="shared" si="48"/>
        <v>94.869999999999891</v>
      </c>
      <c r="AC391" s="29">
        <f t="shared" si="54"/>
        <v>-47.050000000000182</v>
      </c>
      <c r="AD391" s="11">
        <f t="shared" si="55"/>
        <v>2803270.7998249996</v>
      </c>
    </row>
    <row r="392" spans="1:31" x14ac:dyDescent="0.3">
      <c r="A392" s="14">
        <v>45905.041666666664</v>
      </c>
      <c r="B392" s="1">
        <v>1467.82</v>
      </c>
      <c r="C392" s="11">
        <v>3.2732000000000001</v>
      </c>
      <c r="D392" s="1">
        <v>636.95000000000005</v>
      </c>
      <c r="E392" s="11">
        <v>3.0760000000000001</v>
      </c>
      <c r="F392" s="1">
        <v>407.89</v>
      </c>
      <c r="G392" s="11">
        <v>3.53</v>
      </c>
      <c r="H392" s="1">
        <v>-101.9</v>
      </c>
      <c r="I392" s="11">
        <v>3.7009600000000002</v>
      </c>
      <c r="J392" s="1">
        <v>388.76</v>
      </c>
      <c r="K392" s="11">
        <v>3.0004</v>
      </c>
      <c r="L392" s="1">
        <v>0</v>
      </c>
      <c r="M392" s="11">
        <v>6.2</v>
      </c>
      <c r="N392" s="1">
        <v>10.84</v>
      </c>
      <c r="O392" s="11">
        <v>2.8224999999999998</v>
      </c>
      <c r="P392" s="1">
        <f t="shared" si="49"/>
        <v>2810.3599999999997</v>
      </c>
      <c r="Q392" s="1">
        <v>2786.81</v>
      </c>
      <c r="R392" s="16">
        <f t="shared" si="50"/>
        <v>2255870.4760000003</v>
      </c>
      <c r="S392" s="20">
        <v>1480.57</v>
      </c>
      <c r="T392" s="21">
        <v>98.23</v>
      </c>
      <c r="U392" s="21">
        <v>2.74</v>
      </c>
      <c r="V392" s="8">
        <v>1581.54</v>
      </c>
      <c r="W392" s="25">
        <v>1.238</v>
      </c>
      <c r="X392" s="25">
        <f t="shared" si="51"/>
        <v>489486.63</v>
      </c>
      <c r="Y392" s="1">
        <f t="shared" si="52"/>
        <v>4391.8999999999996</v>
      </c>
      <c r="Z392" s="1">
        <f t="shared" si="53"/>
        <v>4368.3500000000004</v>
      </c>
      <c r="AA392" s="1">
        <v>4322.13</v>
      </c>
      <c r="AB392" s="1">
        <f t="shared" si="48"/>
        <v>69.769999999999527</v>
      </c>
      <c r="AC392" s="29">
        <f t="shared" si="54"/>
        <v>-46.220000000000255</v>
      </c>
      <c r="AD392" s="11">
        <f t="shared" si="55"/>
        <v>2745357.1060000001</v>
      </c>
    </row>
    <row r="393" spans="1:31" x14ac:dyDescent="0.3">
      <c r="A393" s="14">
        <v>45905.052083333336</v>
      </c>
      <c r="B393" s="1">
        <v>1467.82</v>
      </c>
      <c r="C393" s="11">
        <v>3.2732000000000001</v>
      </c>
      <c r="D393" s="1">
        <v>636.95000000000005</v>
      </c>
      <c r="E393" s="11">
        <v>3.0760000000000001</v>
      </c>
      <c r="F393" s="1">
        <v>407.89</v>
      </c>
      <c r="G393" s="11">
        <v>3.53</v>
      </c>
      <c r="H393" s="1">
        <v>-101.9</v>
      </c>
      <c r="I393" s="11">
        <v>3.5897399999999999</v>
      </c>
      <c r="J393" s="1">
        <v>337.22</v>
      </c>
      <c r="K393" s="11">
        <v>2.9993000000000003</v>
      </c>
      <c r="L393" s="1">
        <v>0</v>
      </c>
      <c r="M393" s="11">
        <v>6.2</v>
      </c>
      <c r="N393" s="1">
        <v>10.52</v>
      </c>
      <c r="O393" s="11">
        <v>2.8224999999999998</v>
      </c>
      <c r="P393" s="1">
        <f t="shared" si="49"/>
        <v>2758.4999999999995</v>
      </c>
      <c r="Q393" s="1">
        <v>2745.61</v>
      </c>
      <c r="R393" s="16">
        <f t="shared" si="50"/>
        <v>2219725.1159999999</v>
      </c>
      <c r="S393" s="20">
        <v>1460.5800000000002</v>
      </c>
      <c r="T393" s="21">
        <v>98.23</v>
      </c>
      <c r="U393" s="21">
        <v>3.8</v>
      </c>
      <c r="V393" s="8">
        <v>1562.6100000000001</v>
      </c>
      <c r="W393" s="25">
        <v>1.238</v>
      </c>
      <c r="X393" s="25">
        <f t="shared" si="51"/>
        <v>483627.79500000004</v>
      </c>
      <c r="Y393" s="1">
        <f t="shared" si="52"/>
        <v>4321.1099999999997</v>
      </c>
      <c r="Z393" s="1">
        <f t="shared" si="53"/>
        <v>4308.22</v>
      </c>
      <c r="AA393" s="1">
        <v>4262.07</v>
      </c>
      <c r="AB393" s="1">
        <f t="shared" si="48"/>
        <v>59.039999999999964</v>
      </c>
      <c r="AC393" s="29">
        <f t="shared" si="54"/>
        <v>-46.150000000000546</v>
      </c>
      <c r="AD393" s="11">
        <f t="shared" si="55"/>
        <v>2703352.9109999998</v>
      </c>
    </row>
    <row r="394" spans="1:31" x14ac:dyDescent="0.3">
      <c r="A394" s="14">
        <v>45905.0625</v>
      </c>
      <c r="B394" s="1">
        <v>1467.82</v>
      </c>
      <c r="C394" s="11">
        <v>3.2732000000000001</v>
      </c>
      <c r="D394" s="1">
        <v>636.95000000000005</v>
      </c>
      <c r="E394" s="11">
        <v>3.0760000000000001</v>
      </c>
      <c r="F394" s="1">
        <v>407.89</v>
      </c>
      <c r="G394" s="11">
        <v>3.53</v>
      </c>
      <c r="H394" s="1">
        <v>-101.9</v>
      </c>
      <c r="I394" s="11">
        <v>3.55843</v>
      </c>
      <c r="J394" s="1">
        <v>334.06</v>
      </c>
      <c r="K394" s="11">
        <v>3.8804400000000001</v>
      </c>
      <c r="L394" s="1">
        <v>0</v>
      </c>
      <c r="M394" s="11">
        <v>6.2</v>
      </c>
      <c r="N394" s="1">
        <v>9.11</v>
      </c>
      <c r="O394" s="11">
        <v>2.8224999999999998</v>
      </c>
      <c r="P394" s="1">
        <f t="shared" si="49"/>
        <v>2753.93</v>
      </c>
      <c r="Q394" s="1">
        <v>2700.74</v>
      </c>
      <c r="R394" s="16">
        <f t="shared" si="50"/>
        <v>2290746.7671000003</v>
      </c>
      <c r="S394" s="20">
        <v>1414.02</v>
      </c>
      <c r="T394" s="21">
        <v>98.23</v>
      </c>
      <c r="U394" s="21">
        <v>3.9300000000000006</v>
      </c>
      <c r="V394" s="8">
        <v>1516.18</v>
      </c>
      <c r="W394" s="25">
        <v>1.238</v>
      </c>
      <c r="X394" s="25">
        <f t="shared" si="51"/>
        <v>469257.71</v>
      </c>
      <c r="Y394" s="1">
        <f t="shared" si="52"/>
        <v>4270.1099999999997</v>
      </c>
      <c r="Z394" s="1">
        <f t="shared" si="53"/>
        <v>4216.92</v>
      </c>
      <c r="AA394" s="1">
        <v>4172.18</v>
      </c>
      <c r="AB394" s="1">
        <f t="shared" si="48"/>
        <v>97.929999999999382</v>
      </c>
      <c r="AC394" s="29">
        <f t="shared" si="54"/>
        <v>-44.739999999999782</v>
      </c>
      <c r="AD394" s="11">
        <f t="shared" si="55"/>
        <v>2760004.4771000003</v>
      </c>
    </row>
    <row r="395" spans="1:31" x14ac:dyDescent="0.3">
      <c r="A395" s="14">
        <v>45905.072916666664</v>
      </c>
      <c r="B395" s="1">
        <v>1467.82</v>
      </c>
      <c r="C395" s="11">
        <v>3.2732000000000001</v>
      </c>
      <c r="D395" s="1">
        <v>636.95000000000005</v>
      </c>
      <c r="E395" s="11">
        <v>3.0760000000000001</v>
      </c>
      <c r="F395" s="1">
        <v>407.89</v>
      </c>
      <c r="G395" s="11">
        <v>3.53</v>
      </c>
      <c r="H395" s="1">
        <v>-101.9</v>
      </c>
      <c r="I395" s="11">
        <v>3.5658300000000001</v>
      </c>
      <c r="J395" s="1">
        <v>243.85</v>
      </c>
      <c r="K395" s="11">
        <v>3.8809</v>
      </c>
      <c r="L395" s="1">
        <v>0</v>
      </c>
      <c r="M395" s="11">
        <v>6.2</v>
      </c>
      <c r="N395" s="1">
        <v>8.44</v>
      </c>
      <c r="O395" s="11">
        <v>2.8224999999999998</v>
      </c>
      <c r="P395" s="1">
        <f t="shared" si="49"/>
        <v>2663.0499999999997</v>
      </c>
      <c r="Q395" s="1">
        <v>2674.51</v>
      </c>
      <c r="R395" s="16">
        <f t="shared" si="50"/>
        <v>2202599.9030000004</v>
      </c>
      <c r="S395" s="20">
        <v>1355.5600000000002</v>
      </c>
      <c r="T395" s="21">
        <v>98.220000000000013</v>
      </c>
      <c r="U395" s="21">
        <v>5.09</v>
      </c>
      <c r="V395" s="8">
        <v>1458.8700000000001</v>
      </c>
      <c r="W395" s="25">
        <v>1.238</v>
      </c>
      <c r="X395" s="25">
        <f t="shared" si="51"/>
        <v>451520.26500000007</v>
      </c>
      <c r="Y395" s="1">
        <f t="shared" si="52"/>
        <v>4121.92</v>
      </c>
      <c r="Z395" s="1">
        <f t="shared" si="53"/>
        <v>4133.38</v>
      </c>
      <c r="AA395" s="1">
        <v>4088.9</v>
      </c>
      <c r="AB395" s="1">
        <f t="shared" si="48"/>
        <v>33.019999999999982</v>
      </c>
      <c r="AC395" s="29">
        <f t="shared" si="54"/>
        <v>-44.480000000000018</v>
      </c>
      <c r="AD395" s="11">
        <f t="shared" si="55"/>
        <v>2654120.1680000005</v>
      </c>
    </row>
    <row r="396" spans="1:31" x14ac:dyDescent="0.3">
      <c r="A396" s="14">
        <v>45905.083333333336</v>
      </c>
      <c r="B396" s="1">
        <v>1467.82</v>
      </c>
      <c r="C396" s="11">
        <v>3.2732000000000001</v>
      </c>
      <c r="D396" s="1">
        <v>636.95000000000005</v>
      </c>
      <c r="E396" s="11">
        <v>3.0760000000000001</v>
      </c>
      <c r="F396" s="1">
        <v>399.24</v>
      </c>
      <c r="G396" s="11">
        <v>3.53</v>
      </c>
      <c r="H396" s="1">
        <v>-101.9</v>
      </c>
      <c r="I396" s="11">
        <v>3.55165</v>
      </c>
      <c r="J396" s="1">
        <v>552.86</v>
      </c>
      <c r="K396" s="11">
        <v>3.75177</v>
      </c>
      <c r="L396" s="1">
        <v>0</v>
      </c>
      <c r="M396" s="11">
        <v>6.2</v>
      </c>
      <c r="N396" s="1">
        <v>6.18</v>
      </c>
      <c r="O396" s="11">
        <v>2.8224999999999998</v>
      </c>
      <c r="P396" s="1">
        <f t="shared" si="49"/>
        <v>2961.15</v>
      </c>
      <c r="Q396" s="1">
        <v>2804.08</v>
      </c>
      <c r="R396" s="16">
        <f t="shared" si="50"/>
        <v>2475694.3253000006</v>
      </c>
      <c r="S396" s="20">
        <v>1159.4200000000003</v>
      </c>
      <c r="T396" s="21">
        <v>98.220000000000013</v>
      </c>
      <c r="U396" s="21">
        <v>7.58</v>
      </c>
      <c r="V396" s="8">
        <v>1265.2200000000003</v>
      </c>
      <c r="W396" s="25">
        <v>1.238</v>
      </c>
      <c r="X396" s="25">
        <f t="shared" si="51"/>
        <v>391585.59000000008</v>
      </c>
      <c r="Y396" s="1">
        <f t="shared" si="52"/>
        <v>4226.3700000000008</v>
      </c>
      <c r="Z396" s="1">
        <f t="shared" si="53"/>
        <v>4069.3</v>
      </c>
      <c r="AA396" s="1">
        <v>4016.68</v>
      </c>
      <c r="AB396" s="1">
        <f t="shared" si="48"/>
        <v>209.69000000000096</v>
      </c>
      <c r="AC396" s="29">
        <f t="shared" si="54"/>
        <v>-52.620000000000346</v>
      </c>
      <c r="AD396" s="11">
        <f t="shared" si="55"/>
        <v>2867279.9153000005</v>
      </c>
    </row>
    <row r="397" spans="1:31" x14ac:dyDescent="0.3">
      <c r="A397" s="14">
        <v>45905.09375</v>
      </c>
      <c r="B397" s="1">
        <v>1467.82</v>
      </c>
      <c r="C397" s="11">
        <v>3.2732000000000001</v>
      </c>
      <c r="D397" s="1">
        <v>636.95000000000005</v>
      </c>
      <c r="E397" s="11">
        <v>3.0760000000000001</v>
      </c>
      <c r="F397" s="1">
        <v>398.57</v>
      </c>
      <c r="G397" s="11">
        <v>3.53</v>
      </c>
      <c r="H397" s="1">
        <v>-101.9</v>
      </c>
      <c r="I397" s="11">
        <v>3.53267</v>
      </c>
      <c r="J397" s="1">
        <v>530.28</v>
      </c>
      <c r="K397" s="11">
        <v>3.7511300000000003</v>
      </c>
      <c r="L397" s="1">
        <v>0</v>
      </c>
      <c r="M397" s="11">
        <v>6.2</v>
      </c>
      <c r="N397" s="1">
        <v>6</v>
      </c>
      <c r="O397" s="11">
        <v>2.8224999999999998</v>
      </c>
      <c r="P397" s="1">
        <f t="shared" si="49"/>
        <v>2937.7200000000003</v>
      </c>
      <c r="Q397" s="1">
        <v>2874.63</v>
      </c>
      <c r="R397" s="16">
        <f t="shared" si="50"/>
        <v>2454195.96685</v>
      </c>
      <c r="S397" s="20">
        <v>1041.27</v>
      </c>
      <c r="T397" s="21">
        <v>98.210000000000008</v>
      </c>
      <c r="U397" s="21">
        <v>8.4500000000000011</v>
      </c>
      <c r="V397" s="8">
        <v>1147.93</v>
      </c>
      <c r="W397" s="25">
        <v>1.238</v>
      </c>
      <c r="X397" s="25">
        <f t="shared" si="51"/>
        <v>355284.33500000002</v>
      </c>
      <c r="Y397" s="1">
        <f t="shared" si="52"/>
        <v>4085.6500000000005</v>
      </c>
      <c r="Z397" s="1">
        <f t="shared" si="53"/>
        <v>4022.5600000000004</v>
      </c>
      <c r="AA397" s="1">
        <v>3954.77</v>
      </c>
      <c r="AB397" s="1">
        <f t="shared" si="48"/>
        <v>130.88000000000056</v>
      </c>
      <c r="AC397" s="29">
        <f t="shared" si="54"/>
        <v>-67.790000000000418</v>
      </c>
      <c r="AD397" s="11">
        <f t="shared" si="55"/>
        <v>2809480.3018499999</v>
      </c>
    </row>
    <row r="398" spans="1:31" x14ac:dyDescent="0.3">
      <c r="A398" s="14">
        <v>45905.104166666664</v>
      </c>
      <c r="B398" s="1">
        <v>1467.82</v>
      </c>
      <c r="C398" s="11">
        <v>3.2732000000000001</v>
      </c>
      <c r="D398" s="1">
        <v>636.95000000000005</v>
      </c>
      <c r="E398" s="11">
        <v>3.0760000000000001</v>
      </c>
      <c r="F398" s="1">
        <v>398.57</v>
      </c>
      <c r="G398" s="11">
        <v>3.53</v>
      </c>
      <c r="H398" s="1">
        <v>-101.9</v>
      </c>
      <c r="I398" s="11">
        <v>3.54033</v>
      </c>
      <c r="J398" s="1">
        <v>527.12</v>
      </c>
      <c r="K398" s="11">
        <v>3.8002500000000001</v>
      </c>
      <c r="L398" s="1">
        <v>0</v>
      </c>
      <c r="M398" s="11">
        <v>6.2</v>
      </c>
      <c r="N398" s="1">
        <v>6</v>
      </c>
      <c r="O398" s="11">
        <v>2.8224999999999998</v>
      </c>
      <c r="P398" s="1">
        <f t="shared" si="49"/>
        <v>2934.56</v>
      </c>
      <c r="Q398" s="1">
        <v>2822.02</v>
      </c>
      <c r="R398" s="16">
        <f t="shared" si="50"/>
        <v>2457510.4692499996</v>
      </c>
      <c r="S398" s="20">
        <v>1053.5999999999999</v>
      </c>
      <c r="T398" s="21">
        <v>98.220000000000013</v>
      </c>
      <c r="U398" s="21">
        <v>7.23</v>
      </c>
      <c r="V398" s="8">
        <v>1159.05</v>
      </c>
      <c r="W398" s="25">
        <v>1.238</v>
      </c>
      <c r="X398" s="25">
        <f t="shared" si="51"/>
        <v>358725.97499999998</v>
      </c>
      <c r="Y398" s="1">
        <f t="shared" si="52"/>
        <v>4093.6099999999997</v>
      </c>
      <c r="Z398" s="1">
        <f t="shared" si="53"/>
        <v>3981.0699999999997</v>
      </c>
      <c r="AA398" s="1">
        <v>3916.9</v>
      </c>
      <c r="AB398" s="1">
        <f t="shared" si="48"/>
        <v>176.70999999999958</v>
      </c>
      <c r="AC398" s="29">
        <f t="shared" si="54"/>
        <v>-64.169999999999618</v>
      </c>
      <c r="AD398" s="11">
        <f t="shared" si="55"/>
        <v>2816236.4442499997</v>
      </c>
    </row>
    <row r="399" spans="1:31" x14ac:dyDescent="0.3">
      <c r="A399" s="14">
        <v>45905.114583333336</v>
      </c>
      <c r="B399" s="1">
        <v>1467.82</v>
      </c>
      <c r="C399" s="11">
        <v>3.2732000000000001</v>
      </c>
      <c r="D399" s="1">
        <v>636.95000000000005</v>
      </c>
      <c r="E399" s="11">
        <v>3.0760000000000001</v>
      </c>
      <c r="F399" s="1">
        <v>398.57</v>
      </c>
      <c r="G399" s="11">
        <v>3.53</v>
      </c>
      <c r="H399" s="1">
        <v>-101.9</v>
      </c>
      <c r="I399" s="11">
        <v>3.50386</v>
      </c>
      <c r="J399" s="1">
        <v>491.03</v>
      </c>
      <c r="K399" s="11">
        <v>3.8003800000000001</v>
      </c>
      <c r="L399" s="1">
        <v>0</v>
      </c>
      <c r="M399" s="11">
        <v>6.2</v>
      </c>
      <c r="N399" s="1">
        <v>6</v>
      </c>
      <c r="O399" s="11">
        <v>2.8224999999999998</v>
      </c>
      <c r="P399" s="1">
        <f t="shared" si="49"/>
        <v>2898.4700000000003</v>
      </c>
      <c r="Q399" s="1">
        <v>2837.51</v>
      </c>
      <c r="R399" s="16">
        <f t="shared" si="50"/>
        <v>2424167.7453499995</v>
      </c>
      <c r="S399" s="20">
        <v>994.9</v>
      </c>
      <c r="T399" s="21">
        <v>98.220000000000013</v>
      </c>
      <c r="U399" s="21">
        <v>6.0200000000000005</v>
      </c>
      <c r="V399" s="8">
        <v>1099.1399999999999</v>
      </c>
      <c r="W399" s="25">
        <v>1.238</v>
      </c>
      <c r="X399" s="25">
        <f t="shared" si="51"/>
        <v>340183.82999999996</v>
      </c>
      <c r="Y399" s="1">
        <f t="shared" si="52"/>
        <v>3997.61</v>
      </c>
      <c r="Z399" s="1">
        <f t="shared" si="53"/>
        <v>3936.65</v>
      </c>
      <c r="AA399" s="1">
        <v>3875.15</v>
      </c>
      <c r="AB399" s="1">
        <f t="shared" si="48"/>
        <v>122.46000000000004</v>
      </c>
      <c r="AC399" s="29">
        <f t="shared" si="54"/>
        <v>-61.5</v>
      </c>
      <c r="AD399" s="11">
        <f t="shared" si="55"/>
        <v>2764351.5753499996</v>
      </c>
    </row>
    <row r="400" spans="1:31" x14ac:dyDescent="0.3">
      <c r="A400" s="14">
        <v>45905.125</v>
      </c>
      <c r="B400" s="1">
        <v>1467.82</v>
      </c>
      <c r="C400" s="11">
        <v>3.2732000000000001</v>
      </c>
      <c r="D400" s="1">
        <v>1006.73</v>
      </c>
      <c r="E400" s="11">
        <v>3.0760000000000001</v>
      </c>
      <c r="F400" s="1">
        <v>28.79</v>
      </c>
      <c r="G400" s="11">
        <v>3.53</v>
      </c>
      <c r="H400" s="1">
        <v>-101.9</v>
      </c>
      <c r="I400" s="11">
        <v>3.44895</v>
      </c>
      <c r="J400" s="1">
        <v>452.42</v>
      </c>
      <c r="K400" s="11">
        <v>3.7503699999999998</v>
      </c>
      <c r="L400" s="1">
        <v>0</v>
      </c>
      <c r="M400" s="11">
        <v>6.2</v>
      </c>
      <c r="N400" s="1">
        <v>6</v>
      </c>
      <c r="O400" s="11">
        <v>2.8224999999999998</v>
      </c>
      <c r="P400" s="1">
        <f t="shared" si="49"/>
        <v>2859.86</v>
      </c>
      <c r="Q400" s="1">
        <v>2854.14</v>
      </c>
      <c r="R400" s="16">
        <f t="shared" si="50"/>
        <v>2341256.9986</v>
      </c>
      <c r="S400" s="20">
        <v>965.52</v>
      </c>
      <c r="T400" s="21">
        <v>98.220000000000013</v>
      </c>
      <c r="U400" s="21">
        <v>6.2799999999999994</v>
      </c>
      <c r="V400" s="8">
        <v>1070.02</v>
      </c>
      <c r="W400" s="25">
        <v>1.238</v>
      </c>
      <c r="X400" s="25">
        <f t="shared" si="51"/>
        <v>331171.18999999994</v>
      </c>
      <c r="Y400" s="1">
        <f t="shared" si="52"/>
        <v>3929.88</v>
      </c>
      <c r="Z400" s="1">
        <f t="shared" si="53"/>
        <v>3924.16</v>
      </c>
      <c r="AA400" s="1">
        <v>3839.56</v>
      </c>
      <c r="AB400" s="1">
        <f t="shared" si="48"/>
        <v>90.320000000000164</v>
      </c>
      <c r="AC400" s="29">
        <f t="shared" si="54"/>
        <v>-84.599999999999909</v>
      </c>
      <c r="AD400" s="11">
        <f t="shared" si="55"/>
        <v>2672428.1886</v>
      </c>
    </row>
    <row r="401" spans="1:30" x14ac:dyDescent="0.3">
      <c r="A401" s="14">
        <v>45905.135416666664</v>
      </c>
      <c r="B401" s="1">
        <v>1467.82</v>
      </c>
      <c r="C401" s="11">
        <v>3.2732000000000001</v>
      </c>
      <c r="D401" s="1">
        <v>1035.52</v>
      </c>
      <c r="E401" s="11">
        <v>3.0760000000000001</v>
      </c>
      <c r="F401" s="1">
        <v>0</v>
      </c>
      <c r="G401" s="11">
        <v>3.53</v>
      </c>
      <c r="H401" s="1">
        <v>-101.9</v>
      </c>
      <c r="I401" s="11">
        <v>3.40978</v>
      </c>
      <c r="J401" s="1">
        <v>413.81</v>
      </c>
      <c r="K401" s="11">
        <v>3.6301900000000002</v>
      </c>
      <c r="L401" s="1">
        <v>0</v>
      </c>
      <c r="M401" s="11">
        <v>6.2</v>
      </c>
      <c r="N401" s="1">
        <v>6</v>
      </c>
      <c r="O401" s="11">
        <v>2.8224999999999998</v>
      </c>
      <c r="P401" s="1">
        <f t="shared" si="49"/>
        <v>2821.25</v>
      </c>
      <c r="Q401" s="1">
        <v>2829.63</v>
      </c>
      <c r="R401" s="16">
        <f t="shared" si="50"/>
        <v>2290353.8214750001</v>
      </c>
      <c r="S401" s="20">
        <v>951.2700000000001</v>
      </c>
      <c r="T401" s="21">
        <v>98.210000000000008</v>
      </c>
      <c r="U401" s="21">
        <v>5.58</v>
      </c>
      <c r="V401" s="8">
        <v>1055.06</v>
      </c>
      <c r="W401" s="25">
        <v>1.238</v>
      </c>
      <c r="X401" s="25">
        <f t="shared" si="51"/>
        <v>326541.07</v>
      </c>
      <c r="Y401" s="1">
        <f t="shared" si="52"/>
        <v>3876.31</v>
      </c>
      <c r="Z401" s="1">
        <f t="shared" si="53"/>
        <v>3884.69</v>
      </c>
      <c r="AA401" s="1">
        <v>3792.03</v>
      </c>
      <c r="AB401" s="1">
        <f t="shared" si="48"/>
        <v>84.279999999999745</v>
      </c>
      <c r="AC401" s="29">
        <f t="shared" si="54"/>
        <v>-92.659999999999854</v>
      </c>
      <c r="AD401" s="11">
        <f t="shared" si="55"/>
        <v>2616894.891475</v>
      </c>
    </row>
    <row r="402" spans="1:30" x14ac:dyDescent="0.3">
      <c r="A402" s="14">
        <v>45905.145833333336</v>
      </c>
      <c r="B402" s="1">
        <v>1467.82</v>
      </c>
      <c r="C402" s="11">
        <v>3.2732000000000001</v>
      </c>
      <c r="D402" s="1">
        <v>1035.52</v>
      </c>
      <c r="E402" s="11">
        <v>3.0760000000000001</v>
      </c>
      <c r="F402" s="1">
        <v>0</v>
      </c>
      <c r="G402" s="11">
        <v>3.53</v>
      </c>
      <c r="H402" s="1">
        <v>-101.9</v>
      </c>
      <c r="I402" s="11">
        <v>3.4090100000000003</v>
      </c>
      <c r="J402" s="1">
        <v>411.28</v>
      </c>
      <c r="K402" s="11">
        <v>3.60039</v>
      </c>
      <c r="L402" s="1">
        <v>0</v>
      </c>
      <c r="M402" s="11">
        <v>6.2</v>
      </c>
      <c r="N402" s="1">
        <v>6</v>
      </c>
      <c r="O402" s="11">
        <v>2.8224999999999998</v>
      </c>
      <c r="P402" s="1">
        <f t="shared" si="49"/>
        <v>2818.7200000000003</v>
      </c>
      <c r="Q402" s="1">
        <v>2801.09</v>
      </c>
      <c r="R402" s="16">
        <f t="shared" si="50"/>
        <v>2285013.3060499998</v>
      </c>
      <c r="S402" s="20">
        <v>953.9</v>
      </c>
      <c r="T402" s="21">
        <v>98.210000000000008</v>
      </c>
      <c r="U402" s="21">
        <v>4.6099999999999994</v>
      </c>
      <c r="V402" s="8">
        <v>1056.7199999999998</v>
      </c>
      <c r="W402" s="25">
        <v>1.238</v>
      </c>
      <c r="X402" s="25">
        <f t="shared" si="51"/>
        <v>327054.83999999997</v>
      </c>
      <c r="Y402" s="1">
        <f t="shared" si="52"/>
        <v>3875.44</v>
      </c>
      <c r="Z402" s="1">
        <f t="shared" si="53"/>
        <v>3857.81</v>
      </c>
      <c r="AA402" s="1">
        <v>3763</v>
      </c>
      <c r="AB402" s="1">
        <f t="shared" si="48"/>
        <v>112.44000000000005</v>
      </c>
      <c r="AC402" s="29">
        <f t="shared" si="54"/>
        <v>-94.809999999999945</v>
      </c>
      <c r="AD402" s="11">
        <f t="shared" si="55"/>
        <v>2612068.1460499996</v>
      </c>
    </row>
    <row r="403" spans="1:30" x14ac:dyDescent="0.3">
      <c r="A403" s="14">
        <v>45905.15625</v>
      </c>
      <c r="B403" s="1">
        <v>1467.82</v>
      </c>
      <c r="C403" s="11">
        <v>3.2732000000000001</v>
      </c>
      <c r="D403" s="1">
        <v>1035.52</v>
      </c>
      <c r="E403" s="11">
        <v>3.0760000000000001</v>
      </c>
      <c r="F403" s="1">
        <v>0</v>
      </c>
      <c r="G403" s="11">
        <v>3.53</v>
      </c>
      <c r="H403" s="1">
        <v>-101.9</v>
      </c>
      <c r="I403" s="11">
        <v>3.3581399999999997</v>
      </c>
      <c r="J403" s="1">
        <v>384.22</v>
      </c>
      <c r="K403" s="11">
        <v>3.71028</v>
      </c>
      <c r="L403" s="1">
        <v>0</v>
      </c>
      <c r="M403" s="11">
        <v>6.2</v>
      </c>
      <c r="N403" s="1">
        <v>6</v>
      </c>
      <c r="O403" s="11">
        <v>2.8224999999999998</v>
      </c>
      <c r="P403" s="1">
        <f t="shared" si="49"/>
        <v>2791.66</v>
      </c>
      <c r="Q403" s="1">
        <v>2768.62</v>
      </c>
      <c r="R403" s="16">
        <f t="shared" si="50"/>
        <v>2272508.0649000001</v>
      </c>
      <c r="S403" s="20">
        <v>954.08</v>
      </c>
      <c r="T403" s="21">
        <v>98.210000000000008</v>
      </c>
      <c r="U403" s="21">
        <v>2.76</v>
      </c>
      <c r="V403" s="8">
        <v>1055.05</v>
      </c>
      <c r="W403" s="25">
        <v>1.238</v>
      </c>
      <c r="X403" s="25">
        <f t="shared" si="51"/>
        <v>326537.97499999998</v>
      </c>
      <c r="Y403" s="1">
        <f t="shared" si="52"/>
        <v>3846.71</v>
      </c>
      <c r="Z403" s="1">
        <f t="shared" si="53"/>
        <v>3823.67</v>
      </c>
      <c r="AA403" s="1">
        <v>3727.72</v>
      </c>
      <c r="AB403" s="1">
        <f t="shared" si="48"/>
        <v>118.99000000000024</v>
      </c>
      <c r="AC403" s="29">
        <f t="shared" si="54"/>
        <v>-95.950000000000273</v>
      </c>
      <c r="AD403" s="11">
        <f t="shared" si="55"/>
        <v>2599046.0399000002</v>
      </c>
    </row>
    <row r="404" spans="1:30" x14ac:dyDescent="0.3">
      <c r="A404" s="14">
        <v>45905.166666666664</v>
      </c>
      <c r="B404" s="1">
        <v>1467.82</v>
      </c>
      <c r="C404" s="11">
        <v>3.2732000000000001</v>
      </c>
      <c r="D404" s="1">
        <v>1035.52</v>
      </c>
      <c r="E404" s="11">
        <v>3.0760000000000001</v>
      </c>
      <c r="F404" s="1">
        <v>0</v>
      </c>
      <c r="G404" s="11">
        <v>3.53</v>
      </c>
      <c r="H404" s="1">
        <v>-101.9</v>
      </c>
      <c r="I404" s="11">
        <v>3.3648000000000002</v>
      </c>
      <c r="J404" s="1">
        <v>337.33</v>
      </c>
      <c r="K404" s="11">
        <v>3.7100500000000003</v>
      </c>
      <c r="L404" s="1">
        <v>0</v>
      </c>
      <c r="M404" s="11">
        <v>6.2</v>
      </c>
      <c r="N404" s="1">
        <v>6</v>
      </c>
      <c r="O404" s="11">
        <v>2.8224999999999998</v>
      </c>
      <c r="P404" s="1">
        <f t="shared" si="49"/>
        <v>2744.77</v>
      </c>
      <c r="Q404" s="1">
        <v>2762.24</v>
      </c>
      <c r="R404" s="16">
        <f t="shared" si="50"/>
        <v>2228825.2476249998</v>
      </c>
      <c r="S404" s="20">
        <v>940.92000000000007</v>
      </c>
      <c r="T404" s="21">
        <v>98.23</v>
      </c>
      <c r="U404" s="21">
        <v>1.38</v>
      </c>
      <c r="V404" s="8">
        <v>1040.5300000000002</v>
      </c>
      <c r="W404" s="25">
        <v>1.238</v>
      </c>
      <c r="X404" s="25">
        <f t="shared" si="51"/>
        <v>322044.03500000009</v>
      </c>
      <c r="Y404" s="1">
        <f t="shared" si="52"/>
        <v>3785.3</v>
      </c>
      <c r="Z404" s="1">
        <f t="shared" si="53"/>
        <v>3802.77</v>
      </c>
      <c r="AA404" s="1">
        <v>3706.16</v>
      </c>
      <c r="AB404" s="1">
        <f t="shared" si="48"/>
        <v>79.140000000000327</v>
      </c>
      <c r="AC404" s="29">
        <f t="shared" si="54"/>
        <v>-96.610000000000127</v>
      </c>
      <c r="AD404" s="11">
        <f t="shared" si="55"/>
        <v>2550869.282625</v>
      </c>
    </row>
    <row r="405" spans="1:30" x14ac:dyDescent="0.3">
      <c r="A405" s="14">
        <v>45905.177083333336</v>
      </c>
      <c r="B405" s="1">
        <v>1467.82</v>
      </c>
      <c r="C405" s="11">
        <v>3.2732000000000001</v>
      </c>
      <c r="D405" s="1">
        <v>1035.52</v>
      </c>
      <c r="E405" s="11">
        <v>3.0760000000000001</v>
      </c>
      <c r="F405" s="1">
        <v>0</v>
      </c>
      <c r="G405" s="11">
        <v>3.53</v>
      </c>
      <c r="H405" s="1">
        <v>-101.9</v>
      </c>
      <c r="I405" s="11">
        <v>3.3994</v>
      </c>
      <c r="J405" s="1">
        <v>297.97000000000003</v>
      </c>
      <c r="K405" s="11">
        <v>3.7101100000000002</v>
      </c>
      <c r="L405" s="1">
        <v>0</v>
      </c>
      <c r="M405" s="11">
        <v>6.2</v>
      </c>
      <c r="N405" s="1">
        <v>6</v>
      </c>
      <c r="O405" s="11">
        <v>2.8224999999999998</v>
      </c>
      <c r="P405" s="1">
        <f t="shared" si="49"/>
        <v>2705.41</v>
      </c>
      <c r="Q405" s="1">
        <v>2719.27</v>
      </c>
      <c r="R405" s="16">
        <f t="shared" si="50"/>
        <v>2191441.3901749998</v>
      </c>
      <c r="S405" s="20">
        <v>957.96</v>
      </c>
      <c r="T405" s="21">
        <v>98.23</v>
      </c>
      <c r="U405" s="21">
        <v>0.77</v>
      </c>
      <c r="V405" s="8">
        <v>1056.96</v>
      </c>
      <c r="W405" s="25">
        <v>1.238</v>
      </c>
      <c r="X405" s="25">
        <f t="shared" si="51"/>
        <v>327129.12</v>
      </c>
      <c r="Y405" s="1">
        <f t="shared" si="52"/>
        <v>3762.37</v>
      </c>
      <c r="Z405" s="1">
        <f t="shared" si="53"/>
        <v>3776.23</v>
      </c>
      <c r="AA405" s="1">
        <v>3680.1</v>
      </c>
      <c r="AB405" s="1">
        <f t="shared" si="48"/>
        <v>82.269999999999982</v>
      </c>
      <c r="AC405" s="29">
        <f t="shared" si="54"/>
        <v>-96.130000000000109</v>
      </c>
      <c r="AD405" s="11">
        <f t="shared" si="55"/>
        <v>2518570.5101749999</v>
      </c>
    </row>
    <row r="406" spans="1:30" x14ac:dyDescent="0.3">
      <c r="A406" s="14">
        <v>45905.1875</v>
      </c>
      <c r="B406" s="1">
        <v>1467.82</v>
      </c>
      <c r="C406" s="11">
        <v>3.2732000000000001</v>
      </c>
      <c r="D406" s="1">
        <v>1035.52</v>
      </c>
      <c r="E406" s="11">
        <v>3.0760000000000001</v>
      </c>
      <c r="F406" s="1">
        <v>0</v>
      </c>
      <c r="G406" s="11">
        <v>3.53</v>
      </c>
      <c r="H406" s="1">
        <v>-101.9</v>
      </c>
      <c r="I406" s="11">
        <v>3.4098899999999999</v>
      </c>
      <c r="J406" s="1">
        <v>295.44</v>
      </c>
      <c r="K406" s="11">
        <v>3.8127499999999999</v>
      </c>
      <c r="L406" s="1">
        <v>0</v>
      </c>
      <c r="M406" s="11">
        <v>6.2</v>
      </c>
      <c r="N406" s="1">
        <v>6</v>
      </c>
      <c r="O406" s="11">
        <v>2.8224999999999998</v>
      </c>
      <c r="P406" s="1">
        <f t="shared" si="49"/>
        <v>2702.88</v>
      </c>
      <c r="Q406" s="1">
        <v>2715.13</v>
      </c>
      <c r="R406" s="16">
        <f t="shared" si="50"/>
        <v>2196408.5032499996</v>
      </c>
      <c r="S406" s="20">
        <v>950.67</v>
      </c>
      <c r="T406" s="21">
        <v>98.23</v>
      </c>
      <c r="U406" s="21">
        <v>0.66</v>
      </c>
      <c r="V406" s="8">
        <v>1049.56</v>
      </c>
      <c r="W406" s="25">
        <v>1.238</v>
      </c>
      <c r="X406" s="25">
        <f t="shared" si="51"/>
        <v>324838.82</v>
      </c>
      <c r="Y406" s="1">
        <f t="shared" si="52"/>
        <v>3752.44</v>
      </c>
      <c r="Z406" s="1">
        <f t="shared" si="53"/>
        <v>3764.69</v>
      </c>
      <c r="AA406" s="1">
        <v>3669.43</v>
      </c>
      <c r="AB406" s="1">
        <f t="shared" si="48"/>
        <v>83.010000000000218</v>
      </c>
      <c r="AC406" s="29">
        <f t="shared" si="54"/>
        <v>-95.260000000000218</v>
      </c>
      <c r="AD406" s="11">
        <f t="shared" si="55"/>
        <v>2521247.3232499994</v>
      </c>
    </row>
    <row r="407" spans="1:30" x14ac:dyDescent="0.3">
      <c r="A407" s="14">
        <v>45905.197916666664</v>
      </c>
      <c r="B407" s="1">
        <v>1467.82</v>
      </c>
      <c r="C407" s="11">
        <v>3.2732000000000001</v>
      </c>
      <c r="D407" s="1">
        <v>1035.52</v>
      </c>
      <c r="E407" s="11">
        <v>3.0760000000000001</v>
      </c>
      <c r="F407" s="1">
        <v>0</v>
      </c>
      <c r="G407" s="11">
        <v>3.53</v>
      </c>
      <c r="H407" s="1">
        <v>-101.9</v>
      </c>
      <c r="I407" s="11">
        <v>3.4290400000000001</v>
      </c>
      <c r="J407" s="1">
        <v>286.42</v>
      </c>
      <c r="K407" s="11">
        <v>3.9800300000000002</v>
      </c>
      <c r="L407" s="1">
        <v>0</v>
      </c>
      <c r="M407" s="11">
        <v>6.2</v>
      </c>
      <c r="N407" s="1">
        <v>6</v>
      </c>
      <c r="O407" s="11">
        <v>2.8224999999999998</v>
      </c>
      <c r="P407" s="1">
        <f t="shared" si="49"/>
        <v>2693.86</v>
      </c>
      <c r="Q407" s="1">
        <v>2707.27</v>
      </c>
      <c r="R407" s="16">
        <f t="shared" si="50"/>
        <v>2199300.99015</v>
      </c>
      <c r="S407" s="20">
        <v>948.46999999999991</v>
      </c>
      <c r="T407" s="21">
        <v>98.220000000000013</v>
      </c>
      <c r="U407" s="21">
        <v>0.22999999999999998</v>
      </c>
      <c r="V407" s="8">
        <v>1046.9199999999998</v>
      </c>
      <c r="W407" s="25">
        <v>1.238</v>
      </c>
      <c r="X407" s="25">
        <f t="shared" si="51"/>
        <v>324021.74</v>
      </c>
      <c r="Y407" s="1">
        <f t="shared" si="52"/>
        <v>3740.7799999999997</v>
      </c>
      <c r="Z407" s="1">
        <f t="shared" si="53"/>
        <v>3754.1899999999996</v>
      </c>
      <c r="AA407" s="1">
        <v>3661.73</v>
      </c>
      <c r="AB407" s="1">
        <f t="shared" si="48"/>
        <v>79.049999999999727</v>
      </c>
      <c r="AC407" s="29">
        <f t="shared" si="54"/>
        <v>-92.459999999999582</v>
      </c>
      <c r="AD407" s="11">
        <f t="shared" si="55"/>
        <v>2523322.7301500002</v>
      </c>
    </row>
    <row r="408" spans="1:30" x14ac:dyDescent="0.3">
      <c r="A408" s="14">
        <v>45905.208333333336</v>
      </c>
      <c r="B408" s="1">
        <v>1467.82</v>
      </c>
      <c r="C408" s="11">
        <v>3.2732000000000001</v>
      </c>
      <c r="D408" s="1">
        <v>1035.52</v>
      </c>
      <c r="E408" s="11">
        <v>3.0760000000000001</v>
      </c>
      <c r="F408" s="1">
        <v>0</v>
      </c>
      <c r="G408" s="11">
        <v>3.53</v>
      </c>
      <c r="H408" s="1">
        <v>-101.9</v>
      </c>
      <c r="I408" s="11">
        <v>3.3398300000000001</v>
      </c>
      <c r="J408" s="1">
        <v>195.7</v>
      </c>
      <c r="K408" s="11">
        <v>3.98027</v>
      </c>
      <c r="L408" s="1">
        <v>0</v>
      </c>
      <c r="M408" s="11">
        <v>6.2</v>
      </c>
      <c r="N408" s="1">
        <v>6</v>
      </c>
      <c r="O408" s="11">
        <v>2.8224999999999998</v>
      </c>
      <c r="P408" s="1">
        <f t="shared" si="49"/>
        <v>2603.14</v>
      </c>
      <c r="Q408" s="1">
        <v>2590.31</v>
      </c>
      <c r="R408" s="16">
        <f t="shared" si="50"/>
        <v>2111318.2764999997</v>
      </c>
      <c r="S408" s="20">
        <v>1074.2799999999997</v>
      </c>
      <c r="T408" s="21">
        <v>98.220000000000013</v>
      </c>
      <c r="U408" s="21">
        <v>0.19999999999999998</v>
      </c>
      <c r="V408" s="8">
        <v>1172.6999999999998</v>
      </c>
      <c r="W408" s="25">
        <v>1.238</v>
      </c>
      <c r="X408" s="25">
        <f t="shared" si="51"/>
        <v>362950.64999999997</v>
      </c>
      <c r="Y408" s="1">
        <f t="shared" si="52"/>
        <v>3775.8399999999997</v>
      </c>
      <c r="Z408" s="1">
        <f t="shared" si="53"/>
        <v>3763.0099999999998</v>
      </c>
      <c r="AA408" s="1">
        <v>3664.79</v>
      </c>
      <c r="AB408" s="1">
        <f t="shared" si="48"/>
        <v>111.04999999999973</v>
      </c>
      <c r="AC408" s="29">
        <f t="shared" si="54"/>
        <v>-98.2199999999998</v>
      </c>
      <c r="AD408" s="11">
        <f t="shared" si="55"/>
        <v>2474268.9264999996</v>
      </c>
    </row>
    <row r="409" spans="1:30" x14ac:dyDescent="0.3">
      <c r="A409" s="14">
        <v>45905.21875</v>
      </c>
      <c r="B409" s="1">
        <v>1467.82</v>
      </c>
      <c r="C409" s="11">
        <v>3.2732000000000001</v>
      </c>
      <c r="D409" s="1">
        <v>1035.52</v>
      </c>
      <c r="E409" s="11">
        <v>3.0760000000000001</v>
      </c>
      <c r="F409" s="1">
        <v>0</v>
      </c>
      <c r="G409" s="11">
        <v>3.53</v>
      </c>
      <c r="H409" s="1">
        <v>-101.9</v>
      </c>
      <c r="I409" s="11">
        <v>3.40991</v>
      </c>
      <c r="J409" s="1">
        <v>198.28</v>
      </c>
      <c r="K409" s="11">
        <v>3.9803099999999998</v>
      </c>
      <c r="L409" s="1">
        <v>0</v>
      </c>
      <c r="M409" s="11">
        <v>6.2</v>
      </c>
      <c r="N409" s="1">
        <v>6</v>
      </c>
      <c r="O409" s="11">
        <v>2.8224999999999998</v>
      </c>
      <c r="P409" s="1">
        <f t="shared" si="49"/>
        <v>2605.7200000000003</v>
      </c>
      <c r="Q409" s="1">
        <v>2492.9299999999998</v>
      </c>
      <c r="R409" s="16">
        <f t="shared" si="50"/>
        <v>2112102.2454499998</v>
      </c>
      <c r="S409" s="20">
        <v>1170.6399999999999</v>
      </c>
      <c r="T409" s="21">
        <v>98.220000000000013</v>
      </c>
      <c r="U409" s="21">
        <v>0.21</v>
      </c>
      <c r="V409" s="8">
        <v>1269.07</v>
      </c>
      <c r="W409" s="25">
        <v>1.238</v>
      </c>
      <c r="X409" s="25">
        <f t="shared" si="51"/>
        <v>392777.16499999998</v>
      </c>
      <c r="Y409" s="1">
        <f t="shared" si="52"/>
        <v>3874.79</v>
      </c>
      <c r="Z409" s="1">
        <f t="shared" si="53"/>
        <v>3762</v>
      </c>
      <c r="AA409" s="1">
        <v>3668.66</v>
      </c>
      <c r="AB409" s="1">
        <f t="shared" si="48"/>
        <v>206.13000000000011</v>
      </c>
      <c r="AC409" s="29">
        <f t="shared" si="54"/>
        <v>-93.340000000000146</v>
      </c>
      <c r="AD409" s="11">
        <f t="shared" si="55"/>
        <v>2504879.4104499999</v>
      </c>
    </row>
    <row r="410" spans="1:30" x14ac:dyDescent="0.3">
      <c r="A410" s="14">
        <v>45905.229166666664</v>
      </c>
      <c r="B410" s="1">
        <v>1467.82</v>
      </c>
      <c r="C410" s="11">
        <v>3.2732000000000001</v>
      </c>
      <c r="D410" s="1">
        <v>1035.52</v>
      </c>
      <c r="E410" s="11">
        <v>3.0760000000000001</v>
      </c>
      <c r="F410" s="1">
        <v>0</v>
      </c>
      <c r="G410" s="11">
        <v>3.53</v>
      </c>
      <c r="H410" s="1">
        <v>-101.9</v>
      </c>
      <c r="I410" s="11">
        <v>3.5468200000000003</v>
      </c>
      <c r="J410" s="1">
        <v>189.9</v>
      </c>
      <c r="K410" s="11">
        <v>4.1455600000000006</v>
      </c>
      <c r="L410" s="1">
        <v>0</v>
      </c>
      <c r="M410" s="11">
        <v>6.2</v>
      </c>
      <c r="N410" s="1">
        <v>6</v>
      </c>
      <c r="O410" s="11">
        <v>2.8224999999999998</v>
      </c>
      <c r="P410" s="1">
        <f t="shared" si="49"/>
        <v>2597.34</v>
      </c>
      <c r="Q410" s="1">
        <v>2466.1999999999998</v>
      </c>
      <c r="R410" s="16">
        <f t="shared" si="50"/>
        <v>2108120.9575</v>
      </c>
      <c r="S410" s="20">
        <v>1192.4099999999999</v>
      </c>
      <c r="T410" s="21">
        <v>98.210000000000008</v>
      </c>
      <c r="U410" s="21">
        <v>0.13</v>
      </c>
      <c r="V410" s="8">
        <v>1290.75</v>
      </c>
      <c r="W410" s="25">
        <v>1.238</v>
      </c>
      <c r="X410" s="25">
        <f t="shared" si="51"/>
        <v>399487.125</v>
      </c>
      <c r="Y410" s="1">
        <f t="shared" si="52"/>
        <v>3888.09</v>
      </c>
      <c r="Z410" s="1">
        <f t="shared" si="53"/>
        <v>3756.95</v>
      </c>
      <c r="AA410" s="1">
        <v>3661.86</v>
      </c>
      <c r="AB410" s="1">
        <f t="shared" si="48"/>
        <v>226.23000000000002</v>
      </c>
      <c r="AC410" s="29">
        <f t="shared" si="54"/>
        <v>-95.089999999999691</v>
      </c>
      <c r="AD410" s="11">
        <f t="shared" si="55"/>
        <v>2507608.0825</v>
      </c>
    </row>
    <row r="411" spans="1:30" x14ac:dyDescent="0.3">
      <c r="A411" s="14">
        <v>45905.239583333336</v>
      </c>
      <c r="B411" s="1">
        <v>1469.59</v>
      </c>
      <c r="C411" s="11">
        <v>3.2732000000000001</v>
      </c>
      <c r="D411" s="1">
        <v>1035.52</v>
      </c>
      <c r="E411" s="11">
        <v>3.0760000000000001</v>
      </c>
      <c r="F411" s="1">
        <v>0</v>
      </c>
      <c r="G411" s="11">
        <v>3.53</v>
      </c>
      <c r="H411" s="1">
        <v>-101.9</v>
      </c>
      <c r="I411" s="11">
        <v>3.5588899999999999</v>
      </c>
      <c r="J411" s="1">
        <v>189.26</v>
      </c>
      <c r="K411" s="11">
        <v>3.9391700000000003</v>
      </c>
      <c r="L411" s="1">
        <v>0</v>
      </c>
      <c r="M411" s="11">
        <v>6.2</v>
      </c>
      <c r="N411" s="1">
        <v>16.96</v>
      </c>
      <c r="O411" s="11">
        <v>2.8224999999999998</v>
      </c>
      <c r="P411" s="1">
        <f t="shared" si="49"/>
        <v>2609.4299999999994</v>
      </c>
      <c r="Q411" s="1">
        <v>2462.4299999999998</v>
      </c>
      <c r="R411" s="16">
        <f t="shared" si="50"/>
        <v>2106566.8827999998</v>
      </c>
      <c r="S411" s="20">
        <v>1204.3900000000001</v>
      </c>
      <c r="T411" s="21">
        <v>98.220000000000013</v>
      </c>
      <c r="U411" s="21">
        <v>0.29000000000000004</v>
      </c>
      <c r="V411" s="8">
        <v>1302.9000000000001</v>
      </c>
      <c r="W411" s="25">
        <v>1.238</v>
      </c>
      <c r="X411" s="25">
        <f t="shared" si="51"/>
        <v>403247.55000000005</v>
      </c>
      <c r="Y411" s="1">
        <f t="shared" si="52"/>
        <v>3912.3299999999995</v>
      </c>
      <c r="Z411" s="1">
        <f t="shared" si="53"/>
        <v>3765.33</v>
      </c>
      <c r="AA411" s="1">
        <v>3672.23</v>
      </c>
      <c r="AB411" s="1">
        <f t="shared" si="48"/>
        <v>240.09999999999945</v>
      </c>
      <c r="AC411" s="29">
        <f t="shared" si="54"/>
        <v>-93.099999999999909</v>
      </c>
      <c r="AD411" s="11">
        <f t="shared" si="55"/>
        <v>2509814.4327999996</v>
      </c>
    </row>
    <row r="412" spans="1:30" x14ac:dyDescent="0.3">
      <c r="A412" s="14">
        <v>45905.25</v>
      </c>
      <c r="B412" s="1">
        <v>1469.98</v>
      </c>
      <c r="C412" s="11">
        <v>3.2732000000000001</v>
      </c>
      <c r="D412" s="1">
        <v>666.18</v>
      </c>
      <c r="E412" s="11">
        <v>3.0760000000000001</v>
      </c>
      <c r="F412" s="1">
        <v>369.34</v>
      </c>
      <c r="G412" s="11">
        <v>3.53</v>
      </c>
      <c r="H412" s="1">
        <v>-88.12</v>
      </c>
      <c r="I412" s="11">
        <v>3.6395599999999999</v>
      </c>
      <c r="J412" s="1">
        <v>189.26</v>
      </c>
      <c r="K412" s="11">
        <v>3.7602600000000002</v>
      </c>
      <c r="L412" s="1">
        <v>0</v>
      </c>
      <c r="M412" s="11">
        <v>6.2</v>
      </c>
      <c r="N412" s="1">
        <v>20.41</v>
      </c>
      <c r="O412" s="11">
        <v>2.8224999999999998</v>
      </c>
      <c r="P412" s="1">
        <f t="shared" si="49"/>
        <v>2627.05</v>
      </c>
      <c r="Q412" s="1">
        <v>2474.21</v>
      </c>
      <c r="R412" s="16">
        <f t="shared" si="50"/>
        <v>2153258.6053499999</v>
      </c>
      <c r="S412" s="20">
        <v>1205.1399999999999</v>
      </c>
      <c r="T412" s="21">
        <v>98.2</v>
      </c>
      <c r="U412" s="21">
        <v>0.92</v>
      </c>
      <c r="V412" s="8">
        <v>1304.26</v>
      </c>
      <c r="W412" s="25">
        <v>1.238</v>
      </c>
      <c r="X412" s="25">
        <f t="shared" si="51"/>
        <v>403668.47000000003</v>
      </c>
      <c r="Y412" s="1">
        <f t="shared" si="52"/>
        <v>3931.3100000000004</v>
      </c>
      <c r="Z412" s="1">
        <f t="shared" si="53"/>
        <v>3778.4700000000003</v>
      </c>
      <c r="AA412" s="1">
        <v>3685.24</v>
      </c>
      <c r="AB412" s="1">
        <f t="shared" si="48"/>
        <v>246.07000000000062</v>
      </c>
      <c r="AC412" s="29">
        <f t="shared" si="54"/>
        <v>-93.230000000000473</v>
      </c>
      <c r="AD412" s="11">
        <f t="shared" si="55"/>
        <v>2556927.0753500001</v>
      </c>
    </row>
    <row r="413" spans="1:30" x14ac:dyDescent="0.3">
      <c r="A413" s="14">
        <v>45905.260416666664</v>
      </c>
      <c r="B413" s="1">
        <v>1470</v>
      </c>
      <c r="C413" s="11">
        <v>3.2732000000000001</v>
      </c>
      <c r="D413" s="1">
        <v>636.95000000000005</v>
      </c>
      <c r="E413" s="11">
        <v>3.0760000000000001</v>
      </c>
      <c r="F413" s="1">
        <v>398.57</v>
      </c>
      <c r="G413" s="11">
        <v>3.53</v>
      </c>
      <c r="H413" s="1">
        <v>-86.59</v>
      </c>
      <c r="I413" s="11">
        <v>3.5493600000000001</v>
      </c>
      <c r="J413" s="1">
        <v>189.26</v>
      </c>
      <c r="K413" s="11">
        <v>4.0007999999999999</v>
      </c>
      <c r="L413" s="1">
        <v>0</v>
      </c>
      <c r="M413" s="11">
        <v>6.2</v>
      </c>
      <c r="N413" s="1">
        <v>28.29</v>
      </c>
      <c r="O413" s="11">
        <v>2.8224999999999998</v>
      </c>
      <c r="P413" s="1">
        <f t="shared" si="49"/>
        <v>2636.4799999999996</v>
      </c>
      <c r="Q413" s="1">
        <v>2492.84</v>
      </c>
      <c r="R413" s="16">
        <f t="shared" si="50"/>
        <v>2176878.7876499998</v>
      </c>
      <c r="S413" s="20">
        <v>1207.22</v>
      </c>
      <c r="T413" s="21">
        <v>99.22999999999999</v>
      </c>
      <c r="U413" s="21">
        <v>0.63</v>
      </c>
      <c r="V413" s="8">
        <v>1307.0800000000002</v>
      </c>
      <c r="W413" s="25">
        <v>1.238</v>
      </c>
      <c r="X413" s="25">
        <f t="shared" si="51"/>
        <v>404541.26</v>
      </c>
      <c r="Y413" s="1">
        <f t="shared" si="52"/>
        <v>3943.5599999999995</v>
      </c>
      <c r="Z413" s="1">
        <f t="shared" si="53"/>
        <v>3799.92</v>
      </c>
      <c r="AA413" s="1">
        <v>3703.75</v>
      </c>
      <c r="AB413" s="1">
        <f t="shared" si="48"/>
        <v>239.80999999999949</v>
      </c>
      <c r="AC413" s="29">
        <f t="shared" si="54"/>
        <v>-96.170000000000073</v>
      </c>
      <c r="AD413" s="11">
        <f t="shared" si="55"/>
        <v>2581420.0476500001</v>
      </c>
    </row>
    <row r="414" spans="1:30" x14ac:dyDescent="0.3">
      <c r="A414" s="14">
        <v>45905.270833333336</v>
      </c>
      <c r="B414" s="1">
        <v>1470</v>
      </c>
      <c r="C414" s="11">
        <v>3.2732000000000001</v>
      </c>
      <c r="D414" s="1">
        <v>636.95000000000005</v>
      </c>
      <c r="E414" s="11">
        <v>3.0760000000000001</v>
      </c>
      <c r="F414" s="1">
        <v>398.57</v>
      </c>
      <c r="G414" s="11">
        <v>3.53</v>
      </c>
      <c r="H414" s="1">
        <v>-66.61</v>
      </c>
      <c r="I414" s="11">
        <v>3.4512600000000004</v>
      </c>
      <c r="J414" s="1">
        <v>214.94</v>
      </c>
      <c r="K414" s="11">
        <v>3.5628299999999999</v>
      </c>
      <c r="L414" s="1">
        <v>0</v>
      </c>
      <c r="M414" s="11">
        <v>6.2</v>
      </c>
      <c r="N414" s="1">
        <v>37.44</v>
      </c>
      <c r="O414" s="11">
        <v>2.8224999999999998</v>
      </c>
      <c r="P414" s="1">
        <f t="shared" si="49"/>
        <v>2691.29</v>
      </c>
      <c r="Q414" s="1">
        <v>2495.39</v>
      </c>
      <c r="R414" s="16">
        <f t="shared" si="50"/>
        <v>2204848.7379000001</v>
      </c>
      <c r="S414" s="20">
        <v>1206.46</v>
      </c>
      <c r="T414" s="21">
        <v>101.9</v>
      </c>
      <c r="U414" s="21">
        <v>0.1</v>
      </c>
      <c r="V414" s="8">
        <v>1308.46</v>
      </c>
      <c r="W414" s="25">
        <v>1.238</v>
      </c>
      <c r="X414" s="25">
        <f t="shared" si="51"/>
        <v>404968.37</v>
      </c>
      <c r="Y414" s="1">
        <f t="shared" si="52"/>
        <v>3999.75</v>
      </c>
      <c r="Z414" s="1">
        <f t="shared" si="53"/>
        <v>3803.85</v>
      </c>
      <c r="AA414" s="1">
        <v>3703.77</v>
      </c>
      <c r="AB414" s="1">
        <f t="shared" si="48"/>
        <v>295.98</v>
      </c>
      <c r="AC414" s="29">
        <f t="shared" si="54"/>
        <v>-100.07999999999993</v>
      </c>
      <c r="AD414" s="11">
        <f t="shared" si="55"/>
        <v>2609817.1079000002</v>
      </c>
    </row>
    <row r="415" spans="1:30" x14ac:dyDescent="0.3">
      <c r="A415" s="14">
        <v>45905.28125</v>
      </c>
      <c r="B415" s="1">
        <v>1470</v>
      </c>
      <c r="C415" s="11">
        <v>3.2732000000000001</v>
      </c>
      <c r="D415" s="1">
        <v>636.95000000000005</v>
      </c>
      <c r="E415" s="11">
        <v>3.0760000000000001</v>
      </c>
      <c r="F415" s="1">
        <v>398.57</v>
      </c>
      <c r="G415" s="11">
        <v>3.53</v>
      </c>
      <c r="H415" s="1">
        <v>-61.44</v>
      </c>
      <c r="I415" s="11">
        <v>3.3058299999999998</v>
      </c>
      <c r="J415" s="1">
        <v>234.18</v>
      </c>
      <c r="K415" s="11">
        <v>3.20566</v>
      </c>
      <c r="L415" s="1">
        <v>0</v>
      </c>
      <c r="M415" s="11">
        <v>6.2</v>
      </c>
      <c r="N415" s="1">
        <v>50.98</v>
      </c>
      <c r="O415" s="11">
        <v>2.8224999999999998</v>
      </c>
      <c r="P415" s="1">
        <f t="shared" si="49"/>
        <v>2729.24</v>
      </c>
      <c r="Q415" s="1">
        <v>2529.71</v>
      </c>
      <c r="R415" s="16">
        <f t="shared" si="50"/>
        <v>2217324.1533999997</v>
      </c>
      <c r="S415" s="20">
        <v>1127.76</v>
      </c>
      <c r="T415" s="21">
        <v>106.29</v>
      </c>
      <c r="U415" s="21">
        <v>0.17</v>
      </c>
      <c r="V415" s="8">
        <v>1234.22</v>
      </c>
      <c r="W415" s="25">
        <v>1.238</v>
      </c>
      <c r="X415" s="25">
        <f t="shared" si="51"/>
        <v>381991.08999999997</v>
      </c>
      <c r="Y415" s="1">
        <f t="shared" si="52"/>
        <v>3963.46</v>
      </c>
      <c r="Z415" s="1">
        <f t="shared" si="53"/>
        <v>3763.9300000000003</v>
      </c>
      <c r="AA415" s="1">
        <v>3666.53</v>
      </c>
      <c r="AB415" s="1">
        <f t="shared" si="48"/>
        <v>296.92999999999984</v>
      </c>
      <c r="AC415" s="29">
        <f t="shared" si="54"/>
        <v>-97.400000000000091</v>
      </c>
      <c r="AD415" s="11">
        <f t="shared" si="55"/>
        <v>2599315.2433999996</v>
      </c>
    </row>
    <row r="416" spans="1:30" x14ac:dyDescent="0.3">
      <c r="A416" s="14">
        <v>45905.291666666664</v>
      </c>
      <c r="B416" s="1">
        <v>1468.57</v>
      </c>
      <c r="C416" s="11">
        <v>3.2732000000000001</v>
      </c>
      <c r="D416" s="1">
        <v>636.95000000000005</v>
      </c>
      <c r="E416" s="11">
        <v>3.0760000000000001</v>
      </c>
      <c r="F416" s="1">
        <v>398.57</v>
      </c>
      <c r="G416" s="11">
        <v>3.53</v>
      </c>
      <c r="H416" s="1">
        <v>-46.43</v>
      </c>
      <c r="I416" s="11">
        <v>3.3007</v>
      </c>
      <c r="J416" s="1">
        <v>126.26</v>
      </c>
      <c r="K416" s="11">
        <v>3.3172700000000002</v>
      </c>
      <c r="L416" s="1">
        <v>0</v>
      </c>
      <c r="M416" s="11">
        <v>6.2</v>
      </c>
      <c r="N416" s="1">
        <v>68.650000000000006</v>
      </c>
      <c r="O416" s="11">
        <v>2.8224999999999998</v>
      </c>
      <c r="P416" s="1">
        <f t="shared" si="49"/>
        <v>2652.5700000000006</v>
      </c>
      <c r="Q416" s="1">
        <v>2607.9899999999998</v>
      </c>
      <c r="R416" s="16">
        <f t="shared" si="50"/>
        <v>2158121.3145500002</v>
      </c>
      <c r="S416" s="20">
        <v>997.99999999999989</v>
      </c>
      <c r="T416" s="21">
        <v>112.33999999999999</v>
      </c>
      <c r="U416" s="21">
        <v>0.13</v>
      </c>
      <c r="V416" s="8">
        <v>1110.47</v>
      </c>
      <c r="W416" s="25">
        <v>1.238</v>
      </c>
      <c r="X416" s="25">
        <f t="shared" si="51"/>
        <v>343690.46500000003</v>
      </c>
      <c r="Y416" s="1">
        <f t="shared" si="52"/>
        <v>3763.0400000000009</v>
      </c>
      <c r="Z416" s="1">
        <f t="shared" si="53"/>
        <v>3718.46</v>
      </c>
      <c r="AA416" s="1">
        <v>3612.53</v>
      </c>
      <c r="AB416" s="1">
        <f t="shared" si="48"/>
        <v>150.51000000000067</v>
      </c>
      <c r="AC416" s="29">
        <f t="shared" si="54"/>
        <v>-105.92999999999984</v>
      </c>
      <c r="AD416" s="11">
        <f t="shared" si="55"/>
        <v>2501811.7795500001</v>
      </c>
    </row>
    <row r="417" spans="1:30" x14ac:dyDescent="0.3">
      <c r="A417" s="14">
        <v>45905.302083333336</v>
      </c>
      <c r="B417" s="1">
        <v>1468.47</v>
      </c>
      <c r="C417" s="11">
        <v>3.2732000000000001</v>
      </c>
      <c r="D417" s="1">
        <v>636.95000000000005</v>
      </c>
      <c r="E417" s="11">
        <v>3.0760000000000001</v>
      </c>
      <c r="F417" s="1">
        <v>398.57</v>
      </c>
      <c r="G417" s="11">
        <v>3.53</v>
      </c>
      <c r="H417" s="1">
        <v>53.32</v>
      </c>
      <c r="I417" s="11">
        <v>3.0005600000000001</v>
      </c>
      <c r="J417" s="1">
        <v>127.98</v>
      </c>
      <c r="K417" s="11">
        <v>2.3498299999999999</v>
      </c>
      <c r="L417" s="1">
        <v>0</v>
      </c>
      <c r="M417" s="11">
        <v>6.2</v>
      </c>
      <c r="N417" s="1">
        <v>91.63</v>
      </c>
      <c r="O417" s="11">
        <v>2.8224999999999998</v>
      </c>
      <c r="P417" s="1">
        <f t="shared" si="49"/>
        <v>2776.9200000000005</v>
      </c>
      <c r="Q417" s="1">
        <v>2721.61</v>
      </c>
      <c r="R417" s="16">
        <f t="shared" si="50"/>
        <v>2223038.2703999998</v>
      </c>
      <c r="S417" s="20">
        <v>832.07</v>
      </c>
      <c r="T417" s="21">
        <v>119.66000000000001</v>
      </c>
      <c r="U417" s="21">
        <v>0.09</v>
      </c>
      <c r="V417" s="8">
        <v>951.82</v>
      </c>
      <c r="W417" s="25">
        <v>1.238</v>
      </c>
      <c r="X417" s="25">
        <f t="shared" si="51"/>
        <v>294588.29000000004</v>
      </c>
      <c r="Y417" s="1">
        <f t="shared" si="52"/>
        <v>3728.7400000000007</v>
      </c>
      <c r="Z417" s="1">
        <f t="shared" si="53"/>
        <v>3673.4300000000003</v>
      </c>
      <c r="AA417" s="1">
        <v>3554.44</v>
      </c>
      <c r="AB417" s="1">
        <f t="shared" si="48"/>
        <v>174.30000000000064</v>
      </c>
      <c r="AC417" s="29">
        <f t="shared" si="54"/>
        <v>-118.99000000000024</v>
      </c>
      <c r="AD417" s="11">
        <f t="shared" si="55"/>
        <v>2517626.5603999998</v>
      </c>
    </row>
    <row r="418" spans="1:30" x14ac:dyDescent="0.3">
      <c r="A418" s="14">
        <v>45905.3125</v>
      </c>
      <c r="B418" s="1">
        <v>1468.47</v>
      </c>
      <c r="C418" s="11">
        <v>3.2732000000000001</v>
      </c>
      <c r="D418" s="1">
        <v>636.95000000000005</v>
      </c>
      <c r="E418" s="11">
        <v>3.0760000000000001</v>
      </c>
      <c r="F418" s="1">
        <v>398.57</v>
      </c>
      <c r="G418" s="11">
        <v>3.53</v>
      </c>
      <c r="H418" s="1">
        <v>53.99</v>
      </c>
      <c r="I418" s="11">
        <v>2.6930800000000001</v>
      </c>
      <c r="J418" s="1">
        <v>158.4</v>
      </c>
      <c r="K418" s="11">
        <v>2.1127500000000001</v>
      </c>
      <c r="L418" s="1">
        <v>0</v>
      </c>
      <c r="M418" s="11">
        <v>6.2</v>
      </c>
      <c r="N418" s="1">
        <v>113.35</v>
      </c>
      <c r="O418" s="11">
        <v>2.8224999999999998</v>
      </c>
      <c r="P418" s="1">
        <f t="shared" si="49"/>
        <v>2829.73</v>
      </c>
      <c r="Q418" s="1">
        <v>2786.23</v>
      </c>
      <c r="R418" s="16">
        <f t="shared" si="50"/>
        <v>2243198.9170500003</v>
      </c>
      <c r="S418" s="20">
        <v>703.31000000000006</v>
      </c>
      <c r="T418" s="21">
        <v>128.4</v>
      </c>
      <c r="U418" s="21">
        <v>0.09</v>
      </c>
      <c r="V418" s="8">
        <v>831.80000000000007</v>
      </c>
      <c r="W418" s="25">
        <v>1.238</v>
      </c>
      <c r="X418" s="25">
        <f t="shared" si="51"/>
        <v>257442.10000000003</v>
      </c>
      <c r="Y418" s="1">
        <f t="shared" si="52"/>
        <v>3661.53</v>
      </c>
      <c r="Z418" s="1">
        <f t="shared" si="53"/>
        <v>3618.03</v>
      </c>
      <c r="AA418" s="1">
        <v>3490.14</v>
      </c>
      <c r="AB418" s="1">
        <f t="shared" si="48"/>
        <v>171.39000000000033</v>
      </c>
      <c r="AC418" s="29">
        <f t="shared" si="54"/>
        <v>-127.89000000000033</v>
      </c>
      <c r="AD418" s="11">
        <f t="shared" si="55"/>
        <v>2500641.0170500004</v>
      </c>
    </row>
    <row r="419" spans="1:30" x14ac:dyDescent="0.3">
      <c r="A419" s="14">
        <v>45905.322916666664</v>
      </c>
      <c r="B419" s="1">
        <v>1468.47</v>
      </c>
      <c r="C419" s="11">
        <v>3.2732000000000001</v>
      </c>
      <c r="D419" s="1">
        <v>636.95000000000005</v>
      </c>
      <c r="E419" s="11">
        <v>3.0760000000000001</v>
      </c>
      <c r="F419" s="1">
        <v>398.57</v>
      </c>
      <c r="G419" s="11">
        <v>3.53</v>
      </c>
      <c r="H419" s="1">
        <v>55.39</v>
      </c>
      <c r="I419" s="11">
        <v>2.4000300000000001</v>
      </c>
      <c r="J419" s="1">
        <v>205.6</v>
      </c>
      <c r="K419" s="11">
        <v>1.7587300000000001</v>
      </c>
      <c r="L419" s="1">
        <v>0</v>
      </c>
      <c r="M419" s="11">
        <v>6.2</v>
      </c>
      <c r="N419" s="1">
        <v>138.18</v>
      </c>
      <c r="O419" s="11">
        <v>2.8224999999999998</v>
      </c>
      <c r="P419" s="1">
        <f t="shared" si="49"/>
        <v>2903.16</v>
      </c>
      <c r="Q419" s="1">
        <v>2826.27</v>
      </c>
      <c r="R419" s="16">
        <f t="shared" si="50"/>
        <v>2264337.9759249995</v>
      </c>
      <c r="S419" s="20">
        <v>606.01</v>
      </c>
      <c r="T419" s="21">
        <v>136.94000000000003</v>
      </c>
      <c r="U419" s="21">
        <v>0.09</v>
      </c>
      <c r="V419" s="8">
        <v>743.04000000000008</v>
      </c>
      <c r="W419" s="25">
        <v>1.238</v>
      </c>
      <c r="X419" s="25">
        <f t="shared" si="51"/>
        <v>229970.88000000003</v>
      </c>
      <c r="Y419" s="1">
        <f t="shared" si="52"/>
        <v>3646.2</v>
      </c>
      <c r="Z419" s="1">
        <f t="shared" si="53"/>
        <v>3569.31</v>
      </c>
      <c r="AA419" s="1">
        <v>3431.46</v>
      </c>
      <c r="AB419" s="1">
        <f t="shared" si="48"/>
        <v>214.73999999999978</v>
      </c>
      <c r="AC419" s="29">
        <f t="shared" si="54"/>
        <v>-137.84999999999991</v>
      </c>
      <c r="AD419" s="11">
        <f t="shared" si="55"/>
        <v>2494308.8559249993</v>
      </c>
    </row>
    <row r="420" spans="1:30" x14ac:dyDescent="0.3">
      <c r="A420" s="14">
        <v>45905.333333333336</v>
      </c>
      <c r="B420" s="1">
        <v>1379.2</v>
      </c>
      <c r="C420" s="11">
        <v>3.2732000000000001</v>
      </c>
      <c r="D420" s="1">
        <v>636.95000000000005</v>
      </c>
      <c r="E420" s="11">
        <v>3.0760000000000001</v>
      </c>
      <c r="F420" s="1">
        <v>398.57</v>
      </c>
      <c r="G420" s="11">
        <v>3.53</v>
      </c>
      <c r="H420" s="1">
        <v>85.36</v>
      </c>
      <c r="I420" s="11">
        <v>2.11219</v>
      </c>
      <c r="J420" s="1">
        <v>41.62</v>
      </c>
      <c r="K420" s="11">
        <v>2.5947900000000002</v>
      </c>
      <c r="L420" s="1">
        <v>1.81</v>
      </c>
      <c r="M420" s="11">
        <v>6.2</v>
      </c>
      <c r="N420" s="1">
        <v>167.78</v>
      </c>
      <c r="O420" s="11">
        <v>2.8224999999999998</v>
      </c>
      <c r="P420" s="1">
        <f t="shared" si="49"/>
        <v>2711.2900000000004</v>
      </c>
      <c r="Q420" s="1">
        <v>2679.33</v>
      </c>
      <c r="R420" s="16">
        <f t="shared" si="50"/>
        <v>2163420.1220500004</v>
      </c>
      <c r="S420" s="20">
        <v>707.09</v>
      </c>
      <c r="T420" s="21">
        <v>145.94000000000003</v>
      </c>
      <c r="U420" s="21">
        <v>0.09</v>
      </c>
      <c r="V420" s="8">
        <v>853.12000000000012</v>
      </c>
      <c r="W420" s="25">
        <v>1.238</v>
      </c>
      <c r="X420" s="25">
        <f t="shared" si="51"/>
        <v>264040.64000000007</v>
      </c>
      <c r="Y420" s="1">
        <f t="shared" si="52"/>
        <v>3564.4100000000008</v>
      </c>
      <c r="Z420" s="1">
        <f t="shared" si="53"/>
        <v>3532.45</v>
      </c>
      <c r="AA420" s="1">
        <v>3381.53</v>
      </c>
      <c r="AB420" s="1">
        <f t="shared" si="48"/>
        <v>182.88000000000056</v>
      </c>
      <c r="AC420" s="29">
        <f t="shared" si="54"/>
        <v>-150.91999999999962</v>
      </c>
      <c r="AD420" s="11">
        <f t="shared" si="55"/>
        <v>2427460.7620500005</v>
      </c>
    </row>
    <row r="421" spans="1:30" x14ac:dyDescent="0.3">
      <c r="A421" s="14">
        <v>45905.34375</v>
      </c>
      <c r="B421" s="1">
        <v>1373.28</v>
      </c>
      <c r="C421" s="11">
        <v>3.2732000000000001</v>
      </c>
      <c r="D421" s="1">
        <v>636.95000000000005</v>
      </c>
      <c r="E421" s="11">
        <v>3.0760000000000001</v>
      </c>
      <c r="F421" s="1">
        <v>398.57</v>
      </c>
      <c r="G421" s="11">
        <v>3.53</v>
      </c>
      <c r="H421" s="1">
        <v>87.59</v>
      </c>
      <c r="I421" s="11">
        <v>1.9999899999999999</v>
      </c>
      <c r="J421" s="1">
        <v>29.89</v>
      </c>
      <c r="K421" s="11">
        <v>2.5949599999999999</v>
      </c>
      <c r="L421" s="1">
        <v>1.93</v>
      </c>
      <c r="M421" s="11">
        <v>6.2</v>
      </c>
      <c r="N421" s="1">
        <v>196.37</v>
      </c>
      <c r="O421" s="11">
        <v>2.8224999999999998</v>
      </c>
      <c r="P421" s="1">
        <f t="shared" si="49"/>
        <v>2724.58</v>
      </c>
      <c r="Q421" s="1">
        <v>2612.15</v>
      </c>
      <c r="R421" s="16">
        <f t="shared" si="50"/>
        <v>2170048.2998750005</v>
      </c>
      <c r="S421" s="20">
        <v>741.69</v>
      </c>
      <c r="T421" s="21">
        <v>154.62</v>
      </c>
      <c r="U421" s="21">
        <v>0.09</v>
      </c>
      <c r="V421" s="8">
        <v>896.40000000000009</v>
      </c>
      <c r="W421" s="25">
        <v>1.238</v>
      </c>
      <c r="X421" s="25">
        <f t="shared" si="51"/>
        <v>277435.80000000005</v>
      </c>
      <c r="Y421" s="1">
        <f t="shared" si="52"/>
        <v>3620.98</v>
      </c>
      <c r="Z421" s="1">
        <f t="shared" si="53"/>
        <v>3508.55</v>
      </c>
      <c r="AA421" s="1">
        <v>3350.66</v>
      </c>
      <c r="AB421" s="1">
        <f t="shared" si="48"/>
        <v>270.32000000000016</v>
      </c>
      <c r="AC421" s="29">
        <f t="shared" si="54"/>
        <v>-157.89000000000033</v>
      </c>
      <c r="AD421" s="11">
        <f t="shared" si="55"/>
        <v>2447484.0998750003</v>
      </c>
    </row>
    <row r="422" spans="1:30" x14ac:dyDescent="0.3">
      <c r="A422" s="14">
        <v>45905.354166666664</v>
      </c>
      <c r="B422" s="1">
        <v>1360.26</v>
      </c>
      <c r="C422" s="11">
        <v>3.2732000000000001</v>
      </c>
      <c r="D422" s="1">
        <v>636.95000000000005</v>
      </c>
      <c r="E422" s="11">
        <v>3.0760000000000001</v>
      </c>
      <c r="F422" s="1">
        <v>398.57</v>
      </c>
      <c r="G422" s="11">
        <v>3.53</v>
      </c>
      <c r="H422" s="1">
        <v>84.63</v>
      </c>
      <c r="I422" s="11">
        <v>1.9998499999999999</v>
      </c>
      <c r="J422" s="1">
        <v>27.72</v>
      </c>
      <c r="K422" s="11">
        <v>2.9494000000000002</v>
      </c>
      <c r="L422" s="1">
        <v>5.73</v>
      </c>
      <c r="M422" s="11">
        <v>6.2</v>
      </c>
      <c r="N422" s="1">
        <v>226.49</v>
      </c>
      <c r="O422" s="11">
        <v>2.8224999999999998</v>
      </c>
      <c r="P422" s="1">
        <f t="shared" si="49"/>
        <v>2740.3500000000004</v>
      </c>
      <c r="Q422" s="1">
        <v>2568.11</v>
      </c>
      <c r="R422" s="16">
        <f t="shared" si="50"/>
        <v>2186103.0076250001</v>
      </c>
      <c r="S422" s="20">
        <v>738.50000000000011</v>
      </c>
      <c r="T422" s="21">
        <v>126.47999999999999</v>
      </c>
      <c r="U422" s="21">
        <v>0.09</v>
      </c>
      <c r="V422" s="8">
        <v>865.07000000000016</v>
      </c>
      <c r="W422" s="25">
        <v>1.238</v>
      </c>
      <c r="X422" s="25">
        <f t="shared" si="51"/>
        <v>267739.1650000001</v>
      </c>
      <c r="Y422" s="1">
        <f t="shared" si="52"/>
        <v>3605.4200000000005</v>
      </c>
      <c r="Z422" s="1">
        <f t="shared" si="53"/>
        <v>3433.1800000000003</v>
      </c>
      <c r="AA422" s="1">
        <v>3400.37</v>
      </c>
      <c r="AB422" s="1">
        <f t="shared" si="48"/>
        <v>205.05000000000064</v>
      </c>
      <c r="AC422" s="29">
        <f t="shared" si="54"/>
        <v>-32.8100000000004</v>
      </c>
      <c r="AD422" s="11">
        <f t="shared" si="55"/>
        <v>2453842.1726250001</v>
      </c>
    </row>
    <row r="423" spans="1:30" x14ac:dyDescent="0.3">
      <c r="A423" s="14">
        <v>45905.364583333336</v>
      </c>
      <c r="B423" s="1">
        <v>1359.4</v>
      </c>
      <c r="C423" s="11">
        <v>3.2732000000000001</v>
      </c>
      <c r="D423" s="1">
        <v>636.95000000000005</v>
      </c>
      <c r="E423" s="11">
        <v>3.0760000000000001</v>
      </c>
      <c r="F423" s="1">
        <v>398.57</v>
      </c>
      <c r="G423" s="11">
        <v>3.53</v>
      </c>
      <c r="H423" s="1">
        <v>66.680000000000007</v>
      </c>
      <c r="I423" s="11">
        <v>1.99939</v>
      </c>
      <c r="J423" s="1">
        <v>24.33</v>
      </c>
      <c r="K423" s="11">
        <v>2.97105</v>
      </c>
      <c r="L423" s="1">
        <v>27.01</v>
      </c>
      <c r="M423" s="11">
        <v>6.2</v>
      </c>
      <c r="N423" s="1">
        <v>257.13</v>
      </c>
      <c r="O423" s="11">
        <v>2.8224999999999998</v>
      </c>
      <c r="P423" s="1">
        <f t="shared" si="49"/>
        <v>2770.07</v>
      </c>
      <c r="Q423" s="1">
        <v>2684.33</v>
      </c>
      <c r="R423" s="16">
        <f t="shared" si="50"/>
        <v>2228653.6941749998</v>
      </c>
      <c r="S423" s="20">
        <v>607.82000000000005</v>
      </c>
      <c r="T423" s="21">
        <v>123.23</v>
      </c>
      <c r="U423" s="21">
        <v>0.11</v>
      </c>
      <c r="V423" s="8">
        <v>731.16000000000008</v>
      </c>
      <c r="W423" s="25">
        <v>1.238</v>
      </c>
      <c r="X423" s="25">
        <f t="shared" si="51"/>
        <v>226294.02000000002</v>
      </c>
      <c r="Y423" s="1">
        <f t="shared" si="52"/>
        <v>3501.2300000000005</v>
      </c>
      <c r="Z423" s="1">
        <f t="shared" si="53"/>
        <v>3415.49</v>
      </c>
      <c r="AA423" s="1">
        <v>3430.97</v>
      </c>
      <c r="AB423" s="1">
        <f t="shared" si="48"/>
        <v>70.260000000000673</v>
      </c>
      <c r="AC423" s="29">
        <f t="shared" si="54"/>
        <v>15.480000000000018</v>
      </c>
      <c r="AD423" s="11">
        <f t="shared" si="55"/>
        <v>2454947.7141749999</v>
      </c>
    </row>
    <row r="424" spans="1:30" x14ac:dyDescent="0.3">
      <c r="A424" s="14">
        <v>45905.375</v>
      </c>
      <c r="B424" s="1">
        <v>1222.2</v>
      </c>
      <c r="C424" s="11">
        <v>3.2732000000000001</v>
      </c>
      <c r="D424" s="1">
        <v>636.95000000000005</v>
      </c>
      <c r="E424" s="11">
        <v>3.0760000000000001</v>
      </c>
      <c r="F424" s="1">
        <v>398.57</v>
      </c>
      <c r="G424" s="11">
        <v>3.53</v>
      </c>
      <c r="H424" s="1">
        <v>22.83</v>
      </c>
      <c r="I424" s="11">
        <v>1.9995099999999999</v>
      </c>
      <c r="J424" s="1">
        <v>24.1</v>
      </c>
      <c r="K424" s="11">
        <v>3.00081</v>
      </c>
      <c r="L424" s="1">
        <v>73.459999999999994</v>
      </c>
      <c r="M424" s="11">
        <v>6.2</v>
      </c>
      <c r="N424" s="1">
        <v>262.52999999999997</v>
      </c>
      <c r="O424" s="11">
        <v>2.8224999999999998</v>
      </c>
      <c r="P424" s="1">
        <f t="shared" si="49"/>
        <v>2640.6400000000003</v>
      </c>
      <c r="Q424" s="1">
        <v>2716.79</v>
      </c>
      <c r="R424" s="16">
        <f t="shared" si="50"/>
        <v>2170281.6498250002</v>
      </c>
      <c r="S424" s="20">
        <v>612.7299999999999</v>
      </c>
      <c r="T424" s="21">
        <v>131.22000000000003</v>
      </c>
      <c r="U424" s="21">
        <v>0.11</v>
      </c>
      <c r="V424" s="8">
        <v>744.06</v>
      </c>
      <c r="W424" s="25">
        <v>1.238</v>
      </c>
      <c r="X424" s="25">
        <f t="shared" si="51"/>
        <v>230286.56999999998</v>
      </c>
      <c r="Y424" s="1">
        <f t="shared" si="52"/>
        <v>3384.7000000000003</v>
      </c>
      <c r="Z424" s="1">
        <f t="shared" si="53"/>
        <v>3460.85</v>
      </c>
      <c r="AA424" s="1">
        <v>3475.12</v>
      </c>
      <c r="AB424" s="1">
        <f t="shared" si="48"/>
        <v>-90.419999999999618</v>
      </c>
      <c r="AC424" s="29">
        <f t="shared" si="54"/>
        <v>14.269999999999982</v>
      </c>
      <c r="AD424" s="11">
        <f t="shared" si="55"/>
        <v>2400568.219825</v>
      </c>
    </row>
    <row r="425" spans="1:30" x14ac:dyDescent="0.3">
      <c r="A425" s="14">
        <v>45905.385416666664</v>
      </c>
      <c r="B425" s="1">
        <v>1143.28</v>
      </c>
      <c r="C425" s="11">
        <v>3.2732000000000001</v>
      </c>
      <c r="D425" s="1">
        <v>636.95000000000005</v>
      </c>
      <c r="E425" s="11">
        <v>3.0760000000000001</v>
      </c>
      <c r="F425" s="1">
        <v>398.57</v>
      </c>
      <c r="G425" s="11">
        <v>3.53</v>
      </c>
      <c r="H425" s="1">
        <v>19.53</v>
      </c>
      <c r="I425" s="11">
        <v>1.99952</v>
      </c>
      <c r="J425" s="1">
        <v>24.1</v>
      </c>
      <c r="K425" s="11">
        <v>3.1409199999999999</v>
      </c>
      <c r="L425" s="1">
        <v>76.459999999999994</v>
      </c>
      <c r="M425" s="11">
        <v>6.2</v>
      </c>
      <c r="N425" s="1">
        <v>286.25</v>
      </c>
      <c r="O425" s="11">
        <v>2.8224999999999998</v>
      </c>
      <c r="P425" s="1">
        <f t="shared" si="49"/>
        <v>2585.1400000000003</v>
      </c>
      <c r="Q425" s="1">
        <v>2603.66</v>
      </c>
      <c r="R425" s="16">
        <f t="shared" si="50"/>
        <v>2126283.4546499997</v>
      </c>
      <c r="S425" s="20">
        <v>771.51</v>
      </c>
      <c r="T425" s="21">
        <v>128.51999999999998</v>
      </c>
      <c r="U425" s="21">
        <v>0.08</v>
      </c>
      <c r="V425" s="8">
        <v>900.11</v>
      </c>
      <c r="W425" s="25">
        <v>1.238</v>
      </c>
      <c r="X425" s="25">
        <f t="shared" si="51"/>
        <v>278584.04499999998</v>
      </c>
      <c r="Y425" s="1">
        <f t="shared" si="52"/>
        <v>3485.2500000000005</v>
      </c>
      <c r="Z425" s="1">
        <f t="shared" si="53"/>
        <v>3503.77</v>
      </c>
      <c r="AA425" s="1">
        <v>3509.33</v>
      </c>
      <c r="AB425" s="1">
        <f t="shared" si="48"/>
        <v>-24.079999999999472</v>
      </c>
      <c r="AC425" s="29">
        <f t="shared" si="54"/>
        <v>5.5599999999999454</v>
      </c>
      <c r="AD425" s="11">
        <f t="shared" si="55"/>
        <v>2404867.4996499997</v>
      </c>
    </row>
    <row r="426" spans="1:30" x14ac:dyDescent="0.3">
      <c r="A426" s="14">
        <v>45905.395833333336</v>
      </c>
      <c r="B426" s="1">
        <v>1072.58</v>
      </c>
      <c r="C426" s="11">
        <v>3.2732000000000001</v>
      </c>
      <c r="D426" s="1">
        <v>636.95000000000005</v>
      </c>
      <c r="E426" s="11">
        <v>3.0760000000000001</v>
      </c>
      <c r="F426" s="1">
        <v>398.57</v>
      </c>
      <c r="G426" s="11">
        <v>3.53</v>
      </c>
      <c r="H426" s="1">
        <v>19.53</v>
      </c>
      <c r="I426" s="11">
        <v>1.99935</v>
      </c>
      <c r="J426" s="1">
        <v>19.59</v>
      </c>
      <c r="K426" s="11">
        <v>3.1968800000000002</v>
      </c>
      <c r="L426" s="1">
        <v>76.63</v>
      </c>
      <c r="M426" s="11">
        <v>6.2</v>
      </c>
      <c r="N426" s="1">
        <v>304.33</v>
      </c>
      <c r="O426" s="11">
        <v>2.8224999999999998</v>
      </c>
      <c r="P426" s="1">
        <f t="shared" si="49"/>
        <v>2528.1800000000003</v>
      </c>
      <c r="Q426" s="1">
        <v>2480.54</v>
      </c>
      <c r="R426" s="16">
        <f t="shared" si="50"/>
        <v>2078182.6914250001</v>
      </c>
      <c r="S426" s="20">
        <v>915.03</v>
      </c>
      <c r="T426" s="21">
        <v>129.68</v>
      </c>
      <c r="U426" s="21">
        <v>0.09</v>
      </c>
      <c r="V426" s="8">
        <v>1044.8</v>
      </c>
      <c r="W426" s="25">
        <v>1.238</v>
      </c>
      <c r="X426" s="25">
        <f t="shared" si="51"/>
        <v>323365.59999999998</v>
      </c>
      <c r="Y426" s="1">
        <f t="shared" si="52"/>
        <v>3572.9800000000005</v>
      </c>
      <c r="Z426" s="1">
        <f t="shared" si="53"/>
        <v>3525.34</v>
      </c>
      <c r="AA426" s="1">
        <v>3539.95</v>
      </c>
      <c r="AB426" s="1">
        <f t="shared" si="48"/>
        <v>33.030000000000655</v>
      </c>
      <c r="AC426" s="29">
        <f t="shared" si="54"/>
        <v>14.609999999999673</v>
      </c>
      <c r="AD426" s="11">
        <f t="shared" si="55"/>
        <v>2401548.2914249999</v>
      </c>
    </row>
    <row r="427" spans="1:30" x14ac:dyDescent="0.3">
      <c r="A427" s="14">
        <v>45905.40625</v>
      </c>
      <c r="B427" s="1">
        <v>1065.52</v>
      </c>
      <c r="C427" s="11">
        <v>3.2732000000000001</v>
      </c>
      <c r="D427" s="1">
        <v>636.95000000000005</v>
      </c>
      <c r="E427" s="11">
        <v>3.0760000000000001</v>
      </c>
      <c r="F427" s="1">
        <v>398.57</v>
      </c>
      <c r="G427" s="11">
        <v>3.53</v>
      </c>
      <c r="H427" s="1">
        <v>19.53</v>
      </c>
      <c r="I427" s="11">
        <v>1.9992099999999999</v>
      </c>
      <c r="J427" s="1">
        <v>19.27</v>
      </c>
      <c r="K427" s="11">
        <v>3.1409099999999999</v>
      </c>
      <c r="L427" s="1">
        <v>76.64</v>
      </c>
      <c r="M427" s="11">
        <v>6.2</v>
      </c>
      <c r="N427" s="1">
        <v>322.68</v>
      </c>
      <c r="O427" s="11">
        <v>2.8224999999999998</v>
      </c>
      <c r="P427" s="1">
        <f t="shared" si="49"/>
        <v>2539.16</v>
      </c>
      <c r="Q427" s="1">
        <v>2532.06</v>
      </c>
      <c r="R427" s="16">
        <f t="shared" si="50"/>
        <v>2084843.1427499999</v>
      </c>
      <c r="S427" s="20">
        <v>878.97999999999979</v>
      </c>
      <c r="T427" s="21">
        <v>137.41999999999999</v>
      </c>
      <c r="U427" s="21">
        <v>0.15</v>
      </c>
      <c r="V427" s="8">
        <v>1016.5499999999997</v>
      </c>
      <c r="W427" s="25">
        <v>1.238</v>
      </c>
      <c r="X427" s="25">
        <f t="shared" si="51"/>
        <v>314622.22499999992</v>
      </c>
      <c r="Y427" s="1">
        <f t="shared" si="52"/>
        <v>3555.7099999999996</v>
      </c>
      <c r="Z427" s="1">
        <f t="shared" si="53"/>
        <v>3548.6099999999997</v>
      </c>
      <c r="AA427" s="1">
        <v>3563.04</v>
      </c>
      <c r="AB427" s="1">
        <f t="shared" si="48"/>
        <v>-7.330000000000382</v>
      </c>
      <c r="AC427" s="29">
        <f t="shared" si="54"/>
        <v>14.430000000000291</v>
      </c>
      <c r="AD427" s="11">
        <f t="shared" si="55"/>
        <v>2399465.3677499997</v>
      </c>
    </row>
    <row r="428" spans="1:30" x14ac:dyDescent="0.3">
      <c r="A428" s="14">
        <v>45905.416666666664</v>
      </c>
      <c r="B428" s="1">
        <v>1065.3800000000001</v>
      </c>
      <c r="C428" s="11">
        <v>3.2732000000000001</v>
      </c>
      <c r="D428" s="1">
        <v>636.95000000000005</v>
      </c>
      <c r="E428" s="11">
        <v>3.0760000000000001</v>
      </c>
      <c r="F428" s="1">
        <v>398.57</v>
      </c>
      <c r="G428" s="11">
        <v>3.53</v>
      </c>
      <c r="H428" s="1">
        <v>19.62</v>
      </c>
      <c r="I428" s="11">
        <v>1.8009000000000002</v>
      </c>
      <c r="J428" s="1">
        <v>55.77</v>
      </c>
      <c r="K428" s="11">
        <v>2.9996399999999999</v>
      </c>
      <c r="L428" s="1">
        <v>76.64</v>
      </c>
      <c r="M428" s="11">
        <v>6.2</v>
      </c>
      <c r="N428" s="1">
        <v>355.64</v>
      </c>
      <c r="O428" s="11">
        <v>2.8224999999999998</v>
      </c>
      <c r="P428" s="1">
        <f t="shared" si="49"/>
        <v>2608.5699999999997</v>
      </c>
      <c r="Q428" s="1">
        <v>2609.58</v>
      </c>
      <c r="R428" s="16">
        <f t="shared" si="50"/>
        <v>2133749.3991999999</v>
      </c>
      <c r="S428" s="20">
        <v>818.35</v>
      </c>
      <c r="T428" s="21">
        <v>133.88</v>
      </c>
      <c r="U428" s="21">
        <v>0.27</v>
      </c>
      <c r="V428" s="8">
        <v>952.5</v>
      </c>
      <c r="W428" s="25">
        <v>1.238</v>
      </c>
      <c r="X428" s="25">
        <f t="shared" si="51"/>
        <v>294798.75</v>
      </c>
      <c r="Y428" s="1">
        <f t="shared" si="52"/>
        <v>3561.0699999999997</v>
      </c>
      <c r="Z428" s="1">
        <f t="shared" si="53"/>
        <v>3562.08</v>
      </c>
      <c r="AA428" s="1">
        <v>3580.12</v>
      </c>
      <c r="AB428" s="1">
        <f t="shared" si="48"/>
        <v>-19.050000000000182</v>
      </c>
      <c r="AC428" s="29">
        <f t="shared" si="54"/>
        <v>18.039999999999964</v>
      </c>
      <c r="AD428" s="11">
        <f t="shared" si="55"/>
        <v>2428548.1491999999</v>
      </c>
    </row>
    <row r="429" spans="1:30" x14ac:dyDescent="0.3">
      <c r="A429" s="14">
        <v>45905.427083333336</v>
      </c>
      <c r="B429" s="1">
        <v>1067.4000000000001</v>
      </c>
      <c r="C429" s="11">
        <v>3.2732000000000001</v>
      </c>
      <c r="D429" s="1">
        <v>636.95000000000005</v>
      </c>
      <c r="E429" s="11">
        <v>3.0760000000000001</v>
      </c>
      <c r="F429" s="1">
        <v>398.57</v>
      </c>
      <c r="G429" s="11">
        <v>3.53</v>
      </c>
      <c r="H429" s="1">
        <v>19.63</v>
      </c>
      <c r="I429" s="11">
        <v>1.8898299999999999</v>
      </c>
      <c r="J429" s="1">
        <v>115.64</v>
      </c>
      <c r="K429" s="11">
        <v>2.9617900000000001</v>
      </c>
      <c r="L429" s="1">
        <v>76.38</v>
      </c>
      <c r="M429" s="11">
        <v>6.2</v>
      </c>
      <c r="N429" s="1">
        <v>383.22</v>
      </c>
      <c r="O429" s="11">
        <v>2.8224999999999998</v>
      </c>
      <c r="P429" s="1">
        <f t="shared" si="49"/>
        <v>2697.79</v>
      </c>
      <c r="Q429" s="1">
        <v>2692.89</v>
      </c>
      <c r="R429" s="16">
        <f t="shared" si="50"/>
        <v>2198704.297125</v>
      </c>
      <c r="S429" s="20">
        <v>762.7</v>
      </c>
      <c r="T429" s="21">
        <v>139.66000000000003</v>
      </c>
      <c r="U429" s="21">
        <v>0.21000000000000002</v>
      </c>
      <c r="V429" s="8">
        <v>902.57000000000016</v>
      </c>
      <c r="W429" s="25">
        <v>1.238</v>
      </c>
      <c r="X429" s="25">
        <f t="shared" si="51"/>
        <v>279345.41500000004</v>
      </c>
      <c r="Y429" s="1">
        <f t="shared" si="52"/>
        <v>3600.36</v>
      </c>
      <c r="Z429" s="1">
        <f t="shared" si="53"/>
        <v>3595.46</v>
      </c>
      <c r="AA429" s="1">
        <v>3615.83</v>
      </c>
      <c r="AB429" s="1">
        <f t="shared" si="48"/>
        <v>-15.4699999999998</v>
      </c>
      <c r="AC429" s="29">
        <f t="shared" si="54"/>
        <v>20.369999999999891</v>
      </c>
      <c r="AD429" s="11">
        <f t="shared" si="55"/>
        <v>2478049.7121250001</v>
      </c>
    </row>
    <row r="430" spans="1:30" x14ac:dyDescent="0.3">
      <c r="A430" s="14">
        <v>45905.4375</v>
      </c>
      <c r="B430" s="1">
        <v>1068.1300000000001</v>
      </c>
      <c r="C430" s="11">
        <v>3.2732000000000001</v>
      </c>
      <c r="D430" s="1">
        <v>636.95000000000005</v>
      </c>
      <c r="E430" s="11">
        <v>3.0760000000000001</v>
      </c>
      <c r="F430" s="1">
        <v>398.57</v>
      </c>
      <c r="G430" s="11">
        <v>3.53</v>
      </c>
      <c r="H430" s="1">
        <v>19.63</v>
      </c>
      <c r="I430" s="11">
        <v>1.9992799999999999</v>
      </c>
      <c r="J430" s="1">
        <v>119.66</v>
      </c>
      <c r="K430" s="11">
        <v>2.7996399999999997</v>
      </c>
      <c r="L430" s="1">
        <v>76.41</v>
      </c>
      <c r="M430" s="11">
        <v>6.2</v>
      </c>
      <c r="N430" s="1">
        <v>399.45</v>
      </c>
      <c r="O430" s="11">
        <v>2.8224999999999998</v>
      </c>
      <c r="P430" s="1">
        <f t="shared" si="49"/>
        <v>2718.7999999999997</v>
      </c>
      <c r="Q430" s="1">
        <v>2735.6</v>
      </c>
      <c r="R430" s="16">
        <f t="shared" si="50"/>
        <v>2209463.4574500006</v>
      </c>
      <c r="S430" s="20">
        <v>722.92</v>
      </c>
      <c r="T430" s="21">
        <v>147.64999999999998</v>
      </c>
      <c r="U430" s="21">
        <v>0.52</v>
      </c>
      <c r="V430" s="8">
        <v>871.08999999999992</v>
      </c>
      <c r="W430" s="25">
        <v>1.238</v>
      </c>
      <c r="X430" s="25">
        <f t="shared" si="51"/>
        <v>269602.35499999998</v>
      </c>
      <c r="Y430" s="1">
        <f t="shared" si="52"/>
        <v>3589.8899999999994</v>
      </c>
      <c r="Z430" s="1">
        <f t="shared" si="53"/>
        <v>3606.6899999999996</v>
      </c>
      <c r="AA430" s="1">
        <v>3622.66</v>
      </c>
      <c r="AB430" s="1">
        <f t="shared" si="48"/>
        <v>-32.770000000000437</v>
      </c>
      <c r="AC430" s="29">
        <f t="shared" si="54"/>
        <v>15.970000000000255</v>
      </c>
      <c r="AD430" s="11">
        <f t="shared" si="55"/>
        <v>2479065.8124500006</v>
      </c>
    </row>
    <row r="431" spans="1:30" x14ac:dyDescent="0.3">
      <c r="A431" s="14">
        <v>45905.447916666664</v>
      </c>
      <c r="B431" s="1">
        <v>1068.52</v>
      </c>
      <c r="C431" s="11">
        <v>3.2732000000000001</v>
      </c>
      <c r="D431" s="1">
        <v>636.95000000000005</v>
      </c>
      <c r="E431" s="11">
        <v>3.0760000000000001</v>
      </c>
      <c r="F431" s="1">
        <v>398.57</v>
      </c>
      <c r="G431" s="11">
        <v>3.53</v>
      </c>
      <c r="H431" s="1">
        <v>19.63</v>
      </c>
      <c r="I431" s="11">
        <v>1.99939</v>
      </c>
      <c r="J431" s="1">
        <v>212.03</v>
      </c>
      <c r="K431" s="11">
        <v>2.4013599999999999</v>
      </c>
      <c r="L431" s="1">
        <v>76.010000000000005</v>
      </c>
      <c r="M431" s="11">
        <v>6.2</v>
      </c>
      <c r="N431" s="1">
        <v>416.28</v>
      </c>
      <c r="O431" s="11">
        <v>2.8224999999999998</v>
      </c>
      <c r="P431" s="1">
        <f t="shared" si="49"/>
        <v>2827.9900000000007</v>
      </c>
      <c r="Q431" s="1">
        <v>2813.18</v>
      </c>
      <c r="R431" s="16">
        <f t="shared" si="50"/>
        <v>2264577.6626249999</v>
      </c>
      <c r="S431" s="20">
        <v>662.06000000000006</v>
      </c>
      <c r="T431" s="21">
        <v>147.74</v>
      </c>
      <c r="U431" s="21">
        <v>1.01</v>
      </c>
      <c r="V431" s="8">
        <v>810.81000000000006</v>
      </c>
      <c r="W431" s="25">
        <v>1.238</v>
      </c>
      <c r="X431" s="25">
        <f t="shared" si="51"/>
        <v>250945.69500000004</v>
      </c>
      <c r="Y431" s="1">
        <f t="shared" si="52"/>
        <v>3638.8000000000006</v>
      </c>
      <c r="Z431" s="1">
        <f t="shared" si="53"/>
        <v>3623.99</v>
      </c>
      <c r="AA431" s="1">
        <v>3644.54</v>
      </c>
      <c r="AB431" s="1">
        <f t="shared" si="48"/>
        <v>-5.739999999999327</v>
      </c>
      <c r="AC431" s="29">
        <f t="shared" si="54"/>
        <v>20.550000000000182</v>
      </c>
      <c r="AD431" s="11">
        <f t="shared" si="55"/>
        <v>2515523.3576249997</v>
      </c>
    </row>
    <row r="432" spans="1:30" x14ac:dyDescent="0.3">
      <c r="A432" s="14">
        <v>45905.458333333336</v>
      </c>
      <c r="B432" s="1">
        <v>1068.52</v>
      </c>
      <c r="C432" s="11">
        <v>3.2732000000000001</v>
      </c>
      <c r="D432" s="1">
        <v>636.95000000000005</v>
      </c>
      <c r="E432" s="11">
        <v>3.0760000000000001</v>
      </c>
      <c r="F432" s="1">
        <v>398.57</v>
      </c>
      <c r="G432" s="11">
        <v>3.53</v>
      </c>
      <c r="H432" s="1">
        <v>19.63</v>
      </c>
      <c r="I432" s="11">
        <v>1.9995099999999999</v>
      </c>
      <c r="J432" s="1">
        <v>126.14</v>
      </c>
      <c r="K432" s="11">
        <v>2.7994299999999996</v>
      </c>
      <c r="L432" s="1">
        <v>76.510000000000005</v>
      </c>
      <c r="M432" s="11">
        <v>6.2</v>
      </c>
      <c r="N432" s="1">
        <v>423.67</v>
      </c>
      <c r="O432" s="11">
        <v>2.8224999999999998</v>
      </c>
      <c r="P432" s="1">
        <f t="shared" si="49"/>
        <v>2749.9900000000002</v>
      </c>
      <c r="Q432" s="1">
        <v>2965.24</v>
      </c>
      <c r="R432" s="16">
        <f t="shared" si="50"/>
        <v>2231557.7551250001</v>
      </c>
      <c r="S432" s="20">
        <v>548.81999999999994</v>
      </c>
      <c r="T432" s="21">
        <v>141.94000000000003</v>
      </c>
      <c r="U432" s="21">
        <v>1.83</v>
      </c>
      <c r="V432" s="8">
        <v>692.59</v>
      </c>
      <c r="W432" s="25">
        <v>1.238</v>
      </c>
      <c r="X432" s="25">
        <f t="shared" si="51"/>
        <v>214356.60500000001</v>
      </c>
      <c r="Y432" s="1">
        <f t="shared" si="52"/>
        <v>3442.5800000000004</v>
      </c>
      <c r="Z432" s="1">
        <f t="shared" si="53"/>
        <v>3657.83</v>
      </c>
      <c r="AA432" s="1">
        <v>3670.81</v>
      </c>
      <c r="AB432" s="1">
        <f t="shared" si="48"/>
        <v>-228.22999999999956</v>
      </c>
      <c r="AC432" s="29">
        <f t="shared" si="54"/>
        <v>12.980000000000018</v>
      </c>
      <c r="AD432" s="11">
        <f t="shared" si="55"/>
        <v>2445914.3601250001</v>
      </c>
    </row>
    <row r="433" spans="1:30" x14ac:dyDescent="0.3">
      <c r="A433" s="14">
        <v>45905.46875</v>
      </c>
      <c r="B433" s="1">
        <v>1068.52</v>
      </c>
      <c r="C433" s="11">
        <v>3.2732000000000001</v>
      </c>
      <c r="D433" s="1">
        <v>636.95000000000005</v>
      </c>
      <c r="E433" s="11">
        <v>3.0760000000000001</v>
      </c>
      <c r="F433" s="1">
        <v>398.57</v>
      </c>
      <c r="G433" s="11">
        <v>3.53</v>
      </c>
      <c r="H433" s="1">
        <v>19.63</v>
      </c>
      <c r="I433" s="11">
        <v>1.99996</v>
      </c>
      <c r="J433" s="1">
        <v>119.66</v>
      </c>
      <c r="K433" s="11">
        <v>2.7992699999999999</v>
      </c>
      <c r="L433" s="1">
        <v>76.55</v>
      </c>
      <c r="M433" s="11">
        <v>6.2</v>
      </c>
      <c r="N433" s="1">
        <v>428.59</v>
      </c>
      <c r="O433" s="11">
        <v>2.8224999999999998</v>
      </c>
      <c r="P433" s="1">
        <f t="shared" si="49"/>
        <v>2748.4700000000003</v>
      </c>
      <c r="Q433" s="1">
        <v>2711.02</v>
      </c>
      <c r="R433" s="16">
        <f t="shared" si="50"/>
        <v>2230553.7755</v>
      </c>
      <c r="S433" s="20">
        <v>738.18</v>
      </c>
      <c r="T433" s="21">
        <v>151.48999999999998</v>
      </c>
      <c r="U433" s="21">
        <v>3.02</v>
      </c>
      <c r="V433" s="8">
        <v>892.68999999999994</v>
      </c>
      <c r="W433" s="25">
        <v>1.238</v>
      </c>
      <c r="X433" s="25">
        <f t="shared" si="51"/>
        <v>276287.55499999999</v>
      </c>
      <c r="Y433" s="1">
        <f t="shared" si="52"/>
        <v>3641.1600000000003</v>
      </c>
      <c r="Z433" s="1">
        <f t="shared" si="53"/>
        <v>3603.71</v>
      </c>
      <c r="AA433" s="1">
        <v>3646.19</v>
      </c>
      <c r="AB433" s="1">
        <f t="shared" si="48"/>
        <v>-5.0299999999997453</v>
      </c>
      <c r="AC433" s="29">
        <f t="shared" si="54"/>
        <v>42.480000000000018</v>
      </c>
      <c r="AD433" s="11">
        <f t="shared" si="55"/>
        <v>2506841.3305000002</v>
      </c>
    </row>
    <row r="434" spans="1:30" x14ac:dyDescent="0.3">
      <c r="A434" s="14">
        <v>45905.479166666664</v>
      </c>
      <c r="B434" s="1">
        <v>1068.52</v>
      </c>
      <c r="C434" s="11">
        <v>3.2732000000000001</v>
      </c>
      <c r="D434" s="1">
        <v>636.95000000000005</v>
      </c>
      <c r="E434" s="11">
        <v>3.0760000000000001</v>
      </c>
      <c r="F434" s="1">
        <v>398.57</v>
      </c>
      <c r="G434" s="11">
        <v>3.53</v>
      </c>
      <c r="H434" s="1">
        <v>19.63</v>
      </c>
      <c r="I434" s="11">
        <v>2.2008000000000001</v>
      </c>
      <c r="J434" s="1">
        <v>201.22</v>
      </c>
      <c r="K434" s="11">
        <v>2.43025</v>
      </c>
      <c r="L434" s="1">
        <v>76.709999999999994</v>
      </c>
      <c r="M434" s="11">
        <v>6.2</v>
      </c>
      <c r="N434" s="1">
        <v>444.39</v>
      </c>
      <c r="O434" s="11">
        <v>2.8224999999999998</v>
      </c>
      <c r="P434" s="1">
        <f t="shared" si="49"/>
        <v>2845.99</v>
      </c>
      <c r="Q434" s="1">
        <v>2847.02</v>
      </c>
      <c r="R434" s="16">
        <f t="shared" si="50"/>
        <v>2281449.8370000003</v>
      </c>
      <c r="S434" s="20">
        <v>619.00000000000011</v>
      </c>
      <c r="T434" s="21">
        <v>144.40000000000003</v>
      </c>
      <c r="U434" s="21">
        <v>3.55</v>
      </c>
      <c r="V434" s="8">
        <v>766.95</v>
      </c>
      <c r="W434" s="25">
        <v>1.238</v>
      </c>
      <c r="X434" s="25">
        <f t="shared" si="51"/>
        <v>237371.02499999999</v>
      </c>
      <c r="Y434" s="1">
        <f t="shared" si="52"/>
        <v>3612.9399999999996</v>
      </c>
      <c r="Z434" s="1">
        <f t="shared" si="53"/>
        <v>3613.9700000000003</v>
      </c>
      <c r="AA434" s="1">
        <v>3637.99</v>
      </c>
      <c r="AB434" s="1">
        <f t="shared" si="48"/>
        <v>-25.050000000000182</v>
      </c>
      <c r="AC434" s="29">
        <f t="shared" si="54"/>
        <v>24.019999999999527</v>
      </c>
      <c r="AD434" s="11">
        <f t="shared" si="55"/>
        <v>2518820.8620000002</v>
      </c>
    </row>
    <row r="435" spans="1:30" x14ac:dyDescent="0.3">
      <c r="A435" s="14">
        <v>45905.489583333336</v>
      </c>
      <c r="B435" s="1">
        <v>1068.52</v>
      </c>
      <c r="C435" s="11">
        <v>3.2732000000000001</v>
      </c>
      <c r="D435" s="1">
        <v>636.95000000000005</v>
      </c>
      <c r="E435" s="11">
        <v>3.0760000000000001</v>
      </c>
      <c r="F435" s="1">
        <v>398.57</v>
      </c>
      <c r="G435" s="11">
        <v>3.53</v>
      </c>
      <c r="H435" s="1">
        <v>19.63</v>
      </c>
      <c r="I435" s="11">
        <v>2.5695100000000002</v>
      </c>
      <c r="J435" s="1">
        <v>126.5</v>
      </c>
      <c r="K435" s="11">
        <v>2.7009000000000003</v>
      </c>
      <c r="L435" s="1">
        <v>76.92</v>
      </c>
      <c r="M435" s="11">
        <v>6.2</v>
      </c>
      <c r="N435" s="1">
        <v>445.4</v>
      </c>
      <c r="O435" s="11">
        <v>2.8224999999999998</v>
      </c>
      <c r="P435" s="1">
        <f t="shared" si="49"/>
        <v>2772.4900000000002</v>
      </c>
      <c r="Q435" s="1">
        <v>2769.5</v>
      </c>
      <c r="R435" s="16">
        <f t="shared" si="50"/>
        <v>2247459.6988249999</v>
      </c>
      <c r="S435" s="20">
        <v>700.51</v>
      </c>
      <c r="T435" s="21">
        <v>155.41999999999999</v>
      </c>
      <c r="U435" s="21">
        <v>4.5600000000000005</v>
      </c>
      <c r="V435" s="8">
        <v>860.4899999999999</v>
      </c>
      <c r="W435" s="25">
        <v>1.238</v>
      </c>
      <c r="X435" s="25">
        <f t="shared" si="51"/>
        <v>266321.65499999997</v>
      </c>
      <c r="Y435" s="1">
        <f t="shared" si="52"/>
        <v>3632.98</v>
      </c>
      <c r="Z435" s="1">
        <f t="shared" si="53"/>
        <v>3629.99</v>
      </c>
      <c r="AA435" s="1">
        <v>3648.29</v>
      </c>
      <c r="AB435" s="1">
        <f t="shared" si="48"/>
        <v>-15.309999999999945</v>
      </c>
      <c r="AC435" s="29">
        <f t="shared" si="54"/>
        <v>18.300000000000182</v>
      </c>
      <c r="AD435" s="11">
        <f t="shared" si="55"/>
        <v>2513781.3538249996</v>
      </c>
    </row>
    <row r="436" spans="1:30" x14ac:dyDescent="0.3">
      <c r="A436" s="14">
        <v>45905.5</v>
      </c>
      <c r="B436" s="1">
        <v>1068.52</v>
      </c>
      <c r="C436" s="11">
        <v>3.2732000000000001</v>
      </c>
      <c r="D436" s="1">
        <v>636.95000000000005</v>
      </c>
      <c r="E436" s="11">
        <v>3.0760000000000001</v>
      </c>
      <c r="F436" s="1">
        <v>398.57</v>
      </c>
      <c r="G436" s="11">
        <v>3.53</v>
      </c>
      <c r="H436" s="1">
        <v>19.63</v>
      </c>
      <c r="I436" s="11">
        <v>2.7803200000000001</v>
      </c>
      <c r="J436" s="1">
        <v>119.47</v>
      </c>
      <c r="K436" s="11">
        <v>2.9719000000000002</v>
      </c>
      <c r="L436" s="1">
        <v>75.88</v>
      </c>
      <c r="M436" s="11">
        <v>6.2</v>
      </c>
      <c r="N436" s="1">
        <v>422.89</v>
      </c>
      <c r="O436" s="11">
        <v>2.8224999999999998</v>
      </c>
      <c r="P436" s="1">
        <f t="shared" si="49"/>
        <v>2741.91</v>
      </c>
      <c r="Q436" s="1">
        <v>2892.1</v>
      </c>
      <c r="R436" s="16">
        <f t="shared" si="50"/>
        <v>2234345.8909</v>
      </c>
      <c r="S436" s="20">
        <v>577.32000000000005</v>
      </c>
      <c r="T436" s="21">
        <v>214.50000000000003</v>
      </c>
      <c r="U436" s="21">
        <v>5.2900000000000009</v>
      </c>
      <c r="V436" s="8">
        <v>797.11</v>
      </c>
      <c r="W436" s="25">
        <v>1.238</v>
      </c>
      <c r="X436" s="25">
        <f t="shared" si="51"/>
        <v>246705.54500000001</v>
      </c>
      <c r="Y436" s="1">
        <f t="shared" si="52"/>
        <v>3539.02</v>
      </c>
      <c r="Z436" s="1">
        <f t="shared" si="53"/>
        <v>3689.21</v>
      </c>
      <c r="AA436" s="1">
        <v>3703.06</v>
      </c>
      <c r="AB436" s="1">
        <f t="shared" si="48"/>
        <v>-164.03999999999996</v>
      </c>
      <c r="AC436" s="29">
        <f t="shared" si="54"/>
        <v>13.849999999999909</v>
      </c>
      <c r="AD436" s="11">
        <f t="shared" si="55"/>
        <v>2481051.4358999999</v>
      </c>
    </row>
    <row r="437" spans="1:30" x14ac:dyDescent="0.3">
      <c r="A437" s="14">
        <v>45905.510416666664</v>
      </c>
      <c r="B437" s="1">
        <v>1068.52</v>
      </c>
      <c r="C437" s="11">
        <v>3.2732000000000001</v>
      </c>
      <c r="D437" s="1">
        <v>636.95000000000005</v>
      </c>
      <c r="E437" s="11">
        <v>3.0760000000000001</v>
      </c>
      <c r="F437" s="1">
        <v>398.57</v>
      </c>
      <c r="G437" s="11">
        <v>3.53</v>
      </c>
      <c r="H437" s="1">
        <v>19.63</v>
      </c>
      <c r="I437" s="11">
        <v>2.7991599999999996</v>
      </c>
      <c r="J437" s="1">
        <v>29.91</v>
      </c>
      <c r="K437" s="11">
        <v>3.0158700000000001</v>
      </c>
      <c r="L437" s="1">
        <v>74.61</v>
      </c>
      <c r="M437" s="11">
        <v>6.2</v>
      </c>
      <c r="N437" s="1">
        <v>429.6</v>
      </c>
      <c r="O437" s="11">
        <v>2.8224999999999998</v>
      </c>
      <c r="P437" s="1">
        <f t="shared" si="49"/>
        <v>2657.79</v>
      </c>
      <c r="Q437" s="1">
        <v>2733.16</v>
      </c>
      <c r="R437" s="16">
        <f t="shared" si="50"/>
        <v>2170992.5366250002</v>
      </c>
      <c r="S437" s="20">
        <v>728.98000000000013</v>
      </c>
      <c r="T437" s="21">
        <v>216.46000000000004</v>
      </c>
      <c r="U437" s="21">
        <v>6.28</v>
      </c>
      <c r="V437" s="8">
        <v>951.72000000000014</v>
      </c>
      <c r="W437" s="25">
        <v>1.238</v>
      </c>
      <c r="X437" s="25">
        <f t="shared" si="51"/>
        <v>294557.34000000008</v>
      </c>
      <c r="Y437" s="1">
        <f t="shared" si="52"/>
        <v>3609.51</v>
      </c>
      <c r="Z437" s="1">
        <f t="shared" si="53"/>
        <v>3684.88</v>
      </c>
      <c r="AA437" s="1">
        <v>3692.56</v>
      </c>
      <c r="AB437" s="1">
        <f t="shared" si="48"/>
        <v>-83.049999999999727</v>
      </c>
      <c r="AC437" s="29">
        <f t="shared" si="54"/>
        <v>7.6799999999998363</v>
      </c>
      <c r="AD437" s="11">
        <f t="shared" si="55"/>
        <v>2465549.8766250005</v>
      </c>
    </row>
    <row r="438" spans="1:30" x14ac:dyDescent="0.3">
      <c r="A438" s="14">
        <v>45905.520833333336</v>
      </c>
      <c r="B438" s="1">
        <v>1067.92</v>
      </c>
      <c r="C438" s="11">
        <v>3.2732000000000001</v>
      </c>
      <c r="D438" s="1">
        <v>636.95000000000005</v>
      </c>
      <c r="E438" s="11">
        <v>3.0760000000000001</v>
      </c>
      <c r="F438" s="1">
        <v>398.57</v>
      </c>
      <c r="G438" s="11">
        <v>3.53</v>
      </c>
      <c r="H438" s="1">
        <v>19.63</v>
      </c>
      <c r="I438" s="11">
        <v>2.7997100000000001</v>
      </c>
      <c r="J438" s="1">
        <v>154.86000000000001</v>
      </c>
      <c r="K438" s="11">
        <v>2.7996399999999997</v>
      </c>
      <c r="L438" s="1">
        <v>74.61</v>
      </c>
      <c r="M438" s="11">
        <v>6.2</v>
      </c>
      <c r="N438" s="1">
        <v>431.91</v>
      </c>
      <c r="O438" s="11">
        <v>2.8224999999999998</v>
      </c>
      <c r="P438" s="1">
        <f t="shared" si="49"/>
        <v>2784.4500000000003</v>
      </c>
      <c r="Q438" s="1">
        <v>2785.58</v>
      </c>
      <c r="R438" s="16">
        <f t="shared" si="50"/>
        <v>2257971.1441750005</v>
      </c>
      <c r="S438" s="20">
        <v>654.42999999999995</v>
      </c>
      <c r="T438" s="21">
        <v>203.17</v>
      </c>
      <c r="U438" s="21">
        <v>7.24</v>
      </c>
      <c r="V438" s="8">
        <v>864.83999999999992</v>
      </c>
      <c r="W438" s="25">
        <v>1.238</v>
      </c>
      <c r="X438" s="25">
        <f t="shared" si="51"/>
        <v>267667.98</v>
      </c>
      <c r="Y438" s="1">
        <f t="shared" si="52"/>
        <v>3649.29</v>
      </c>
      <c r="Z438" s="1">
        <f t="shared" si="53"/>
        <v>3650.42</v>
      </c>
      <c r="AA438" s="1">
        <v>3667.34</v>
      </c>
      <c r="AB438" s="1">
        <f t="shared" si="48"/>
        <v>-18.050000000000182</v>
      </c>
      <c r="AC438" s="29">
        <f t="shared" si="54"/>
        <v>16.920000000000073</v>
      </c>
      <c r="AD438" s="11">
        <f t="shared" si="55"/>
        <v>2525639.1241750005</v>
      </c>
    </row>
    <row r="439" spans="1:30" x14ac:dyDescent="0.3">
      <c r="A439" s="14">
        <v>45905.53125</v>
      </c>
      <c r="B439" s="1">
        <v>1065.26</v>
      </c>
      <c r="C439" s="11">
        <v>3.2732000000000001</v>
      </c>
      <c r="D439" s="1">
        <v>636.95000000000005</v>
      </c>
      <c r="E439" s="11">
        <v>3.0760000000000001</v>
      </c>
      <c r="F439" s="1">
        <v>398.57</v>
      </c>
      <c r="G439" s="11">
        <v>3.53</v>
      </c>
      <c r="H439" s="1">
        <v>19.63</v>
      </c>
      <c r="I439" s="11">
        <v>2.4507699999999999</v>
      </c>
      <c r="J439" s="1">
        <v>167.73</v>
      </c>
      <c r="K439" s="11">
        <v>2.7997299999999998</v>
      </c>
      <c r="L439" s="1">
        <v>71.66</v>
      </c>
      <c r="M439" s="11">
        <v>6.2</v>
      </c>
      <c r="N439" s="1">
        <v>434.45</v>
      </c>
      <c r="O439" s="11">
        <v>2.8224999999999998</v>
      </c>
      <c r="P439" s="1">
        <f t="shared" si="49"/>
        <v>2794.25</v>
      </c>
      <c r="Q439" s="1">
        <v>2765.09</v>
      </c>
      <c r="R439" s="16">
        <f t="shared" si="50"/>
        <v>2260313.4462499996</v>
      </c>
      <c r="S439" s="20">
        <v>623.2600000000001</v>
      </c>
      <c r="T439" s="21">
        <v>223.43</v>
      </c>
      <c r="U439" s="21">
        <v>8.9600000000000009</v>
      </c>
      <c r="V439" s="8">
        <v>855.65000000000009</v>
      </c>
      <c r="W439" s="25">
        <v>1.238</v>
      </c>
      <c r="X439" s="25">
        <f t="shared" si="51"/>
        <v>264823.67500000005</v>
      </c>
      <c r="Y439" s="1">
        <f t="shared" si="52"/>
        <v>3649.9</v>
      </c>
      <c r="Z439" s="1">
        <f t="shared" si="53"/>
        <v>3620.7400000000002</v>
      </c>
      <c r="AA439" s="1">
        <v>3635.7</v>
      </c>
      <c r="AB439" s="1">
        <f t="shared" si="48"/>
        <v>14.200000000000273</v>
      </c>
      <c r="AC439" s="29">
        <f t="shared" si="54"/>
        <v>14.959999999999582</v>
      </c>
      <c r="AD439" s="11">
        <f t="shared" si="55"/>
        <v>2525137.1212499999</v>
      </c>
    </row>
    <row r="440" spans="1:30" x14ac:dyDescent="0.3">
      <c r="A440" s="14">
        <v>45905.541666666664</v>
      </c>
      <c r="B440" s="1">
        <v>1065.06</v>
      </c>
      <c r="C440" s="11">
        <v>3.2732000000000001</v>
      </c>
      <c r="D440" s="1">
        <v>636.95000000000005</v>
      </c>
      <c r="E440" s="11">
        <v>3.0760000000000001</v>
      </c>
      <c r="F440" s="1">
        <v>398.57</v>
      </c>
      <c r="G440" s="11">
        <v>3.53</v>
      </c>
      <c r="H440" s="1">
        <v>19.809999999999999</v>
      </c>
      <c r="I440" s="11">
        <v>2.50082</v>
      </c>
      <c r="J440" s="1">
        <v>196.75</v>
      </c>
      <c r="K440" s="11">
        <v>2.21062</v>
      </c>
      <c r="L440" s="1">
        <v>72.33</v>
      </c>
      <c r="M440" s="11">
        <v>6.2</v>
      </c>
      <c r="N440" s="1">
        <v>433.15</v>
      </c>
      <c r="O440" s="11">
        <v>2.8224999999999998</v>
      </c>
      <c r="P440" s="1">
        <f t="shared" si="49"/>
        <v>2822.62</v>
      </c>
      <c r="Q440" s="1">
        <v>2889.76</v>
      </c>
      <c r="R440" s="16">
        <f t="shared" si="50"/>
        <v>2251964.3240499999</v>
      </c>
      <c r="S440" s="20">
        <v>452.11999999999995</v>
      </c>
      <c r="T440" s="21">
        <v>222.66000000000003</v>
      </c>
      <c r="U440" s="21">
        <v>9.5499999999999989</v>
      </c>
      <c r="V440" s="8">
        <v>684.32999999999993</v>
      </c>
      <c r="W440" s="25">
        <v>1.238</v>
      </c>
      <c r="X440" s="25">
        <f t="shared" si="51"/>
        <v>211800.13499999998</v>
      </c>
      <c r="Y440" s="1">
        <f t="shared" si="52"/>
        <v>3506.95</v>
      </c>
      <c r="Z440" s="1">
        <f t="shared" si="53"/>
        <v>3574.09</v>
      </c>
      <c r="AA440" s="1">
        <v>3584.1</v>
      </c>
      <c r="AB440" s="1">
        <f t="shared" si="48"/>
        <v>-77.150000000000091</v>
      </c>
      <c r="AC440" s="29">
        <f t="shared" si="54"/>
        <v>10.009999999999764</v>
      </c>
      <c r="AD440" s="11">
        <f t="shared" si="55"/>
        <v>2463764.4590499997</v>
      </c>
    </row>
    <row r="441" spans="1:30" x14ac:dyDescent="0.3">
      <c r="A441" s="14">
        <v>45905.552083333336</v>
      </c>
      <c r="B441" s="1">
        <v>1065.06</v>
      </c>
      <c r="C441" s="11">
        <v>3.2732000000000001</v>
      </c>
      <c r="D441" s="1">
        <v>636.95000000000005</v>
      </c>
      <c r="E441" s="11">
        <v>3.0760000000000001</v>
      </c>
      <c r="F441" s="1">
        <v>398.57</v>
      </c>
      <c r="G441" s="11">
        <v>3.53</v>
      </c>
      <c r="H441" s="1">
        <v>19.82</v>
      </c>
      <c r="I441" s="11">
        <v>2.5692199999999996</v>
      </c>
      <c r="J441" s="1">
        <v>216.95</v>
      </c>
      <c r="K441" s="11">
        <v>2.3006100000000003</v>
      </c>
      <c r="L441" s="1">
        <v>71.5</v>
      </c>
      <c r="M441" s="11">
        <v>6.2</v>
      </c>
      <c r="N441" s="1">
        <v>433.2</v>
      </c>
      <c r="O441" s="11">
        <v>2.8224999999999998</v>
      </c>
      <c r="P441" s="1">
        <f t="shared" si="49"/>
        <v>2842.0499999999997</v>
      </c>
      <c r="Q441" s="1">
        <v>2853.64</v>
      </c>
      <c r="R441" s="16">
        <f t="shared" si="50"/>
        <v>2267102.7429750003</v>
      </c>
      <c r="S441" s="20">
        <v>507.40000000000003</v>
      </c>
      <c r="T441" s="21">
        <v>219.94000000000003</v>
      </c>
      <c r="U441" s="21">
        <v>9.84</v>
      </c>
      <c r="V441" s="8">
        <v>737.18000000000006</v>
      </c>
      <c r="W441" s="25">
        <v>1.238</v>
      </c>
      <c r="X441" s="25">
        <f t="shared" si="51"/>
        <v>228157.21000000002</v>
      </c>
      <c r="Y441" s="1">
        <f t="shared" si="52"/>
        <v>3579.2299999999996</v>
      </c>
      <c r="Z441" s="1">
        <f t="shared" si="53"/>
        <v>3590.8199999999997</v>
      </c>
      <c r="AA441" s="1">
        <v>3601.77</v>
      </c>
      <c r="AB441" s="1">
        <f t="shared" si="48"/>
        <v>-22.540000000000418</v>
      </c>
      <c r="AC441" s="29">
        <f t="shared" si="54"/>
        <v>10.950000000000273</v>
      </c>
      <c r="AD441" s="11">
        <f t="shared" si="55"/>
        <v>2495259.9529750003</v>
      </c>
    </row>
    <row r="442" spans="1:30" x14ac:dyDescent="0.3">
      <c r="A442" s="14">
        <v>45905.5625</v>
      </c>
      <c r="B442" s="1">
        <v>1129.8499999999999</v>
      </c>
      <c r="C442" s="11">
        <v>3.2732000000000001</v>
      </c>
      <c r="D442" s="1">
        <v>636.95000000000005</v>
      </c>
      <c r="E442" s="11">
        <v>3.0760000000000001</v>
      </c>
      <c r="F442" s="1">
        <v>398.57</v>
      </c>
      <c r="G442" s="11">
        <v>3.53</v>
      </c>
      <c r="H442" s="1">
        <v>19.82</v>
      </c>
      <c r="I442" s="11">
        <v>2.5699899999999998</v>
      </c>
      <c r="J442" s="1">
        <v>144.52000000000001</v>
      </c>
      <c r="K442" s="11">
        <v>2.79969</v>
      </c>
      <c r="L442" s="1">
        <v>70.349999999999994</v>
      </c>
      <c r="M442" s="11">
        <v>6.2</v>
      </c>
      <c r="N442" s="1">
        <v>436.35</v>
      </c>
      <c r="O442" s="11">
        <v>2.8224999999999998</v>
      </c>
      <c r="P442" s="1">
        <f t="shared" si="49"/>
        <v>2836.41</v>
      </c>
      <c r="Q442" s="1">
        <v>2852.4</v>
      </c>
      <c r="R442" s="16">
        <f t="shared" si="50"/>
        <v>2296937.8989000004</v>
      </c>
      <c r="S442" s="20">
        <v>568.48</v>
      </c>
      <c r="T442" s="21">
        <v>208.29000000000002</v>
      </c>
      <c r="U442" s="21">
        <v>6.97</v>
      </c>
      <c r="V442" s="8">
        <v>783.74</v>
      </c>
      <c r="W442" s="25">
        <v>1.238</v>
      </c>
      <c r="X442" s="25">
        <f t="shared" si="51"/>
        <v>242567.53</v>
      </c>
      <c r="Y442" s="1">
        <f t="shared" si="52"/>
        <v>3620.1499999999996</v>
      </c>
      <c r="Z442" s="1">
        <f t="shared" si="53"/>
        <v>3636.1400000000003</v>
      </c>
      <c r="AA442" s="1">
        <v>3644.88</v>
      </c>
      <c r="AB442" s="1">
        <f t="shared" si="48"/>
        <v>-24.730000000000473</v>
      </c>
      <c r="AC442" s="29">
        <f t="shared" si="54"/>
        <v>8.7399999999997817</v>
      </c>
      <c r="AD442" s="11">
        <f t="shared" si="55"/>
        <v>2539505.4289000002</v>
      </c>
    </row>
    <row r="443" spans="1:30" x14ac:dyDescent="0.3">
      <c r="A443" s="14">
        <v>45905.572916666664</v>
      </c>
      <c r="B443" s="1">
        <v>1138.5999999999999</v>
      </c>
      <c r="C443" s="11">
        <v>3.2732000000000001</v>
      </c>
      <c r="D443" s="1">
        <v>636.95000000000005</v>
      </c>
      <c r="E443" s="11">
        <v>3.0760000000000001</v>
      </c>
      <c r="F443" s="1">
        <v>398.57</v>
      </c>
      <c r="G443" s="11">
        <v>3.53</v>
      </c>
      <c r="H443" s="1">
        <v>19.82</v>
      </c>
      <c r="I443" s="11">
        <v>2.88707</v>
      </c>
      <c r="J443" s="1">
        <v>192.57</v>
      </c>
      <c r="K443" s="11">
        <v>2.84911</v>
      </c>
      <c r="L443" s="1">
        <v>70.27</v>
      </c>
      <c r="M443" s="11">
        <v>6.2</v>
      </c>
      <c r="N443" s="1">
        <v>429.68</v>
      </c>
      <c r="O443" s="11">
        <v>2.8224999999999998</v>
      </c>
      <c r="P443" s="1">
        <f t="shared" si="49"/>
        <v>2886.46</v>
      </c>
      <c r="Q443" s="1">
        <v>2916.42</v>
      </c>
      <c r="R443" s="16">
        <f t="shared" si="50"/>
        <v>2336849.1150250002</v>
      </c>
      <c r="S443" s="20">
        <v>567.65</v>
      </c>
      <c r="T443" s="21">
        <v>205.44</v>
      </c>
      <c r="U443" s="21">
        <v>7.4399999999999995</v>
      </c>
      <c r="V443" s="8">
        <v>780.53</v>
      </c>
      <c r="W443" s="25">
        <v>1.238</v>
      </c>
      <c r="X443" s="25">
        <f t="shared" si="51"/>
        <v>241574.03499999997</v>
      </c>
      <c r="Y443" s="1">
        <f t="shared" si="52"/>
        <v>3666.99</v>
      </c>
      <c r="Z443" s="1">
        <f t="shared" si="53"/>
        <v>3696.95</v>
      </c>
      <c r="AA443" s="1">
        <v>3686.36</v>
      </c>
      <c r="AB443" s="1">
        <f t="shared" si="48"/>
        <v>-19.370000000000346</v>
      </c>
      <c r="AC443" s="29">
        <f t="shared" si="54"/>
        <v>-10.589999999999691</v>
      </c>
      <c r="AD443" s="11">
        <f t="shared" si="55"/>
        <v>2578423.1500250003</v>
      </c>
    </row>
    <row r="444" spans="1:30" x14ac:dyDescent="0.3">
      <c r="A444" s="14">
        <v>45905.583333333336</v>
      </c>
      <c r="B444" s="1">
        <v>1138.8900000000001</v>
      </c>
      <c r="C444" s="11">
        <v>3.2732000000000001</v>
      </c>
      <c r="D444" s="1">
        <v>636.95000000000005</v>
      </c>
      <c r="E444" s="11">
        <v>3.0760000000000001</v>
      </c>
      <c r="F444" s="1">
        <v>398.57</v>
      </c>
      <c r="G444" s="11">
        <v>3.53</v>
      </c>
      <c r="H444" s="1">
        <v>20</v>
      </c>
      <c r="I444" s="11">
        <v>2.9024000000000001</v>
      </c>
      <c r="J444" s="1">
        <v>304.16000000000003</v>
      </c>
      <c r="K444" s="11">
        <v>2.94936</v>
      </c>
      <c r="L444" s="1">
        <v>69.650000000000006</v>
      </c>
      <c r="M444" s="11">
        <v>6.2</v>
      </c>
      <c r="N444" s="1">
        <v>417.35</v>
      </c>
      <c r="O444" s="11">
        <v>2.8224999999999998</v>
      </c>
      <c r="P444" s="1">
        <f t="shared" si="49"/>
        <v>2985.57</v>
      </c>
      <c r="Q444" s="1">
        <v>3128.57</v>
      </c>
      <c r="R444" s="16">
        <f t="shared" si="50"/>
        <v>2414737.6901500002</v>
      </c>
      <c r="S444" s="20">
        <v>497.40999999999991</v>
      </c>
      <c r="T444" s="21">
        <v>198.92000000000002</v>
      </c>
      <c r="U444" s="21">
        <v>7.0600000000000005</v>
      </c>
      <c r="V444" s="8">
        <v>703.38999999999987</v>
      </c>
      <c r="W444" s="25">
        <v>1.238</v>
      </c>
      <c r="X444" s="25">
        <f t="shared" si="51"/>
        <v>217699.20499999996</v>
      </c>
      <c r="Y444" s="1">
        <f t="shared" si="52"/>
        <v>3688.96</v>
      </c>
      <c r="Z444" s="1">
        <f t="shared" si="53"/>
        <v>3831.96</v>
      </c>
      <c r="AA444" s="1">
        <v>3845.53</v>
      </c>
      <c r="AB444" s="1">
        <f t="shared" si="48"/>
        <v>-156.57000000000016</v>
      </c>
      <c r="AC444" s="29">
        <f t="shared" si="54"/>
        <v>13.570000000000164</v>
      </c>
      <c r="AD444" s="11">
        <f t="shared" si="55"/>
        <v>2632436.8951500002</v>
      </c>
    </row>
    <row r="445" spans="1:30" x14ac:dyDescent="0.3">
      <c r="A445" s="14">
        <v>45905.59375</v>
      </c>
      <c r="B445" s="1">
        <v>1138.8900000000001</v>
      </c>
      <c r="C445" s="11">
        <v>3.2732000000000001</v>
      </c>
      <c r="D445" s="1">
        <v>636.95000000000005</v>
      </c>
      <c r="E445" s="11">
        <v>3.0760000000000001</v>
      </c>
      <c r="F445" s="1">
        <v>398.57</v>
      </c>
      <c r="G445" s="11">
        <v>3.53</v>
      </c>
      <c r="H445" s="1">
        <v>20.010000000000002</v>
      </c>
      <c r="I445" s="11">
        <v>2.9028800000000001</v>
      </c>
      <c r="J445" s="1">
        <v>312.52999999999997</v>
      </c>
      <c r="K445" s="11">
        <v>3.20072</v>
      </c>
      <c r="L445" s="1">
        <v>69.599999999999994</v>
      </c>
      <c r="M445" s="11">
        <v>6.2</v>
      </c>
      <c r="N445" s="1">
        <v>412.58</v>
      </c>
      <c r="O445" s="11">
        <v>2.8224999999999998</v>
      </c>
      <c r="P445" s="1">
        <f t="shared" si="49"/>
        <v>2989.1300000000006</v>
      </c>
      <c r="Q445" s="1">
        <v>3172.14</v>
      </c>
      <c r="R445" s="16">
        <f t="shared" si="50"/>
        <v>2437114.9371000002</v>
      </c>
      <c r="S445" s="20">
        <v>604.56000000000006</v>
      </c>
      <c r="T445" s="21">
        <v>190.20999999999998</v>
      </c>
      <c r="U445" s="21">
        <v>6.9399999999999995</v>
      </c>
      <c r="V445" s="8">
        <v>801.71</v>
      </c>
      <c r="W445" s="25">
        <v>1.238</v>
      </c>
      <c r="X445" s="25">
        <f t="shared" si="51"/>
        <v>248129.245</v>
      </c>
      <c r="Y445" s="1">
        <f t="shared" si="52"/>
        <v>3790.8400000000006</v>
      </c>
      <c r="Z445" s="1">
        <f t="shared" si="53"/>
        <v>3973.85</v>
      </c>
      <c r="AA445" s="1">
        <v>3984.17</v>
      </c>
      <c r="AB445" s="1">
        <f t="shared" si="48"/>
        <v>-193.32999999999947</v>
      </c>
      <c r="AC445" s="29">
        <f t="shared" si="54"/>
        <v>10.320000000000164</v>
      </c>
      <c r="AD445" s="11">
        <f t="shared" si="55"/>
        <v>2685244.1821000003</v>
      </c>
    </row>
    <row r="446" spans="1:30" x14ac:dyDescent="0.3">
      <c r="A446" s="14">
        <v>45905.604166666664</v>
      </c>
      <c r="B446" s="1">
        <v>1291.33</v>
      </c>
      <c r="C446" s="11">
        <v>3.2732000000000001</v>
      </c>
      <c r="D446" s="1">
        <v>636.95000000000005</v>
      </c>
      <c r="E446" s="11">
        <v>3.0760000000000001</v>
      </c>
      <c r="F446" s="1">
        <v>398.57</v>
      </c>
      <c r="G446" s="11">
        <v>3.53</v>
      </c>
      <c r="H446" s="1">
        <v>20.010000000000002</v>
      </c>
      <c r="I446" s="11">
        <v>2.9422700000000002</v>
      </c>
      <c r="J446" s="1">
        <v>99.13</v>
      </c>
      <c r="K446" s="11">
        <v>3.0159499999999997</v>
      </c>
      <c r="L446" s="1">
        <v>69.510000000000005</v>
      </c>
      <c r="M446" s="11">
        <v>6.2</v>
      </c>
      <c r="N446" s="1">
        <v>405.5</v>
      </c>
      <c r="O446" s="11">
        <v>2.8224999999999998</v>
      </c>
      <c r="P446" s="1">
        <f t="shared" si="49"/>
        <v>2921.0000000000005</v>
      </c>
      <c r="Q446" s="1">
        <v>3133.95</v>
      </c>
      <c r="R446" s="16">
        <f t="shared" si="50"/>
        <v>2381580.8380499999</v>
      </c>
      <c r="S446" s="20">
        <v>728.63000000000011</v>
      </c>
      <c r="T446" s="21">
        <v>188.11999999999998</v>
      </c>
      <c r="U446" s="21">
        <v>7.1099999999999994</v>
      </c>
      <c r="V446" s="8">
        <v>923.86000000000013</v>
      </c>
      <c r="W446" s="25">
        <v>1.238</v>
      </c>
      <c r="X446" s="25">
        <f t="shared" si="51"/>
        <v>285934.67000000004</v>
      </c>
      <c r="Y446" s="1">
        <f t="shared" si="52"/>
        <v>3844.8600000000006</v>
      </c>
      <c r="Z446" s="1">
        <f t="shared" si="53"/>
        <v>4057.81</v>
      </c>
      <c r="AA446" s="1">
        <v>4079.73</v>
      </c>
      <c r="AB446" s="1">
        <f t="shared" si="48"/>
        <v>-234.86999999999944</v>
      </c>
      <c r="AC446" s="29">
        <f t="shared" si="54"/>
        <v>21.920000000000073</v>
      </c>
      <c r="AD446" s="11">
        <f t="shared" si="55"/>
        <v>2667515.5080499998</v>
      </c>
    </row>
    <row r="447" spans="1:30" x14ac:dyDescent="0.3">
      <c r="A447" s="14">
        <v>45905.614583333336</v>
      </c>
      <c r="B447" s="1">
        <v>1374.19</v>
      </c>
      <c r="C447" s="11">
        <v>3.2732000000000001</v>
      </c>
      <c r="D447" s="1">
        <v>650.91999999999996</v>
      </c>
      <c r="E447" s="11">
        <v>3.0760000000000001</v>
      </c>
      <c r="F447" s="1">
        <v>398.57</v>
      </c>
      <c r="G447" s="11">
        <v>3.53</v>
      </c>
      <c r="H447" s="1">
        <v>20.010000000000002</v>
      </c>
      <c r="I447" s="11">
        <v>2.9713699999999998</v>
      </c>
      <c r="J447" s="1">
        <v>221.75</v>
      </c>
      <c r="K447" s="11">
        <v>3.2057800000000003</v>
      </c>
      <c r="L447" s="1">
        <v>72.92</v>
      </c>
      <c r="M447" s="11">
        <v>6.2</v>
      </c>
      <c r="N447" s="1">
        <v>396.64</v>
      </c>
      <c r="O447" s="11">
        <v>2.8224999999999998</v>
      </c>
      <c r="P447" s="1">
        <f t="shared" si="49"/>
        <v>3135.0000000000005</v>
      </c>
      <c r="Q447" s="1">
        <v>3247.64</v>
      </c>
      <c r="R447" s="16">
        <f t="shared" si="50"/>
        <v>2562284.9891749998</v>
      </c>
      <c r="S447" s="20">
        <v>697.04</v>
      </c>
      <c r="T447" s="21">
        <v>182.28</v>
      </c>
      <c r="U447" s="21">
        <v>6.92</v>
      </c>
      <c r="V447" s="8">
        <v>886.2399999999999</v>
      </c>
      <c r="W447" s="25">
        <v>1.238</v>
      </c>
      <c r="X447" s="25">
        <f t="shared" si="51"/>
        <v>274291.27999999997</v>
      </c>
      <c r="Y447" s="1">
        <f t="shared" si="52"/>
        <v>4021.2400000000002</v>
      </c>
      <c r="Z447" s="1">
        <f t="shared" si="53"/>
        <v>4133.88</v>
      </c>
      <c r="AA447" s="1">
        <v>4147.84</v>
      </c>
      <c r="AB447" s="1">
        <f t="shared" si="48"/>
        <v>-126.59999999999991</v>
      </c>
      <c r="AC447" s="29">
        <f t="shared" si="54"/>
        <v>13.960000000000036</v>
      </c>
      <c r="AD447" s="11">
        <f t="shared" si="55"/>
        <v>2836576.2691749996</v>
      </c>
    </row>
    <row r="448" spans="1:30" x14ac:dyDescent="0.3">
      <c r="A448" s="14">
        <v>45905.625</v>
      </c>
      <c r="B448" s="1">
        <v>1379.41</v>
      </c>
      <c r="C448" s="11">
        <v>3.2732000000000001</v>
      </c>
      <c r="D448" s="1">
        <v>659.19</v>
      </c>
      <c r="E448" s="11">
        <v>3.0760000000000001</v>
      </c>
      <c r="F448" s="1">
        <v>398.57</v>
      </c>
      <c r="G448" s="11">
        <v>3.53</v>
      </c>
      <c r="H448" s="1">
        <v>41.68</v>
      </c>
      <c r="I448" s="11">
        <v>2.9714699999999996</v>
      </c>
      <c r="J448" s="1">
        <v>200.99</v>
      </c>
      <c r="K448" s="11">
        <v>3.3857699999999999</v>
      </c>
      <c r="L448" s="1">
        <v>25.65</v>
      </c>
      <c r="M448" s="11">
        <v>6.2</v>
      </c>
      <c r="N448" s="1">
        <v>389.45</v>
      </c>
      <c r="O448" s="11">
        <v>2.8224999999999998</v>
      </c>
      <c r="P448" s="1">
        <f t="shared" si="49"/>
        <v>3094.94</v>
      </c>
      <c r="Q448" s="1">
        <v>3306.4</v>
      </c>
      <c r="R448" s="16">
        <f t="shared" si="50"/>
        <v>2503078.6897250004</v>
      </c>
      <c r="S448" s="20">
        <v>707.35</v>
      </c>
      <c r="T448" s="21">
        <v>171.76</v>
      </c>
      <c r="U448" s="21">
        <v>8.7100000000000009</v>
      </c>
      <c r="V448" s="8">
        <v>887.82</v>
      </c>
      <c r="W448" s="25">
        <v>1.238</v>
      </c>
      <c r="X448" s="25">
        <f t="shared" si="51"/>
        <v>274780.29000000004</v>
      </c>
      <c r="Y448" s="1">
        <f t="shared" si="52"/>
        <v>3982.76</v>
      </c>
      <c r="Z448" s="1">
        <f t="shared" si="53"/>
        <v>4194.22</v>
      </c>
      <c r="AA448" s="1">
        <v>4210.84</v>
      </c>
      <c r="AB448" s="1">
        <f t="shared" si="48"/>
        <v>-228.07999999999993</v>
      </c>
      <c r="AC448" s="29">
        <f t="shared" si="54"/>
        <v>16.619999999999891</v>
      </c>
      <c r="AD448" s="11">
        <f t="shared" si="55"/>
        <v>2777858.9797250004</v>
      </c>
    </row>
    <row r="449" spans="1:30" x14ac:dyDescent="0.3">
      <c r="A449" s="14">
        <v>45905.635416666664</v>
      </c>
      <c r="B449" s="1">
        <v>1379.41</v>
      </c>
      <c r="C449" s="11">
        <v>3.2732000000000001</v>
      </c>
      <c r="D449" s="1">
        <v>659.75</v>
      </c>
      <c r="E449" s="11">
        <v>3.0760000000000001</v>
      </c>
      <c r="F449" s="1">
        <v>398.57</v>
      </c>
      <c r="G449" s="11">
        <v>3.53</v>
      </c>
      <c r="H449" s="1">
        <v>55.11</v>
      </c>
      <c r="I449" s="11">
        <v>2.972</v>
      </c>
      <c r="J449" s="1">
        <v>199.46</v>
      </c>
      <c r="K449" s="11">
        <v>3.4990300000000003</v>
      </c>
      <c r="L449" s="1">
        <v>7.17</v>
      </c>
      <c r="M449" s="11">
        <v>6.2</v>
      </c>
      <c r="N449" s="1">
        <v>370.97</v>
      </c>
      <c r="O449" s="11">
        <v>2.8224999999999998</v>
      </c>
      <c r="P449" s="1">
        <f t="shared" si="49"/>
        <v>3070.4400000000005</v>
      </c>
      <c r="Q449" s="1">
        <v>3237.79</v>
      </c>
      <c r="R449" s="16">
        <f t="shared" si="50"/>
        <v>2476162.0452000005</v>
      </c>
      <c r="S449" s="20">
        <v>829.83</v>
      </c>
      <c r="T449" s="21">
        <v>160.14999999999998</v>
      </c>
      <c r="U449" s="21">
        <v>7.23</v>
      </c>
      <c r="V449" s="8">
        <v>997.21</v>
      </c>
      <c r="W449" s="25">
        <v>1.238</v>
      </c>
      <c r="X449" s="25">
        <f t="shared" si="51"/>
        <v>308636.49500000005</v>
      </c>
      <c r="Y449" s="1">
        <f t="shared" si="52"/>
        <v>4067.6500000000005</v>
      </c>
      <c r="Z449" s="1">
        <f t="shared" si="53"/>
        <v>4235</v>
      </c>
      <c r="AA449" s="1">
        <v>4246.8100000000004</v>
      </c>
      <c r="AB449" s="1">
        <f t="shared" si="48"/>
        <v>-179.15999999999985</v>
      </c>
      <c r="AC449" s="29">
        <f t="shared" si="54"/>
        <v>11.8100000000004</v>
      </c>
      <c r="AD449" s="11">
        <f t="shared" si="55"/>
        <v>2784798.5402000006</v>
      </c>
    </row>
    <row r="450" spans="1:30" x14ac:dyDescent="0.3">
      <c r="A450" s="14">
        <v>45905.645833333336</v>
      </c>
      <c r="B450" s="1">
        <v>1423.84</v>
      </c>
      <c r="C450" s="11">
        <v>3.2732000000000001</v>
      </c>
      <c r="D450" s="1">
        <v>658.93</v>
      </c>
      <c r="E450" s="11">
        <v>3.0760000000000001</v>
      </c>
      <c r="F450" s="1">
        <v>398.57</v>
      </c>
      <c r="G450" s="11">
        <v>3.53</v>
      </c>
      <c r="H450" s="1">
        <v>-36.11</v>
      </c>
      <c r="I450" s="11">
        <v>3.0704000000000002</v>
      </c>
      <c r="J450" s="1">
        <v>123.08</v>
      </c>
      <c r="K450" s="11">
        <v>3.3852199999999999</v>
      </c>
      <c r="L450" s="1">
        <v>2.21</v>
      </c>
      <c r="M450" s="11">
        <v>6.2</v>
      </c>
      <c r="N450" s="1">
        <v>354.34</v>
      </c>
      <c r="O450" s="11">
        <v>2.8224999999999998</v>
      </c>
      <c r="P450" s="1">
        <f t="shared" si="49"/>
        <v>2924.86</v>
      </c>
      <c r="Q450" s="1">
        <v>3185.42</v>
      </c>
      <c r="R450" s="16">
        <f t="shared" si="50"/>
        <v>2353485.3128999998</v>
      </c>
      <c r="S450" s="20">
        <v>928.2700000000001</v>
      </c>
      <c r="T450" s="21">
        <v>147.66</v>
      </c>
      <c r="U450" s="21">
        <v>8.34</v>
      </c>
      <c r="V450" s="8">
        <v>1084.27</v>
      </c>
      <c r="W450" s="25">
        <v>1.238</v>
      </c>
      <c r="X450" s="25">
        <f t="shared" si="51"/>
        <v>335581.565</v>
      </c>
      <c r="Y450" s="1">
        <f t="shared" si="52"/>
        <v>4009.13</v>
      </c>
      <c r="Z450" s="1">
        <f t="shared" si="53"/>
        <v>4269.6900000000005</v>
      </c>
      <c r="AA450" s="1">
        <v>4169.6099999999997</v>
      </c>
      <c r="AB450" s="1">
        <f t="shared" si="48"/>
        <v>-160.47999999999956</v>
      </c>
      <c r="AC450" s="29">
        <f t="shared" si="54"/>
        <v>-100.08000000000084</v>
      </c>
      <c r="AD450" s="11">
        <f t="shared" si="55"/>
        <v>2689066.8778999997</v>
      </c>
    </row>
    <row r="451" spans="1:30" x14ac:dyDescent="0.3">
      <c r="A451" s="14">
        <v>45905.65625</v>
      </c>
      <c r="B451" s="1">
        <v>1379.41</v>
      </c>
      <c r="C451" s="11">
        <v>3.2732000000000001</v>
      </c>
      <c r="D451" s="1">
        <v>636.95000000000005</v>
      </c>
      <c r="E451" s="11">
        <v>3.0760000000000001</v>
      </c>
      <c r="F451" s="1">
        <v>398.57</v>
      </c>
      <c r="G451" s="11">
        <v>3.53</v>
      </c>
      <c r="H451" s="1">
        <v>-43.05</v>
      </c>
      <c r="I451" s="11">
        <v>3.0706799999999999</v>
      </c>
      <c r="J451" s="1">
        <v>0</v>
      </c>
      <c r="K451" s="11">
        <v>3.3817699999999999</v>
      </c>
      <c r="L451" s="1">
        <v>1.93</v>
      </c>
      <c r="M451" s="11">
        <v>6.2</v>
      </c>
      <c r="N451" s="1">
        <v>314.61</v>
      </c>
      <c r="O451" s="11">
        <v>2.8224999999999998</v>
      </c>
      <c r="P451" s="1">
        <f t="shared" si="49"/>
        <v>2688.42</v>
      </c>
      <c r="Q451" s="1">
        <v>3219.37</v>
      </c>
      <c r="R451" s="16">
        <f t="shared" si="50"/>
        <v>2162263.7657499998</v>
      </c>
      <c r="S451" s="20">
        <v>952.48000000000013</v>
      </c>
      <c r="T451" s="21">
        <v>134.62</v>
      </c>
      <c r="U451" s="21">
        <v>9.2200000000000006</v>
      </c>
      <c r="V451" s="8">
        <v>1096.3200000000002</v>
      </c>
      <c r="W451" s="25">
        <v>1.238</v>
      </c>
      <c r="X451" s="25">
        <f t="shared" si="51"/>
        <v>339311.04000000004</v>
      </c>
      <c r="Y451" s="1">
        <f t="shared" si="52"/>
        <v>3784.7400000000002</v>
      </c>
      <c r="Z451" s="1">
        <f t="shared" si="53"/>
        <v>4315.6900000000005</v>
      </c>
      <c r="AA451" s="1">
        <v>4192.93</v>
      </c>
      <c r="AB451" s="1">
        <f t="shared" si="48"/>
        <v>-408.19000000000005</v>
      </c>
      <c r="AC451" s="29">
        <f t="shared" si="54"/>
        <v>-122.76000000000022</v>
      </c>
      <c r="AD451" s="11">
        <f t="shared" si="55"/>
        <v>2501574.8057499998</v>
      </c>
    </row>
    <row r="452" spans="1:30" x14ac:dyDescent="0.3">
      <c r="A452" s="14">
        <v>45905.666666666664</v>
      </c>
      <c r="B452" s="1">
        <v>1419.58</v>
      </c>
      <c r="C452" s="11">
        <v>3.2732000000000001</v>
      </c>
      <c r="D452" s="1">
        <v>679.34</v>
      </c>
      <c r="E452" s="11">
        <v>3.0760000000000001</v>
      </c>
      <c r="F452" s="1">
        <v>511.63</v>
      </c>
      <c r="G452" s="11">
        <v>3.53</v>
      </c>
      <c r="H452" s="1">
        <v>-46.04</v>
      </c>
      <c r="I452" s="11">
        <v>3.1787199999999998</v>
      </c>
      <c r="J452" s="1">
        <v>185.76</v>
      </c>
      <c r="K452" s="11">
        <v>3.3815900000000001</v>
      </c>
      <c r="L452" s="1">
        <v>0.13</v>
      </c>
      <c r="M452" s="11">
        <v>6.2</v>
      </c>
      <c r="N452" s="1">
        <v>294.29000000000002</v>
      </c>
      <c r="O452" s="11">
        <v>2.8224999999999998</v>
      </c>
      <c r="P452" s="1">
        <f t="shared" si="49"/>
        <v>3044.6900000000005</v>
      </c>
      <c r="Q452" s="1">
        <v>3250.35</v>
      </c>
      <c r="R452" s="16">
        <f t="shared" si="50"/>
        <v>2463882.1026499998</v>
      </c>
      <c r="S452" s="20">
        <v>931.10999999999979</v>
      </c>
      <c r="T452" s="21">
        <v>120.71</v>
      </c>
      <c r="U452" s="21">
        <v>9.3699999999999992</v>
      </c>
      <c r="V452" s="8">
        <v>1061.1899999999996</v>
      </c>
      <c r="W452" s="25">
        <v>1.238</v>
      </c>
      <c r="X452" s="25">
        <f t="shared" si="51"/>
        <v>328438.30499999988</v>
      </c>
      <c r="Y452" s="1">
        <f t="shared" si="52"/>
        <v>4105.88</v>
      </c>
      <c r="Z452" s="1">
        <f t="shared" si="53"/>
        <v>4311.5399999999991</v>
      </c>
      <c r="AA452" s="1">
        <v>4327.18</v>
      </c>
      <c r="AB452" s="1">
        <f t="shared" ref="AB452:AB515" si="56">Y452-AA452</f>
        <v>-221.30000000000018</v>
      </c>
      <c r="AC452" s="29">
        <f t="shared" si="54"/>
        <v>15.640000000001237</v>
      </c>
      <c r="AD452" s="11">
        <f t="shared" si="55"/>
        <v>2792320.4076499995</v>
      </c>
    </row>
    <row r="453" spans="1:30" x14ac:dyDescent="0.3">
      <c r="A453" s="14">
        <v>45905.677083333336</v>
      </c>
      <c r="B453" s="1">
        <v>1378.28</v>
      </c>
      <c r="C453" s="11">
        <v>3.2732000000000001</v>
      </c>
      <c r="D453" s="1">
        <v>690.11</v>
      </c>
      <c r="E453" s="11">
        <v>3.0760000000000001</v>
      </c>
      <c r="F453" s="1">
        <v>521.16</v>
      </c>
      <c r="G453" s="11">
        <v>3.53</v>
      </c>
      <c r="H453" s="1">
        <v>-46.48</v>
      </c>
      <c r="I453" s="11">
        <v>3.3900900000000003</v>
      </c>
      <c r="J453" s="1">
        <v>196.85</v>
      </c>
      <c r="K453" s="11">
        <v>3.4700100000000003</v>
      </c>
      <c r="L453" s="1">
        <v>0</v>
      </c>
      <c r="M453" s="11">
        <v>6.2</v>
      </c>
      <c r="N453" s="1">
        <v>270.27</v>
      </c>
      <c r="O453" s="11">
        <v>2.8224999999999998</v>
      </c>
      <c r="P453" s="1">
        <f t="shared" ref="P453:P516" si="57">(B453+D453+F453+H453+J453+L453+N453)</f>
        <v>3010.1899999999996</v>
      </c>
      <c r="Q453" s="1">
        <v>3146.04</v>
      </c>
      <c r="R453" s="16">
        <f t="shared" ref="R453:R516" si="58">(((B453*C453)+(D453*E453)+(F453*G453)+(H453*I453)+(J453*K453)+(L453*M453)+(N453*O453))*(1000/4))</f>
        <v>2440549.1040749997</v>
      </c>
      <c r="S453" s="20">
        <v>1057.69</v>
      </c>
      <c r="T453" s="21">
        <v>107.17000000000002</v>
      </c>
      <c r="U453" s="21">
        <v>9.61</v>
      </c>
      <c r="V453" s="8">
        <v>1174.47</v>
      </c>
      <c r="W453" s="25">
        <v>1.238</v>
      </c>
      <c r="X453" s="25">
        <f t="shared" ref="X453:X516" si="59">((V453*W453*1000)/4)</f>
        <v>363498.46500000003</v>
      </c>
      <c r="Y453" s="1">
        <f t="shared" ref="Y453:Y516" si="60">B453+D453+F453+H453+J453+L453+N453+V453</f>
        <v>4184.66</v>
      </c>
      <c r="Z453" s="1">
        <f t="shared" ref="Z453:Z516" si="61">Q453+V453</f>
        <v>4320.51</v>
      </c>
      <c r="AA453" s="1">
        <v>4327.6400000000003</v>
      </c>
      <c r="AB453" s="1">
        <f t="shared" si="56"/>
        <v>-142.98000000000047</v>
      </c>
      <c r="AC453" s="29">
        <f t="shared" ref="AC453:AC516" si="62">AA453-Z453</f>
        <v>7.1300000000001091</v>
      </c>
      <c r="AD453" s="11">
        <f t="shared" ref="AD453:AD516" si="63">(R453+X453)</f>
        <v>2804047.5690749995</v>
      </c>
    </row>
    <row r="454" spans="1:30" x14ac:dyDescent="0.3">
      <c r="A454" s="14">
        <v>45905.6875</v>
      </c>
      <c r="B454" s="1">
        <v>1374.66</v>
      </c>
      <c r="C454" s="11">
        <v>3.2732000000000001</v>
      </c>
      <c r="D454" s="1">
        <v>697.82</v>
      </c>
      <c r="E454" s="11">
        <v>3.0760000000000001</v>
      </c>
      <c r="F454" s="1">
        <v>521.16</v>
      </c>
      <c r="G454" s="11">
        <v>3.53</v>
      </c>
      <c r="H454" s="1">
        <v>-46.41</v>
      </c>
      <c r="I454" s="11">
        <v>3.4334499999999997</v>
      </c>
      <c r="J454" s="1">
        <v>327.23</v>
      </c>
      <c r="K454" s="11">
        <v>3.38191</v>
      </c>
      <c r="L454" s="1">
        <v>0</v>
      </c>
      <c r="M454" s="11">
        <v>6.2</v>
      </c>
      <c r="N454" s="1">
        <v>222.03</v>
      </c>
      <c r="O454" s="11">
        <v>2.8224999999999998</v>
      </c>
      <c r="P454" s="1">
        <f t="shared" si="57"/>
        <v>3096.4900000000002</v>
      </c>
      <c r="Q454" s="1">
        <v>3110.1</v>
      </c>
      <c r="R454" s="16">
        <f t="shared" si="58"/>
        <v>2514930.4754499998</v>
      </c>
      <c r="S454" s="20">
        <v>1128.4399999999998</v>
      </c>
      <c r="T454" s="21">
        <v>92.700000000000017</v>
      </c>
      <c r="U454" s="21">
        <v>10.74</v>
      </c>
      <c r="V454" s="8">
        <v>1231.8799999999999</v>
      </c>
      <c r="W454" s="25">
        <v>1.238</v>
      </c>
      <c r="X454" s="25">
        <f t="shared" si="59"/>
        <v>381266.85999999993</v>
      </c>
      <c r="Y454" s="1">
        <f t="shared" si="60"/>
        <v>4328.37</v>
      </c>
      <c r="Z454" s="1">
        <f t="shared" si="61"/>
        <v>4341.9799999999996</v>
      </c>
      <c r="AA454" s="1">
        <v>4354.21</v>
      </c>
      <c r="AB454" s="1">
        <f t="shared" si="56"/>
        <v>-25.840000000000146</v>
      </c>
      <c r="AC454" s="29">
        <f t="shared" si="62"/>
        <v>12.230000000000473</v>
      </c>
      <c r="AD454" s="11">
        <f t="shared" si="63"/>
        <v>2896197.3354499997</v>
      </c>
    </row>
    <row r="455" spans="1:30" x14ac:dyDescent="0.3">
      <c r="A455" s="14">
        <v>45905.697916666664</v>
      </c>
      <c r="B455" s="1">
        <v>1374.66</v>
      </c>
      <c r="C455" s="11">
        <v>3.2732000000000001</v>
      </c>
      <c r="D455" s="1">
        <v>705.52</v>
      </c>
      <c r="E455" s="11">
        <v>3.0760000000000001</v>
      </c>
      <c r="F455" s="1">
        <v>521.16</v>
      </c>
      <c r="G455" s="11">
        <v>3.53</v>
      </c>
      <c r="H455" s="1">
        <v>-46.21</v>
      </c>
      <c r="I455" s="11">
        <v>3.4515799999999999</v>
      </c>
      <c r="J455" s="1">
        <v>395.75</v>
      </c>
      <c r="K455" s="11">
        <v>3.40679</v>
      </c>
      <c r="L455" s="1">
        <v>0</v>
      </c>
      <c r="M455" s="11">
        <v>6.2</v>
      </c>
      <c r="N455" s="1">
        <v>194.65</v>
      </c>
      <c r="O455" s="11">
        <v>2.8224999999999998</v>
      </c>
      <c r="P455" s="1">
        <f t="shared" si="57"/>
        <v>3145.53</v>
      </c>
      <c r="Q455" s="1">
        <v>3098.19</v>
      </c>
      <c r="R455" s="16">
        <f t="shared" si="58"/>
        <v>2561887.6719249999</v>
      </c>
      <c r="S455" s="20">
        <v>1119.73</v>
      </c>
      <c r="T455" s="21">
        <v>74.930000000000021</v>
      </c>
      <c r="U455" s="21">
        <v>10.83</v>
      </c>
      <c r="V455" s="8">
        <v>1205.49</v>
      </c>
      <c r="W455" s="25">
        <v>1.238</v>
      </c>
      <c r="X455" s="25">
        <f t="shared" si="59"/>
        <v>373099.15499999997</v>
      </c>
      <c r="Y455" s="1">
        <f t="shared" si="60"/>
        <v>4351.0200000000004</v>
      </c>
      <c r="Z455" s="1">
        <f t="shared" si="61"/>
        <v>4303.68</v>
      </c>
      <c r="AA455" s="1">
        <v>4316.6400000000003</v>
      </c>
      <c r="AB455" s="1">
        <f t="shared" si="56"/>
        <v>34.380000000000109</v>
      </c>
      <c r="AC455" s="29">
        <f t="shared" si="62"/>
        <v>12.960000000000036</v>
      </c>
      <c r="AD455" s="11">
        <f t="shared" si="63"/>
        <v>2934986.8269249997</v>
      </c>
    </row>
    <row r="456" spans="1:30" x14ac:dyDescent="0.3">
      <c r="A456" s="14">
        <v>45905.708333333336</v>
      </c>
      <c r="B456" s="1">
        <v>1455.25</v>
      </c>
      <c r="C456" s="11">
        <v>3.2732000000000001</v>
      </c>
      <c r="D456" s="1">
        <v>715.03</v>
      </c>
      <c r="E456" s="11">
        <v>3.0760000000000001</v>
      </c>
      <c r="F456" s="1">
        <v>521.16</v>
      </c>
      <c r="G456" s="11">
        <v>3.53</v>
      </c>
      <c r="H456" s="1">
        <v>-82.02</v>
      </c>
      <c r="I456" s="11">
        <v>3.5271999999999997</v>
      </c>
      <c r="J456" s="1">
        <v>360.76</v>
      </c>
      <c r="K456" s="11">
        <v>2.871</v>
      </c>
      <c r="L456" s="1">
        <v>0</v>
      </c>
      <c r="M456" s="11">
        <v>6.2</v>
      </c>
      <c r="N456" s="1">
        <v>168.81</v>
      </c>
      <c r="O456" s="11">
        <v>2.8224999999999998</v>
      </c>
      <c r="P456" s="1">
        <f t="shared" si="57"/>
        <v>3138.9899999999993</v>
      </c>
      <c r="Q456" s="1">
        <v>3155.3</v>
      </c>
      <c r="R456" s="16">
        <f t="shared" si="58"/>
        <v>2506339.6552499998</v>
      </c>
      <c r="S456" s="20">
        <v>1048.33</v>
      </c>
      <c r="T456" s="21">
        <v>58.980000000000004</v>
      </c>
      <c r="U456" s="21">
        <v>11.4</v>
      </c>
      <c r="V456" s="8">
        <v>1118.71</v>
      </c>
      <c r="W456" s="25">
        <v>1.238</v>
      </c>
      <c r="X456" s="25">
        <f t="shared" si="59"/>
        <v>346240.745</v>
      </c>
      <c r="Y456" s="1">
        <f t="shared" si="60"/>
        <v>4257.6999999999989</v>
      </c>
      <c r="Z456" s="1">
        <f t="shared" si="61"/>
        <v>4274.01</v>
      </c>
      <c r="AA456" s="1">
        <v>4287.8999999999996</v>
      </c>
      <c r="AB456" s="1">
        <f t="shared" si="56"/>
        <v>-30.200000000000728</v>
      </c>
      <c r="AC456" s="29">
        <f t="shared" si="62"/>
        <v>13.889999999999418</v>
      </c>
      <c r="AD456" s="11">
        <f t="shared" si="63"/>
        <v>2852580.4002499999</v>
      </c>
    </row>
    <row r="457" spans="1:30" x14ac:dyDescent="0.3">
      <c r="A457" s="14">
        <v>45905.71875</v>
      </c>
      <c r="B457" s="1">
        <v>1471.71</v>
      </c>
      <c r="C457" s="11">
        <v>3.2732000000000001</v>
      </c>
      <c r="D457" s="1">
        <v>715.73</v>
      </c>
      <c r="E457" s="11">
        <v>3.0760000000000001</v>
      </c>
      <c r="F457" s="1">
        <v>521.16</v>
      </c>
      <c r="G457" s="11">
        <v>3.53</v>
      </c>
      <c r="H457" s="1">
        <v>-89.19</v>
      </c>
      <c r="I457" s="11">
        <v>3.63992</v>
      </c>
      <c r="J457" s="1">
        <v>328.72</v>
      </c>
      <c r="K457" s="11">
        <v>2.99932</v>
      </c>
      <c r="L457" s="1">
        <v>0</v>
      </c>
      <c r="M457" s="11">
        <v>6.2</v>
      </c>
      <c r="N457" s="1">
        <v>144.37</v>
      </c>
      <c r="O457" s="11">
        <v>2.8224999999999998</v>
      </c>
      <c r="P457" s="1">
        <f t="shared" si="57"/>
        <v>3092.5</v>
      </c>
      <c r="Q457" s="1">
        <v>3228.22</v>
      </c>
      <c r="R457" s="16">
        <f t="shared" si="58"/>
        <v>2481814.4456500001</v>
      </c>
      <c r="S457" s="20">
        <v>1017.4199999999998</v>
      </c>
      <c r="T457" s="21">
        <v>43.740000000000009</v>
      </c>
      <c r="U457" s="21">
        <v>12.72</v>
      </c>
      <c r="V457" s="8">
        <v>1073.8799999999999</v>
      </c>
      <c r="W457" s="25">
        <v>1.238</v>
      </c>
      <c r="X457" s="25">
        <f t="shared" si="59"/>
        <v>332365.85999999993</v>
      </c>
      <c r="Y457" s="1">
        <f t="shared" si="60"/>
        <v>4166.38</v>
      </c>
      <c r="Z457" s="1">
        <f t="shared" si="61"/>
        <v>4302.0999999999995</v>
      </c>
      <c r="AA457" s="1">
        <v>4308.88</v>
      </c>
      <c r="AB457" s="1">
        <f t="shared" si="56"/>
        <v>-142.5</v>
      </c>
      <c r="AC457" s="29">
        <f t="shared" si="62"/>
        <v>6.7800000000006548</v>
      </c>
      <c r="AD457" s="11">
        <f t="shared" si="63"/>
        <v>2814180.30565</v>
      </c>
    </row>
    <row r="458" spans="1:30" x14ac:dyDescent="0.3">
      <c r="A458" s="14">
        <v>45905.729166666664</v>
      </c>
      <c r="B458" s="1">
        <v>1474.25</v>
      </c>
      <c r="C458" s="11">
        <v>3.2732000000000001</v>
      </c>
      <c r="D458" s="1">
        <v>715.73</v>
      </c>
      <c r="E458" s="11">
        <v>3.0760000000000001</v>
      </c>
      <c r="F458" s="1">
        <v>521.16</v>
      </c>
      <c r="G458" s="11">
        <v>3.53</v>
      </c>
      <c r="H458" s="1">
        <v>-98.04</v>
      </c>
      <c r="I458" s="11">
        <v>3.9001700000000001</v>
      </c>
      <c r="J458" s="1">
        <v>251.12</v>
      </c>
      <c r="K458" s="11">
        <v>3.2000300000000004</v>
      </c>
      <c r="L458" s="1">
        <v>0</v>
      </c>
      <c r="M458" s="11">
        <v>6.2</v>
      </c>
      <c r="N458" s="1">
        <v>119.74</v>
      </c>
      <c r="O458" s="11">
        <v>2.8224999999999998</v>
      </c>
      <c r="P458" s="1">
        <f t="shared" si="57"/>
        <v>2983.9599999999996</v>
      </c>
      <c r="Q458" s="1">
        <v>3018.8</v>
      </c>
      <c r="R458" s="16">
        <f t="shared" si="58"/>
        <v>2406495.0992000001</v>
      </c>
      <c r="S458" s="20">
        <v>1235.47</v>
      </c>
      <c r="T458" s="21">
        <v>30.18</v>
      </c>
      <c r="U458" s="21">
        <v>13.64</v>
      </c>
      <c r="V458" s="8">
        <v>1279.2900000000002</v>
      </c>
      <c r="W458" s="25">
        <v>1.238</v>
      </c>
      <c r="X458" s="25">
        <f t="shared" si="59"/>
        <v>395940.25500000006</v>
      </c>
      <c r="Y458" s="1">
        <f t="shared" si="60"/>
        <v>4263.25</v>
      </c>
      <c r="Z458" s="1">
        <f t="shared" si="61"/>
        <v>4298.09</v>
      </c>
      <c r="AA458" s="1">
        <v>4302.8</v>
      </c>
      <c r="AB458" s="1">
        <f t="shared" si="56"/>
        <v>-39.550000000000182</v>
      </c>
      <c r="AC458" s="29">
        <f t="shared" si="62"/>
        <v>4.7100000000000364</v>
      </c>
      <c r="AD458" s="11">
        <f t="shared" si="63"/>
        <v>2802435.3541999999</v>
      </c>
    </row>
    <row r="459" spans="1:30" x14ac:dyDescent="0.3">
      <c r="A459" s="14">
        <v>45905.739583333336</v>
      </c>
      <c r="B459" s="1">
        <v>1474.58</v>
      </c>
      <c r="C459" s="11">
        <v>3.2732000000000001</v>
      </c>
      <c r="D459" s="1">
        <v>715.73</v>
      </c>
      <c r="E459" s="11">
        <v>3.0760000000000001</v>
      </c>
      <c r="F459" s="1">
        <v>521.16</v>
      </c>
      <c r="G459" s="11">
        <v>3.53</v>
      </c>
      <c r="H459" s="1">
        <v>-98.71</v>
      </c>
      <c r="I459" s="11">
        <v>4.0400200000000002</v>
      </c>
      <c r="J459" s="1">
        <v>237.36</v>
      </c>
      <c r="K459" s="11">
        <v>3.4992899999999998</v>
      </c>
      <c r="L459" s="1">
        <v>0</v>
      </c>
      <c r="M459" s="11">
        <v>6.2</v>
      </c>
      <c r="N459" s="1">
        <v>97.75</v>
      </c>
      <c r="O459" s="11">
        <v>2.8224999999999998</v>
      </c>
      <c r="P459" s="1">
        <f t="shared" si="57"/>
        <v>2947.87</v>
      </c>
      <c r="Q459" s="1">
        <v>2933.77</v>
      </c>
      <c r="R459" s="16">
        <f t="shared" si="58"/>
        <v>2393894.0027999999</v>
      </c>
      <c r="S459" s="20">
        <v>1304.2700000000002</v>
      </c>
      <c r="T459" s="21">
        <v>18.52</v>
      </c>
      <c r="U459" s="21">
        <v>14.66</v>
      </c>
      <c r="V459" s="8">
        <v>1337.4500000000003</v>
      </c>
      <c r="W459" s="25">
        <v>1.238</v>
      </c>
      <c r="X459" s="25">
        <f t="shared" si="59"/>
        <v>413940.77500000008</v>
      </c>
      <c r="Y459" s="1">
        <f t="shared" si="60"/>
        <v>4285.32</v>
      </c>
      <c r="Z459" s="1">
        <f t="shared" si="61"/>
        <v>4271.22</v>
      </c>
      <c r="AA459" s="1">
        <v>4286.49</v>
      </c>
      <c r="AB459" s="1">
        <f t="shared" si="56"/>
        <v>-1.1700000000000728</v>
      </c>
      <c r="AC459" s="29">
        <f t="shared" si="62"/>
        <v>15.269999999999527</v>
      </c>
      <c r="AD459" s="11">
        <f t="shared" si="63"/>
        <v>2807834.7777999998</v>
      </c>
    </row>
    <row r="460" spans="1:30" x14ac:dyDescent="0.3">
      <c r="A460" s="14">
        <v>45905.75</v>
      </c>
      <c r="B460" s="1">
        <v>1474.6</v>
      </c>
      <c r="C460" s="11">
        <v>3.2732000000000001</v>
      </c>
      <c r="D460" s="1">
        <v>715.73</v>
      </c>
      <c r="E460" s="11">
        <v>3.0760000000000001</v>
      </c>
      <c r="F460" s="1">
        <v>521.16</v>
      </c>
      <c r="G460" s="11">
        <v>3.53</v>
      </c>
      <c r="H460" s="1">
        <v>-53.98</v>
      </c>
      <c r="I460" s="11">
        <v>3.96922</v>
      </c>
      <c r="J460" s="1">
        <v>283</v>
      </c>
      <c r="K460" s="11">
        <v>2.9495999999999998</v>
      </c>
      <c r="L460" s="1">
        <v>14.39</v>
      </c>
      <c r="M460" s="11">
        <v>6.2</v>
      </c>
      <c r="N460" s="1">
        <v>77.94</v>
      </c>
      <c r="O460" s="11">
        <v>2.8224999999999998</v>
      </c>
      <c r="P460" s="1">
        <f t="shared" si="57"/>
        <v>3032.8399999999997</v>
      </c>
      <c r="Q460" s="1">
        <v>3057.68</v>
      </c>
      <c r="R460" s="16">
        <f t="shared" si="58"/>
        <v>2449405.7386000003</v>
      </c>
      <c r="S460" s="20">
        <v>1137.4799999999998</v>
      </c>
      <c r="T460" s="21">
        <v>9.9099999999999984</v>
      </c>
      <c r="U460" s="21">
        <v>12.83</v>
      </c>
      <c r="V460" s="8">
        <v>1160.2199999999998</v>
      </c>
      <c r="W460" s="25">
        <v>1.238</v>
      </c>
      <c r="X460" s="25">
        <f t="shared" si="59"/>
        <v>359088.08999999991</v>
      </c>
      <c r="Y460" s="1">
        <f t="shared" si="60"/>
        <v>4193.0599999999995</v>
      </c>
      <c r="Z460" s="1">
        <f t="shared" si="61"/>
        <v>4217.8999999999996</v>
      </c>
      <c r="AA460" s="1">
        <v>4264.79</v>
      </c>
      <c r="AB460" s="1">
        <f t="shared" si="56"/>
        <v>-71.730000000000473</v>
      </c>
      <c r="AC460" s="29">
        <f t="shared" si="62"/>
        <v>46.890000000000327</v>
      </c>
      <c r="AD460" s="11">
        <f t="shared" si="63"/>
        <v>2808493.8286000001</v>
      </c>
    </row>
    <row r="461" spans="1:30" x14ac:dyDescent="0.3">
      <c r="A461" s="14">
        <v>45905.760416666664</v>
      </c>
      <c r="B461" s="1">
        <v>1474.6</v>
      </c>
      <c r="C461" s="11">
        <v>3.2732000000000001</v>
      </c>
      <c r="D461" s="1">
        <v>715.73</v>
      </c>
      <c r="E461" s="11">
        <v>3.0760000000000001</v>
      </c>
      <c r="F461" s="1">
        <v>521.16</v>
      </c>
      <c r="G461" s="11">
        <v>3.53</v>
      </c>
      <c r="H461" s="1">
        <v>-22.43</v>
      </c>
      <c r="I461" s="11">
        <v>4.1400899999999998</v>
      </c>
      <c r="J461" s="1">
        <v>269.38</v>
      </c>
      <c r="K461" s="11">
        <v>3.79027</v>
      </c>
      <c r="L461" s="1">
        <v>24.3</v>
      </c>
      <c r="M461" s="11">
        <v>6.2</v>
      </c>
      <c r="N461" s="1">
        <v>50.8</v>
      </c>
      <c r="O461" s="11">
        <v>2.8224999999999998</v>
      </c>
      <c r="P461" s="1">
        <f t="shared" si="57"/>
        <v>3033.5400000000004</v>
      </c>
      <c r="Q461" s="1">
        <v>3059.14</v>
      </c>
      <c r="R461" s="16">
        <f t="shared" si="58"/>
        <v>2522536.178475</v>
      </c>
      <c r="S461" s="20">
        <v>1161.5500000000002</v>
      </c>
      <c r="T461" s="21">
        <v>3.9700000000000006</v>
      </c>
      <c r="U461" s="21">
        <v>12.98</v>
      </c>
      <c r="V461" s="8">
        <v>1178.5000000000002</v>
      </c>
      <c r="W461" s="25">
        <v>1.238</v>
      </c>
      <c r="X461" s="25">
        <f t="shared" si="59"/>
        <v>364745.75000000006</v>
      </c>
      <c r="Y461" s="1">
        <f t="shared" si="60"/>
        <v>4212.0400000000009</v>
      </c>
      <c r="Z461" s="1">
        <f t="shared" si="61"/>
        <v>4237.6400000000003</v>
      </c>
      <c r="AA461" s="1">
        <v>4296.1099999999997</v>
      </c>
      <c r="AB461" s="1">
        <f t="shared" si="56"/>
        <v>-84.069999999998799</v>
      </c>
      <c r="AC461" s="29">
        <f t="shared" si="62"/>
        <v>58.469999999999345</v>
      </c>
      <c r="AD461" s="11">
        <f t="shared" si="63"/>
        <v>2887281.928475</v>
      </c>
    </row>
    <row r="462" spans="1:30" x14ac:dyDescent="0.3">
      <c r="A462" s="14">
        <v>45905.770833333336</v>
      </c>
      <c r="B462" s="1">
        <v>1474.6</v>
      </c>
      <c r="C462" s="11">
        <v>3.2732000000000001</v>
      </c>
      <c r="D462" s="1">
        <v>715.73</v>
      </c>
      <c r="E462" s="11">
        <v>3.0760000000000001</v>
      </c>
      <c r="F462" s="1">
        <v>521.16</v>
      </c>
      <c r="G462" s="11">
        <v>3.53</v>
      </c>
      <c r="H462" s="1">
        <v>-21.55</v>
      </c>
      <c r="I462" s="11">
        <v>4.4339300000000001</v>
      </c>
      <c r="J462" s="1">
        <v>263.31</v>
      </c>
      <c r="K462" s="11">
        <v>4.2508400000000002</v>
      </c>
      <c r="L462" s="1">
        <v>24.14</v>
      </c>
      <c r="M462" s="11">
        <v>6.2</v>
      </c>
      <c r="N462" s="1">
        <v>37.86</v>
      </c>
      <c r="O462" s="11">
        <v>2.8224999999999998</v>
      </c>
      <c r="P462" s="1">
        <f t="shared" si="57"/>
        <v>3015.2499999999995</v>
      </c>
      <c r="Q462" s="1">
        <v>3051.48</v>
      </c>
      <c r="R462" s="16">
        <f t="shared" si="58"/>
        <v>2537051.5847249995</v>
      </c>
      <c r="S462" s="20">
        <v>1304.8700000000001</v>
      </c>
      <c r="T462" s="21">
        <v>0.75</v>
      </c>
      <c r="U462" s="21">
        <v>13.55</v>
      </c>
      <c r="V462" s="8">
        <v>1319.17</v>
      </c>
      <c r="W462" s="25">
        <v>1.238</v>
      </c>
      <c r="X462" s="25">
        <f t="shared" si="59"/>
        <v>408283.11499999999</v>
      </c>
      <c r="Y462" s="1">
        <f t="shared" si="60"/>
        <v>4334.42</v>
      </c>
      <c r="Z462" s="1">
        <f t="shared" si="61"/>
        <v>4370.6499999999996</v>
      </c>
      <c r="AA462" s="1">
        <v>4433.72</v>
      </c>
      <c r="AB462" s="1">
        <f t="shared" si="56"/>
        <v>-99.300000000000182</v>
      </c>
      <c r="AC462" s="29">
        <f t="shared" si="62"/>
        <v>63.070000000000618</v>
      </c>
      <c r="AD462" s="11">
        <f t="shared" si="63"/>
        <v>2945334.6997249993</v>
      </c>
    </row>
    <row r="463" spans="1:30" x14ac:dyDescent="0.3">
      <c r="A463" s="14">
        <v>45905.78125</v>
      </c>
      <c r="B463" s="1">
        <v>1474.6</v>
      </c>
      <c r="C463" s="11">
        <v>3.2732000000000001</v>
      </c>
      <c r="D463" s="1">
        <v>715.73</v>
      </c>
      <c r="E463" s="11">
        <v>3.0760000000000001</v>
      </c>
      <c r="F463" s="1">
        <v>521.16</v>
      </c>
      <c r="G463" s="11">
        <v>3.53</v>
      </c>
      <c r="H463" s="1">
        <v>74.87</v>
      </c>
      <c r="I463" s="11">
        <v>4.6496700000000004</v>
      </c>
      <c r="J463" s="1">
        <v>263.11</v>
      </c>
      <c r="K463" s="11">
        <v>5.5042299999999997</v>
      </c>
      <c r="L463" s="1">
        <v>23.95</v>
      </c>
      <c r="M463" s="11">
        <v>6.2</v>
      </c>
      <c r="N463" s="1">
        <v>27.5</v>
      </c>
      <c r="O463" s="11">
        <v>2.8224999999999998</v>
      </c>
      <c r="P463" s="1">
        <f t="shared" si="57"/>
        <v>3100.9199999999996</v>
      </c>
      <c r="Q463" s="1">
        <v>3127.4</v>
      </c>
      <c r="R463" s="16">
        <f t="shared" si="58"/>
        <v>2722597.1245499994</v>
      </c>
      <c r="S463" s="20">
        <v>1448.33</v>
      </c>
      <c r="T463" s="21">
        <v>0.34</v>
      </c>
      <c r="U463" s="21">
        <v>14.660000000000002</v>
      </c>
      <c r="V463" s="8">
        <v>1463.33</v>
      </c>
      <c r="W463" s="25">
        <v>1.238</v>
      </c>
      <c r="X463" s="25">
        <f t="shared" si="59"/>
        <v>452900.63499999995</v>
      </c>
      <c r="Y463" s="1">
        <f t="shared" si="60"/>
        <v>4564.25</v>
      </c>
      <c r="Z463" s="1">
        <f t="shared" si="61"/>
        <v>4590.7299999999996</v>
      </c>
      <c r="AA463" s="1">
        <v>4654.93</v>
      </c>
      <c r="AB463" s="1">
        <f t="shared" si="56"/>
        <v>-90.680000000000291</v>
      </c>
      <c r="AC463" s="29">
        <f t="shared" si="62"/>
        <v>64.200000000000728</v>
      </c>
      <c r="AD463" s="11">
        <f t="shared" si="63"/>
        <v>3175497.7595499991</v>
      </c>
    </row>
    <row r="464" spans="1:30" x14ac:dyDescent="0.3">
      <c r="A464" s="14">
        <v>45905.791666666664</v>
      </c>
      <c r="B464" s="1">
        <v>1474.6</v>
      </c>
      <c r="C464" s="11">
        <v>3.2732000000000001</v>
      </c>
      <c r="D464" s="1">
        <v>715.73</v>
      </c>
      <c r="E464" s="11">
        <v>3.0760000000000001</v>
      </c>
      <c r="F464" s="1">
        <v>521.16</v>
      </c>
      <c r="G464" s="11">
        <v>3.53</v>
      </c>
      <c r="H464" s="1">
        <v>-88.8</v>
      </c>
      <c r="I464" s="11">
        <v>7.0691199999999998</v>
      </c>
      <c r="J464" s="1">
        <v>412.93</v>
      </c>
      <c r="K464" s="11">
        <v>10</v>
      </c>
      <c r="L464" s="1">
        <v>1.65</v>
      </c>
      <c r="M464" s="11">
        <v>6.2</v>
      </c>
      <c r="N464" s="1">
        <v>20.07</v>
      </c>
      <c r="O464" s="11">
        <v>2.8224999999999998</v>
      </c>
      <c r="P464" s="1">
        <f t="shared" si="57"/>
        <v>3057.3399999999997</v>
      </c>
      <c r="Q464" s="1">
        <v>3124.87</v>
      </c>
      <c r="R464" s="16">
        <f t="shared" si="58"/>
        <v>3109095.1797499997</v>
      </c>
      <c r="S464" s="20">
        <v>1599.51</v>
      </c>
      <c r="T464" s="21">
        <v>0.23</v>
      </c>
      <c r="U464" s="21">
        <v>15.469999999999999</v>
      </c>
      <c r="V464" s="8">
        <v>1615.21</v>
      </c>
      <c r="W464" s="25">
        <v>1.238</v>
      </c>
      <c r="X464" s="25">
        <f t="shared" si="59"/>
        <v>499907.495</v>
      </c>
      <c r="Y464" s="1">
        <f t="shared" si="60"/>
        <v>4672.5499999999993</v>
      </c>
      <c r="Z464" s="1">
        <f t="shared" si="61"/>
        <v>4740.08</v>
      </c>
      <c r="AA464" s="1">
        <v>4798.08</v>
      </c>
      <c r="AB464" s="1">
        <f t="shared" si="56"/>
        <v>-125.53000000000065</v>
      </c>
      <c r="AC464" s="29">
        <f t="shared" si="62"/>
        <v>58</v>
      </c>
      <c r="AD464" s="11">
        <f t="shared" si="63"/>
        <v>3609002.6747499998</v>
      </c>
    </row>
    <row r="465" spans="1:30" x14ac:dyDescent="0.3">
      <c r="A465" s="14">
        <v>45905.802083333336</v>
      </c>
      <c r="B465" s="1">
        <v>1474.6</v>
      </c>
      <c r="C465" s="11">
        <v>3.2732000000000001</v>
      </c>
      <c r="D465" s="1">
        <v>715.73</v>
      </c>
      <c r="E465" s="11">
        <v>3.0760000000000001</v>
      </c>
      <c r="F465" s="1">
        <v>521.16</v>
      </c>
      <c r="G465" s="11">
        <v>3.53</v>
      </c>
      <c r="H465" s="1">
        <v>-101.9</v>
      </c>
      <c r="I465" s="11">
        <v>8.0292700000000004</v>
      </c>
      <c r="J465" s="1">
        <v>382.36</v>
      </c>
      <c r="K465" s="11">
        <v>10</v>
      </c>
      <c r="L465" s="1">
        <v>0</v>
      </c>
      <c r="M465" s="11">
        <v>6.2</v>
      </c>
      <c r="N465" s="1">
        <v>11.96</v>
      </c>
      <c r="O465" s="11">
        <v>2.8224999999999998</v>
      </c>
      <c r="P465" s="1">
        <f t="shared" si="57"/>
        <v>3003.91</v>
      </c>
      <c r="Q465" s="1">
        <v>3106.4</v>
      </c>
      <c r="R465" s="16">
        <f t="shared" si="58"/>
        <v>2976778.8717500004</v>
      </c>
      <c r="S465" s="20">
        <v>1616.3500000000001</v>
      </c>
      <c r="T465" s="21">
        <v>0.2</v>
      </c>
      <c r="U465" s="21">
        <v>16.23</v>
      </c>
      <c r="V465" s="8">
        <v>1632.7800000000002</v>
      </c>
      <c r="W465" s="25">
        <v>1.238</v>
      </c>
      <c r="X465" s="25">
        <f t="shared" si="59"/>
        <v>505345.41000000009</v>
      </c>
      <c r="Y465" s="1">
        <f t="shared" si="60"/>
        <v>4636.6900000000005</v>
      </c>
      <c r="Z465" s="1">
        <f t="shared" si="61"/>
        <v>4739.18</v>
      </c>
      <c r="AA465" s="1">
        <v>4801.05</v>
      </c>
      <c r="AB465" s="1">
        <f t="shared" si="56"/>
        <v>-164.35999999999967</v>
      </c>
      <c r="AC465" s="29">
        <f t="shared" si="62"/>
        <v>61.869999999999891</v>
      </c>
      <c r="AD465" s="11">
        <f t="shared" si="63"/>
        <v>3482124.2817500005</v>
      </c>
    </row>
    <row r="466" spans="1:30" x14ac:dyDescent="0.3">
      <c r="A466" s="14">
        <v>45905.8125</v>
      </c>
      <c r="B466" s="1">
        <v>1474.6</v>
      </c>
      <c r="C466" s="11">
        <v>3.2732000000000001</v>
      </c>
      <c r="D466" s="1">
        <v>715.73</v>
      </c>
      <c r="E466" s="11">
        <v>3.0760000000000001</v>
      </c>
      <c r="F466" s="1">
        <v>521.16</v>
      </c>
      <c r="G466" s="11">
        <v>3.53</v>
      </c>
      <c r="H466" s="1">
        <v>-249.4</v>
      </c>
      <c r="I466" s="11">
        <v>9.9090600000000002</v>
      </c>
      <c r="J466" s="1">
        <v>505.32</v>
      </c>
      <c r="K466" s="11">
        <v>10</v>
      </c>
      <c r="L466" s="1">
        <v>0</v>
      </c>
      <c r="M466" s="11">
        <v>6.2</v>
      </c>
      <c r="N466" s="1">
        <v>11.4</v>
      </c>
      <c r="O466" s="11">
        <v>2.8224999999999998</v>
      </c>
      <c r="P466" s="1">
        <f t="shared" si="57"/>
        <v>2978.81</v>
      </c>
      <c r="Q466" s="1">
        <v>3103.56</v>
      </c>
      <c r="R466" s="16">
        <f t="shared" si="58"/>
        <v>2870499.4839999997</v>
      </c>
      <c r="S466" s="20">
        <v>1616.53</v>
      </c>
      <c r="T466" s="21">
        <v>0.2</v>
      </c>
      <c r="U466" s="21">
        <v>16.16</v>
      </c>
      <c r="V466" s="8">
        <v>1632.89</v>
      </c>
      <c r="W466" s="25">
        <v>1.238</v>
      </c>
      <c r="X466" s="25">
        <f t="shared" si="59"/>
        <v>505379.45500000002</v>
      </c>
      <c r="Y466" s="1">
        <f t="shared" si="60"/>
        <v>4611.7</v>
      </c>
      <c r="Z466" s="1">
        <f t="shared" si="61"/>
        <v>4736.45</v>
      </c>
      <c r="AA466" s="1">
        <v>4796.57</v>
      </c>
      <c r="AB466" s="1">
        <f t="shared" si="56"/>
        <v>-184.86999999999989</v>
      </c>
      <c r="AC466" s="29">
        <f t="shared" si="62"/>
        <v>60.119999999999891</v>
      </c>
      <c r="AD466" s="11">
        <f t="shared" si="63"/>
        <v>3375878.9389999998</v>
      </c>
    </row>
    <row r="467" spans="1:30" x14ac:dyDescent="0.3">
      <c r="A467" s="14">
        <v>45905.822916666664</v>
      </c>
      <c r="B467" s="1">
        <v>1474.6</v>
      </c>
      <c r="C467" s="11">
        <v>3.2732000000000001</v>
      </c>
      <c r="D467" s="1">
        <v>715.73</v>
      </c>
      <c r="E467" s="11">
        <v>3.0760000000000001</v>
      </c>
      <c r="F467" s="1">
        <v>521.16</v>
      </c>
      <c r="G467" s="11">
        <v>3.53</v>
      </c>
      <c r="H467" s="1">
        <v>-391.84</v>
      </c>
      <c r="I467" s="11">
        <v>10</v>
      </c>
      <c r="J467" s="1">
        <v>542.22</v>
      </c>
      <c r="K467" s="11">
        <v>10</v>
      </c>
      <c r="L467" s="1">
        <v>0</v>
      </c>
      <c r="M467" s="11">
        <v>6.2</v>
      </c>
      <c r="N467" s="1">
        <v>11.96</v>
      </c>
      <c r="O467" s="11">
        <v>2.8224999999999998</v>
      </c>
      <c r="P467" s="1">
        <f t="shared" si="57"/>
        <v>2873.83</v>
      </c>
      <c r="Q467" s="1">
        <v>3108.7</v>
      </c>
      <c r="R467" s="16">
        <f t="shared" si="58"/>
        <v>2601374.5250000004</v>
      </c>
      <c r="S467" s="20">
        <v>1611.29</v>
      </c>
      <c r="T467" s="21">
        <v>0.2</v>
      </c>
      <c r="U467" s="21">
        <v>16.119999999999997</v>
      </c>
      <c r="V467" s="8">
        <v>1627.61</v>
      </c>
      <c r="W467" s="25">
        <v>1.238</v>
      </c>
      <c r="X467" s="25">
        <f t="shared" si="59"/>
        <v>503745.29499999993</v>
      </c>
      <c r="Y467" s="1">
        <f t="shared" si="60"/>
        <v>4501.4399999999996</v>
      </c>
      <c r="Z467" s="1">
        <f t="shared" si="61"/>
        <v>4736.3099999999995</v>
      </c>
      <c r="AA467" s="1">
        <v>4795.8500000000004</v>
      </c>
      <c r="AB467" s="1">
        <f t="shared" si="56"/>
        <v>-294.41000000000076</v>
      </c>
      <c r="AC467" s="29">
        <f t="shared" si="62"/>
        <v>59.540000000000873</v>
      </c>
      <c r="AD467" s="11">
        <f t="shared" si="63"/>
        <v>3105119.8200000003</v>
      </c>
    </row>
    <row r="468" spans="1:30" x14ac:dyDescent="0.3">
      <c r="A468" s="14">
        <v>45905.833333333336</v>
      </c>
      <c r="B468" s="1">
        <v>1475.21</v>
      </c>
      <c r="C468" s="11">
        <v>3.2732000000000001</v>
      </c>
      <c r="D468" s="1">
        <v>715.73</v>
      </c>
      <c r="E468" s="11">
        <v>3.0760000000000001</v>
      </c>
      <c r="F468" s="1">
        <v>521.16</v>
      </c>
      <c r="G468" s="11">
        <v>3.53</v>
      </c>
      <c r="H468" s="1">
        <v>-385.53</v>
      </c>
      <c r="I468" s="11">
        <v>9.9098799999999994</v>
      </c>
      <c r="J468" s="1">
        <v>906.37</v>
      </c>
      <c r="K468" s="11">
        <v>10</v>
      </c>
      <c r="L468" s="1">
        <v>0</v>
      </c>
      <c r="M468" s="11">
        <v>6.2</v>
      </c>
      <c r="N468" s="1">
        <v>12.28</v>
      </c>
      <c r="O468" s="11">
        <v>2.8224999999999998</v>
      </c>
      <c r="P468" s="1">
        <f t="shared" si="57"/>
        <v>3245.22</v>
      </c>
      <c r="Q468" s="1">
        <v>3184.01</v>
      </c>
      <c r="R468" s="16">
        <f t="shared" si="58"/>
        <v>3536935.4789000005</v>
      </c>
      <c r="S468" s="20">
        <v>1522.7899999999995</v>
      </c>
      <c r="T468" s="21">
        <v>0.19</v>
      </c>
      <c r="U468" s="21">
        <v>14.350000000000001</v>
      </c>
      <c r="V468" s="8">
        <v>1537.3299999999995</v>
      </c>
      <c r="W468" s="25">
        <v>1.238</v>
      </c>
      <c r="X468" s="25">
        <f t="shared" si="59"/>
        <v>475803.63499999983</v>
      </c>
      <c r="Y468" s="1">
        <f t="shared" si="60"/>
        <v>4782.5499999999993</v>
      </c>
      <c r="Z468" s="1">
        <f t="shared" si="61"/>
        <v>4721.34</v>
      </c>
      <c r="AA468" s="1">
        <v>4782.41</v>
      </c>
      <c r="AB468" s="1">
        <f t="shared" si="56"/>
        <v>0.13999999999941792</v>
      </c>
      <c r="AC468" s="29">
        <f t="shared" si="62"/>
        <v>61.069999999999709</v>
      </c>
      <c r="AD468" s="11">
        <f t="shared" si="63"/>
        <v>4012739.1139000002</v>
      </c>
    </row>
    <row r="469" spans="1:30" x14ac:dyDescent="0.3">
      <c r="A469" s="14">
        <v>45905.84375</v>
      </c>
      <c r="B469" s="1">
        <v>1475.27</v>
      </c>
      <c r="C469" s="11">
        <v>3.2732000000000001</v>
      </c>
      <c r="D469" s="1">
        <v>715.73</v>
      </c>
      <c r="E469" s="11">
        <v>3.0760000000000001</v>
      </c>
      <c r="F469" s="1">
        <v>521.16</v>
      </c>
      <c r="G469" s="11">
        <v>3.53</v>
      </c>
      <c r="H469" s="1">
        <v>-400.67</v>
      </c>
      <c r="I469" s="11">
        <v>9.9992199999999993</v>
      </c>
      <c r="J469" s="1">
        <v>930.12</v>
      </c>
      <c r="K469" s="11">
        <v>10</v>
      </c>
      <c r="L469" s="1">
        <v>0</v>
      </c>
      <c r="M469" s="11">
        <v>6.2</v>
      </c>
      <c r="N469" s="1">
        <v>12.86</v>
      </c>
      <c r="O469" s="11">
        <v>2.8224999999999998</v>
      </c>
      <c r="P469" s="1">
        <f t="shared" si="57"/>
        <v>3254.47</v>
      </c>
      <c r="Q469" s="1">
        <v>3259.03</v>
      </c>
      <c r="R469" s="16">
        <f t="shared" si="58"/>
        <v>3550310.9791500005</v>
      </c>
      <c r="S469" s="20">
        <v>1455.4299999999996</v>
      </c>
      <c r="T469" s="21">
        <v>0.19</v>
      </c>
      <c r="U469" s="21">
        <v>12.32</v>
      </c>
      <c r="V469" s="8">
        <v>1467.9399999999996</v>
      </c>
      <c r="W469" s="25">
        <v>1.238</v>
      </c>
      <c r="X469" s="25">
        <f t="shared" si="59"/>
        <v>454327.42999999988</v>
      </c>
      <c r="Y469" s="1">
        <f t="shared" si="60"/>
        <v>4722.41</v>
      </c>
      <c r="Z469" s="1">
        <f t="shared" si="61"/>
        <v>4726.9699999999993</v>
      </c>
      <c r="AA469" s="1">
        <v>4786.1000000000004</v>
      </c>
      <c r="AB469" s="1">
        <f t="shared" si="56"/>
        <v>-63.690000000000509</v>
      </c>
      <c r="AC469" s="29">
        <f t="shared" si="62"/>
        <v>59.130000000001019</v>
      </c>
      <c r="AD469" s="11">
        <f t="shared" si="63"/>
        <v>4004638.4091500002</v>
      </c>
    </row>
    <row r="470" spans="1:30" x14ac:dyDescent="0.3">
      <c r="A470" s="14">
        <v>45905.854166666664</v>
      </c>
      <c r="B470" s="1">
        <v>1475.27</v>
      </c>
      <c r="C470" s="11">
        <v>3.2732000000000001</v>
      </c>
      <c r="D470" s="1">
        <v>722.91</v>
      </c>
      <c r="E470" s="11">
        <v>3.0760000000000001</v>
      </c>
      <c r="F470" s="1">
        <v>521.16</v>
      </c>
      <c r="G470" s="11">
        <v>3.53</v>
      </c>
      <c r="H470" s="1">
        <v>-401.9</v>
      </c>
      <c r="I470" s="11">
        <v>10</v>
      </c>
      <c r="J470" s="1">
        <v>599.70000000000005</v>
      </c>
      <c r="K470" s="11">
        <v>10</v>
      </c>
      <c r="L470" s="1">
        <v>0</v>
      </c>
      <c r="M470" s="11">
        <v>6.2</v>
      </c>
      <c r="N470" s="1">
        <v>12.9</v>
      </c>
      <c r="O470" s="11">
        <v>2.8224999999999998</v>
      </c>
      <c r="P470" s="1">
        <f t="shared" si="57"/>
        <v>2930.0399999999995</v>
      </c>
      <c r="Q470" s="1">
        <v>3109.04</v>
      </c>
      <c r="R470" s="16">
        <f t="shared" si="58"/>
        <v>2726657.4935000003</v>
      </c>
      <c r="S470" s="20">
        <v>1597.36</v>
      </c>
      <c r="T470" s="21">
        <v>0.19</v>
      </c>
      <c r="U470" s="21">
        <v>11.5</v>
      </c>
      <c r="V470" s="8">
        <v>1609.05</v>
      </c>
      <c r="W470" s="25">
        <v>1.238</v>
      </c>
      <c r="X470" s="25">
        <f t="shared" si="59"/>
        <v>498000.97499999998</v>
      </c>
      <c r="Y470" s="1">
        <f t="shared" si="60"/>
        <v>4539.0899999999992</v>
      </c>
      <c r="Z470" s="1">
        <f t="shared" si="61"/>
        <v>4718.09</v>
      </c>
      <c r="AA470" s="1">
        <v>4774.71</v>
      </c>
      <c r="AB470" s="1">
        <f t="shared" si="56"/>
        <v>-235.6200000000008</v>
      </c>
      <c r="AC470" s="29">
        <f t="shared" si="62"/>
        <v>56.619999999999891</v>
      </c>
      <c r="AD470" s="11">
        <f t="shared" si="63"/>
        <v>3224658.4685000004</v>
      </c>
    </row>
    <row r="471" spans="1:30" x14ac:dyDescent="0.3">
      <c r="A471" s="14">
        <v>45905.864583333336</v>
      </c>
      <c r="B471" s="1">
        <v>1475.27</v>
      </c>
      <c r="C471" s="11">
        <v>3.2732000000000001</v>
      </c>
      <c r="D471" s="1">
        <v>729.74</v>
      </c>
      <c r="E471" s="11">
        <v>3.0760000000000001</v>
      </c>
      <c r="F471" s="1">
        <v>521.16</v>
      </c>
      <c r="G471" s="11">
        <v>3.53</v>
      </c>
      <c r="H471" s="1">
        <v>-401.9</v>
      </c>
      <c r="I471" s="11">
        <v>10</v>
      </c>
      <c r="J471" s="1">
        <v>615.57000000000005</v>
      </c>
      <c r="K471" s="11">
        <v>10</v>
      </c>
      <c r="L471" s="1">
        <v>0</v>
      </c>
      <c r="M471" s="11">
        <v>6.2</v>
      </c>
      <c r="N471" s="1">
        <v>13.18</v>
      </c>
      <c r="O471" s="11">
        <v>2.8224999999999998</v>
      </c>
      <c r="P471" s="1">
        <f t="shared" si="57"/>
        <v>2953.02</v>
      </c>
      <c r="Q471" s="1">
        <v>3071.99</v>
      </c>
      <c r="R471" s="16">
        <f t="shared" si="58"/>
        <v>2771782.3385000001</v>
      </c>
      <c r="S471" s="20">
        <v>1614.88</v>
      </c>
      <c r="T471" s="21">
        <v>0.19</v>
      </c>
      <c r="U471" s="21">
        <v>12.64</v>
      </c>
      <c r="V471" s="8">
        <v>1627.7100000000003</v>
      </c>
      <c r="W471" s="25">
        <v>1.238</v>
      </c>
      <c r="X471" s="25">
        <f t="shared" si="59"/>
        <v>503776.24500000005</v>
      </c>
      <c r="Y471" s="1">
        <f t="shared" si="60"/>
        <v>4580.7300000000005</v>
      </c>
      <c r="Z471" s="1">
        <f t="shared" si="61"/>
        <v>4699.7</v>
      </c>
      <c r="AA471" s="1">
        <v>4761.38</v>
      </c>
      <c r="AB471" s="1">
        <f t="shared" si="56"/>
        <v>-180.64999999999964</v>
      </c>
      <c r="AC471" s="29">
        <f t="shared" si="62"/>
        <v>61.680000000000291</v>
      </c>
      <c r="AD471" s="11">
        <f t="shared" si="63"/>
        <v>3275558.5835000002</v>
      </c>
    </row>
    <row r="472" spans="1:30" x14ac:dyDescent="0.3">
      <c r="A472" s="14">
        <v>45905.875</v>
      </c>
      <c r="B472" s="1">
        <v>1475.27</v>
      </c>
      <c r="C472" s="11">
        <v>3.2732000000000001</v>
      </c>
      <c r="D472" s="1">
        <v>736.5</v>
      </c>
      <c r="E472" s="11">
        <v>3.0760000000000001</v>
      </c>
      <c r="F472" s="1">
        <v>521.16</v>
      </c>
      <c r="G472" s="11">
        <v>3.53</v>
      </c>
      <c r="H472" s="1">
        <v>-401.9</v>
      </c>
      <c r="I472" s="11">
        <v>10</v>
      </c>
      <c r="J472" s="1">
        <v>758.79</v>
      </c>
      <c r="K472" s="11">
        <v>9.9900500000000001</v>
      </c>
      <c r="L472" s="1">
        <v>0</v>
      </c>
      <c r="M472" s="11">
        <v>6.2</v>
      </c>
      <c r="N472" s="1">
        <v>13.2</v>
      </c>
      <c r="O472" s="11">
        <v>2.8224999999999998</v>
      </c>
      <c r="P472" s="1">
        <f t="shared" si="57"/>
        <v>3103.0199999999995</v>
      </c>
      <c r="Q472" s="1">
        <v>3109.8</v>
      </c>
      <c r="R472" s="16">
        <f t="shared" si="58"/>
        <v>3133157.4008749998</v>
      </c>
      <c r="S472" s="20">
        <v>1603.3499999999997</v>
      </c>
      <c r="T472" s="21">
        <v>0.19</v>
      </c>
      <c r="U472" s="21">
        <v>11.930000000000001</v>
      </c>
      <c r="V472" s="8">
        <v>1615.4699999999998</v>
      </c>
      <c r="W472" s="25">
        <v>1.238</v>
      </c>
      <c r="X472" s="25">
        <f t="shared" si="59"/>
        <v>499987.96499999991</v>
      </c>
      <c r="Y472" s="1">
        <f t="shared" si="60"/>
        <v>4718.49</v>
      </c>
      <c r="Z472" s="1">
        <f t="shared" si="61"/>
        <v>4725.2700000000004</v>
      </c>
      <c r="AA472" s="1">
        <v>4788.84</v>
      </c>
      <c r="AB472" s="1">
        <f t="shared" si="56"/>
        <v>-70.350000000000364</v>
      </c>
      <c r="AC472" s="29">
        <f t="shared" si="62"/>
        <v>63.569999999999709</v>
      </c>
      <c r="AD472" s="11">
        <f t="shared" si="63"/>
        <v>3633145.3658749997</v>
      </c>
    </row>
    <row r="473" spans="1:30" x14ac:dyDescent="0.3">
      <c r="A473" s="14">
        <v>45905.885416666664</v>
      </c>
      <c r="B473" s="1">
        <v>1475.27</v>
      </c>
      <c r="C473" s="11">
        <v>3.2732000000000001</v>
      </c>
      <c r="D473" s="1">
        <v>743.26</v>
      </c>
      <c r="E473" s="11">
        <v>3.0760000000000001</v>
      </c>
      <c r="F473" s="1">
        <v>521.16</v>
      </c>
      <c r="G473" s="11">
        <v>3.53</v>
      </c>
      <c r="H473" s="1">
        <v>-401.9</v>
      </c>
      <c r="I473" s="11">
        <v>10</v>
      </c>
      <c r="J473" s="1">
        <v>813.59</v>
      </c>
      <c r="K473" s="11">
        <v>6.1860400000000002</v>
      </c>
      <c r="L473" s="1">
        <v>0</v>
      </c>
      <c r="M473" s="11">
        <v>6.2</v>
      </c>
      <c r="N473" s="1">
        <v>13.48</v>
      </c>
      <c r="O473" s="11">
        <v>2.8224999999999998</v>
      </c>
      <c r="P473" s="1">
        <f t="shared" si="57"/>
        <v>3164.8599999999997</v>
      </c>
      <c r="Q473" s="1">
        <v>3147.38</v>
      </c>
      <c r="R473" s="16">
        <f t="shared" si="58"/>
        <v>2501690.9769000001</v>
      </c>
      <c r="S473" s="20">
        <v>1609.8999999999999</v>
      </c>
      <c r="T473" s="21">
        <v>0.19</v>
      </c>
      <c r="U473" s="21">
        <v>12.809999999999999</v>
      </c>
      <c r="V473" s="8">
        <v>1622.8999999999999</v>
      </c>
      <c r="W473" s="25">
        <v>1.238</v>
      </c>
      <c r="X473" s="25">
        <f t="shared" si="59"/>
        <v>502287.54999999993</v>
      </c>
      <c r="Y473" s="1">
        <f t="shared" si="60"/>
        <v>4787.7599999999993</v>
      </c>
      <c r="Z473" s="1">
        <f t="shared" si="61"/>
        <v>4770.28</v>
      </c>
      <c r="AA473" s="1">
        <v>4828.47</v>
      </c>
      <c r="AB473" s="1">
        <f t="shared" si="56"/>
        <v>-40.710000000000946</v>
      </c>
      <c r="AC473" s="29">
        <f t="shared" si="62"/>
        <v>58.190000000000509</v>
      </c>
      <c r="AD473" s="11">
        <f t="shared" si="63"/>
        <v>3003978.5268999999</v>
      </c>
    </row>
    <row r="474" spans="1:30" x14ac:dyDescent="0.3">
      <c r="A474" s="14">
        <v>45905.895833333336</v>
      </c>
      <c r="B474" s="1">
        <v>1474.82</v>
      </c>
      <c r="C474" s="11">
        <v>3.2732000000000001</v>
      </c>
      <c r="D474" s="1">
        <v>750.02</v>
      </c>
      <c r="E474" s="11">
        <v>3.0760000000000001</v>
      </c>
      <c r="F474" s="1">
        <v>521.16</v>
      </c>
      <c r="G474" s="11">
        <v>3.53</v>
      </c>
      <c r="H474" s="1">
        <v>-401.9</v>
      </c>
      <c r="I474" s="11">
        <v>10</v>
      </c>
      <c r="J474" s="1">
        <v>754.36</v>
      </c>
      <c r="K474" s="11">
        <v>10</v>
      </c>
      <c r="L474" s="1">
        <v>0</v>
      </c>
      <c r="M474" s="11">
        <v>6.2</v>
      </c>
      <c r="N474" s="1">
        <v>13.78</v>
      </c>
      <c r="O474" s="11">
        <v>2.8224999999999998</v>
      </c>
      <c r="P474" s="1">
        <f t="shared" si="57"/>
        <v>3112.2400000000002</v>
      </c>
      <c r="Q474" s="1">
        <v>3200.68</v>
      </c>
      <c r="R474" s="16">
        <f t="shared" si="58"/>
        <v>3134407.7985000005</v>
      </c>
      <c r="S474" s="20">
        <v>1609.8799999999997</v>
      </c>
      <c r="T474" s="21">
        <v>0.19</v>
      </c>
      <c r="U474" s="21">
        <v>13.169999999999998</v>
      </c>
      <c r="V474" s="8">
        <v>1623.2399999999998</v>
      </c>
      <c r="W474" s="25">
        <v>1.238</v>
      </c>
      <c r="X474" s="25">
        <f t="shared" si="59"/>
        <v>502392.77999999991</v>
      </c>
      <c r="Y474" s="1">
        <f t="shared" si="60"/>
        <v>4735.4799999999996</v>
      </c>
      <c r="Z474" s="1">
        <f t="shared" si="61"/>
        <v>4823.92</v>
      </c>
      <c r="AA474" s="1">
        <v>4898.8</v>
      </c>
      <c r="AB474" s="1">
        <f t="shared" si="56"/>
        <v>-163.32000000000062</v>
      </c>
      <c r="AC474" s="29">
        <f t="shared" si="62"/>
        <v>74.880000000000109</v>
      </c>
      <c r="AD474" s="11">
        <f t="shared" si="63"/>
        <v>3636800.5785000003</v>
      </c>
    </row>
    <row r="475" spans="1:30" x14ac:dyDescent="0.3">
      <c r="A475" s="14">
        <v>45905.90625</v>
      </c>
      <c r="B475" s="1">
        <v>1475.07</v>
      </c>
      <c r="C475" s="11">
        <v>3.2732000000000001</v>
      </c>
      <c r="D475" s="1">
        <v>756.78</v>
      </c>
      <c r="E475" s="11">
        <v>3.0760000000000001</v>
      </c>
      <c r="F475" s="1">
        <v>521.16</v>
      </c>
      <c r="G475" s="11">
        <v>3.53</v>
      </c>
      <c r="H475" s="1">
        <v>-401.9</v>
      </c>
      <c r="I475" s="11">
        <v>10</v>
      </c>
      <c r="J475" s="1">
        <v>719.05</v>
      </c>
      <c r="K475" s="11">
        <v>10</v>
      </c>
      <c r="L475" s="1">
        <v>0</v>
      </c>
      <c r="M475" s="11">
        <v>6.2</v>
      </c>
      <c r="N475" s="1">
        <v>14.08</v>
      </c>
      <c r="O475" s="11">
        <v>2.8224999999999998</v>
      </c>
      <c r="P475" s="1">
        <f t="shared" si="57"/>
        <v>3084.24</v>
      </c>
      <c r="Q475" s="1">
        <v>3262.3</v>
      </c>
      <c r="R475" s="16">
        <f t="shared" si="58"/>
        <v>3051747.5009999997</v>
      </c>
      <c r="S475" s="20">
        <v>1612.6899999999998</v>
      </c>
      <c r="T475" s="21">
        <v>0.19</v>
      </c>
      <c r="U475" s="21">
        <v>13.65</v>
      </c>
      <c r="V475" s="8">
        <v>1626.53</v>
      </c>
      <c r="W475" s="25">
        <v>1.238</v>
      </c>
      <c r="X475" s="25">
        <f t="shared" si="59"/>
        <v>503411.03499999997</v>
      </c>
      <c r="Y475" s="1">
        <f t="shared" si="60"/>
        <v>4710.7699999999995</v>
      </c>
      <c r="Z475" s="1">
        <f t="shared" si="61"/>
        <v>4888.83</v>
      </c>
      <c r="AA475" s="1">
        <v>4968.87</v>
      </c>
      <c r="AB475" s="1">
        <f t="shared" si="56"/>
        <v>-258.10000000000036</v>
      </c>
      <c r="AC475" s="29">
        <f t="shared" si="62"/>
        <v>80.039999999999964</v>
      </c>
      <c r="AD475" s="11">
        <f t="shared" si="63"/>
        <v>3555158.5359999998</v>
      </c>
    </row>
    <row r="476" spans="1:30" x14ac:dyDescent="0.3">
      <c r="A476" s="14">
        <v>45905.916666666664</v>
      </c>
      <c r="B476" s="1">
        <v>1476.84</v>
      </c>
      <c r="C476" s="11">
        <v>3.2732000000000001</v>
      </c>
      <c r="D476" s="1">
        <v>757.25</v>
      </c>
      <c r="E476" s="11">
        <v>3.0760000000000001</v>
      </c>
      <c r="F476" s="1">
        <v>521.16</v>
      </c>
      <c r="G476" s="11">
        <v>3.53</v>
      </c>
      <c r="H476" s="1">
        <v>-401.9</v>
      </c>
      <c r="I476" s="11">
        <v>10</v>
      </c>
      <c r="J476" s="1">
        <v>848.51</v>
      </c>
      <c r="K476" s="11">
        <v>10</v>
      </c>
      <c r="L476" s="1">
        <v>0</v>
      </c>
      <c r="M476" s="11">
        <v>6.2</v>
      </c>
      <c r="N476" s="1">
        <v>14.1</v>
      </c>
      <c r="O476" s="11">
        <v>2.8224999999999998</v>
      </c>
      <c r="P476" s="1">
        <f t="shared" si="57"/>
        <v>3215.9599999999996</v>
      </c>
      <c r="Q476" s="1">
        <v>3335.83</v>
      </c>
      <c r="R476" s="16">
        <f t="shared" si="58"/>
        <v>3377221.4345</v>
      </c>
      <c r="S476" s="20">
        <v>1614.8200000000002</v>
      </c>
      <c r="T476" s="21">
        <v>0.19</v>
      </c>
      <c r="U476" s="21">
        <v>14.59</v>
      </c>
      <c r="V476" s="8">
        <v>1629.6000000000001</v>
      </c>
      <c r="W476" s="25">
        <v>1.238</v>
      </c>
      <c r="X476" s="25">
        <f t="shared" si="59"/>
        <v>504361.20000000007</v>
      </c>
      <c r="Y476" s="1">
        <f t="shared" si="60"/>
        <v>4845.5599999999995</v>
      </c>
      <c r="Z476" s="1">
        <f t="shared" si="61"/>
        <v>4965.43</v>
      </c>
      <c r="AA476" s="1">
        <v>5051.87</v>
      </c>
      <c r="AB476" s="1">
        <f t="shared" si="56"/>
        <v>-206.3100000000004</v>
      </c>
      <c r="AC476" s="29">
        <f t="shared" si="62"/>
        <v>86.4399999999996</v>
      </c>
      <c r="AD476" s="11">
        <f t="shared" si="63"/>
        <v>3881582.6345000002</v>
      </c>
    </row>
    <row r="477" spans="1:30" x14ac:dyDescent="0.3">
      <c r="A477" s="14">
        <v>45905.927083333336</v>
      </c>
      <c r="B477" s="1">
        <v>1477.23</v>
      </c>
      <c r="C477" s="11">
        <v>3.2732000000000001</v>
      </c>
      <c r="D477" s="1">
        <v>757.25</v>
      </c>
      <c r="E477" s="11">
        <v>3.0760000000000001</v>
      </c>
      <c r="F477" s="1">
        <v>521.16</v>
      </c>
      <c r="G477" s="11">
        <v>3.53</v>
      </c>
      <c r="H477" s="1">
        <v>-401.9</v>
      </c>
      <c r="I477" s="11">
        <v>10</v>
      </c>
      <c r="J477" s="1">
        <v>942.82</v>
      </c>
      <c r="K477" s="11">
        <v>10</v>
      </c>
      <c r="L477" s="1">
        <v>0</v>
      </c>
      <c r="M477" s="11">
        <v>6.2</v>
      </c>
      <c r="N477" s="1">
        <v>14.65</v>
      </c>
      <c r="O477" s="11">
        <v>2.8224999999999998</v>
      </c>
      <c r="P477" s="1">
        <f t="shared" si="57"/>
        <v>3311.21</v>
      </c>
      <c r="Q477" s="1">
        <v>3439.59</v>
      </c>
      <c r="R477" s="16">
        <f t="shared" si="58"/>
        <v>3613703.6652500001</v>
      </c>
      <c r="S477" s="20">
        <v>1614.58</v>
      </c>
      <c r="T477" s="21">
        <v>0.22000000000000003</v>
      </c>
      <c r="U477" s="21">
        <v>14.49</v>
      </c>
      <c r="V477" s="8">
        <v>1629.29</v>
      </c>
      <c r="W477" s="25">
        <v>1.238</v>
      </c>
      <c r="X477" s="25">
        <f t="shared" si="59"/>
        <v>504265.25499999995</v>
      </c>
      <c r="Y477" s="1">
        <f t="shared" si="60"/>
        <v>4940.5</v>
      </c>
      <c r="Z477" s="1">
        <f t="shared" si="61"/>
        <v>5068.88</v>
      </c>
      <c r="AA477" s="1">
        <v>5155.7</v>
      </c>
      <c r="AB477" s="1">
        <f t="shared" si="56"/>
        <v>-215.19999999999982</v>
      </c>
      <c r="AC477" s="29">
        <f t="shared" si="62"/>
        <v>86.819999999999709</v>
      </c>
      <c r="AD477" s="11">
        <f t="shared" si="63"/>
        <v>4117968.92025</v>
      </c>
    </row>
    <row r="478" spans="1:30" x14ac:dyDescent="0.3">
      <c r="A478" s="14">
        <v>45905.9375</v>
      </c>
      <c r="B478" s="1">
        <v>1478.32</v>
      </c>
      <c r="C478" s="11">
        <v>3.2732000000000001</v>
      </c>
      <c r="D478" s="1">
        <v>757.25</v>
      </c>
      <c r="E478" s="11">
        <v>3.0760000000000001</v>
      </c>
      <c r="F478" s="1">
        <v>521.16</v>
      </c>
      <c r="G478" s="11">
        <v>3.53</v>
      </c>
      <c r="H478" s="1">
        <v>-401.9</v>
      </c>
      <c r="I478" s="11">
        <v>10</v>
      </c>
      <c r="J478" s="1">
        <v>991.64</v>
      </c>
      <c r="K478" s="11">
        <v>6.0006599999999999</v>
      </c>
      <c r="L478" s="1">
        <v>0</v>
      </c>
      <c r="M478" s="11">
        <v>6.2</v>
      </c>
      <c r="N478" s="1">
        <v>15.24</v>
      </c>
      <c r="O478" s="11">
        <v>2.8224999999999998</v>
      </c>
      <c r="P478" s="1">
        <f t="shared" si="57"/>
        <v>3361.7099999999991</v>
      </c>
      <c r="Q478" s="1">
        <v>3448.01</v>
      </c>
      <c r="R478" s="16">
        <f t="shared" si="58"/>
        <v>2745585.5515999999</v>
      </c>
      <c r="S478" s="20">
        <v>1617.7599999999998</v>
      </c>
      <c r="T478" s="21">
        <v>0.22000000000000003</v>
      </c>
      <c r="U478" s="21">
        <v>15.129999999999999</v>
      </c>
      <c r="V478" s="8">
        <v>1633.11</v>
      </c>
      <c r="W478" s="25">
        <v>1.238</v>
      </c>
      <c r="X478" s="25">
        <f t="shared" si="59"/>
        <v>505447.54499999998</v>
      </c>
      <c r="Y478" s="1">
        <f t="shared" si="60"/>
        <v>4994.8199999999988</v>
      </c>
      <c r="Z478" s="1">
        <f t="shared" si="61"/>
        <v>5081.12</v>
      </c>
      <c r="AA478" s="1">
        <v>5164.8</v>
      </c>
      <c r="AB478" s="1">
        <f t="shared" si="56"/>
        <v>-169.98000000000138</v>
      </c>
      <c r="AC478" s="29">
        <f t="shared" si="62"/>
        <v>83.680000000000291</v>
      </c>
      <c r="AD478" s="11">
        <f t="shared" si="63"/>
        <v>3251033.0965999998</v>
      </c>
    </row>
    <row r="479" spans="1:30" x14ac:dyDescent="0.3">
      <c r="A479" s="14">
        <v>45905.947916666664</v>
      </c>
      <c r="B479" s="1">
        <v>1477.58</v>
      </c>
      <c r="C479" s="11">
        <v>3.2732000000000001</v>
      </c>
      <c r="D479" s="1">
        <v>757.25</v>
      </c>
      <c r="E479" s="11">
        <v>3.0760000000000001</v>
      </c>
      <c r="F479" s="1">
        <v>521.16</v>
      </c>
      <c r="G479" s="11">
        <v>3.53</v>
      </c>
      <c r="H479" s="1">
        <v>-401.9</v>
      </c>
      <c r="I479" s="11">
        <v>10</v>
      </c>
      <c r="J479" s="1">
        <v>1010.49</v>
      </c>
      <c r="K479" s="11">
        <v>5.9990699999999997</v>
      </c>
      <c r="L479" s="1">
        <v>0</v>
      </c>
      <c r="M479" s="11">
        <v>6.2</v>
      </c>
      <c r="N479" s="1">
        <v>15.88</v>
      </c>
      <c r="O479" s="11">
        <v>2.8224999999999998</v>
      </c>
      <c r="P479" s="1">
        <f t="shared" si="57"/>
        <v>3380.46</v>
      </c>
      <c r="Q479" s="1">
        <v>3423.5</v>
      </c>
      <c r="R479" s="16">
        <f t="shared" si="58"/>
        <v>2773308.0500749997</v>
      </c>
      <c r="S479" s="20">
        <v>1619.45</v>
      </c>
      <c r="T479" s="21">
        <v>0.22000000000000003</v>
      </c>
      <c r="U479" s="21">
        <v>14.45</v>
      </c>
      <c r="V479" s="8">
        <v>1634.1200000000001</v>
      </c>
      <c r="W479" s="25">
        <v>1.238</v>
      </c>
      <c r="X479" s="25">
        <f t="shared" si="59"/>
        <v>505760.14</v>
      </c>
      <c r="Y479" s="1">
        <f t="shared" si="60"/>
        <v>5014.58</v>
      </c>
      <c r="Z479" s="1">
        <f t="shared" si="61"/>
        <v>5057.62</v>
      </c>
      <c r="AA479" s="1">
        <v>5141.62</v>
      </c>
      <c r="AB479" s="1">
        <f t="shared" si="56"/>
        <v>-127.03999999999996</v>
      </c>
      <c r="AC479" s="29">
        <f t="shared" si="62"/>
        <v>84</v>
      </c>
      <c r="AD479" s="11">
        <f t="shared" si="63"/>
        <v>3279068.1900749998</v>
      </c>
    </row>
    <row r="480" spans="1:30" x14ac:dyDescent="0.3">
      <c r="A480" s="14">
        <v>45905.958333333336</v>
      </c>
      <c r="B480" s="1">
        <v>1477.46</v>
      </c>
      <c r="C480" s="11">
        <v>3.2732000000000001</v>
      </c>
      <c r="D480" s="1">
        <v>757.25</v>
      </c>
      <c r="E480" s="11">
        <v>3.0760000000000001</v>
      </c>
      <c r="F480" s="1">
        <v>521.16</v>
      </c>
      <c r="G480" s="11">
        <v>3.53</v>
      </c>
      <c r="H480" s="1">
        <v>-401.9</v>
      </c>
      <c r="I480" s="11">
        <v>10</v>
      </c>
      <c r="J480" s="1">
        <v>1009.76</v>
      </c>
      <c r="K480" s="11">
        <v>6.5009600000000001</v>
      </c>
      <c r="L480" s="1">
        <v>0</v>
      </c>
      <c r="M480" s="11">
        <v>6.2</v>
      </c>
      <c r="N480" s="1">
        <v>16.18</v>
      </c>
      <c r="O480" s="11">
        <v>2.8224999999999998</v>
      </c>
      <c r="P480" s="1">
        <f t="shared" si="57"/>
        <v>3379.9099999999994</v>
      </c>
      <c r="Q480" s="1">
        <v>3429.55</v>
      </c>
      <c r="R480" s="16">
        <f t="shared" si="58"/>
        <v>2899023.8229</v>
      </c>
      <c r="S480" s="20">
        <v>1600.8899999999999</v>
      </c>
      <c r="T480" s="21">
        <v>0.22000000000000003</v>
      </c>
      <c r="U480" s="21">
        <v>12.79</v>
      </c>
      <c r="V480" s="8">
        <v>1613.8999999999999</v>
      </c>
      <c r="W480" s="25">
        <v>1.238</v>
      </c>
      <c r="X480" s="25">
        <f t="shared" si="59"/>
        <v>499502.04999999993</v>
      </c>
      <c r="Y480" s="1">
        <f t="shared" si="60"/>
        <v>4993.8099999999995</v>
      </c>
      <c r="Z480" s="1">
        <f t="shared" si="61"/>
        <v>5043.45</v>
      </c>
      <c r="AA480" s="1">
        <v>5114.96</v>
      </c>
      <c r="AB480" s="1">
        <f t="shared" si="56"/>
        <v>-121.15000000000055</v>
      </c>
      <c r="AC480" s="29">
        <f t="shared" si="62"/>
        <v>71.510000000000218</v>
      </c>
      <c r="AD480" s="11">
        <f t="shared" si="63"/>
        <v>3398525.8728999998</v>
      </c>
    </row>
    <row r="481" spans="1:31" x14ac:dyDescent="0.3">
      <c r="A481" s="14">
        <v>45905.96875</v>
      </c>
      <c r="B481" s="1">
        <v>1477.46</v>
      </c>
      <c r="C481" s="11">
        <v>3.2732000000000001</v>
      </c>
      <c r="D481" s="1">
        <v>763.53</v>
      </c>
      <c r="E481" s="11">
        <v>3.0760000000000001</v>
      </c>
      <c r="F481" s="1">
        <v>521.16</v>
      </c>
      <c r="G481" s="11">
        <v>3.53</v>
      </c>
      <c r="H481" s="1">
        <v>-401.9</v>
      </c>
      <c r="I481" s="11">
        <v>10</v>
      </c>
      <c r="J481" s="1">
        <v>947.3</v>
      </c>
      <c r="K481" s="11">
        <v>6.0001800000000003</v>
      </c>
      <c r="L481" s="1">
        <v>0</v>
      </c>
      <c r="M481" s="11">
        <v>6.2</v>
      </c>
      <c r="N481" s="1">
        <v>16.48</v>
      </c>
      <c r="O481" s="11">
        <v>2.8224999999999998</v>
      </c>
      <c r="P481" s="1">
        <f t="shared" si="57"/>
        <v>3324.0299999999993</v>
      </c>
      <c r="Q481" s="1">
        <v>3381.44</v>
      </c>
      <c r="R481" s="16">
        <f t="shared" si="58"/>
        <v>2683955.1165000005</v>
      </c>
      <c r="S481" s="20">
        <v>1601.07</v>
      </c>
      <c r="T481" s="21">
        <v>0.22000000000000003</v>
      </c>
      <c r="U481" s="21">
        <v>14.469999999999999</v>
      </c>
      <c r="V481" s="8">
        <v>1615.76</v>
      </c>
      <c r="W481" s="25">
        <v>1.238</v>
      </c>
      <c r="X481" s="25">
        <f t="shared" si="59"/>
        <v>500077.72</v>
      </c>
      <c r="Y481" s="1">
        <f t="shared" si="60"/>
        <v>4939.7899999999991</v>
      </c>
      <c r="Z481" s="1">
        <f t="shared" si="61"/>
        <v>4997.2</v>
      </c>
      <c r="AA481" s="1">
        <v>5049.28</v>
      </c>
      <c r="AB481" s="1">
        <f t="shared" si="56"/>
        <v>-109.49000000000069</v>
      </c>
      <c r="AC481" s="29">
        <f t="shared" si="62"/>
        <v>52.079999999999927</v>
      </c>
      <c r="AD481" s="11">
        <f t="shared" si="63"/>
        <v>3184032.8365000002</v>
      </c>
    </row>
    <row r="482" spans="1:31" x14ac:dyDescent="0.3">
      <c r="A482" s="14">
        <v>45905.979166666664</v>
      </c>
      <c r="B482" s="1">
        <v>1477.46</v>
      </c>
      <c r="C482" s="11">
        <v>3.2732000000000001</v>
      </c>
      <c r="D482" s="1">
        <v>770.27</v>
      </c>
      <c r="E482" s="11">
        <v>3.0760000000000001</v>
      </c>
      <c r="F482" s="1">
        <v>521.16</v>
      </c>
      <c r="G482" s="11">
        <v>3.53</v>
      </c>
      <c r="H482" s="1">
        <v>-401.9</v>
      </c>
      <c r="I482" s="11">
        <v>10</v>
      </c>
      <c r="J482" s="1">
        <v>848.82</v>
      </c>
      <c r="K482" s="11">
        <v>10</v>
      </c>
      <c r="L482" s="1">
        <v>0</v>
      </c>
      <c r="M482" s="11">
        <v>6.2</v>
      </c>
      <c r="N482" s="1">
        <v>16.5</v>
      </c>
      <c r="O482" s="11">
        <v>2.8224999999999998</v>
      </c>
      <c r="P482" s="1">
        <f t="shared" si="57"/>
        <v>3232.31</v>
      </c>
      <c r="Q482" s="1">
        <v>3286.5</v>
      </c>
      <c r="R482" s="16">
        <f t="shared" si="58"/>
        <v>3390209.6605000007</v>
      </c>
      <c r="S482" s="20">
        <v>1615.22</v>
      </c>
      <c r="T482" s="21">
        <v>0.22000000000000003</v>
      </c>
      <c r="U482" s="21">
        <v>13.760000000000002</v>
      </c>
      <c r="V482" s="8">
        <v>1629.2</v>
      </c>
      <c r="W482" s="25">
        <v>1.238</v>
      </c>
      <c r="X482" s="25">
        <f t="shared" si="59"/>
        <v>504237.4</v>
      </c>
      <c r="Y482" s="1">
        <f t="shared" si="60"/>
        <v>4861.51</v>
      </c>
      <c r="Z482" s="1">
        <f t="shared" si="61"/>
        <v>4915.7</v>
      </c>
      <c r="AA482" s="1">
        <v>4967.3999999999996</v>
      </c>
      <c r="AB482" s="1">
        <f t="shared" si="56"/>
        <v>-105.88999999999942</v>
      </c>
      <c r="AC482" s="29">
        <f t="shared" si="62"/>
        <v>51.699999999999818</v>
      </c>
      <c r="AD482" s="11">
        <f t="shared" si="63"/>
        <v>3894447.0605000006</v>
      </c>
    </row>
    <row r="483" spans="1:31" x14ac:dyDescent="0.3">
      <c r="A483" s="14">
        <v>45905.989583333336</v>
      </c>
      <c r="B483" s="1">
        <v>1477.46</v>
      </c>
      <c r="C483" s="11">
        <v>3.2732000000000001</v>
      </c>
      <c r="D483" s="1">
        <v>775.9</v>
      </c>
      <c r="E483" s="11">
        <v>3.0760000000000001</v>
      </c>
      <c r="F483" s="1">
        <v>521.16</v>
      </c>
      <c r="G483" s="11">
        <v>3.53</v>
      </c>
      <c r="H483" s="1">
        <v>-401.9</v>
      </c>
      <c r="I483" s="11">
        <v>10</v>
      </c>
      <c r="J483" s="1">
        <v>764.17</v>
      </c>
      <c r="K483" s="11">
        <v>6.0001499999999997</v>
      </c>
      <c r="L483" s="1">
        <v>0</v>
      </c>
      <c r="M483" s="11">
        <v>6.2</v>
      </c>
      <c r="N483" s="1">
        <v>16.5</v>
      </c>
      <c r="O483" s="11">
        <v>2.8224999999999998</v>
      </c>
      <c r="P483" s="1">
        <f t="shared" si="57"/>
        <v>3153.29</v>
      </c>
      <c r="Q483" s="1">
        <v>3210.24</v>
      </c>
      <c r="R483" s="16">
        <f t="shared" si="58"/>
        <v>2418772.7868749998</v>
      </c>
      <c r="S483" s="20">
        <v>1608.4099999999999</v>
      </c>
      <c r="T483" s="21">
        <v>0.22000000000000003</v>
      </c>
      <c r="U483" s="21">
        <v>12.250000000000002</v>
      </c>
      <c r="V483" s="8">
        <v>1620.8799999999999</v>
      </c>
      <c r="W483" s="25">
        <v>1.238</v>
      </c>
      <c r="X483" s="25">
        <f t="shared" si="59"/>
        <v>501662.36</v>
      </c>
      <c r="Y483" s="1">
        <f t="shared" si="60"/>
        <v>4774.17</v>
      </c>
      <c r="Z483" s="1">
        <f t="shared" si="61"/>
        <v>4831.12</v>
      </c>
      <c r="AA483" s="1">
        <v>4883.9799999999996</v>
      </c>
      <c r="AB483" s="1">
        <f t="shared" si="56"/>
        <v>-109.80999999999949</v>
      </c>
      <c r="AC483" s="29">
        <f t="shared" si="62"/>
        <v>52.859999999999673</v>
      </c>
      <c r="AD483" s="11">
        <f t="shared" si="63"/>
        <v>2920435.1468749996</v>
      </c>
      <c r="AE483" s="31">
        <f>SUM(AD388:AD483)</f>
        <v>270094237.65347499</v>
      </c>
    </row>
    <row r="484" spans="1:31" x14ac:dyDescent="0.3">
      <c r="A484" s="14">
        <v>45935</v>
      </c>
      <c r="B484" s="1">
        <v>1476.62</v>
      </c>
      <c r="C484" s="11">
        <v>3.2732000000000001</v>
      </c>
      <c r="D484" s="1">
        <v>776.29</v>
      </c>
      <c r="E484" s="11">
        <v>3.0760000000000001</v>
      </c>
      <c r="F484" s="1">
        <v>415.82</v>
      </c>
      <c r="G484" s="11">
        <v>3.53</v>
      </c>
      <c r="H484" s="1">
        <v>-262.39999999999998</v>
      </c>
      <c r="I484" s="11">
        <v>10</v>
      </c>
      <c r="J484" s="1">
        <v>578.39</v>
      </c>
      <c r="K484" s="11">
        <v>8.5008400000000002</v>
      </c>
      <c r="L484" s="1">
        <v>0</v>
      </c>
      <c r="M484" s="11">
        <v>6.2</v>
      </c>
      <c r="N484" s="1">
        <v>10.050000000000001</v>
      </c>
      <c r="O484" s="11">
        <v>2.8224999999999998</v>
      </c>
      <c r="P484" s="1">
        <f t="shared" si="57"/>
        <v>2994.77</v>
      </c>
      <c r="Q484" s="1">
        <v>3092.78</v>
      </c>
      <c r="R484" s="16">
        <f t="shared" si="58"/>
        <v>2752538.0491499999</v>
      </c>
      <c r="S484" s="20">
        <v>1611.24</v>
      </c>
      <c r="T484" s="21">
        <v>0.22999999999999998</v>
      </c>
      <c r="U484" s="21">
        <v>12.7</v>
      </c>
      <c r="V484" s="8">
        <v>1624.17</v>
      </c>
      <c r="W484" s="25">
        <v>1.238</v>
      </c>
      <c r="X484" s="25">
        <f t="shared" si="59"/>
        <v>502680.61500000005</v>
      </c>
      <c r="Y484" s="1">
        <f t="shared" si="60"/>
        <v>4618.9400000000005</v>
      </c>
      <c r="Z484" s="1">
        <f t="shared" si="61"/>
        <v>4716.9500000000007</v>
      </c>
      <c r="AA484" s="1">
        <v>4770.2299999999996</v>
      </c>
      <c r="AB484" s="1">
        <f t="shared" si="56"/>
        <v>-151.28999999999905</v>
      </c>
      <c r="AC484" s="29">
        <f t="shared" si="62"/>
        <v>53.279999999998836</v>
      </c>
      <c r="AD484" s="11">
        <f t="shared" si="63"/>
        <v>3255218.6641500001</v>
      </c>
    </row>
    <row r="485" spans="1:31" x14ac:dyDescent="0.3">
      <c r="A485" s="14">
        <v>45935.010416666664</v>
      </c>
      <c r="B485" s="1">
        <v>1476.62</v>
      </c>
      <c r="C485" s="11">
        <v>3.2732000000000001</v>
      </c>
      <c r="D485" s="1">
        <v>776.29</v>
      </c>
      <c r="E485" s="11">
        <v>3.0760000000000001</v>
      </c>
      <c r="F485" s="1">
        <v>407.89</v>
      </c>
      <c r="G485" s="11">
        <v>3.53</v>
      </c>
      <c r="H485" s="1">
        <v>-205.46</v>
      </c>
      <c r="I485" s="11">
        <v>7.5025000000000004</v>
      </c>
      <c r="J485" s="1">
        <v>321.89999999999998</v>
      </c>
      <c r="K485" s="11">
        <v>5.1997099999999996</v>
      </c>
      <c r="L485" s="1">
        <v>0</v>
      </c>
      <c r="M485" s="11">
        <v>6.2</v>
      </c>
      <c r="N485" s="1">
        <v>9.6</v>
      </c>
      <c r="O485" s="11">
        <v>2.8224999999999998</v>
      </c>
      <c r="P485" s="1">
        <f t="shared" si="57"/>
        <v>2786.8399999999997</v>
      </c>
      <c r="Q485" s="1">
        <v>3015.9</v>
      </c>
      <c r="R485" s="16">
        <f t="shared" si="58"/>
        <v>2205102.8307499997</v>
      </c>
      <c r="S485" s="20">
        <v>1605.37</v>
      </c>
      <c r="T485" s="21">
        <v>0.22999999999999998</v>
      </c>
      <c r="U485" s="21">
        <v>11.049999999999999</v>
      </c>
      <c r="V485" s="8">
        <v>1616.6499999999999</v>
      </c>
      <c r="W485" s="25">
        <v>1.238</v>
      </c>
      <c r="X485" s="25">
        <f t="shared" si="59"/>
        <v>500353.17499999999</v>
      </c>
      <c r="Y485" s="1">
        <f t="shared" si="60"/>
        <v>4403.49</v>
      </c>
      <c r="Z485" s="1">
        <f t="shared" si="61"/>
        <v>4632.55</v>
      </c>
      <c r="AA485" s="1">
        <v>4689.28</v>
      </c>
      <c r="AB485" s="1">
        <f t="shared" si="56"/>
        <v>-285.78999999999996</v>
      </c>
      <c r="AC485" s="29">
        <f t="shared" si="62"/>
        <v>56.729999999999563</v>
      </c>
      <c r="AD485" s="11">
        <f t="shared" si="63"/>
        <v>2705456.0057499995</v>
      </c>
    </row>
    <row r="486" spans="1:31" x14ac:dyDescent="0.3">
      <c r="A486" s="14">
        <v>45935.020833333336</v>
      </c>
      <c r="B486" s="1">
        <v>1476.62</v>
      </c>
      <c r="C486" s="11">
        <v>3.2732000000000001</v>
      </c>
      <c r="D486" s="1">
        <v>776.29</v>
      </c>
      <c r="E486" s="11">
        <v>3.0760000000000001</v>
      </c>
      <c r="F486" s="1">
        <v>407.89</v>
      </c>
      <c r="G486" s="11">
        <v>3.53</v>
      </c>
      <c r="H486" s="1">
        <v>-109.01</v>
      </c>
      <c r="I486" s="11">
        <v>5.0758900000000002</v>
      </c>
      <c r="J486" s="1">
        <v>160.94999999999999</v>
      </c>
      <c r="K486" s="11">
        <v>4.6869100000000001</v>
      </c>
      <c r="L486" s="1">
        <v>0</v>
      </c>
      <c r="M486" s="11">
        <v>6.2</v>
      </c>
      <c r="N486" s="1">
        <v>9.6</v>
      </c>
      <c r="O486" s="11">
        <v>2.8224999999999998</v>
      </c>
      <c r="P486" s="1">
        <f t="shared" si="57"/>
        <v>2722.3399999999992</v>
      </c>
      <c r="Q486" s="1">
        <v>2924.01</v>
      </c>
      <c r="R486" s="16">
        <f t="shared" si="58"/>
        <v>2222280.9298999994</v>
      </c>
      <c r="S486" s="20">
        <v>1604.37</v>
      </c>
      <c r="T486" s="21">
        <v>0.22999999999999998</v>
      </c>
      <c r="U486" s="21">
        <v>10.17</v>
      </c>
      <c r="V486" s="8">
        <v>1614.77</v>
      </c>
      <c r="W486" s="25">
        <v>1.238</v>
      </c>
      <c r="X486" s="25">
        <f t="shared" si="59"/>
        <v>499771.315</v>
      </c>
      <c r="Y486" s="1">
        <f t="shared" si="60"/>
        <v>4337.1099999999988</v>
      </c>
      <c r="Z486" s="1">
        <f t="shared" si="61"/>
        <v>4538.7800000000007</v>
      </c>
      <c r="AA486" s="1">
        <v>4594.7700000000004</v>
      </c>
      <c r="AB486" s="1">
        <f t="shared" si="56"/>
        <v>-257.66000000000167</v>
      </c>
      <c r="AC486" s="29">
        <f t="shared" si="62"/>
        <v>55.989999999999782</v>
      </c>
      <c r="AD486" s="11">
        <f t="shared" si="63"/>
        <v>2722052.2448999994</v>
      </c>
    </row>
    <row r="487" spans="1:31" x14ac:dyDescent="0.3">
      <c r="A487" s="14">
        <v>45935.03125</v>
      </c>
      <c r="B487" s="1">
        <v>1477.9</v>
      </c>
      <c r="C487" s="11">
        <v>3.2732000000000001</v>
      </c>
      <c r="D487" s="1">
        <v>776.29</v>
      </c>
      <c r="E487" s="11">
        <v>3.0760000000000001</v>
      </c>
      <c r="F487" s="1">
        <v>407.89</v>
      </c>
      <c r="G487" s="11">
        <v>3.53</v>
      </c>
      <c r="H487" s="1">
        <v>-101.9</v>
      </c>
      <c r="I487" s="11">
        <v>4.7910600000000008</v>
      </c>
      <c r="J487" s="1">
        <v>88.19</v>
      </c>
      <c r="K487" s="11">
        <v>4.4500299999999999</v>
      </c>
      <c r="L487" s="1">
        <v>0</v>
      </c>
      <c r="M487" s="11">
        <v>6.2</v>
      </c>
      <c r="N487" s="1">
        <v>9.6</v>
      </c>
      <c r="O487" s="11">
        <v>2.8224999999999998</v>
      </c>
      <c r="P487" s="1">
        <f t="shared" si="57"/>
        <v>2657.97</v>
      </c>
      <c r="Q487" s="1">
        <v>2862.15</v>
      </c>
      <c r="R487" s="16">
        <f t="shared" si="58"/>
        <v>2149129.2879249998</v>
      </c>
      <c r="S487" s="20">
        <v>1591.0300000000002</v>
      </c>
      <c r="T487" s="21">
        <v>0.22999999999999998</v>
      </c>
      <c r="U487" s="21">
        <v>9.35</v>
      </c>
      <c r="V487" s="8">
        <v>1600.6100000000001</v>
      </c>
      <c r="W487" s="25">
        <v>1.238</v>
      </c>
      <c r="X487" s="25">
        <f t="shared" si="59"/>
        <v>495388.79500000004</v>
      </c>
      <c r="Y487" s="1">
        <f t="shared" si="60"/>
        <v>4258.58</v>
      </c>
      <c r="Z487" s="1">
        <f t="shared" si="61"/>
        <v>4462.76</v>
      </c>
      <c r="AA487" s="1">
        <v>4520.59</v>
      </c>
      <c r="AB487" s="1">
        <f t="shared" si="56"/>
        <v>-262.01000000000022</v>
      </c>
      <c r="AC487" s="29">
        <f t="shared" si="62"/>
        <v>57.829999999999927</v>
      </c>
      <c r="AD487" s="11">
        <f t="shared" si="63"/>
        <v>2644518.0829249998</v>
      </c>
    </row>
    <row r="488" spans="1:31" x14ac:dyDescent="0.3">
      <c r="A488" s="14">
        <v>45935.041666666664</v>
      </c>
      <c r="B488" s="1">
        <v>1479.35</v>
      </c>
      <c r="C488" s="11">
        <v>3.2732000000000001</v>
      </c>
      <c r="D488" s="1">
        <v>776.29</v>
      </c>
      <c r="E488" s="11">
        <v>3.0760000000000001</v>
      </c>
      <c r="F488" s="1">
        <v>407.89</v>
      </c>
      <c r="G488" s="11">
        <v>3.53</v>
      </c>
      <c r="H488" s="1">
        <v>-101.9</v>
      </c>
      <c r="I488" s="11">
        <v>4.5916800000000002</v>
      </c>
      <c r="J488" s="1">
        <v>92.1</v>
      </c>
      <c r="K488" s="11">
        <v>4.5005899999999999</v>
      </c>
      <c r="L488" s="1">
        <v>0</v>
      </c>
      <c r="M488" s="11">
        <v>6.2</v>
      </c>
      <c r="N488" s="1">
        <v>9.6</v>
      </c>
      <c r="O488" s="11">
        <v>2.8224999999999998</v>
      </c>
      <c r="P488" s="1">
        <f t="shared" si="57"/>
        <v>2663.3299999999995</v>
      </c>
      <c r="Q488" s="1">
        <v>2799.01</v>
      </c>
      <c r="R488" s="16">
        <f t="shared" si="58"/>
        <v>2160909.0767499995</v>
      </c>
      <c r="S488" s="20">
        <v>1577.15</v>
      </c>
      <c r="T488" s="21">
        <v>0.22000000000000003</v>
      </c>
      <c r="U488" s="21">
        <v>10.239999999999998</v>
      </c>
      <c r="V488" s="8">
        <v>1587.6100000000001</v>
      </c>
      <c r="W488" s="25">
        <v>1.238</v>
      </c>
      <c r="X488" s="25">
        <f t="shared" si="59"/>
        <v>491365.29500000004</v>
      </c>
      <c r="Y488" s="1">
        <f t="shared" si="60"/>
        <v>4250.9399999999996</v>
      </c>
      <c r="Z488" s="1">
        <f t="shared" si="61"/>
        <v>4386.6200000000008</v>
      </c>
      <c r="AA488" s="1">
        <v>4443.3</v>
      </c>
      <c r="AB488" s="1">
        <f t="shared" si="56"/>
        <v>-192.36000000000058</v>
      </c>
      <c r="AC488" s="29">
        <f t="shared" si="62"/>
        <v>56.679999999999382</v>
      </c>
      <c r="AD488" s="11">
        <f t="shared" si="63"/>
        <v>2652274.3717499995</v>
      </c>
    </row>
    <row r="489" spans="1:31" x14ac:dyDescent="0.3">
      <c r="A489" s="14">
        <v>45935.052083333336</v>
      </c>
      <c r="B489" s="1">
        <v>1480.91</v>
      </c>
      <c r="C489" s="11">
        <v>3.2732000000000001</v>
      </c>
      <c r="D489" s="1">
        <v>776.29</v>
      </c>
      <c r="E489" s="11">
        <v>3.0760000000000001</v>
      </c>
      <c r="F489" s="1">
        <v>407.89</v>
      </c>
      <c r="G489" s="11">
        <v>3.53</v>
      </c>
      <c r="H489" s="1">
        <v>-101.9</v>
      </c>
      <c r="I489" s="11">
        <v>4.4339899999999997</v>
      </c>
      <c r="J489" s="1">
        <v>65.64</v>
      </c>
      <c r="K489" s="11">
        <v>4.2830000000000004</v>
      </c>
      <c r="L489" s="1">
        <v>0</v>
      </c>
      <c r="M489" s="11">
        <v>6.2</v>
      </c>
      <c r="N489" s="1">
        <v>9.6</v>
      </c>
      <c r="O489" s="11">
        <v>2.8224999999999998</v>
      </c>
      <c r="P489" s="1">
        <f t="shared" si="57"/>
        <v>2638.4299999999994</v>
      </c>
      <c r="Q489" s="1">
        <v>2794.6</v>
      </c>
      <c r="R489" s="16">
        <f t="shared" si="58"/>
        <v>2132860.7227499993</v>
      </c>
      <c r="S489" s="20">
        <v>1507.24</v>
      </c>
      <c r="T489" s="21">
        <v>0.22000000000000003</v>
      </c>
      <c r="U489" s="21">
        <v>11.09</v>
      </c>
      <c r="V489" s="8">
        <v>1518.55</v>
      </c>
      <c r="W489" s="25">
        <v>1.238</v>
      </c>
      <c r="X489" s="25">
        <f t="shared" si="59"/>
        <v>469991.22499999998</v>
      </c>
      <c r="Y489" s="1">
        <f t="shared" si="60"/>
        <v>4156.9799999999996</v>
      </c>
      <c r="Z489" s="1">
        <f t="shared" si="61"/>
        <v>4313.1499999999996</v>
      </c>
      <c r="AA489" s="1">
        <v>4371.87</v>
      </c>
      <c r="AB489" s="1">
        <f t="shared" si="56"/>
        <v>-214.89000000000033</v>
      </c>
      <c r="AC489" s="29">
        <f t="shared" si="62"/>
        <v>58.720000000000255</v>
      </c>
      <c r="AD489" s="11">
        <f t="shared" si="63"/>
        <v>2602851.9477499994</v>
      </c>
    </row>
    <row r="490" spans="1:31" x14ac:dyDescent="0.3">
      <c r="A490" s="14">
        <v>45935.0625</v>
      </c>
      <c r="B490" s="1">
        <v>1480.46</v>
      </c>
      <c r="C490" s="11">
        <v>3.2732000000000001</v>
      </c>
      <c r="D490" s="1">
        <v>776.29</v>
      </c>
      <c r="E490" s="11">
        <v>3.0760000000000001</v>
      </c>
      <c r="F490" s="1">
        <v>407.89</v>
      </c>
      <c r="G490" s="11">
        <v>3.53</v>
      </c>
      <c r="H490" s="1">
        <v>-101.9</v>
      </c>
      <c r="I490" s="11">
        <v>4.4333299999999998</v>
      </c>
      <c r="J490" s="1">
        <v>181.03</v>
      </c>
      <c r="K490" s="11">
        <v>3.73014</v>
      </c>
      <c r="L490" s="1">
        <v>0</v>
      </c>
      <c r="M490" s="11">
        <v>6.2</v>
      </c>
      <c r="N490" s="1">
        <v>9.6</v>
      </c>
      <c r="O490" s="11">
        <v>2.8224999999999998</v>
      </c>
      <c r="P490" s="1">
        <f t="shared" si="57"/>
        <v>2753.37</v>
      </c>
      <c r="Q490" s="1">
        <v>2855.54</v>
      </c>
      <c r="R490" s="16">
        <f t="shared" si="58"/>
        <v>2231042.0822999999</v>
      </c>
      <c r="S490" s="20">
        <v>1353.26</v>
      </c>
      <c r="T490" s="21">
        <v>0.22000000000000003</v>
      </c>
      <c r="U490" s="21">
        <v>11.06</v>
      </c>
      <c r="V490" s="8">
        <v>1364.54</v>
      </c>
      <c r="W490" s="25">
        <v>1.238</v>
      </c>
      <c r="X490" s="25">
        <f t="shared" si="59"/>
        <v>422325.13</v>
      </c>
      <c r="Y490" s="1">
        <f t="shared" si="60"/>
        <v>4117.91</v>
      </c>
      <c r="Z490" s="1">
        <f t="shared" si="61"/>
        <v>4220.08</v>
      </c>
      <c r="AA490" s="1">
        <v>4282.97</v>
      </c>
      <c r="AB490" s="1">
        <f t="shared" si="56"/>
        <v>-165.0600000000004</v>
      </c>
      <c r="AC490" s="29">
        <f t="shared" si="62"/>
        <v>62.890000000000327</v>
      </c>
      <c r="AD490" s="11">
        <f t="shared" si="63"/>
        <v>2653367.2122999998</v>
      </c>
    </row>
    <row r="491" spans="1:31" x14ac:dyDescent="0.3">
      <c r="A491" s="14">
        <v>45935.072916666664</v>
      </c>
      <c r="B491" s="1">
        <v>1481.49</v>
      </c>
      <c r="C491" s="11">
        <v>3.2732000000000001</v>
      </c>
      <c r="D491" s="1">
        <v>776.29</v>
      </c>
      <c r="E491" s="11">
        <v>3.0760000000000001</v>
      </c>
      <c r="F491" s="1">
        <v>407.89</v>
      </c>
      <c r="G491" s="11">
        <v>3.53</v>
      </c>
      <c r="H491" s="1">
        <v>-101.9</v>
      </c>
      <c r="I491" s="11">
        <v>4.4091400000000007</v>
      </c>
      <c r="J491" s="1">
        <v>144.22</v>
      </c>
      <c r="K491" s="11">
        <v>3.6406999999999998</v>
      </c>
      <c r="L491" s="1">
        <v>0</v>
      </c>
      <c r="M491" s="11">
        <v>6.2</v>
      </c>
      <c r="N491" s="1">
        <v>9.6</v>
      </c>
      <c r="O491" s="11">
        <v>2.8224999999999998</v>
      </c>
      <c r="P491" s="1">
        <f t="shared" si="57"/>
        <v>2717.5899999999992</v>
      </c>
      <c r="Q491" s="1">
        <v>2860.77</v>
      </c>
      <c r="R491" s="16">
        <f t="shared" si="58"/>
        <v>2194949.7990000001</v>
      </c>
      <c r="S491" s="20">
        <v>1285.7599999999998</v>
      </c>
      <c r="T491" s="21">
        <v>0.22000000000000003</v>
      </c>
      <c r="U491" s="21">
        <v>10.950000000000001</v>
      </c>
      <c r="V491" s="8">
        <v>1296.9299999999998</v>
      </c>
      <c r="W491" s="25">
        <v>1.238</v>
      </c>
      <c r="X491" s="25">
        <f t="shared" si="59"/>
        <v>401399.83499999996</v>
      </c>
      <c r="Y491" s="1">
        <f t="shared" si="60"/>
        <v>4014.5199999999991</v>
      </c>
      <c r="Z491" s="1">
        <f t="shared" si="61"/>
        <v>4157.7</v>
      </c>
      <c r="AA491" s="1">
        <v>4214.95</v>
      </c>
      <c r="AB491" s="1">
        <f t="shared" si="56"/>
        <v>-200.43000000000075</v>
      </c>
      <c r="AC491" s="29">
        <f t="shared" si="62"/>
        <v>57.25</v>
      </c>
      <c r="AD491" s="11">
        <f t="shared" si="63"/>
        <v>2596349.6340000001</v>
      </c>
    </row>
    <row r="492" spans="1:31" x14ac:dyDescent="0.3">
      <c r="A492" s="14">
        <v>45935.083333333336</v>
      </c>
      <c r="B492" s="1">
        <v>1481.75</v>
      </c>
      <c r="C492" s="11">
        <v>3.2732000000000001</v>
      </c>
      <c r="D492" s="1">
        <v>776.29</v>
      </c>
      <c r="E492" s="11">
        <v>3.0760000000000001</v>
      </c>
      <c r="F492" s="1">
        <v>399.22</v>
      </c>
      <c r="G492" s="11">
        <v>3.53</v>
      </c>
      <c r="H492" s="1">
        <v>-101.9</v>
      </c>
      <c r="I492" s="11">
        <v>4.2556799999999999</v>
      </c>
      <c r="J492" s="1">
        <v>231.19</v>
      </c>
      <c r="K492" s="11">
        <v>3.9999799999999999</v>
      </c>
      <c r="L492" s="1">
        <v>0</v>
      </c>
      <c r="M492" s="11">
        <v>6.2</v>
      </c>
      <c r="N492" s="1">
        <v>9.6</v>
      </c>
      <c r="O492" s="11">
        <v>2.8224999999999998</v>
      </c>
      <c r="P492" s="1">
        <f t="shared" si="57"/>
        <v>2796.15</v>
      </c>
      <c r="Q492" s="1">
        <v>2923.97</v>
      </c>
      <c r="R492" s="16">
        <f t="shared" si="58"/>
        <v>2291344.0810500006</v>
      </c>
      <c r="S492" s="20">
        <v>1168.7499999999998</v>
      </c>
      <c r="T492" s="21">
        <v>0.22999999999999998</v>
      </c>
      <c r="U492" s="21">
        <v>11.65</v>
      </c>
      <c r="V492" s="8">
        <v>1180.6299999999999</v>
      </c>
      <c r="W492" s="25">
        <v>1.238</v>
      </c>
      <c r="X492" s="25">
        <f t="shared" si="59"/>
        <v>365404.98499999993</v>
      </c>
      <c r="Y492" s="1">
        <f t="shared" si="60"/>
        <v>3976.7799999999997</v>
      </c>
      <c r="Z492" s="1">
        <f t="shared" si="61"/>
        <v>4104.5999999999995</v>
      </c>
      <c r="AA492" s="1">
        <v>4163.8100000000004</v>
      </c>
      <c r="AB492" s="1">
        <f t="shared" si="56"/>
        <v>-187.03000000000065</v>
      </c>
      <c r="AC492" s="29">
        <f t="shared" si="62"/>
        <v>59.210000000000946</v>
      </c>
      <c r="AD492" s="11">
        <f t="shared" si="63"/>
        <v>2656749.0660500005</v>
      </c>
    </row>
    <row r="493" spans="1:31" x14ac:dyDescent="0.3">
      <c r="A493" s="14">
        <v>45935.09375</v>
      </c>
      <c r="B493" s="1">
        <v>1482.84</v>
      </c>
      <c r="C493" s="11">
        <v>3.2732000000000001</v>
      </c>
      <c r="D493" s="1">
        <v>776.29</v>
      </c>
      <c r="E493" s="11">
        <v>3.0760000000000001</v>
      </c>
      <c r="F493" s="1">
        <v>398.57</v>
      </c>
      <c r="G493" s="11">
        <v>3.53</v>
      </c>
      <c r="H493" s="1">
        <v>-101.9</v>
      </c>
      <c r="I493" s="11">
        <v>4.2500900000000001</v>
      </c>
      <c r="J493" s="1">
        <v>237.52</v>
      </c>
      <c r="K493" s="11">
        <v>3.9994499999999999</v>
      </c>
      <c r="L493" s="1">
        <v>0</v>
      </c>
      <c r="M493" s="11">
        <v>6.2</v>
      </c>
      <c r="N493" s="1">
        <v>9.6</v>
      </c>
      <c r="O493" s="11">
        <v>2.8224999999999998</v>
      </c>
      <c r="P493" s="1">
        <f t="shared" si="57"/>
        <v>2802.92</v>
      </c>
      <c r="Q493" s="1">
        <v>2856.06</v>
      </c>
      <c r="R493" s="16">
        <f t="shared" si="58"/>
        <v>2298103.3052499997</v>
      </c>
      <c r="S493" s="20">
        <v>1184.3900000000001</v>
      </c>
      <c r="T493" s="21">
        <v>0.22999999999999998</v>
      </c>
      <c r="U493" s="21">
        <v>11.9</v>
      </c>
      <c r="V493" s="8">
        <v>1196.5200000000002</v>
      </c>
      <c r="W493" s="25">
        <v>1.238</v>
      </c>
      <c r="X493" s="25">
        <f t="shared" si="59"/>
        <v>370322.94000000006</v>
      </c>
      <c r="Y493" s="1">
        <f t="shared" si="60"/>
        <v>3999.4400000000005</v>
      </c>
      <c r="Z493" s="1">
        <f t="shared" si="61"/>
        <v>4052.58</v>
      </c>
      <c r="AA493" s="1">
        <v>4109.2</v>
      </c>
      <c r="AB493" s="1">
        <f t="shared" si="56"/>
        <v>-109.75999999999931</v>
      </c>
      <c r="AC493" s="29">
        <f t="shared" si="62"/>
        <v>56.619999999999891</v>
      </c>
      <c r="AD493" s="11">
        <f t="shared" si="63"/>
        <v>2668426.2452499997</v>
      </c>
    </row>
    <row r="494" spans="1:31" x14ac:dyDescent="0.3">
      <c r="A494" s="14">
        <v>45935.104166666664</v>
      </c>
      <c r="B494" s="1">
        <v>1484.16</v>
      </c>
      <c r="C494" s="11">
        <v>3.2732000000000001</v>
      </c>
      <c r="D494" s="1">
        <v>776.29</v>
      </c>
      <c r="E494" s="11">
        <v>3.0760000000000001</v>
      </c>
      <c r="F494" s="1">
        <v>398.57</v>
      </c>
      <c r="G494" s="11">
        <v>3.53</v>
      </c>
      <c r="H494" s="1">
        <v>-101.9</v>
      </c>
      <c r="I494" s="11">
        <v>4.1001899999999996</v>
      </c>
      <c r="J494" s="1">
        <v>237.52</v>
      </c>
      <c r="K494" s="11">
        <v>3.9942199999999999</v>
      </c>
      <c r="L494" s="1">
        <v>0</v>
      </c>
      <c r="M494" s="11">
        <v>6.2</v>
      </c>
      <c r="N494" s="1">
        <v>23.63</v>
      </c>
      <c r="O494" s="11">
        <v>2.8224999999999998</v>
      </c>
      <c r="P494" s="1">
        <f t="shared" si="57"/>
        <v>2818.27</v>
      </c>
      <c r="Q494" s="1">
        <v>2759.41</v>
      </c>
      <c r="R494" s="16">
        <f t="shared" si="58"/>
        <v>2312591.5251000007</v>
      </c>
      <c r="S494" s="20">
        <v>1227.19</v>
      </c>
      <c r="T494" s="21">
        <v>0.22999999999999998</v>
      </c>
      <c r="U494" s="21">
        <v>11.020000000000001</v>
      </c>
      <c r="V494" s="8">
        <v>1238.44</v>
      </c>
      <c r="W494" s="25">
        <v>1.238</v>
      </c>
      <c r="X494" s="25">
        <f t="shared" si="59"/>
        <v>383297.18000000005</v>
      </c>
      <c r="Y494" s="1">
        <f t="shared" si="60"/>
        <v>4056.71</v>
      </c>
      <c r="Z494" s="1">
        <f t="shared" si="61"/>
        <v>3997.85</v>
      </c>
      <c r="AA494" s="1">
        <v>4053.3</v>
      </c>
      <c r="AB494" s="1">
        <f t="shared" si="56"/>
        <v>3.4099999999998545</v>
      </c>
      <c r="AC494" s="29">
        <f t="shared" si="62"/>
        <v>55.450000000000273</v>
      </c>
      <c r="AD494" s="11">
        <f t="shared" si="63"/>
        <v>2695888.7051000008</v>
      </c>
    </row>
    <row r="495" spans="1:31" x14ac:dyDescent="0.3">
      <c r="A495" s="14">
        <v>45935.114583333336</v>
      </c>
      <c r="B495" s="1">
        <v>1484.43</v>
      </c>
      <c r="C495" s="11">
        <v>3.2732000000000001</v>
      </c>
      <c r="D495" s="1">
        <v>776.29</v>
      </c>
      <c r="E495" s="11">
        <v>3.0760000000000001</v>
      </c>
      <c r="F495" s="1">
        <v>398.57</v>
      </c>
      <c r="G495" s="11">
        <v>3.53</v>
      </c>
      <c r="H495" s="1">
        <v>-101.9</v>
      </c>
      <c r="I495" s="11">
        <v>4.00054</v>
      </c>
      <c r="J495" s="1">
        <v>192.37</v>
      </c>
      <c r="K495" s="11">
        <v>3.8801999999999999</v>
      </c>
      <c r="L495" s="1">
        <v>0</v>
      </c>
      <c r="M495" s="11">
        <v>6.2</v>
      </c>
      <c r="N495" s="1">
        <v>23.76</v>
      </c>
      <c r="O495" s="11">
        <v>2.8224999999999998</v>
      </c>
      <c r="P495" s="1">
        <f t="shared" si="57"/>
        <v>2773.5200000000004</v>
      </c>
      <c r="Q495" s="1">
        <v>2750.13</v>
      </c>
      <c r="R495" s="16">
        <f t="shared" si="58"/>
        <v>2264874.5159999998</v>
      </c>
      <c r="S495" s="20">
        <v>1210.8699999999999</v>
      </c>
      <c r="T495" s="21">
        <v>0.22999999999999998</v>
      </c>
      <c r="U495" s="21">
        <v>10.32</v>
      </c>
      <c r="V495" s="8">
        <v>1221.4199999999998</v>
      </c>
      <c r="W495" s="25">
        <v>1.238</v>
      </c>
      <c r="X495" s="25">
        <f t="shared" si="59"/>
        <v>378029.48999999993</v>
      </c>
      <c r="Y495" s="1">
        <f t="shared" si="60"/>
        <v>3994.9400000000005</v>
      </c>
      <c r="Z495" s="1">
        <f t="shared" si="61"/>
        <v>3971.55</v>
      </c>
      <c r="AA495" s="1">
        <v>4013.17</v>
      </c>
      <c r="AB495" s="1">
        <f t="shared" si="56"/>
        <v>-18.229999999999563</v>
      </c>
      <c r="AC495" s="29">
        <f t="shared" si="62"/>
        <v>41.619999999999891</v>
      </c>
      <c r="AD495" s="11">
        <f t="shared" si="63"/>
        <v>2642904.0059999996</v>
      </c>
    </row>
    <row r="496" spans="1:31" x14ac:dyDescent="0.3">
      <c r="A496" s="14">
        <v>45935.125</v>
      </c>
      <c r="B496" s="1">
        <v>1485.51</v>
      </c>
      <c r="C496" s="11">
        <v>3.2732000000000001</v>
      </c>
      <c r="D496" s="1">
        <v>1146.52</v>
      </c>
      <c r="E496" s="11">
        <v>3.0760000000000001</v>
      </c>
      <c r="F496" s="1">
        <v>28.34</v>
      </c>
      <c r="G496" s="11">
        <v>3.53</v>
      </c>
      <c r="H496" s="1">
        <v>-101.9</v>
      </c>
      <c r="I496" s="11">
        <v>4.1001700000000003</v>
      </c>
      <c r="J496" s="1">
        <v>189.26</v>
      </c>
      <c r="K496" s="11">
        <v>2.80044</v>
      </c>
      <c r="L496" s="1">
        <v>0</v>
      </c>
      <c r="M496" s="11">
        <v>6.2</v>
      </c>
      <c r="N496" s="1">
        <v>23.14</v>
      </c>
      <c r="O496" s="11">
        <v>2.8224999999999998</v>
      </c>
      <c r="P496" s="1">
        <f t="shared" si="57"/>
        <v>2770.8699999999994</v>
      </c>
      <c r="Q496" s="1">
        <v>2742.78</v>
      </c>
      <c r="R496" s="16">
        <f t="shared" si="58"/>
        <v>2166655.91335</v>
      </c>
      <c r="S496" s="20">
        <v>1216.3599999999997</v>
      </c>
      <c r="T496" s="21">
        <v>0.22999999999999998</v>
      </c>
      <c r="U496" s="21">
        <v>8.42</v>
      </c>
      <c r="V496" s="8">
        <v>1225.0099999999998</v>
      </c>
      <c r="W496" s="25">
        <v>1.238</v>
      </c>
      <c r="X496" s="25">
        <f t="shared" si="59"/>
        <v>379140.59499999991</v>
      </c>
      <c r="Y496" s="1">
        <f t="shared" si="60"/>
        <v>3995.8799999999992</v>
      </c>
      <c r="Z496" s="1">
        <f t="shared" si="61"/>
        <v>3967.79</v>
      </c>
      <c r="AA496" s="1">
        <v>3978.47</v>
      </c>
      <c r="AB496" s="1">
        <f t="shared" si="56"/>
        <v>17.4099999999994</v>
      </c>
      <c r="AC496" s="29">
        <f t="shared" si="62"/>
        <v>10.679999999999836</v>
      </c>
      <c r="AD496" s="11">
        <f t="shared" si="63"/>
        <v>2545796.5083499998</v>
      </c>
    </row>
    <row r="497" spans="1:30" x14ac:dyDescent="0.3">
      <c r="A497" s="14">
        <v>45935.135416666664</v>
      </c>
      <c r="B497" s="1">
        <v>1485.77</v>
      </c>
      <c r="C497" s="11">
        <v>3.2732000000000001</v>
      </c>
      <c r="D497" s="1">
        <v>1174.8599999999999</v>
      </c>
      <c r="E497" s="11">
        <v>3.0760000000000001</v>
      </c>
      <c r="F497" s="1">
        <v>0</v>
      </c>
      <c r="G497" s="11">
        <v>3.53</v>
      </c>
      <c r="H497" s="1">
        <v>-101.9</v>
      </c>
      <c r="I497" s="11">
        <v>3.9496100000000003</v>
      </c>
      <c r="J497" s="1">
        <v>135.07</v>
      </c>
      <c r="K497" s="11">
        <v>2.8003499999999999</v>
      </c>
      <c r="L497" s="1">
        <v>0</v>
      </c>
      <c r="M497" s="11">
        <v>6.2</v>
      </c>
      <c r="N497" s="1">
        <v>22.26</v>
      </c>
      <c r="O497" s="11">
        <v>2.8224999999999998</v>
      </c>
      <c r="P497" s="1">
        <f t="shared" si="57"/>
        <v>2716.0600000000004</v>
      </c>
      <c r="Q497" s="1">
        <v>2685.48</v>
      </c>
      <c r="R497" s="16">
        <f t="shared" si="58"/>
        <v>2128924.6473750002</v>
      </c>
      <c r="S497" s="20">
        <v>1215.2</v>
      </c>
      <c r="T497" s="21">
        <v>0.22999999999999998</v>
      </c>
      <c r="U497" s="21">
        <v>6.38</v>
      </c>
      <c r="V497" s="8">
        <v>1221.8100000000002</v>
      </c>
      <c r="W497" s="25">
        <v>1.238</v>
      </c>
      <c r="X497" s="25">
        <f t="shared" si="59"/>
        <v>378150.19500000007</v>
      </c>
      <c r="Y497" s="1">
        <f t="shared" si="60"/>
        <v>3937.8700000000008</v>
      </c>
      <c r="Z497" s="1">
        <f t="shared" si="61"/>
        <v>3907.29</v>
      </c>
      <c r="AA497" s="1">
        <v>3919.65</v>
      </c>
      <c r="AB497" s="1">
        <f t="shared" si="56"/>
        <v>18.220000000000709</v>
      </c>
      <c r="AC497" s="29">
        <f t="shared" si="62"/>
        <v>12.360000000000127</v>
      </c>
      <c r="AD497" s="11">
        <f t="shared" si="63"/>
        <v>2507074.842375</v>
      </c>
    </row>
    <row r="498" spans="1:30" x14ac:dyDescent="0.3">
      <c r="A498" s="14">
        <v>45935.145833333336</v>
      </c>
      <c r="B498" s="1">
        <v>1485.78</v>
      </c>
      <c r="C498" s="11">
        <v>3.2732000000000001</v>
      </c>
      <c r="D498" s="1">
        <v>1174.8599999999999</v>
      </c>
      <c r="E498" s="11">
        <v>3.0760000000000001</v>
      </c>
      <c r="F498" s="1">
        <v>0</v>
      </c>
      <c r="G498" s="11">
        <v>3.53</v>
      </c>
      <c r="H498" s="1">
        <v>-101.9</v>
      </c>
      <c r="I498" s="11">
        <v>3.8008800000000003</v>
      </c>
      <c r="J498" s="1">
        <v>95.26</v>
      </c>
      <c r="K498" s="11">
        <v>3.6107</v>
      </c>
      <c r="L498" s="1">
        <v>0</v>
      </c>
      <c r="M498" s="11">
        <v>6.2</v>
      </c>
      <c r="N498" s="1">
        <v>16.87</v>
      </c>
      <c r="O498" s="11">
        <v>2.8224999999999998</v>
      </c>
      <c r="P498" s="1">
        <f t="shared" si="57"/>
        <v>2670.87</v>
      </c>
      <c r="Q498" s="1">
        <v>2669.43</v>
      </c>
      <c r="R498" s="16">
        <f t="shared" si="58"/>
        <v>2120346.4102499997</v>
      </c>
      <c r="S498" s="20">
        <v>1210.1199999999999</v>
      </c>
      <c r="T498" s="21">
        <v>0.22999999999999998</v>
      </c>
      <c r="U498" s="21">
        <v>5.07</v>
      </c>
      <c r="V498" s="8">
        <v>1215.4199999999998</v>
      </c>
      <c r="W498" s="25">
        <v>1.238</v>
      </c>
      <c r="X498" s="25">
        <f t="shared" si="59"/>
        <v>376172.48999999993</v>
      </c>
      <c r="Y498" s="1">
        <f t="shared" si="60"/>
        <v>3886.29</v>
      </c>
      <c r="Z498" s="1">
        <f t="shared" si="61"/>
        <v>3884.8499999999995</v>
      </c>
      <c r="AA498" s="1">
        <v>3892.46</v>
      </c>
      <c r="AB498" s="1">
        <f t="shared" si="56"/>
        <v>-6.1700000000000728</v>
      </c>
      <c r="AC498" s="29">
        <f t="shared" si="62"/>
        <v>7.6100000000005821</v>
      </c>
      <c r="AD498" s="11">
        <f t="shared" si="63"/>
        <v>2496518.9002499995</v>
      </c>
    </row>
    <row r="499" spans="1:30" x14ac:dyDescent="0.3">
      <c r="A499" s="14">
        <v>45935.15625</v>
      </c>
      <c r="B499" s="1">
        <v>1485.78</v>
      </c>
      <c r="C499" s="11">
        <v>3.2732000000000001</v>
      </c>
      <c r="D499" s="1">
        <v>1174.8599999999999</v>
      </c>
      <c r="E499" s="11">
        <v>3.0760000000000001</v>
      </c>
      <c r="F499" s="1">
        <v>0</v>
      </c>
      <c r="G499" s="11">
        <v>3.53</v>
      </c>
      <c r="H499" s="1">
        <v>-101.9</v>
      </c>
      <c r="I499" s="11">
        <v>3.6103100000000001</v>
      </c>
      <c r="J499" s="1">
        <v>47.57</v>
      </c>
      <c r="K499" s="11">
        <v>3.7500399999999998</v>
      </c>
      <c r="L499" s="1">
        <v>0</v>
      </c>
      <c r="M499" s="11">
        <v>6.2</v>
      </c>
      <c r="N499" s="1">
        <v>15.94</v>
      </c>
      <c r="O499" s="11">
        <v>2.8224999999999998</v>
      </c>
      <c r="P499" s="1">
        <f t="shared" si="57"/>
        <v>2622.25</v>
      </c>
      <c r="Q499" s="1">
        <v>2623.93</v>
      </c>
      <c r="R499" s="16">
        <f t="shared" si="58"/>
        <v>2083153.4799500001</v>
      </c>
      <c r="S499" s="20">
        <v>1231.0999999999999</v>
      </c>
      <c r="T499" s="21">
        <v>0.22999999999999998</v>
      </c>
      <c r="U499" s="21">
        <v>4.3600000000000003</v>
      </c>
      <c r="V499" s="8">
        <v>1235.6899999999998</v>
      </c>
      <c r="W499" s="25">
        <v>1.238</v>
      </c>
      <c r="X499" s="25">
        <f t="shared" si="59"/>
        <v>382446.05499999993</v>
      </c>
      <c r="Y499" s="1">
        <f t="shared" si="60"/>
        <v>3857.9399999999996</v>
      </c>
      <c r="Z499" s="1">
        <f t="shared" si="61"/>
        <v>3859.62</v>
      </c>
      <c r="AA499" s="1">
        <v>3867.16</v>
      </c>
      <c r="AB499" s="1">
        <f t="shared" si="56"/>
        <v>-9.2200000000002547</v>
      </c>
      <c r="AC499" s="29">
        <f t="shared" si="62"/>
        <v>7.5399999999999636</v>
      </c>
      <c r="AD499" s="11">
        <f t="shared" si="63"/>
        <v>2465599.5349500002</v>
      </c>
    </row>
    <row r="500" spans="1:30" x14ac:dyDescent="0.3">
      <c r="A500" s="14">
        <v>45935.166666666664</v>
      </c>
      <c r="B500" s="1">
        <v>1487.07</v>
      </c>
      <c r="C500" s="11">
        <v>3.2732000000000001</v>
      </c>
      <c r="D500" s="1">
        <v>1174.8599999999999</v>
      </c>
      <c r="E500" s="11">
        <v>3.0760000000000001</v>
      </c>
      <c r="F500" s="1">
        <v>0</v>
      </c>
      <c r="G500" s="11">
        <v>3.53</v>
      </c>
      <c r="H500" s="1">
        <v>-101.9</v>
      </c>
      <c r="I500" s="11">
        <v>3.9490599999999998</v>
      </c>
      <c r="J500" s="1">
        <v>44.46</v>
      </c>
      <c r="K500" s="11">
        <v>3.76959</v>
      </c>
      <c r="L500" s="1">
        <v>0</v>
      </c>
      <c r="M500" s="11">
        <v>6.2</v>
      </c>
      <c r="N500" s="1">
        <v>15.06</v>
      </c>
      <c r="O500" s="11">
        <v>2.8224999999999998</v>
      </c>
      <c r="P500" s="1">
        <f t="shared" si="57"/>
        <v>2619.5499999999997</v>
      </c>
      <c r="Q500" s="1">
        <v>2602.16</v>
      </c>
      <c r="R500" s="16">
        <f t="shared" si="58"/>
        <v>2072260.1228499992</v>
      </c>
      <c r="S500" s="20">
        <v>1211.7500000000002</v>
      </c>
      <c r="T500" s="21">
        <v>0.24</v>
      </c>
      <c r="U500" s="21">
        <v>3.1</v>
      </c>
      <c r="V500" s="8">
        <v>1215.0900000000001</v>
      </c>
      <c r="W500" s="25">
        <v>1.238</v>
      </c>
      <c r="X500" s="25">
        <f t="shared" si="59"/>
        <v>376070.35500000004</v>
      </c>
      <c r="Y500" s="1">
        <f t="shared" si="60"/>
        <v>3834.64</v>
      </c>
      <c r="Z500" s="1">
        <f t="shared" si="61"/>
        <v>3817.25</v>
      </c>
      <c r="AA500" s="1">
        <v>3828.12</v>
      </c>
      <c r="AB500" s="1">
        <f t="shared" si="56"/>
        <v>6.5199999999999818</v>
      </c>
      <c r="AC500" s="29">
        <f t="shared" si="62"/>
        <v>10.869999999999891</v>
      </c>
      <c r="AD500" s="11">
        <f t="shared" si="63"/>
        <v>2448330.4778499994</v>
      </c>
    </row>
    <row r="501" spans="1:30" x14ac:dyDescent="0.3">
      <c r="A501" s="14">
        <v>45935.177083333336</v>
      </c>
      <c r="B501" s="1">
        <v>1488.73</v>
      </c>
      <c r="C501" s="11">
        <v>3.2732000000000001</v>
      </c>
      <c r="D501" s="1">
        <v>1174.8599999999999</v>
      </c>
      <c r="E501" s="11">
        <v>3.0760000000000001</v>
      </c>
      <c r="F501" s="1">
        <v>0</v>
      </c>
      <c r="G501" s="11">
        <v>3.53</v>
      </c>
      <c r="H501" s="1">
        <v>-101.9</v>
      </c>
      <c r="I501" s="11">
        <v>3.80057</v>
      </c>
      <c r="J501" s="1">
        <v>44.46</v>
      </c>
      <c r="K501" s="11">
        <v>3.8792900000000001</v>
      </c>
      <c r="L501" s="1">
        <v>0</v>
      </c>
      <c r="M501" s="11">
        <v>6.2</v>
      </c>
      <c r="N501" s="1">
        <v>14.44</v>
      </c>
      <c r="O501" s="11">
        <v>2.8224999999999998</v>
      </c>
      <c r="P501" s="1">
        <f t="shared" si="57"/>
        <v>2620.59</v>
      </c>
      <c r="Q501" s="1">
        <v>2623.91</v>
      </c>
      <c r="R501" s="16">
        <f t="shared" si="58"/>
        <v>2078183.1115999999</v>
      </c>
      <c r="S501" s="20">
        <v>1177.96</v>
      </c>
      <c r="T501" s="21">
        <v>0.22999999999999998</v>
      </c>
      <c r="U501" s="21">
        <v>1.67</v>
      </c>
      <c r="V501" s="8">
        <v>1179.8600000000001</v>
      </c>
      <c r="W501" s="25">
        <v>1.238</v>
      </c>
      <c r="X501" s="25">
        <f t="shared" si="59"/>
        <v>365166.67</v>
      </c>
      <c r="Y501" s="1">
        <f t="shared" si="60"/>
        <v>3800.4500000000003</v>
      </c>
      <c r="Z501" s="1">
        <f t="shared" si="61"/>
        <v>3803.77</v>
      </c>
      <c r="AA501" s="1">
        <v>3811.02</v>
      </c>
      <c r="AB501" s="1">
        <f t="shared" si="56"/>
        <v>-10.569999999999709</v>
      </c>
      <c r="AC501" s="29">
        <f t="shared" si="62"/>
        <v>7.25</v>
      </c>
      <c r="AD501" s="11">
        <f t="shared" si="63"/>
        <v>2443349.7815999999</v>
      </c>
    </row>
    <row r="502" spans="1:30" x14ac:dyDescent="0.3">
      <c r="A502" s="14">
        <v>45935.1875</v>
      </c>
      <c r="B502" s="1">
        <v>1490.41</v>
      </c>
      <c r="C502" s="11">
        <v>3.2732000000000001</v>
      </c>
      <c r="D502" s="1">
        <v>1174.8599999999999</v>
      </c>
      <c r="E502" s="11">
        <v>3.0760000000000001</v>
      </c>
      <c r="F502" s="1">
        <v>0</v>
      </c>
      <c r="G502" s="11">
        <v>3.53</v>
      </c>
      <c r="H502" s="1">
        <v>-101.9</v>
      </c>
      <c r="I502" s="11">
        <v>4.0295300000000003</v>
      </c>
      <c r="J502" s="1">
        <v>44.46</v>
      </c>
      <c r="K502" s="11">
        <v>3.7504899999999997</v>
      </c>
      <c r="L502" s="1">
        <v>0</v>
      </c>
      <c r="M502" s="11">
        <v>6.2</v>
      </c>
      <c r="N502" s="1">
        <v>13.56</v>
      </c>
      <c r="O502" s="11">
        <v>2.8224999999999998</v>
      </c>
      <c r="P502" s="1">
        <f t="shared" si="57"/>
        <v>2621.39</v>
      </c>
      <c r="Q502" s="1">
        <v>2598.7199999999998</v>
      </c>
      <c r="R502" s="16">
        <f t="shared" si="58"/>
        <v>2071672.5376000004</v>
      </c>
      <c r="S502" s="20">
        <v>1178.1100000000001</v>
      </c>
      <c r="T502" s="21">
        <v>0.22999999999999998</v>
      </c>
      <c r="U502" s="21">
        <v>1.43</v>
      </c>
      <c r="V502" s="8">
        <v>1179.7700000000002</v>
      </c>
      <c r="W502" s="25">
        <v>1.238</v>
      </c>
      <c r="X502" s="25">
        <f t="shared" si="59"/>
        <v>365138.81500000006</v>
      </c>
      <c r="Y502" s="1">
        <f t="shared" si="60"/>
        <v>3801.16</v>
      </c>
      <c r="Z502" s="1">
        <f t="shared" si="61"/>
        <v>3778.49</v>
      </c>
      <c r="AA502" s="1">
        <v>3788.3</v>
      </c>
      <c r="AB502" s="1">
        <f t="shared" si="56"/>
        <v>12.859999999999673</v>
      </c>
      <c r="AC502" s="29">
        <f t="shared" si="62"/>
        <v>9.8100000000004002</v>
      </c>
      <c r="AD502" s="11">
        <f t="shared" si="63"/>
        <v>2436811.3526000003</v>
      </c>
    </row>
    <row r="503" spans="1:30" x14ac:dyDescent="0.3">
      <c r="A503" s="14">
        <v>45935.197916666664</v>
      </c>
      <c r="B503" s="1">
        <v>1491.63</v>
      </c>
      <c r="C503" s="11">
        <v>3.2732000000000001</v>
      </c>
      <c r="D503" s="1">
        <v>1174.8599999999999</v>
      </c>
      <c r="E503" s="11">
        <v>3.0760000000000001</v>
      </c>
      <c r="F503" s="1">
        <v>0</v>
      </c>
      <c r="G503" s="11">
        <v>3.53</v>
      </c>
      <c r="H503" s="1">
        <v>-101.9</v>
      </c>
      <c r="I503" s="11">
        <v>4.1002700000000001</v>
      </c>
      <c r="J503" s="1">
        <v>44.46</v>
      </c>
      <c r="K503" s="11">
        <v>3.7714499999999997</v>
      </c>
      <c r="L503" s="1">
        <v>0</v>
      </c>
      <c r="M503" s="11">
        <v>6.2</v>
      </c>
      <c r="N503" s="1">
        <v>11.54</v>
      </c>
      <c r="O503" s="11">
        <v>2.8224999999999998</v>
      </c>
      <c r="P503" s="1">
        <f t="shared" si="57"/>
        <v>2620.5899999999997</v>
      </c>
      <c r="Q503" s="1">
        <v>2595.5</v>
      </c>
      <c r="R503" s="16">
        <f t="shared" si="58"/>
        <v>2069676.37</v>
      </c>
      <c r="S503" s="20">
        <v>1178.8900000000001</v>
      </c>
      <c r="T503" s="21">
        <v>0.24</v>
      </c>
      <c r="U503" s="21">
        <v>0.87000000000000011</v>
      </c>
      <c r="V503" s="8">
        <v>1180</v>
      </c>
      <c r="W503" s="25">
        <v>1.238</v>
      </c>
      <c r="X503" s="25">
        <f t="shared" si="59"/>
        <v>365210</v>
      </c>
      <c r="Y503" s="1">
        <f t="shared" si="60"/>
        <v>3800.5899999999997</v>
      </c>
      <c r="Z503" s="1">
        <f t="shared" si="61"/>
        <v>3775.5</v>
      </c>
      <c r="AA503" s="1">
        <v>3785.84</v>
      </c>
      <c r="AB503" s="1">
        <f t="shared" si="56"/>
        <v>14.749999999999545</v>
      </c>
      <c r="AC503" s="29">
        <f t="shared" si="62"/>
        <v>10.340000000000146</v>
      </c>
      <c r="AD503" s="11">
        <f t="shared" si="63"/>
        <v>2434886.37</v>
      </c>
    </row>
    <row r="504" spans="1:30" x14ac:dyDescent="0.3">
      <c r="A504" s="14">
        <v>45935.208333333336</v>
      </c>
      <c r="B504" s="1">
        <v>1491.8</v>
      </c>
      <c r="C504" s="11">
        <v>3.2732000000000001</v>
      </c>
      <c r="D504" s="1">
        <v>1174.8599999999999</v>
      </c>
      <c r="E504" s="11">
        <v>3.0760000000000001</v>
      </c>
      <c r="F504" s="1">
        <v>0</v>
      </c>
      <c r="G504" s="11">
        <v>3.53</v>
      </c>
      <c r="H504" s="1">
        <v>-101.9</v>
      </c>
      <c r="I504" s="11">
        <v>3.64907</v>
      </c>
      <c r="J504" s="1">
        <v>44.46</v>
      </c>
      <c r="K504" s="11">
        <v>3.1053600000000001</v>
      </c>
      <c r="L504" s="1">
        <v>0</v>
      </c>
      <c r="M504" s="11">
        <v>6.2</v>
      </c>
      <c r="N504" s="1">
        <v>11.4</v>
      </c>
      <c r="O504" s="11">
        <v>2.8224999999999998</v>
      </c>
      <c r="P504" s="1">
        <f t="shared" si="57"/>
        <v>2620.62</v>
      </c>
      <c r="Q504" s="1">
        <v>2576.89</v>
      </c>
      <c r="R504" s="16">
        <f t="shared" si="58"/>
        <v>2073807.4231499995</v>
      </c>
      <c r="S504" s="20">
        <v>1185.07</v>
      </c>
      <c r="T504" s="21">
        <v>0.24</v>
      </c>
      <c r="U504" s="21">
        <v>0.45999999999999996</v>
      </c>
      <c r="V504" s="8">
        <v>1185.77</v>
      </c>
      <c r="W504" s="25">
        <v>1.238</v>
      </c>
      <c r="X504" s="25">
        <f t="shared" si="59"/>
        <v>366995.815</v>
      </c>
      <c r="Y504" s="1">
        <f t="shared" si="60"/>
        <v>3806.39</v>
      </c>
      <c r="Z504" s="1">
        <f t="shared" si="61"/>
        <v>3762.66</v>
      </c>
      <c r="AA504" s="1">
        <v>3771.95</v>
      </c>
      <c r="AB504" s="1">
        <f t="shared" si="56"/>
        <v>34.440000000000055</v>
      </c>
      <c r="AC504" s="29">
        <f t="shared" si="62"/>
        <v>9.2899999999999636</v>
      </c>
      <c r="AD504" s="11">
        <f t="shared" si="63"/>
        <v>2440803.2381499996</v>
      </c>
    </row>
    <row r="505" spans="1:30" x14ac:dyDescent="0.3">
      <c r="A505" s="14">
        <v>45935.21875</v>
      </c>
      <c r="B505" s="1">
        <v>1491.81</v>
      </c>
      <c r="C505" s="11">
        <v>3.2732000000000001</v>
      </c>
      <c r="D505" s="1">
        <v>1174.8599999999999</v>
      </c>
      <c r="E505" s="11">
        <v>3.0760000000000001</v>
      </c>
      <c r="F505" s="1">
        <v>0</v>
      </c>
      <c r="G505" s="11">
        <v>3.53</v>
      </c>
      <c r="H505" s="1">
        <v>-101.9</v>
      </c>
      <c r="I505" s="11">
        <v>4.1005099999999999</v>
      </c>
      <c r="J505" s="1">
        <v>44.46</v>
      </c>
      <c r="K505" s="11">
        <v>3.3608099999999999</v>
      </c>
      <c r="L505" s="1">
        <v>0</v>
      </c>
      <c r="M505" s="11">
        <v>6.2</v>
      </c>
      <c r="N505" s="1">
        <v>11.4</v>
      </c>
      <c r="O505" s="11">
        <v>2.8224999999999998</v>
      </c>
      <c r="P505" s="1">
        <f t="shared" si="57"/>
        <v>2620.63</v>
      </c>
      <c r="Q505" s="1">
        <v>2565.3000000000002</v>
      </c>
      <c r="R505" s="16">
        <f t="shared" si="58"/>
        <v>2065154.4989</v>
      </c>
      <c r="S505" s="20">
        <v>1195.29</v>
      </c>
      <c r="T505" s="21">
        <v>0.24</v>
      </c>
      <c r="U505" s="21">
        <v>0.44999999999999996</v>
      </c>
      <c r="V505" s="8">
        <v>1195.98</v>
      </c>
      <c r="W505" s="25">
        <v>1.238</v>
      </c>
      <c r="X505" s="25">
        <f t="shared" si="59"/>
        <v>370155.81</v>
      </c>
      <c r="Y505" s="1">
        <f t="shared" si="60"/>
        <v>3816.61</v>
      </c>
      <c r="Z505" s="1">
        <f t="shared" si="61"/>
        <v>3761.28</v>
      </c>
      <c r="AA505" s="1">
        <v>3775.7</v>
      </c>
      <c r="AB505" s="1">
        <f t="shared" si="56"/>
        <v>40.910000000000309</v>
      </c>
      <c r="AC505" s="29">
        <f t="shared" si="62"/>
        <v>14.419999999999618</v>
      </c>
      <c r="AD505" s="11">
        <f t="shared" si="63"/>
        <v>2435310.3089000001</v>
      </c>
    </row>
    <row r="506" spans="1:30" x14ac:dyDescent="0.3">
      <c r="A506" s="14">
        <v>45935.229166666664</v>
      </c>
      <c r="B506" s="1">
        <v>1491.81</v>
      </c>
      <c r="C506" s="11">
        <v>3.2732000000000001</v>
      </c>
      <c r="D506" s="1">
        <v>1174.8599999999999</v>
      </c>
      <c r="E506" s="11">
        <v>3.0760000000000001</v>
      </c>
      <c r="F506" s="1">
        <v>0</v>
      </c>
      <c r="G506" s="11">
        <v>3.53</v>
      </c>
      <c r="H506" s="1">
        <v>-101.9</v>
      </c>
      <c r="I506" s="11">
        <v>4.26</v>
      </c>
      <c r="J506" s="1">
        <v>129.99</v>
      </c>
      <c r="K506" s="11">
        <v>3.56297</v>
      </c>
      <c r="L506" s="1">
        <v>0</v>
      </c>
      <c r="M506" s="11">
        <v>6.2</v>
      </c>
      <c r="N506" s="1">
        <v>11.4</v>
      </c>
      <c r="O506" s="11">
        <v>2.8224999999999998</v>
      </c>
      <c r="P506" s="1">
        <f t="shared" si="57"/>
        <v>2706.1600000000003</v>
      </c>
      <c r="Q506" s="1">
        <v>2638.08</v>
      </c>
      <c r="R506" s="16">
        <f t="shared" si="58"/>
        <v>2139523.705575</v>
      </c>
      <c r="S506" s="20">
        <v>1128.77</v>
      </c>
      <c r="T506" s="21">
        <v>0.23</v>
      </c>
      <c r="U506" s="21">
        <v>0.28000000000000003</v>
      </c>
      <c r="V506" s="8">
        <v>1129.28</v>
      </c>
      <c r="W506" s="25">
        <v>1.238</v>
      </c>
      <c r="X506" s="25">
        <f t="shared" si="59"/>
        <v>349512.16</v>
      </c>
      <c r="Y506" s="1">
        <f t="shared" si="60"/>
        <v>3835.4400000000005</v>
      </c>
      <c r="Z506" s="1">
        <f t="shared" si="61"/>
        <v>3767.3599999999997</v>
      </c>
      <c r="AA506" s="1">
        <v>3781.13</v>
      </c>
      <c r="AB506" s="1">
        <f t="shared" si="56"/>
        <v>54.3100000000004</v>
      </c>
      <c r="AC506" s="29">
        <f t="shared" si="62"/>
        <v>13.770000000000437</v>
      </c>
      <c r="AD506" s="11">
        <f t="shared" si="63"/>
        <v>2489035.8655750002</v>
      </c>
    </row>
    <row r="507" spans="1:30" x14ac:dyDescent="0.3">
      <c r="A507" s="14">
        <v>45935.239583333336</v>
      </c>
      <c r="B507" s="1">
        <v>1493.65</v>
      </c>
      <c r="C507" s="11">
        <v>3.2732000000000001</v>
      </c>
      <c r="D507" s="1">
        <v>1174.8599999999999</v>
      </c>
      <c r="E507" s="11">
        <v>3.0760000000000001</v>
      </c>
      <c r="F507" s="1">
        <v>0</v>
      </c>
      <c r="G507" s="11">
        <v>3.53</v>
      </c>
      <c r="H507" s="1">
        <v>-101.9</v>
      </c>
      <c r="I507" s="11">
        <v>4.2504600000000003</v>
      </c>
      <c r="J507" s="1">
        <v>189.16</v>
      </c>
      <c r="K507" s="11">
        <v>3.8051900000000001</v>
      </c>
      <c r="L507" s="1">
        <v>0</v>
      </c>
      <c r="M507" s="11">
        <v>6.2</v>
      </c>
      <c r="N507" s="1">
        <v>22.45</v>
      </c>
      <c r="O507" s="11">
        <v>2.8224999999999998</v>
      </c>
      <c r="P507" s="1">
        <f t="shared" si="57"/>
        <v>2778.22</v>
      </c>
      <c r="Q507" s="1">
        <v>2670.71</v>
      </c>
      <c r="R507" s="16">
        <f t="shared" si="58"/>
        <v>2213229.3828499997</v>
      </c>
      <c r="S507" s="20">
        <v>1087.9399999999998</v>
      </c>
      <c r="T507" s="21">
        <v>0.23</v>
      </c>
      <c r="U507" s="21">
        <v>0.13</v>
      </c>
      <c r="V507" s="8">
        <v>1088.3</v>
      </c>
      <c r="W507" s="25">
        <v>1.238</v>
      </c>
      <c r="X507" s="25">
        <f t="shared" si="59"/>
        <v>336828.85</v>
      </c>
      <c r="Y507" s="1">
        <f t="shared" si="60"/>
        <v>3866.5199999999995</v>
      </c>
      <c r="Z507" s="1">
        <f t="shared" si="61"/>
        <v>3759.01</v>
      </c>
      <c r="AA507" s="1">
        <v>3767.54</v>
      </c>
      <c r="AB507" s="1">
        <f t="shared" si="56"/>
        <v>98.979999999999563</v>
      </c>
      <c r="AC507" s="29">
        <f t="shared" si="62"/>
        <v>8.5299999999997453</v>
      </c>
      <c r="AD507" s="11">
        <f t="shared" si="63"/>
        <v>2550058.2328499998</v>
      </c>
    </row>
    <row r="508" spans="1:30" x14ac:dyDescent="0.3">
      <c r="A508" s="14">
        <v>45935.25</v>
      </c>
      <c r="B508" s="1">
        <v>1494.07</v>
      </c>
      <c r="C508" s="11">
        <v>3.2732000000000001</v>
      </c>
      <c r="D508" s="1">
        <v>804.19</v>
      </c>
      <c r="E508" s="11">
        <v>3.0760000000000001</v>
      </c>
      <c r="F508" s="1">
        <v>370.67</v>
      </c>
      <c r="G508" s="11">
        <v>3.53</v>
      </c>
      <c r="H508" s="1">
        <v>-99.74</v>
      </c>
      <c r="I508" s="11">
        <v>4.2890699999999997</v>
      </c>
      <c r="J508" s="1">
        <v>54.01</v>
      </c>
      <c r="K508" s="11">
        <v>4.0526799999999996</v>
      </c>
      <c r="L508" s="1">
        <v>0</v>
      </c>
      <c r="M508" s="11">
        <v>6.2</v>
      </c>
      <c r="N508" s="1">
        <v>25.7</v>
      </c>
      <c r="O508" s="11">
        <v>2.8224999999999998</v>
      </c>
      <c r="P508" s="1">
        <f t="shared" si="57"/>
        <v>2648.9000000000005</v>
      </c>
      <c r="Q508" s="1">
        <v>2666.99</v>
      </c>
      <c r="R508" s="16">
        <f t="shared" si="58"/>
        <v>2134043.7797500002</v>
      </c>
      <c r="S508" s="20">
        <v>1104.57</v>
      </c>
      <c r="T508" s="21">
        <v>0.64</v>
      </c>
      <c r="U508" s="21">
        <v>0.34</v>
      </c>
      <c r="V508" s="8">
        <v>1105.55</v>
      </c>
      <c r="W508" s="25">
        <v>1.238</v>
      </c>
      <c r="X508" s="25">
        <f t="shared" si="59"/>
        <v>342167.72499999998</v>
      </c>
      <c r="Y508" s="1">
        <f t="shared" si="60"/>
        <v>3754.4500000000007</v>
      </c>
      <c r="Z508" s="1">
        <f t="shared" si="61"/>
        <v>3772.54</v>
      </c>
      <c r="AA508" s="1">
        <v>3780.31</v>
      </c>
      <c r="AB508" s="1">
        <f t="shared" si="56"/>
        <v>-25.859999999999218</v>
      </c>
      <c r="AC508" s="29">
        <f t="shared" si="62"/>
        <v>7.7699999999999818</v>
      </c>
      <c r="AD508" s="11">
        <f t="shared" si="63"/>
        <v>2476211.5047500003</v>
      </c>
    </row>
    <row r="509" spans="1:30" x14ac:dyDescent="0.3">
      <c r="A509" s="14">
        <v>45935.260416666664</v>
      </c>
      <c r="B509" s="1">
        <v>1494.09</v>
      </c>
      <c r="C509" s="11">
        <v>3.2732000000000001</v>
      </c>
      <c r="D509" s="1">
        <v>776.29</v>
      </c>
      <c r="E509" s="11">
        <v>3.0760000000000001</v>
      </c>
      <c r="F509" s="1">
        <v>398.57</v>
      </c>
      <c r="G509" s="11">
        <v>3.53</v>
      </c>
      <c r="H509" s="1">
        <v>-99.58</v>
      </c>
      <c r="I509" s="11">
        <v>4.1995500000000003</v>
      </c>
      <c r="J509" s="1">
        <v>44.36</v>
      </c>
      <c r="K509" s="11">
        <v>4.3917299999999999</v>
      </c>
      <c r="L509" s="1">
        <v>0</v>
      </c>
      <c r="M509" s="11">
        <v>6.2</v>
      </c>
      <c r="N509" s="1">
        <v>30.6</v>
      </c>
      <c r="O509" s="11">
        <v>2.8224999999999998</v>
      </c>
      <c r="P509" s="1">
        <f t="shared" si="57"/>
        <v>2644.3300000000004</v>
      </c>
      <c r="Q509" s="1">
        <v>2645.15</v>
      </c>
      <c r="R509" s="16">
        <f t="shared" si="58"/>
        <v>2137067.4954500003</v>
      </c>
      <c r="S509" s="20">
        <v>1097.57</v>
      </c>
      <c r="T509" s="21">
        <v>3.5499999999999994</v>
      </c>
      <c r="U509" s="21">
        <v>0.51</v>
      </c>
      <c r="V509" s="8">
        <v>1101.6299999999999</v>
      </c>
      <c r="W509" s="25">
        <v>1.238</v>
      </c>
      <c r="X509" s="25">
        <f t="shared" si="59"/>
        <v>340954.48499999999</v>
      </c>
      <c r="Y509" s="1">
        <f t="shared" si="60"/>
        <v>3745.96</v>
      </c>
      <c r="Z509" s="1">
        <f t="shared" si="61"/>
        <v>3746.7799999999997</v>
      </c>
      <c r="AA509" s="1">
        <v>3757.28</v>
      </c>
      <c r="AB509" s="1">
        <f t="shared" si="56"/>
        <v>-11.320000000000164</v>
      </c>
      <c r="AC509" s="29">
        <f t="shared" si="62"/>
        <v>10.500000000000455</v>
      </c>
      <c r="AD509" s="11">
        <f t="shared" si="63"/>
        <v>2478021.9804500001</v>
      </c>
    </row>
    <row r="510" spans="1:30" x14ac:dyDescent="0.3">
      <c r="A510" s="14">
        <v>45935.270833333336</v>
      </c>
      <c r="B510" s="1">
        <v>1494.09</v>
      </c>
      <c r="C510" s="11">
        <v>3.2732000000000001</v>
      </c>
      <c r="D510" s="1">
        <v>755.93</v>
      </c>
      <c r="E510" s="11">
        <v>3.0760000000000001</v>
      </c>
      <c r="F510" s="1">
        <v>398.57</v>
      </c>
      <c r="G510" s="11">
        <v>3.53</v>
      </c>
      <c r="H510" s="1">
        <v>-99.58</v>
      </c>
      <c r="I510" s="11">
        <v>3.8778899999999998</v>
      </c>
      <c r="J510" s="1">
        <v>74.650000000000006</v>
      </c>
      <c r="K510" s="11">
        <v>3.7836799999999999</v>
      </c>
      <c r="L510" s="1">
        <v>0</v>
      </c>
      <c r="M510" s="11">
        <v>6.2</v>
      </c>
      <c r="N510" s="1">
        <v>42.02</v>
      </c>
      <c r="O510" s="11">
        <v>2.8224999999999998</v>
      </c>
      <c r="P510" s="1">
        <f t="shared" si="57"/>
        <v>2665.6800000000003</v>
      </c>
      <c r="Q510" s="1">
        <v>2628.22</v>
      </c>
      <c r="R510" s="16">
        <f t="shared" si="58"/>
        <v>2159385.26095</v>
      </c>
      <c r="S510" s="20">
        <v>1089.4699999999998</v>
      </c>
      <c r="T510" s="21">
        <v>9.11</v>
      </c>
      <c r="U510" s="21">
        <v>0.52</v>
      </c>
      <c r="V510" s="8">
        <v>1099.0999999999997</v>
      </c>
      <c r="W510" s="25">
        <v>1.238</v>
      </c>
      <c r="X510" s="25">
        <f t="shared" si="59"/>
        <v>340171.4499999999</v>
      </c>
      <c r="Y510" s="1">
        <f t="shared" si="60"/>
        <v>3764.7799999999997</v>
      </c>
      <c r="Z510" s="1">
        <f t="shared" si="61"/>
        <v>3727.3199999999997</v>
      </c>
      <c r="AA510" s="1">
        <v>3736.36</v>
      </c>
      <c r="AB510" s="1">
        <f t="shared" si="56"/>
        <v>28.419999999999618</v>
      </c>
      <c r="AC510" s="29">
        <f t="shared" si="62"/>
        <v>9.0400000000004184</v>
      </c>
      <c r="AD510" s="11">
        <f t="shared" si="63"/>
        <v>2499556.7109499997</v>
      </c>
    </row>
    <row r="511" spans="1:30" x14ac:dyDescent="0.3">
      <c r="A511" s="14">
        <v>45935.28125</v>
      </c>
      <c r="B511" s="1">
        <v>1494.09</v>
      </c>
      <c r="C511" s="11">
        <v>3.2732000000000001</v>
      </c>
      <c r="D511" s="1">
        <v>754.37</v>
      </c>
      <c r="E511" s="11">
        <v>3.0760000000000001</v>
      </c>
      <c r="F511" s="1">
        <v>398.57</v>
      </c>
      <c r="G511" s="11">
        <v>3.53</v>
      </c>
      <c r="H511" s="1">
        <v>-85.94</v>
      </c>
      <c r="I511" s="11">
        <v>3.5651299999999999</v>
      </c>
      <c r="J511" s="1">
        <v>7.26</v>
      </c>
      <c r="K511" s="11">
        <v>3.5433499999999998</v>
      </c>
      <c r="L511" s="1">
        <v>0</v>
      </c>
      <c r="M511" s="11">
        <v>6.2</v>
      </c>
      <c r="N511" s="1">
        <v>54.71</v>
      </c>
      <c r="O511" s="11">
        <v>2.8224999999999998</v>
      </c>
      <c r="P511" s="1">
        <f t="shared" si="57"/>
        <v>2623.0600000000004</v>
      </c>
      <c r="Q511" s="1">
        <v>2584.4</v>
      </c>
      <c r="R511" s="16">
        <f t="shared" si="58"/>
        <v>2122901.5079500005</v>
      </c>
      <c r="S511" s="20">
        <v>1084.69</v>
      </c>
      <c r="T511" s="21">
        <v>17.619999999999997</v>
      </c>
      <c r="U511" s="21">
        <v>0.87</v>
      </c>
      <c r="V511" s="8">
        <v>1103.1799999999998</v>
      </c>
      <c r="W511" s="25">
        <v>1.238</v>
      </c>
      <c r="X511" s="25">
        <f t="shared" si="59"/>
        <v>341434.20999999996</v>
      </c>
      <c r="Y511" s="1">
        <f t="shared" si="60"/>
        <v>3726.2400000000002</v>
      </c>
      <c r="Z511" s="1">
        <f t="shared" si="61"/>
        <v>3687.58</v>
      </c>
      <c r="AA511" s="1">
        <v>3696.44</v>
      </c>
      <c r="AB511" s="1">
        <f t="shared" si="56"/>
        <v>29.800000000000182</v>
      </c>
      <c r="AC511" s="29">
        <f t="shared" si="62"/>
        <v>8.8600000000001273</v>
      </c>
      <c r="AD511" s="11">
        <f t="shared" si="63"/>
        <v>2464335.7179500004</v>
      </c>
    </row>
    <row r="512" spans="1:30" x14ac:dyDescent="0.3">
      <c r="A512" s="14">
        <v>45935.291666666664</v>
      </c>
      <c r="B512" s="1">
        <v>1492.68</v>
      </c>
      <c r="C512" s="11">
        <v>3.2732000000000001</v>
      </c>
      <c r="D512" s="1">
        <v>754.37</v>
      </c>
      <c r="E512" s="11">
        <v>3.0760000000000001</v>
      </c>
      <c r="F512" s="1">
        <v>398.57</v>
      </c>
      <c r="G512" s="11">
        <v>3.53</v>
      </c>
      <c r="H512" s="1">
        <v>-41.37</v>
      </c>
      <c r="I512" s="11">
        <v>3.4295999999999998</v>
      </c>
      <c r="J512" s="1">
        <v>26.47</v>
      </c>
      <c r="K512" s="11">
        <v>3.20506</v>
      </c>
      <c r="L512" s="1">
        <v>0</v>
      </c>
      <c r="M512" s="11">
        <v>6.2</v>
      </c>
      <c r="N512" s="1">
        <v>71.83</v>
      </c>
      <c r="O512" s="11">
        <v>2.8224999999999998</v>
      </c>
      <c r="P512" s="1">
        <f t="shared" si="57"/>
        <v>2702.55</v>
      </c>
      <c r="Q512" s="1">
        <v>2603.73</v>
      </c>
      <c r="R512" s="16">
        <f t="shared" si="58"/>
        <v>2189732.4893000009</v>
      </c>
      <c r="S512" s="20">
        <v>1008.6599999999999</v>
      </c>
      <c r="T512" s="21">
        <v>28.55</v>
      </c>
      <c r="U512" s="21">
        <v>1.23</v>
      </c>
      <c r="V512" s="8">
        <v>1038.4399999999998</v>
      </c>
      <c r="W512" s="25">
        <v>1.238</v>
      </c>
      <c r="X512" s="25">
        <f t="shared" si="59"/>
        <v>321397.17999999993</v>
      </c>
      <c r="Y512" s="1">
        <f t="shared" si="60"/>
        <v>3740.99</v>
      </c>
      <c r="Z512" s="1">
        <f t="shared" si="61"/>
        <v>3642.17</v>
      </c>
      <c r="AA512" s="1">
        <v>3655.68</v>
      </c>
      <c r="AB512" s="1">
        <f t="shared" si="56"/>
        <v>85.309999999999945</v>
      </c>
      <c r="AC512" s="29">
        <f t="shared" si="62"/>
        <v>13.509999999999764</v>
      </c>
      <c r="AD512" s="11">
        <f t="shared" si="63"/>
        <v>2511129.6693000011</v>
      </c>
    </row>
    <row r="513" spans="1:30" x14ac:dyDescent="0.3">
      <c r="A513" s="14">
        <v>45935.302083333336</v>
      </c>
      <c r="B513" s="1">
        <v>1492.58</v>
      </c>
      <c r="C513" s="11">
        <v>3.2732000000000001</v>
      </c>
      <c r="D513" s="1">
        <v>754.37</v>
      </c>
      <c r="E513" s="11">
        <v>3.0760000000000001</v>
      </c>
      <c r="F513" s="1">
        <v>398.57</v>
      </c>
      <c r="G513" s="11">
        <v>3.53</v>
      </c>
      <c r="H513" s="1">
        <v>-36.21</v>
      </c>
      <c r="I513" s="11">
        <v>3.1905799999999997</v>
      </c>
      <c r="J513" s="1">
        <v>28.15</v>
      </c>
      <c r="K513" s="11">
        <v>3.1814899999999997</v>
      </c>
      <c r="L513" s="1">
        <v>0</v>
      </c>
      <c r="M513" s="11">
        <v>6.2</v>
      </c>
      <c r="N513" s="1">
        <v>92.5</v>
      </c>
      <c r="O513" s="11">
        <v>2.8224999999999998</v>
      </c>
      <c r="P513" s="1">
        <f t="shared" si="57"/>
        <v>2729.96</v>
      </c>
      <c r="Q513" s="1">
        <v>2639.68</v>
      </c>
      <c r="R513" s="16">
        <f t="shared" si="58"/>
        <v>2212004.0919249998</v>
      </c>
      <c r="S513" s="20">
        <v>956.84</v>
      </c>
      <c r="T513" s="21">
        <v>41.250000000000007</v>
      </c>
      <c r="U513" s="21">
        <v>0.88000000000000012</v>
      </c>
      <c r="V513" s="8">
        <v>998.97</v>
      </c>
      <c r="W513" s="25">
        <v>1.238</v>
      </c>
      <c r="X513" s="25">
        <f t="shared" si="59"/>
        <v>309181.21500000003</v>
      </c>
      <c r="Y513" s="1">
        <f t="shared" si="60"/>
        <v>3728.9300000000003</v>
      </c>
      <c r="Z513" s="1">
        <f t="shared" si="61"/>
        <v>3638.6499999999996</v>
      </c>
      <c r="AA513" s="1">
        <v>3648.33</v>
      </c>
      <c r="AB513" s="1">
        <f t="shared" si="56"/>
        <v>80.600000000000364</v>
      </c>
      <c r="AC513" s="29">
        <f t="shared" si="62"/>
        <v>9.680000000000291</v>
      </c>
      <c r="AD513" s="11">
        <f t="shared" si="63"/>
        <v>2521185.3069249997</v>
      </c>
    </row>
    <row r="514" spans="1:30" x14ac:dyDescent="0.3">
      <c r="A514" s="14">
        <v>45935.3125</v>
      </c>
      <c r="B514" s="1">
        <v>1492.58</v>
      </c>
      <c r="C514" s="11">
        <v>3.2732000000000001</v>
      </c>
      <c r="D514" s="1">
        <v>754.37</v>
      </c>
      <c r="E514" s="11">
        <v>3.0760000000000001</v>
      </c>
      <c r="F514" s="1">
        <v>398.57</v>
      </c>
      <c r="G514" s="11">
        <v>3.53</v>
      </c>
      <c r="H514" s="1">
        <v>53.95</v>
      </c>
      <c r="I514" s="11">
        <v>2.9024000000000001</v>
      </c>
      <c r="J514" s="1">
        <v>244.09</v>
      </c>
      <c r="K514" s="11">
        <v>2.5451100000000002</v>
      </c>
      <c r="L514" s="1">
        <v>0</v>
      </c>
      <c r="M514" s="11">
        <v>6.2</v>
      </c>
      <c r="N514" s="1">
        <v>118.93</v>
      </c>
      <c r="O514" s="11">
        <v>2.8224999999999998</v>
      </c>
      <c r="P514" s="1">
        <f t="shared" si="57"/>
        <v>3062.49</v>
      </c>
      <c r="Q514" s="1">
        <v>2785.85</v>
      </c>
      <c r="R514" s="16">
        <f t="shared" si="58"/>
        <v>2431601.8452250003</v>
      </c>
      <c r="S514" s="20">
        <v>729.75</v>
      </c>
      <c r="T514" s="21">
        <v>54.310000000000009</v>
      </c>
      <c r="U514" s="21">
        <v>0.8</v>
      </c>
      <c r="V514" s="8">
        <v>784.86</v>
      </c>
      <c r="W514" s="25">
        <v>1.238</v>
      </c>
      <c r="X514" s="25">
        <f t="shared" si="59"/>
        <v>242914.17</v>
      </c>
      <c r="Y514" s="1">
        <f t="shared" si="60"/>
        <v>3847.35</v>
      </c>
      <c r="Z514" s="1">
        <f t="shared" si="61"/>
        <v>3570.71</v>
      </c>
      <c r="AA514" s="1">
        <v>3592.26</v>
      </c>
      <c r="AB514" s="1">
        <f t="shared" si="56"/>
        <v>255.08999999999969</v>
      </c>
      <c r="AC514" s="29">
        <f t="shared" si="62"/>
        <v>21.550000000000182</v>
      </c>
      <c r="AD514" s="11">
        <f t="shared" si="63"/>
        <v>2674516.0152250002</v>
      </c>
    </row>
    <row r="515" spans="1:30" x14ac:dyDescent="0.3">
      <c r="A515" s="14">
        <v>45935.322916666664</v>
      </c>
      <c r="B515" s="1">
        <v>1492.58</v>
      </c>
      <c r="C515" s="11">
        <v>3.2732000000000001</v>
      </c>
      <c r="D515" s="1">
        <v>754.37</v>
      </c>
      <c r="E515" s="11">
        <v>3.0760000000000001</v>
      </c>
      <c r="F515" s="1">
        <v>398.57</v>
      </c>
      <c r="G515" s="11">
        <v>3.53</v>
      </c>
      <c r="H515" s="1">
        <v>62.73</v>
      </c>
      <c r="I515" s="11">
        <v>2.7503099999999998</v>
      </c>
      <c r="J515" s="1">
        <v>123.78</v>
      </c>
      <c r="K515" s="11">
        <v>2.3498999999999999</v>
      </c>
      <c r="L515" s="1">
        <v>0</v>
      </c>
      <c r="M515" s="11">
        <v>6.2</v>
      </c>
      <c r="N515" s="1">
        <v>143.33000000000001</v>
      </c>
      <c r="O515" s="11">
        <v>2.8224999999999998</v>
      </c>
      <c r="P515" s="1">
        <f t="shared" si="57"/>
        <v>2975.36</v>
      </c>
      <c r="Q515" s="1">
        <v>2933.17</v>
      </c>
      <c r="R515" s="16">
        <f t="shared" si="58"/>
        <v>2370213.3923250004</v>
      </c>
      <c r="S515" s="20">
        <v>528.03</v>
      </c>
      <c r="T515" s="21">
        <v>65.36</v>
      </c>
      <c r="U515" s="21">
        <v>0.92</v>
      </c>
      <c r="V515" s="8">
        <v>594.30999999999995</v>
      </c>
      <c r="W515" s="25">
        <v>1.238</v>
      </c>
      <c r="X515" s="25">
        <f t="shared" si="59"/>
        <v>183938.94499999998</v>
      </c>
      <c r="Y515" s="1">
        <f t="shared" si="60"/>
        <v>3569.67</v>
      </c>
      <c r="Z515" s="1">
        <f t="shared" si="61"/>
        <v>3527.48</v>
      </c>
      <c r="AA515" s="1">
        <v>3532.35</v>
      </c>
      <c r="AB515" s="1">
        <f t="shared" si="56"/>
        <v>37.320000000000164</v>
      </c>
      <c r="AC515" s="29">
        <f t="shared" si="62"/>
        <v>4.8699999999998909</v>
      </c>
      <c r="AD515" s="11">
        <f t="shared" si="63"/>
        <v>2554152.3373250002</v>
      </c>
    </row>
    <row r="516" spans="1:30" x14ac:dyDescent="0.3">
      <c r="A516" s="14">
        <v>45935.333333333336</v>
      </c>
      <c r="B516" s="1">
        <v>1404.58</v>
      </c>
      <c r="C516" s="11">
        <v>3.2732000000000001</v>
      </c>
      <c r="D516" s="1">
        <v>754.37</v>
      </c>
      <c r="E516" s="11">
        <v>3.0760000000000001</v>
      </c>
      <c r="F516" s="1">
        <v>398.57</v>
      </c>
      <c r="G516" s="11">
        <v>3.53</v>
      </c>
      <c r="H516" s="1">
        <v>93.63</v>
      </c>
      <c r="I516" s="11">
        <v>1.9995799999999999</v>
      </c>
      <c r="J516" s="1">
        <v>43.06</v>
      </c>
      <c r="K516" s="11">
        <v>2.0756000000000001</v>
      </c>
      <c r="L516" s="1">
        <v>1.78</v>
      </c>
      <c r="M516" s="11">
        <v>6.2</v>
      </c>
      <c r="N516" s="1">
        <v>173.56</v>
      </c>
      <c r="O516" s="11">
        <v>2.8224999999999998</v>
      </c>
      <c r="P516" s="1">
        <f t="shared" si="57"/>
        <v>2869.55</v>
      </c>
      <c r="Q516" s="1">
        <v>2823.5</v>
      </c>
      <c r="R516" s="16">
        <f t="shared" si="58"/>
        <v>2275592.6468500001</v>
      </c>
      <c r="S516" s="20">
        <v>609.13</v>
      </c>
      <c r="T516" s="21">
        <v>86.48</v>
      </c>
      <c r="U516" s="21">
        <v>1.03</v>
      </c>
      <c r="V516" s="8">
        <v>696.64</v>
      </c>
      <c r="W516" s="25">
        <v>1.238</v>
      </c>
      <c r="X516" s="25">
        <f t="shared" si="59"/>
        <v>215610.08</v>
      </c>
      <c r="Y516" s="1">
        <f t="shared" si="60"/>
        <v>3566.19</v>
      </c>
      <c r="Z516" s="1">
        <f t="shared" si="61"/>
        <v>3520.14</v>
      </c>
      <c r="AA516" s="1">
        <v>3526.77</v>
      </c>
      <c r="AB516" s="1">
        <f t="shared" ref="AB516:AB579" si="64">Y516-AA516</f>
        <v>39.420000000000073</v>
      </c>
      <c r="AC516" s="29">
        <f t="shared" si="62"/>
        <v>6.6300000000001091</v>
      </c>
      <c r="AD516" s="11">
        <f t="shared" si="63"/>
        <v>2491202.7268500002</v>
      </c>
    </row>
    <row r="517" spans="1:30" x14ac:dyDescent="0.3">
      <c r="A517" s="14">
        <v>45935.34375</v>
      </c>
      <c r="B517" s="1">
        <v>1397.39</v>
      </c>
      <c r="C517" s="11">
        <v>3.2732000000000001</v>
      </c>
      <c r="D517" s="1">
        <v>754.37</v>
      </c>
      <c r="E517" s="11">
        <v>3.0760000000000001</v>
      </c>
      <c r="F517" s="1">
        <v>398.57</v>
      </c>
      <c r="G517" s="11">
        <v>3.53</v>
      </c>
      <c r="H517" s="1">
        <v>95.89</v>
      </c>
      <c r="I517" s="11">
        <v>1.99926</v>
      </c>
      <c r="J517" s="1">
        <v>32.35</v>
      </c>
      <c r="K517" s="11">
        <v>2.6604800000000002</v>
      </c>
      <c r="L517" s="1">
        <v>1.93</v>
      </c>
      <c r="M517" s="11">
        <v>6.2</v>
      </c>
      <c r="N517" s="1">
        <v>208.7</v>
      </c>
      <c r="O517" s="11">
        <v>2.8224999999999998</v>
      </c>
      <c r="P517" s="1">
        <f t="shared" ref="P517:P580" si="65">(B517+D517+F517+H517+J517+L517+N517)</f>
        <v>2889.2</v>
      </c>
      <c r="Q517" s="1">
        <v>2828.07</v>
      </c>
      <c r="R517" s="16">
        <f t="shared" ref="R517:R580" si="66">(((B517*C517)+(D517*E517)+(F517*G517)+(H517*I517)+(J517*K517)+(L517*M517)+(N517*O517))*(1000/4))</f>
        <v>2295032.1218499998</v>
      </c>
      <c r="S517" s="20">
        <v>554.86</v>
      </c>
      <c r="T517" s="21">
        <v>101.35</v>
      </c>
      <c r="U517" s="21">
        <v>1.28</v>
      </c>
      <c r="V517" s="8">
        <v>657.49</v>
      </c>
      <c r="W517" s="25">
        <v>1.238</v>
      </c>
      <c r="X517" s="25">
        <f t="shared" ref="X517:X580" si="67">((V517*W517*1000)/4)</f>
        <v>203493.155</v>
      </c>
      <c r="Y517" s="1">
        <f t="shared" ref="Y517:Y580" si="68">B517+D517+F517+H517+J517+L517+N517+V517</f>
        <v>3546.6899999999996</v>
      </c>
      <c r="Z517" s="1">
        <f t="shared" ref="Z517:Z580" si="69">Q517+V517</f>
        <v>3485.5600000000004</v>
      </c>
      <c r="AA517" s="1">
        <v>3499.06</v>
      </c>
      <c r="AB517" s="1">
        <f t="shared" si="64"/>
        <v>47.629999999999654</v>
      </c>
      <c r="AC517" s="29">
        <f t="shared" ref="AC517:AC580" si="70">AA517-Z517</f>
        <v>13.499999999999545</v>
      </c>
      <c r="AD517" s="11">
        <f t="shared" ref="AD517:AD580" si="71">(R517+X517)</f>
        <v>2498525.2768499996</v>
      </c>
    </row>
    <row r="518" spans="1:30" x14ac:dyDescent="0.3">
      <c r="A518" s="14">
        <v>45935.354166666664</v>
      </c>
      <c r="B518" s="1">
        <v>1380.2</v>
      </c>
      <c r="C518" s="11">
        <v>3.2732000000000001</v>
      </c>
      <c r="D518" s="1">
        <v>754.37</v>
      </c>
      <c r="E518" s="11">
        <v>3.0760000000000001</v>
      </c>
      <c r="F518" s="1">
        <v>398.57</v>
      </c>
      <c r="G518" s="11">
        <v>3.53</v>
      </c>
      <c r="H518" s="1">
        <v>93.02</v>
      </c>
      <c r="I518" s="11">
        <v>1.99922</v>
      </c>
      <c r="J518" s="1">
        <v>30.58</v>
      </c>
      <c r="K518" s="11">
        <v>2.7993899999999998</v>
      </c>
      <c r="L518" s="1">
        <v>5.67</v>
      </c>
      <c r="M518" s="11">
        <v>6.2</v>
      </c>
      <c r="N518" s="1">
        <v>242.34</v>
      </c>
      <c r="O518" s="11">
        <v>2.8224999999999998</v>
      </c>
      <c r="P518" s="1">
        <f t="shared" si="65"/>
        <v>2904.7500000000005</v>
      </c>
      <c r="Q518" s="1">
        <v>2847.01</v>
      </c>
      <c r="R518" s="16">
        <f t="shared" si="66"/>
        <v>2308949.0751500004</v>
      </c>
      <c r="S518" s="20">
        <v>516.1</v>
      </c>
      <c r="T518" s="21">
        <v>115.78</v>
      </c>
      <c r="U518" s="21">
        <v>1.7999999999999998</v>
      </c>
      <c r="V518" s="8">
        <v>633.67999999999995</v>
      </c>
      <c r="W518" s="25">
        <v>1.238</v>
      </c>
      <c r="X518" s="25">
        <f t="shared" si="67"/>
        <v>196123.96</v>
      </c>
      <c r="Y518" s="1">
        <f t="shared" si="68"/>
        <v>3538.4300000000003</v>
      </c>
      <c r="Z518" s="1">
        <f t="shared" si="69"/>
        <v>3480.69</v>
      </c>
      <c r="AA518" s="1">
        <v>3489.06</v>
      </c>
      <c r="AB518" s="1">
        <f t="shared" si="64"/>
        <v>49.370000000000346</v>
      </c>
      <c r="AC518" s="29">
        <f t="shared" si="70"/>
        <v>8.3699999999998909</v>
      </c>
      <c r="AD518" s="11">
        <f t="shared" si="71"/>
        <v>2505073.0351500004</v>
      </c>
    </row>
    <row r="519" spans="1:30" x14ac:dyDescent="0.3">
      <c r="A519" s="14">
        <v>45935.364583333336</v>
      </c>
      <c r="B519" s="1">
        <v>1378.77</v>
      </c>
      <c r="C519" s="11">
        <v>3.2732000000000001</v>
      </c>
      <c r="D519" s="1">
        <v>754.37</v>
      </c>
      <c r="E519" s="11">
        <v>3.0760000000000001</v>
      </c>
      <c r="F519" s="1">
        <v>398.57</v>
      </c>
      <c r="G519" s="11">
        <v>3.53</v>
      </c>
      <c r="H519" s="1">
        <v>72.510000000000005</v>
      </c>
      <c r="I519" s="11">
        <v>1.9480999999999999</v>
      </c>
      <c r="J519" s="1">
        <v>30.65</v>
      </c>
      <c r="K519" s="11">
        <v>2.5448300000000001</v>
      </c>
      <c r="L519" s="1">
        <v>32.450000000000003</v>
      </c>
      <c r="M519" s="11">
        <v>6.2</v>
      </c>
      <c r="N519" s="1">
        <v>277.76</v>
      </c>
      <c r="O519" s="11">
        <v>2.8224999999999998</v>
      </c>
      <c r="P519" s="1">
        <f t="shared" si="65"/>
        <v>2945.08</v>
      </c>
      <c r="Q519" s="1">
        <v>2892.29</v>
      </c>
      <c r="R519" s="16">
        <f t="shared" si="66"/>
        <v>2361201.8886250001</v>
      </c>
      <c r="S519" s="20">
        <v>455.42000000000007</v>
      </c>
      <c r="T519" s="21">
        <v>126.49</v>
      </c>
      <c r="U519" s="21">
        <v>2.2999999999999998</v>
      </c>
      <c r="V519" s="8">
        <v>584.21</v>
      </c>
      <c r="W519" s="25">
        <v>1.238</v>
      </c>
      <c r="X519" s="25">
        <f t="shared" si="67"/>
        <v>180812.995</v>
      </c>
      <c r="Y519" s="1">
        <f t="shared" si="68"/>
        <v>3529.29</v>
      </c>
      <c r="Z519" s="1">
        <f t="shared" si="69"/>
        <v>3476.5</v>
      </c>
      <c r="AA519" s="1">
        <v>3489.75</v>
      </c>
      <c r="AB519" s="1">
        <f t="shared" si="64"/>
        <v>39.539999999999964</v>
      </c>
      <c r="AC519" s="29">
        <f t="shared" si="70"/>
        <v>13.25</v>
      </c>
      <c r="AD519" s="11">
        <f t="shared" si="71"/>
        <v>2542014.8836250002</v>
      </c>
    </row>
    <row r="520" spans="1:30" x14ac:dyDescent="0.3">
      <c r="A520" s="14">
        <v>45935.375</v>
      </c>
      <c r="B520" s="1">
        <v>1145.8599999999999</v>
      </c>
      <c r="C520" s="11">
        <v>3.2732000000000001</v>
      </c>
      <c r="D520" s="1">
        <v>754.37</v>
      </c>
      <c r="E520" s="11">
        <v>3.0760000000000001</v>
      </c>
      <c r="F520" s="1">
        <v>398.57</v>
      </c>
      <c r="G520" s="11">
        <v>3.53</v>
      </c>
      <c r="H520" s="1">
        <v>48.99</v>
      </c>
      <c r="I520" s="11">
        <v>1.8516400000000002</v>
      </c>
      <c r="J520" s="1">
        <v>117.75</v>
      </c>
      <c r="K520" s="11">
        <v>2.7997299999999998</v>
      </c>
      <c r="L520" s="1">
        <v>58.19</v>
      </c>
      <c r="M520" s="11">
        <v>6.2</v>
      </c>
      <c r="N520" s="1">
        <v>306.45999999999998</v>
      </c>
      <c r="O520" s="11">
        <v>2.8224999999999998</v>
      </c>
      <c r="P520" s="1">
        <f t="shared" si="65"/>
        <v>2830.19</v>
      </c>
      <c r="Q520" s="1">
        <v>2955.88</v>
      </c>
      <c r="R520" s="16">
        <f t="shared" si="66"/>
        <v>2281041.1432749997</v>
      </c>
      <c r="S520" s="20">
        <v>442.14</v>
      </c>
      <c r="T520" s="21">
        <v>119.00999999999999</v>
      </c>
      <c r="U520" s="21">
        <v>3.39</v>
      </c>
      <c r="V520" s="8">
        <v>564.54</v>
      </c>
      <c r="W520" s="25">
        <v>1.238</v>
      </c>
      <c r="X520" s="25">
        <f t="shared" si="67"/>
        <v>174725.12999999998</v>
      </c>
      <c r="Y520" s="1">
        <f t="shared" si="68"/>
        <v>3394.73</v>
      </c>
      <c r="Z520" s="1">
        <f t="shared" si="69"/>
        <v>3520.42</v>
      </c>
      <c r="AA520" s="1">
        <v>3525.5</v>
      </c>
      <c r="AB520" s="1">
        <f t="shared" si="64"/>
        <v>-130.76999999999998</v>
      </c>
      <c r="AC520" s="29">
        <f t="shared" si="70"/>
        <v>5.0799999999999272</v>
      </c>
      <c r="AD520" s="11">
        <f t="shared" si="71"/>
        <v>2455766.2732749996</v>
      </c>
    </row>
    <row r="521" spans="1:30" x14ac:dyDescent="0.3">
      <c r="A521" s="14">
        <v>45935.385416666664</v>
      </c>
      <c r="B521" s="1">
        <v>1043.47</v>
      </c>
      <c r="C521" s="11">
        <v>3.2732000000000001</v>
      </c>
      <c r="D521" s="1">
        <v>754.37</v>
      </c>
      <c r="E521" s="11">
        <v>3.0760000000000001</v>
      </c>
      <c r="F521" s="1">
        <v>398.57</v>
      </c>
      <c r="G521" s="11">
        <v>3.53</v>
      </c>
      <c r="H521" s="1">
        <v>47.33</v>
      </c>
      <c r="I521" s="11">
        <v>1.88968</v>
      </c>
      <c r="J521" s="1">
        <v>124.87</v>
      </c>
      <c r="K521" s="11">
        <v>2.7993999999999999</v>
      </c>
      <c r="L521" s="1">
        <v>60.05</v>
      </c>
      <c r="M521" s="11">
        <v>6.2</v>
      </c>
      <c r="N521" s="1">
        <v>334.68</v>
      </c>
      <c r="O521" s="11">
        <v>2.8224999999999998</v>
      </c>
      <c r="P521" s="1">
        <f t="shared" si="65"/>
        <v>2763.34</v>
      </c>
      <c r="Q521" s="1">
        <v>2853.25</v>
      </c>
      <c r="R521" s="16">
        <f t="shared" si="66"/>
        <v>2224706.0391000002</v>
      </c>
      <c r="S521" s="20">
        <v>603.0200000000001</v>
      </c>
      <c r="T521" s="21">
        <v>97.500000000000014</v>
      </c>
      <c r="U521" s="21">
        <v>4.92</v>
      </c>
      <c r="V521" s="8">
        <v>705.44</v>
      </c>
      <c r="W521" s="25">
        <v>1.238</v>
      </c>
      <c r="X521" s="25">
        <f t="shared" si="67"/>
        <v>218333.68000000002</v>
      </c>
      <c r="Y521" s="1">
        <f t="shared" si="68"/>
        <v>3468.78</v>
      </c>
      <c r="Z521" s="1">
        <f t="shared" si="69"/>
        <v>3558.69</v>
      </c>
      <c r="AA521" s="1">
        <v>3558.6</v>
      </c>
      <c r="AB521" s="1">
        <f t="shared" si="64"/>
        <v>-89.819999999999709</v>
      </c>
      <c r="AC521" s="29">
        <f t="shared" si="70"/>
        <v>-9.0000000000145519E-2</v>
      </c>
      <c r="AD521" s="11">
        <f t="shared" si="71"/>
        <v>2443039.7191000003</v>
      </c>
    </row>
    <row r="522" spans="1:30" x14ac:dyDescent="0.3">
      <c r="A522" s="14">
        <v>45935.395833333336</v>
      </c>
      <c r="B522" s="1">
        <v>1028.1099999999999</v>
      </c>
      <c r="C522" s="11">
        <v>3.2732000000000001</v>
      </c>
      <c r="D522" s="1">
        <v>754.37</v>
      </c>
      <c r="E522" s="11">
        <v>3.0760000000000001</v>
      </c>
      <c r="F522" s="1">
        <v>398.57</v>
      </c>
      <c r="G522" s="11">
        <v>3.53</v>
      </c>
      <c r="H522" s="1">
        <v>47.33</v>
      </c>
      <c r="I522" s="11">
        <v>1.85355</v>
      </c>
      <c r="J522" s="1">
        <v>127.03</v>
      </c>
      <c r="K522" s="11">
        <v>2.5442399999999998</v>
      </c>
      <c r="L522" s="1">
        <v>60.31</v>
      </c>
      <c r="M522" s="11">
        <v>6.2</v>
      </c>
      <c r="N522" s="1">
        <v>360.56</v>
      </c>
      <c r="O522" s="11">
        <v>2.8224999999999998</v>
      </c>
      <c r="P522" s="1">
        <f t="shared" si="65"/>
        <v>2776.28</v>
      </c>
      <c r="Q522" s="1">
        <v>2822.13</v>
      </c>
      <c r="R522" s="16">
        <f t="shared" si="66"/>
        <v>2223782.4501749999</v>
      </c>
      <c r="S522" s="20">
        <v>583.47</v>
      </c>
      <c r="T522" s="21">
        <v>152.97999999999999</v>
      </c>
      <c r="U522" s="21">
        <v>5.2</v>
      </c>
      <c r="V522" s="8">
        <v>741.65000000000009</v>
      </c>
      <c r="W522" s="25">
        <v>1.238</v>
      </c>
      <c r="X522" s="25">
        <f t="shared" si="67"/>
        <v>229540.67500000002</v>
      </c>
      <c r="Y522" s="1">
        <f t="shared" si="68"/>
        <v>3517.9300000000003</v>
      </c>
      <c r="Z522" s="1">
        <f t="shared" si="69"/>
        <v>3563.78</v>
      </c>
      <c r="AA522" s="1">
        <v>3571.56</v>
      </c>
      <c r="AB522" s="1">
        <f t="shared" si="64"/>
        <v>-53.629999999999654</v>
      </c>
      <c r="AC522" s="29">
        <f t="shared" si="70"/>
        <v>7.7799999999997453</v>
      </c>
      <c r="AD522" s="11">
        <f t="shared" si="71"/>
        <v>2453323.1251749997</v>
      </c>
    </row>
    <row r="523" spans="1:30" x14ac:dyDescent="0.3">
      <c r="A523" s="14">
        <v>45935.40625</v>
      </c>
      <c r="B523" s="1">
        <v>1028.79</v>
      </c>
      <c r="C523" s="11">
        <v>3.2732000000000001</v>
      </c>
      <c r="D523" s="1">
        <v>754.37</v>
      </c>
      <c r="E523" s="11">
        <v>3.0760000000000001</v>
      </c>
      <c r="F523" s="1">
        <v>398.57</v>
      </c>
      <c r="G523" s="11">
        <v>3.53</v>
      </c>
      <c r="H523" s="1">
        <v>47.33</v>
      </c>
      <c r="I523" s="11">
        <v>1.86999</v>
      </c>
      <c r="J523" s="1">
        <v>127.19</v>
      </c>
      <c r="K523" s="11">
        <v>2.5440999999999998</v>
      </c>
      <c r="L523" s="1">
        <v>60.33</v>
      </c>
      <c r="M523" s="11">
        <v>6.2</v>
      </c>
      <c r="N523" s="1">
        <v>382.95</v>
      </c>
      <c r="O523" s="11">
        <v>2.8224999999999998</v>
      </c>
      <c r="P523" s="1">
        <f t="shared" si="65"/>
        <v>2799.5299999999997</v>
      </c>
      <c r="Q523" s="1">
        <v>2913.14</v>
      </c>
      <c r="R523" s="16">
        <f t="shared" si="66"/>
        <v>2240460.6821750002</v>
      </c>
      <c r="S523" s="20">
        <v>535.73</v>
      </c>
      <c r="T523" s="21">
        <v>155.16999999999999</v>
      </c>
      <c r="U523" s="21">
        <v>5.41</v>
      </c>
      <c r="V523" s="8">
        <v>696.31</v>
      </c>
      <c r="W523" s="25">
        <v>1.238</v>
      </c>
      <c r="X523" s="25">
        <f t="shared" si="67"/>
        <v>215507.94499999998</v>
      </c>
      <c r="Y523" s="1">
        <f t="shared" si="68"/>
        <v>3495.8399999999997</v>
      </c>
      <c r="Z523" s="1">
        <f t="shared" si="69"/>
        <v>3609.45</v>
      </c>
      <c r="AA523" s="1">
        <v>3619.22</v>
      </c>
      <c r="AB523" s="1">
        <f t="shared" si="64"/>
        <v>-123.38000000000011</v>
      </c>
      <c r="AC523" s="29">
        <f t="shared" si="70"/>
        <v>9.7699999999999818</v>
      </c>
      <c r="AD523" s="11">
        <f t="shared" si="71"/>
        <v>2455968.627175</v>
      </c>
    </row>
    <row r="524" spans="1:30" x14ac:dyDescent="0.3">
      <c r="A524" s="14">
        <v>45935.416666666664</v>
      </c>
      <c r="B524" s="1">
        <v>1029.7</v>
      </c>
      <c r="C524" s="11">
        <v>3.2732000000000001</v>
      </c>
      <c r="D524" s="1">
        <v>754.37</v>
      </c>
      <c r="E524" s="11">
        <v>3.0760000000000001</v>
      </c>
      <c r="F524" s="1">
        <v>398.57</v>
      </c>
      <c r="G524" s="11">
        <v>3.53</v>
      </c>
      <c r="H524" s="1">
        <v>20.59</v>
      </c>
      <c r="I524" s="11">
        <v>1.7997000000000001</v>
      </c>
      <c r="J524" s="1">
        <v>125.47</v>
      </c>
      <c r="K524" s="11">
        <v>2.0005899999999999</v>
      </c>
      <c r="L524" s="1">
        <v>87.06</v>
      </c>
      <c r="M524" s="11">
        <v>6.2</v>
      </c>
      <c r="N524" s="1">
        <v>404.6</v>
      </c>
      <c r="O524" s="11">
        <v>2.8224999999999998</v>
      </c>
      <c r="P524" s="1">
        <f t="shared" si="65"/>
        <v>2820.36</v>
      </c>
      <c r="Q524" s="1">
        <v>2909.18</v>
      </c>
      <c r="R524" s="16">
        <f t="shared" si="66"/>
        <v>2266908.4025749997</v>
      </c>
      <c r="S524" s="20">
        <v>509.71999999999997</v>
      </c>
      <c r="T524" s="21">
        <v>168.38000000000002</v>
      </c>
      <c r="U524" s="21">
        <v>5.8100000000000005</v>
      </c>
      <c r="V524" s="8">
        <v>683.91</v>
      </c>
      <c r="W524" s="25">
        <v>1.238</v>
      </c>
      <c r="X524" s="25">
        <f t="shared" si="67"/>
        <v>211670.14499999999</v>
      </c>
      <c r="Y524" s="1">
        <f t="shared" si="68"/>
        <v>3504.27</v>
      </c>
      <c r="Z524" s="1">
        <f t="shared" si="69"/>
        <v>3593.0899999999997</v>
      </c>
      <c r="AA524" s="1">
        <v>3599.61</v>
      </c>
      <c r="AB524" s="1">
        <f t="shared" si="64"/>
        <v>-95.340000000000146</v>
      </c>
      <c r="AC524" s="29">
        <f t="shared" si="70"/>
        <v>6.5200000000004366</v>
      </c>
      <c r="AD524" s="11">
        <f t="shared" si="71"/>
        <v>2478578.5475749997</v>
      </c>
    </row>
    <row r="525" spans="1:30" x14ac:dyDescent="0.3">
      <c r="A525" s="14">
        <v>45935.427083333336</v>
      </c>
      <c r="B525" s="1">
        <v>1031.0899999999999</v>
      </c>
      <c r="C525" s="11">
        <v>3.2732000000000001</v>
      </c>
      <c r="D525" s="1">
        <v>754.37</v>
      </c>
      <c r="E525" s="11">
        <v>3.0760000000000001</v>
      </c>
      <c r="F525" s="1">
        <v>398.57</v>
      </c>
      <c r="G525" s="11">
        <v>3.53</v>
      </c>
      <c r="H525" s="1">
        <v>18.47</v>
      </c>
      <c r="I525" s="11">
        <v>1.8479000000000001</v>
      </c>
      <c r="J525" s="1">
        <v>123.57</v>
      </c>
      <c r="K525" s="11">
        <v>1.78596</v>
      </c>
      <c r="L525" s="1">
        <v>88.73</v>
      </c>
      <c r="M525" s="11">
        <v>6.2</v>
      </c>
      <c r="N525" s="1">
        <v>418.95</v>
      </c>
      <c r="O525" s="11">
        <v>2.8224999999999998</v>
      </c>
      <c r="P525" s="1">
        <f t="shared" si="65"/>
        <v>2833.75</v>
      </c>
      <c r="Q525" s="1">
        <v>2862.64</v>
      </c>
      <c r="R525" s="16">
        <f t="shared" si="66"/>
        <v>2272448.0433000005</v>
      </c>
      <c r="S525" s="20">
        <v>568.65</v>
      </c>
      <c r="T525" s="21">
        <v>180.36999999999998</v>
      </c>
      <c r="U525" s="21">
        <v>5.97</v>
      </c>
      <c r="V525" s="8">
        <v>754.99</v>
      </c>
      <c r="W525" s="25">
        <v>1.238</v>
      </c>
      <c r="X525" s="25">
        <f t="shared" si="67"/>
        <v>233669.405</v>
      </c>
      <c r="Y525" s="1">
        <f t="shared" si="68"/>
        <v>3588.74</v>
      </c>
      <c r="Z525" s="1">
        <f t="shared" si="69"/>
        <v>3617.63</v>
      </c>
      <c r="AA525" s="1">
        <v>3621.03</v>
      </c>
      <c r="AB525" s="1">
        <f t="shared" si="64"/>
        <v>-32.290000000000418</v>
      </c>
      <c r="AC525" s="29">
        <f t="shared" si="70"/>
        <v>3.4000000000000909</v>
      </c>
      <c r="AD525" s="11">
        <f t="shared" si="71"/>
        <v>2506117.4483000003</v>
      </c>
    </row>
    <row r="526" spans="1:30" x14ac:dyDescent="0.3">
      <c r="A526" s="14">
        <v>45935.4375</v>
      </c>
      <c r="B526" s="1">
        <v>1031.8599999999999</v>
      </c>
      <c r="C526" s="11">
        <v>3.2732000000000001</v>
      </c>
      <c r="D526" s="1">
        <v>754.37</v>
      </c>
      <c r="E526" s="11">
        <v>3.0760000000000001</v>
      </c>
      <c r="F526" s="1">
        <v>398.57</v>
      </c>
      <c r="G526" s="11">
        <v>3.53</v>
      </c>
      <c r="H526" s="1">
        <v>18.47</v>
      </c>
      <c r="I526" s="11">
        <v>1.99918</v>
      </c>
      <c r="J526" s="1">
        <v>122.53</v>
      </c>
      <c r="K526" s="11">
        <v>2.54433</v>
      </c>
      <c r="L526" s="1">
        <v>88.71</v>
      </c>
      <c r="M526" s="11">
        <v>6.2</v>
      </c>
      <c r="N526" s="1">
        <v>426.16</v>
      </c>
      <c r="O526" s="11">
        <v>2.8224999999999998</v>
      </c>
      <c r="P526" s="1">
        <f t="shared" si="65"/>
        <v>2840.67</v>
      </c>
      <c r="Q526" s="1">
        <v>2873.47</v>
      </c>
      <c r="R526" s="16">
        <f t="shared" si="66"/>
        <v>2301599.6453750003</v>
      </c>
      <c r="S526" s="20">
        <v>535.45000000000005</v>
      </c>
      <c r="T526" s="21">
        <v>180.85</v>
      </c>
      <c r="U526" s="21">
        <v>5.3</v>
      </c>
      <c r="V526" s="8">
        <v>721.6</v>
      </c>
      <c r="W526" s="25">
        <v>1.238</v>
      </c>
      <c r="X526" s="25">
        <f t="shared" si="67"/>
        <v>223335.2</v>
      </c>
      <c r="Y526" s="1">
        <f t="shared" si="68"/>
        <v>3562.27</v>
      </c>
      <c r="Z526" s="1">
        <f t="shared" si="69"/>
        <v>3595.0699999999997</v>
      </c>
      <c r="AA526" s="1">
        <v>3602.71</v>
      </c>
      <c r="AB526" s="1">
        <f t="shared" si="64"/>
        <v>-40.440000000000055</v>
      </c>
      <c r="AC526" s="29">
        <f t="shared" si="70"/>
        <v>7.6400000000003274</v>
      </c>
      <c r="AD526" s="11">
        <f t="shared" si="71"/>
        <v>2524934.8453750005</v>
      </c>
    </row>
    <row r="527" spans="1:30" x14ac:dyDescent="0.3">
      <c r="A527" s="14">
        <v>45935.447916666664</v>
      </c>
      <c r="B527" s="1">
        <v>1034.3699999999999</v>
      </c>
      <c r="C527" s="11">
        <v>3.2732000000000001</v>
      </c>
      <c r="D527" s="1">
        <v>754.37</v>
      </c>
      <c r="E527" s="11">
        <v>3.0760000000000001</v>
      </c>
      <c r="F527" s="1">
        <v>398.57</v>
      </c>
      <c r="G527" s="11">
        <v>3.53</v>
      </c>
      <c r="H527" s="1">
        <v>18.47</v>
      </c>
      <c r="I527" s="11">
        <v>1.9993599999999998</v>
      </c>
      <c r="J527" s="1">
        <v>122.46</v>
      </c>
      <c r="K527" s="11">
        <v>2.5443000000000002</v>
      </c>
      <c r="L527" s="1">
        <v>88.27</v>
      </c>
      <c r="M527" s="11">
        <v>6.2</v>
      </c>
      <c r="N527" s="1">
        <v>436.31</v>
      </c>
      <c r="O527" s="11">
        <v>2.8224999999999998</v>
      </c>
      <c r="P527" s="1">
        <f t="shared" si="65"/>
        <v>2852.8199999999997</v>
      </c>
      <c r="Q527" s="1">
        <v>2906.45</v>
      </c>
      <c r="R527" s="16">
        <f t="shared" si="66"/>
        <v>2310089.0590499998</v>
      </c>
      <c r="S527" s="20">
        <v>518.86</v>
      </c>
      <c r="T527" s="21">
        <v>167.39000000000001</v>
      </c>
      <c r="U527" s="21">
        <v>5.82</v>
      </c>
      <c r="V527" s="8">
        <v>692.07</v>
      </c>
      <c r="W527" s="25">
        <v>1.238</v>
      </c>
      <c r="X527" s="25">
        <f t="shared" si="67"/>
        <v>214195.66500000001</v>
      </c>
      <c r="Y527" s="1">
        <f t="shared" si="68"/>
        <v>3544.89</v>
      </c>
      <c r="Z527" s="1">
        <f t="shared" si="69"/>
        <v>3598.52</v>
      </c>
      <c r="AA527" s="1">
        <v>3603.52</v>
      </c>
      <c r="AB527" s="1">
        <f t="shared" si="64"/>
        <v>-58.630000000000109</v>
      </c>
      <c r="AC527" s="29">
        <f t="shared" si="70"/>
        <v>5</v>
      </c>
      <c r="AD527" s="11">
        <f t="shared" si="71"/>
        <v>2524284.7240499998</v>
      </c>
    </row>
    <row r="528" spans="1:30" x14ac:dyDescent="0.3">
      <c r="A528" s="14">
        <v>45935.458333333336</v>
      </c>
      <c r="B528" s="1">
        <v>1034.6099999999999</v>
      </c>
      <c r="C528" s="11">
        <v>3.2732000000000001</v>
      </c>
      <c r="D528" s="1">
        <v>754.37</v>
      </c>
      <c r="E528" s="11">
        <v>3.0760000000000001</v>
      </c>
      <c r="F528" s="1">
        <v>398.57</v>
      </c>
      <c r="G528" s="11">
        <v>3.53</v>
      </c>
      <c r="H528" s="1">
        <v>18.47</v>
      </c>
      <c r="I528" s="11">
        <v>1.9995699999999998</v>
      </c>
      <c r="J528" s="1">
        <v>118.52</v>
      </c>
      <c r="K528" s="11">
        <v>2.9713000000000003</v>
      </c>
      <c r="L528" s="1">
        <v>88.77</v>
      </c>
      <c r="M528" s="11">
        <v>6.2</v>
      </c>
      <c r="N528" s="1">
        <v>442.7</v>
      </c>
      <c r="O528" s="11">
        <v>2.8224999999999998</v>
      </c>
      <c r="P528" s="1">
        <f t="shared" si="65"/>
        <v>2856.0099999999998</v>
      </c>
      <c r="Q528" s="1">
        <v>2888.9</v>
      </c>
      <c r="R528" s="16">
        <f t="shared" si="66"/>
        <v>2325716.2389750001</v>
      </c>
      <c r="S528" s="20">
        <v>517.59</v>
      </c>
      <c r="T528" s="21">
        <v>182.32999999999998</v>
      </c>
      <c r="U528" s="21">
        <v>6.15</v>
      </c>
      <c r="V528" s="8">
        <v>706.07</v>
      </c>
      <c r="W528" s="25">
        <v>1.238</v>
      </c>
      <c r="X528" s="25">
        <f t="shared" si="67"/>
        <v>218528.66500000001</v>
      </c>
      <c r="Y528" s="1">
        <f t="shared" si="68"/>
        <v>3562.08</v>
      </c>
      <c r="Z528" s="1">
        <f t="shared" si="69"/>
        <v>3594.9700000000003</v>
      </c>
      <c r="AA528" s="1">
        <v>3596.66</v>
      </c>
      <c r="AB528" s="1">
        <f t="shared" si="64"/>
        <v>-34.579999999999927</v>
      </c>
      <c r="AC528" s="29">
        <f t="shared" si="70"/>
        <v>1.6899999999995998</v>
      </c>
      <c r="AD528" s="11">
        <f t="shared" si="71"/>
        <v>2544244.9039750001</v>
      </c>
    </row>
    <row r="529" spans="1:30" x14ac:dyDescent="0.3">
      <c r="A529" s="14">
        <v>45935.46875</v>
      </c>
      <c r="B529" s="1">
        <v>1034.6099999999999</v>
      </c>
      <c r="C529" s="11">
        <v>3.2732000000000001</v>
      </c>
      <c r="D529" s="1">
        <v>754.37</v>
      </c>
      <c r="E529" s="11">
        <v>3.0760000000000001</v>
      </c>
      <c r="F529" s="1">
        <v>398.57</v>
      </c>
      <c r="G529" s="11">
        <v>3.53</v>
      </c>
      <c r="H529" s="1">
        <v>18.47</v>
      </c>
      <c r="I529" s="11">
        <v>1.9996800000000001</v>
      </c>
      <c r="J529" s="1">
        <v>120.89</v>
      </c>
      <c r="K529" s="11">
        <v>2.92042</v>
      </c>
      <c r="L529" s="1">
        <v>88.81</v>
      </c>
      <c r="M529" s="11">
        <v>6.2</v>
      </c>
      <c r="N529" s="1">
        <v>448.97</v>
      </c>
      <c r="O529" s="11">
        <v>2.8224999999999998</v>
      </c>
      <c r="P529" s="1">
        <f t="shared" si="65"/>
        <v>2864.6899999999996</v>
      </c>
      <c r="Q529" s="1">
        <v>2836.73</v>
      </c>
      <c r="R529" s="16">
        <f t="shared" si="66"/>
        <v>2330425.7901000003</v>
      </c>
      <c r="S529" s="20">
        <v>542.1400000000001</v>
      </c>
      <c r="T529" s="21">
        <v>192.88</v>
      </c>
      <c r="U529" s="21">
        <v>7.31</v>
      </c>
      <c r="V529" s="8">
        <v>742.33</v>
      </c>
      <c r="W529" s="25">
        <v>1.238</v>
      </c>
      <c r="X529" s="25">
        <f t="shared" si="67"/>
        <v>229751.13500000001</v>
      </c>
      <c r="Y529" s="1">
        <f t="shared" si="68"/>
        <v>3607.0199999999995</v>
      </c>
      <c r="Z529" s="1">
        <f t="shared" si="69"/>
        <v>3579.06</v>
      </c>
      <c r="AA529" s="1">
        <v>3584.03</v>
      </c>
      <c r="AB529" s="1">
        <f t="shared" si="64"/>
        <v>22.989999999999327</v>
      </c>
      <c r="AC529" s="29">
        <f t="shared" si="70"/>
        <v>4.9700000000002547</v>
      </c>
      <c r="AD529" s="11">
        <f t="shared" si="71"/>
        <v>2560176.9251000006</v>
      </c>
    </row>
    <row r="530" spans="1:30" x14ac:dyDescent="0.3">
      <c r="A530" s="14">
        <v>45935.479166666664</v>
      </c>
      <c r="B530" s="1">
        <v>1034.6099999999999</v>
      </c>
      <c r="C530" s="11">
        <v>3.2732000000000001</v>
      </c>
      <c r="D530" s="1">
        <v>754.37</v>
      </c>
      <c r="E530" s="11">
        <v>3.0760000000000001</v>
      </c>
      <c r="F530" s="1">
        <v>398.57</v>
      </c>
      <c r="G530" s="11">
        <v>3.53</v>
      </c>
      <c r="H530" s="1">
        <v>18.47</v>
      </c>
      <c r="I530" s="11">
        <v>1.9997100000000001</v>
      </c>
      <c r="J530" s="1">
        <v>122.01</v>
      </c>
      <c r="K530" s="11">
        <v>2.7735300000000001</v>
      </c>
      <c r="L530" s="1">
        <v>88.89</v>
      </c>
      <c r="M530" s="11">
        <v>6.2</v>
      </c>
      <c r="N530" s="1">
        <v>456.76</v>
      </c>
      <c r="O530" s="11">
        <v>2.8224999999999998</v>
      </c>
      <c r="P530" s="1">
        <f t="shared" si="65"/>
        <v>2873.6800000000003</v>
      </c>
      <c r="Q530" s="1">
        <v>2851.02</v>
      </c>
      <c r="R530" s="16">
        <f t="shared" si="66"/>
        <v>2332383.9527500002</v>
      </c>
      <c r="S530" s="20">
        <v>510.46000000000004</v>
      </c>
      <c r="T530" s="21">
        <v>193.45</v>
      </c>
      <c r="U530" s="21">
        <v>8.51</v>
      </c>
      <c r="V530" s="8">
        <v>712.42000000000007</v>
      </c>
      <c r="W530" s="25">
        <v>1.238</v>
      </c>
      <c r="X530" s="25">
        <f t="shared" si="67"/>
        <v>220493.99000000002</v>
      </c>
      <c r="Y530" s="1">
        <f t="shared" si="68"/>
        <v>3586.1000000000004</v>
      </c>
      <c r="Z530" s="1">
        <f t="shared" si="69"/>
        <v>3563.44</v>
      </c>
      <c r="AA530" s="1">
        <v>3583.65</v>
      </c>
      <c r="AB530" s="1">
        <f t="shared" si="64"/>
        <v>2.4500000000002728</v>
      </c>
      <c r="AC530" s="29">
        <f t="shared" si="70"/>
        <v>20.210000000000036</v>
      </c>
      <c r="AD530" s="11">
        <f t="shared" si="71"/>
        <v>2552877.9427500004</v>
      </c>
    </row>
    <row r="531" spans="1:30" x14ac:dyDescent="0.3">
      <c r="A531" s="14">
        <v>45935.489583333336</v>
      </c>
      <c r="B531" s="1">
        <v>1034.6099999999999</v>
      </c>
      <c r="C531" s="11">
        <v>3.2732000000000001</v>
      </c>
      <c r="D531" s="1">
        <v>754.37</v>
      </c>
      <c r="E531" s="11">
        <v>3.0760000000000001</v>
      </c>
      <c r="F531" s="1">
        <v>398.57</v>
      </c>
      <c r="G531" s="11">
        <v>3.53</v>
      </c>
      <c r="H531" s="1">
        <v>18.47</v>
      </c>
      <c r="I531" s="11">
        <v>1.9997100000000001</v>
      </c>
      <c r="J531" s="1">
        <v>122.07</v>
      </c>
      <c r="K531" s="11">
        <v>2.7736999999999998</v>
      </c>
      <c r="L531" s="1">
        <v>89.08</v>
      </c>
      <c r="M531" s="11">
        <v>6.2</v>
      </c>
      <c r="N531" s="1">
        <v>459.47</v>
      </c>
      <c r="O531" s="11">
        <v>2.8224999999999998</v>
      </c>
      <c r="P531" s="1">
        <f t="shared" si="65"/>
        <v>2876.6400000000003</v>
      </c>
      <c r="Q531" s="1">
        <v>2877.4</v>
      </c>
      <c r="R531" s="16">
        <f t="shared" si="66"/>
        <v>2334637.4874250004</v>
      </c>
      <c r="S531" s="20">
        <v>493.95</v>
      </c>
      <c r="T531" s="21">
        <v>188.93</v>
      </c>
      <c r="U531" s="21">
        <v>9.2100000000000009</v>
      </c>
      <c r="V531" s="8">
        <v>692.09</v>
      </c>
      <c r="W531" s="25">
        <v>1.238</v>
      </c>
      <c r="X531" s="25">
        <f t="shared" si="67"/>
        <v>214201.85499999998</v>
      </c>
      <c r="Y531" s="1">
        <f t="shared" si="68"/>
        <v>3568.7300000000005</v>
      </c>
      <c r="Z531" s="1">
        <f t="shared" si="69"/>
        <v>3569.4900000000002</v>
      </c>
      <c r="AA531" s="1">
        <v>3585.63</v>
      </c>
      <c r="AB531" s="1">
        <f t="shared" si="64"/>
        <v>-16.899999999999636</v>
      </c>
      <c r="AC531" s="29">
        <f t="shared" si="70"/>
        <v>16.139999999999873</v>
      </c>
      <c r="AD531" s="11">
        <f t="shared" si="71"/>
        <v>2548839.3424250004</v>
      </c>
    </row>
    <row r="532" spans="1:30" x14ac:dyDescent="0.3">
      <c r="A532" s="14">
        <v>45935.5</v>
      </c>
      <c r="B532" s="1">
        <v>1035.8800000000001</v>
      </c>
      <c r="C532" s="11">
        <v>3.2732000000000001</v>
      </c>
      <c r="D532" s="1">
        <v>754.37</v>
      </c>
      <c r="E532" s="11">
        <v>3.0760000000000001</v>
      </c>
      <c r="F532" s="1">
        <v>398.57</v>
      </c>
      <c r="G532" s="11">
        <v>3.53</v>
      </c>
      <c r="H532" s="1">
        <v>19.82</v>
      </c>
      <c r="I532" s="11">
        <v>1.99983</v>
      </c>
      <c r="J532" s="1">
        <v>43.49</v>
      </c>
      <c r="K532" s="11">
        <v>2.9997399999999996</v>
      </c>
      <c r="L532" s="1">
        <v>87.11</v>
      </c>
      <c r="M532" s="11">
        <v>6.2</v>
      </c>
      <c r="N532" s="1">
        <v>457.81</v>
      </c>
      <c r="O532" s="11">
        <v>2.8224999999999998</v>
      </c>
      <c r="P532" s="1">
        <f t="shared" si="65"/>
        <v>2797.05</v>
      </c>
      <c r="Q532" s="1">
        <v>2865.22</v>
      </c>
      <c r="R532" s="16">
        <f t="shared" si="66"/>
        <v>2280095.6710500005</v>
      </c>
      <c r="S532" s="20">
        <v>500.01000000000005</v>
      </c>
      <c r="T532" s="21">
        <v>198.79</v>
      </c>
      <c r="U532" s="21">
        <v>9</v>
      </c>
      <c r="V532" s="8">
        <v>707.80000000000007</v>
      </c>
      <c r="W532" s="25">
        <v>1.238</v>
      </c>
      <c r="X532" s="25">
        <f t="shared" si="67"/>
        <v>219064.10000000003</v>
      </c>
      <c r="Y532" s="1">
        <f t="shared" si="68"/>
        <v>3504.8500000000004</v>
      </c>
      <c r="Z532" s="1">
        <f t="shared" si="69"/>
        <v>3573.02</v>
      </c>
      <c r="AA532" s="1">
        <v>3587.06</v>
      </c>
      <c r="AB532" s="1">
        <f t="shared" si="64"/>
        <v>-82.209999999999582</v>
      </c>
      <c r="AC532" s="29">
        <f t="shared" si="70"/>
        <v>14.039999999999964</v>
      </c>
      <c r="AD532" s="11">
        <f t="shared" si="71"/>
        <v>2499159.7710500006</v>
      </c>
    </row>
    <row r="533" spans="1:30" x14ac:dyDescent="0.3">
      <c r="A533" s="14">
        <v>45935.510416666664</v>
      </c>
      <c r="B533" s="1">
        <v>1035.97</v>
      </c>
      <c r="C533" s="11">
        <v>3.2732000000000001</v>
      </c>
      <c r="D533" s="1">
        <v>754.37</v>
      </c>
      <c r="E533" s="11">
        <v>3.0760000000000001</v>
      </c>
      <c r="F533" s="1">
        <v>398.57</v>
      </c>
      <c r="G533" s="11">
        <v>3.53</v>
      </c>
      <c r="H533" s="1">
        <v>19.920000000000002</v>
      </c>
      <c r="I533" s="11">
        <v>1.9998699999999998</v>
      </c>
      <c r="J533" s="1">
        <v>26.49</v>
      </c>
      <c r="K533" s="11">
        <v>3.1007600000000002</v>
      </c>
      <c r="L533" s="1">
        <v>85.81</v>
      </c>
      <c r="M533" s="11">
        <v>6.2</v>
      </c>
      <c r="N533" s="1">
        <v>458.29</v>
      </c>
      <c r="O533" s="11">
        <v>2.8224999999999998</v>
      </c>
      <c r="P533" s="1">
        <f t="shared" si="65"/>
        <v>2779.42</v>
      </c>
      <c r="Q533" s="1">
        <v>2830.52</v>
      </c>
      <c r="R533" s="16">
        <f t="shared" si="66"/>
        <v>2266463.3229500004</v>
      </c>
      <c r="S533" s="20">
        <v>519.02</v>
      </c>
      <c r="T533" s="21">
        <v>203.57</v>
      </c>
      <c r="U533" s="21">
        <v>10.29</v>
      </c>
      <c r="V533" s="8">
        <v>732.87999999999988</v>
      </c>
      <c r="W533" s="25">
        <v>1.238</v>
      </c>
      <c r="X533" s="25">
        <f t="shared" si="67"/>
        <v>226826.35999999996</v>
      </c>
      <c r="Y533" s="1">
        <f t="shared" si="68"/>
        <v>3512.3</v>
      </c>
      <c r="Z533" s="1">
        <f t="shared" si="69"/>
        <v>3563.3999999999996</v>
      </c>
      <c r="AA533" s="1">
        <v>3578.92</v>
      </c>
      <c r="AB533" s="1">
        <f t="shared" si="64"/>
        <v>-66.619999999999891</v>
      </c>
      <c r="AC533" s="29">
        <f t="shared" si="70"/>
        <v>15.520000000000437</v>
      </c>
      <c r="AD533" s="11">
        <f t="shared" si="71"/>
        <v>2493289.6829500003</v>
      </c>
    </row>
    <row r="534" spans="1:30" x14ac:dyDescent="0.3">
      <c r="A534" s="14">
        <v>45935.520833333336</v>
      </c>
      <c r="B534" s="1">
        <v>1035.3699999999999</v>
      </c>
      <c r="C534" s="11">
        <v>3.2732000000000001</v>
      </c>
      <c r="D534" s="1">
        <v>754.37</v>
      </c>
      <c r="E534" s="11">
        <v>3.0760000000000001</v>
      </c>
      <c r="F534" s="1">
        <v>398.57</v>
      </c>
      <c r="G534" s="11">
        <v>3.53</v>
      </c>
      <c r="H534" s="1">
        <v>19.920000000000002</v>
      </c>
      <c r="I534" s="11">
        <v>1.99996</v>
      </c>
      <c r="J534" s="1">
        <v>30.02</v>
      </c>
      <c r="K534" s="11">
        <v>3.0150799999999998</v>
      </c>
      <c r="L534" s="1">
        <v>85.81</v>
      </c>
      <c r="M534" s="11">
        <v>6.2</v>
      </c>
      <c r="N534" s="1">
        <v>456.52</v>
      </c>
      <c r="O534" s="11">
        <v>2.8224999999999998</v>
      </c>
      <c r="P534" s="1">
        <f t="shared" si="65"/>
        <v>2780.58</v>
      </c>
      <c r="Q534" s="1">
        <v>2796.56</v>
      </c>
      <c r="R534" s="16">
        <f t="shared" si="66"/>
        <v>2266817.2271999996</v>
      </c>
      <c r="S534" s="20">
        <v>564.64</v>
      </c>
      <c r="T534" s="21">
        <v>203.02</v>
      </c>
      <c r="U534" s="21">
        <v>10.75</v>
      </c>
      <c r="V534" s="8">
        <v>778.41</v>
      </c>
      <c r="W534" s="25">
        <v>1.238</v>
      </c>
      <c r="X534" s="25">
        <f t="shared" si="67"/>
        <v>240917.89499999999</v>
      </c>
      <c r="Y534" s="1">
        <f t="shared" si="68"/>
        <v>3558.99</v>
      </c>
      <c r="Z534" s="1">
        <f t="shared" si="69"/>
        <v>3574.97</v>
      </c>
      <c r="AA534" s="1">
        <v>3591.08</v>
      </c>
      <c r="AB534" s="1">
        <f t="shared" si="64"/>
        <v>-32.090000000000146</v>
      </c>
      <c r="AC534" s="29">
        <f t="shared" si="70"/>
        <v>16.110000000000127</v>
      </c>
      <c r="AD534" s="11">
        <f t="shared" si="71"/>
        <v>2507735.1221999996</v>
      </c>
    </row>
    <row r="535" spans="1:30" x14ac:dyDescent="0.3">
      <c r="A535" s="14">
        <v>45935.53125</v>
      </c>
      <c r="B535" s="1">
        <v>1035.32</v>
      </c>
      <c r="C535" s="11">
        <v>3.2732000000000001</v>
      </c>
      <c r="D535" s="1">
        <v>754.37</v>
      </c>
      <c r="E535" s="11">
        <v>3.0760000000000001</v>
      </c>
      <c r="F535" s="1">
        <v>398.57</v>
      </c>
      <c r="G535" s="11">
        <v>3.53</v>
      </c>
      <c r="H535" s="1">
        <v>19.920000000000002</v>
      </c>
      <c r="I535" s="11">
        <v>1.9998099999999999</v>
      </c>
      <c r="J535" s="1">
        <v>30.37</v>
      </c>
      <c r="K535" s="11">
        <v>2.95913</v>
      </c>
      <c r="L535" s="1">
        <v>82.92</v>
      </c>
      <c r="M535" s="11">
        <v>6.2</v>
      </c>
      <c r="N535" s="1">
        <v>458.71</v>
      </c>
      <c r="O535" s="11">
        <v>2.8224999999999998</v>
      </c>
      <c r="P535" s="1">
        <f t="shared" si="65"/>
        <v>2780.1800000000003</v>
      </c>
      <c r="Q535" s="1">
        <v>2787.76</v>
      </c>
      <c r="R535" s="16">
        <f t="shared" si="66"/>
        <v>2263680.4030750003</v>
      </c>
      <c r="S535" s="20">
        <v>569.74</v>
      </c>
      <c r="T535" s="21">
        <v>204.32</v>
      </c>
      <c r="U535" s="21">
        <v>11.329999999999998</v>
      </c>
      <c r="V535" s="8">
        <v>785.39</v>
      </c>
      <c r="W535" s="25">
        <v>1.238</v>
      </c>
      <c r="X535" s="25">
        <f t="shared" si="67"/>
        <v>243078.20499999999</v>
      </c>
      <c r="Y535" s="1">
        <f t="shared" si="68"/>
        <v>3565.57</v>
      </c>
      <c r="Z535" s="1">
        <f t="shared" si="69"/>
        <v>3573.15</v>
      </c>
      <c r="AA535" s="1">
        <v>3594.3</v>
      </c>
      <c r="AB535" s="1">
        <f t="shared" si="64"/>
        <v>-28.730000000000018</v>
      </c>
      <c r="AC535" s="29">
        <f t="shared" si="70"/>
        <v>21.150000000000091</v>
      </c>
      <c r="AD535" s="11">
        <f t="shared" si="71"/>
        <v>2506758.6080750003</v>
      </c>
    </row>
    <row r="536" spans="1:30" x14ac:dyDescent="0.3">
      <c r="A536" s="14">
        <v>45935.541666666664</v>
      </c>
      <c r="B536" s="1">
        <v>1035.32</v>
      </c>
      <c r="C536" s="11">
        <v>3.2732000000000001</v>
      </c>
      <c r="D536" s="1">
        <v>754.37</v>
      </c>
      <c r="E536" s="11">
        <v>3.0760000000000001</v>
      </c>
      <c r="F536" s="1">
        <v>398.57</v>
      </c>
      <c r="G536" s="11">
        <v>3.53</v>
      </c>
      <c r="H536" s="1">
        <v>18.75</v>
      </c>
      <c r="I536" s="11">
        <v>1.9997499999999999</v>
      </c>
      <c r="J536" s="1">
        <v>30.37</v>
      </c>
      <c r="K536" s="11">
        <v>2.8807</v>
      </c>
      <c r="L536" s="1">
        <v>84.61</v>
      </c>
      <c r="M536" s="11">
        <v>6.2</v>
      </c>
      <c r="N536" s="1">
        <v>456.48</v>
      </c>
      <c r="O536" s="11">
        <v>2.8224999999999998</v>
      </c>
      <c r="P536" s="1">
        <f t="shared" si="65"/>
        <v>2778.4700000000003</v>
      </c>
      <c r="Q536" s="1">
        <v>2740.92</v>
      </c>
      <c r="R536" s="16">
        <f t="shared" si="66"/>
        <v>2263545.6538750003</v>
      </c>
      <c r="S536" s="20">
        <v>550.42999999999995</v>
      </c>
      <c r="T536" s="21">
        <v>201.86</v>
      </c>
      <c r="U536" s="21">
        <v>10.88</v>
      </c>
      <c r="V536" s="8">
        <v>763.17</v>
      </c>
      <c r="W536" s="25">
        <v>1.238</v>
      </c>
      <c r="X536" s="25">
        <f t="shared" si="67"/>
        <v>236201.11499999999</v>
      </c>
      <c r="Y536" s="1">
        <f t="shared" si="68"/>
        <v>3541.6400000000003</v>
      </c>
      <c r="Z536" s="1">
        <f t="shared" si="69"/>
        <v>3504.09</v>
      </c>
      <c r="AA536" s="1">
        <v>3524.88</v>
      </c>
      <c r="AB536" s="1">
        <f t="shared" si="64"/>
        <v>16.760000000000218</v>
      </c>
      <c r="AC536" s="29">
        <f t="shared" si="70"/>
        <v>20.789999999999964</v>
      </c>
      <c r="AD536" s="11">
        <f t="shared" si="71"/>
        <v>2499746.7688750001</v>
      </c>
    </row>
    <row r="537" spans="1:30" x14ac:dyDescent="0.3">
      <c r="A537" s="14">
        <v>45935.552083333336</v>
      </c>
      <c r="B537" s="1">
        <v>1032.43</v>
      </c>
      <c r="C537" s="11">
        <v>3.2732000000000001</v>
      </c>
      <c r="D537" s="1">
        <v>754.37</v>
      </c>
      <c r="E537" s="11">
        <v>3.0760000000000001</v>
      </c>
      <c r="F537" s="1">
        <v>398.57</v>
      </c>
      <c r="G537" s="11">
        <v>3.53</v>
      </c>
      <c r="H537" s="1">
        <v>18.66</v>
      </c>
      <c r="I537" s="11">
        <v>1.9999</v>
      </c>
      <c r="J537" s="1">
        <v>30.37</v>
      </c>
      <c r="K537" s="11">
        <v>2.92055</v>
      </c>
      <c r="L537" s="1">
        <v>83.86</v>
      </c>
      <c r="M537" s="11">
        <v>6.2</v>
      </c>
      <c r="N537" s="1">
        <v>450.47</v>
      </c>
      <c r="O537" s="11">
        <v>2.8224999999999998</v>
      </c>
      <c r="P537" s="1">
        <f t="shared" si="65"/>
        <v>2768.7300000000005</v>
      </c>
      <c r="Q537" s="1">
        <v>2749.89</v>
      </c>
      <c r="R537" s="16">
        <f t="shared" si="66"/>
        <v>2256035.7271250002</v>
      </c>
      <c r="S537" s="20">
        <v>554.84999999999991</v>
      </c>
      <c r="T537" s="21">
        <v>201.73999999999998</v>
      </c>
      <c r="U537" s="21">
        <v>12.49</v>
      </c>
      <c r="V537" s="8">
        <v>769.07999999999993</v>
      </c>
      <c r="W537" s="25">
        <v>1.238</v>
      </c>
      <c r="X537" s="25">
        <f t="shared" si="67"/>
        <v>238030.25999999998</v>
      </c>
      <c r="Y537" s="1">
        <f t="shared" si="68"/>
        <v>3537.8100000000004</v>
      </c>
      <c r="Z537" s="1">
        <f t="shared" si="69"/>
        <v>3518.97</v>
      </c>
      <c r="AA537" s="1">
        <v>3539.69</v>
      </c>
      <c r="AB537" s="1">
        <f t="shared" si="64"/>
        <v>-1.8799999999996544</v>
      </c>
      <c r="AC537" s="29">
        <f t="shared" si="70"/>
        <v>20.720000000000255</v>
      </c>
      <c r="AD537" s="11">
        <f t="shared" si="71"/>
        <v>2494065.987125</v>
      </c>
    </row>
    <row r="538" spans="1:30" x14ac:dyDescent="0.3">
      <c r="A538" s="14">
        <v>45935.5625</v>
      </c>
      <c r="B538" s="1">
        <v>1032.19</v>
      </c>
      <c r="C538" s="11">
        <v>3.2732000000000001</v>
      </c>
      <c r="D538" s="1">
        <v>754.37</v>
      </c>
      <c r="E538" s="11">
        <v>3.0760000000000001</v>
      </c>
      <c r="F538" s="1">
        <v>398.57</v>
      </c>
      <c r="G538" s="11">
        <v>3.53</v>
      </c>
      <c r="H538" s="1">
        <v>18.66</v>
      </c>
      <c r="I538" s="11">
        <v>2.0005299999999999</v>
      </c>
      <c r="J538" s="1">
        <v>29.92</v>
      </c>
      <c r="K538" s="11">
        <v>2.8803200000000002</v>
      </c>
      <c r="L538" s="1">
        <v>82.53</v>
      </c>
      <c r="M538" s="11">
        <v>6.2</v>
      </c>
      <c r="N538" s="1">
        <v>442.43</v>
      </c>
      <c r="O538" s="11">
        <v>2.8224999999999998</v>
      </c>
      <c r="P538" s="1">
        <f t="shared" si="65"/>
        <v>2758.67</v>
      </c>
      <c r="Q538" s="1">
        <v>2772.95</v>
      </c>
      <c r="R538" s="16">
        <f t="shared" si="66"/>
        <v>2247478.0668000001</v>
      </c>
      <c r="S538" s="20">
        <v>566.95000000000005</v>
      </c>
      <c r="T538" s="21">
        <v>198.03000000000003</v>
      </c>
      <c r="U538" s="21">
        <v>12.01</v>
      </c>
      <c r="V538" s="8">
        <v>776.99</v>
      </c>
      <c r="W538" s="25">
        <v>1.238</v>
      </c>
      <c r="X538" s="25">
        <f t="shared" si="67"/>
        <v>240478.405</v>
      </c>
      <c r="Y538" s="1">
        <f t="shared" si="68"/>
        <v>3535.66</v>
      </c>
      <c r="Z538" s="1">
        <f t="shared" si="69"/>
        <v>3549.9399999999996</v>
      </c>
      <c r="AA538" s="1">
        <v>3568.06</v>
      </c>
      <c r="AB538" s="1">
        <f t="shared" si="64"/>
        <v>-32.400000000000091</v>
      </c>
      <c r="AC538" s="29">
        <f t="shared" si="70"/>
        <v>18.120000000000346</v>
      </c>
      <c r="AD538" s="11">
        <f t="shared" si="71"/>
        <v>2487956.4717999999</v>
      </c>
    </row>
    <row r="539" spans="1:30" x14ac:dyDescent="0.3">
      <c r="A539" s="14">
        <v>45935.572916666664</v>
      </c>
      <c r="B539" s="1">
        <v>1032.19</v>
      </c>
      <c r="C539" s="11">
        <v>3.2732000000000001</v>
      </c>
      <c r="D539" s="1">
        <v>754.37</v>
      </c>
      <c r="E539" s="11">
        <v>3.0760000000000001</v>
      </c>
      <c r="F539" s="1">
        <v>398.57</v>
      </c>
      <c r="G539" s="11">
        <v>3.53</v>
      </c>
      <c r="H539" s="1">
        <v>18.66</v>
      </c>
      <c r="I539" s="11">
        <v>2.2408399999999999</v>
      </c>
      <c r="J539" s="1">
        <v>27.21</v>
      </c>
      <c r="K539" s="11">
        <v>3.0150199999999998</v>
      </c>
      <c r="L539" s="1">
        <v>82.44</v>
      </c>
      <c r="M539" s="11">
        <v>6.2</v>
      </c>
      <c r="N539" s="1">
        <v>445.93</v>
      </c>
      <c r="O539" s="11">
        <v>2.8224999999999998</v>
      </c>
      <c r="P539" s="1">
        <f t="shared" si="65"/>
        <v>2759.37</v>
      </c>
      <c r="Q539" s="1">
        <v>2794.25</v>
      </c>
      <c r="R539" s="16">
        <f t="shared" si="66"/>
        <v>2249894.1804</v>
      </c>
      <c r="S539" s="20">
        <v>614.87</v>
      </c>
      <c r="T539" s="21">
        <v>195.78000000000006</v>
      </c>
      <c r="U539" s="21">
        <v>12.509999999999998</v>
      </c>
      <c r="V539" s="8">
        <v>823.16000000000008</v>
      </c>
      <c r="W539" s="25">
        <v>1.238</v>
      </c>
      <c r="X539" s="25">
        <f t="shared" si="67"/>
        <v>254768.02000000005</v>
      </c>
      <c r="Y539" s="1">
        <f t="shared" si="68"/>
        <v>3582.5299999999997</v>
      </c>
      <c r="Z539" s="1">
        <f t="shared" si="69"/>
        <v>3617.41</v>
      </c>
      <c r="AA539" s="1">
        <v>3631.73</v>
      </c>
      <c r="AB539" s="1">
        <f t="shared" si="64"/>
        <v>-49.200000000000273</v>
      </c>
      <c r="AC539" s="29">
        <f t="shared" si="70"/>
        <v>14.320000000000164</v>
      </c>
      <c r="AD539" s="11">
        <f t="shared" si="71"/>
        <v>2504662.2004</v>
      </c>
    </row>
    <row r="540" spans="1:30" x14ac:dyDescent="0.3">
      <c r="A540" s="14">
        <v>45935.583333333336</v>
      </c>
      <c r="B540" s="1">
        <v>1034.26</v>
      </c>
      <c r="C540" s="11">
        <v>3.2732000000000001</v>
      </c>
      <c r="D540" s="1">
        <v>754.37</v>
      </c>
      <c r="E540" s="11">
        <v>3.0760000000000001</v>
      </c>
      <c r="F540" s="1">
        <v>398.57</v>
      </c>
      <c r="G540" s="11">
        <v>3.53</v>
      </c>
      <c r="H540" s="1">
        <v>45.77</v>
      </c>
      <c r="I540" s="11">
        <v>2.4003299999999999</v>
      </c>
      <c r="J540" s="1">
        <v>118.2</v>
      </c>
      <c r="K540" s="11">
        <v>3.1967600000000003</v>
      </c>
      <c r="L540" s="1">
        <v>49.47</v>
      </c>
      <c r="M540" s="11">
        <v>6.2</v>
      </c>
      <c r="N540" s="1">
        <v>436.88</v>
      </c>
      <c r="O540" s="11">
        <v>2.8224999999999998</v>
      </c>
      <c r="P540" s="1">
        <f t="shared" si="65"/>
        <v>2837.52</v>
      </c>
      <c r="Q540" s="1">
        <v>2873.46</v>
      </c>
      <c r="R540" s="16">
        <f t="shared" si="66"/>
        <v>2285065.4970249999</v>
      </c>
      <c r="S540" s="20">
        <v>637.41000000000008</v>
      </c>
      <c r="T540" s="21">
        <v>191.1</v>
      </c>
      <c r="U540" s="21">
        <v>10.370000000000001</v>
      </c>
      <c r="V540" s="8">
        <v>838.88000000000011</v>
      </c>
      <c r="W540" s="25">
        <v>1.238</v>
      </c>
      <c r="X540" s="25">
        <f t="shared" si="67"/>
        <v>259633.36000000004</v>
      </c>
      <c r="Y540" s="1">
        <f t="shared" si="68"/>
        <v>3676.4</v>
      </c>
      <c r="Z540" s="1">
        <f t="shared" si="69"/>
        <v>3712.34</v>
      </c>
      <c r="AA540" s="1">
        <v>3730.09</v>
      </c>
      <c r="AB540" s="1">
        <f t="shared" si="64"/>
        <v>-53.690000000000055</v>
      </c>
      <c r="AC540" s="29">
        <f t="shared" si="70"/>
        <v>17.75</v>
      </c>
      <c r="AD540" s="11">
        <f t="shared" si="71"/>
        <v>2544698.8570249998</v>
      </c>
    </row>
    <row r="541" spans="1:30" x14ac:dyDescent="0.3">
      <c r="A541" s="14">
        <v>45935.59375</v>
      </c>
      <c r="B541" s="1">
        <v>1034.4000000000001</v>
      </c>
      <c r="C541" s="11">
        <v>3.2732000000000001</v>
      </c>
      <c r="D541" s="1">
        <v>754.37</v>
      </c>
      <c r="E541" s="11">
        <v>3.0760000000000001</v>
      </c>
      <c r="F541" s="1">
        <v>398.57</v>
      </c>
      <c r="G541" s="11">
        <v>3.53</v>
      </c>
      <c r="H541" s="1">
        <v>47.81</v>
      </c>
      <c r="I541" s="11">
        <v>2.4900700000000002</v>
      </c>
      <c r="J541" s="1">
        <v>205.66</v>
      </c>
      <c r="K541" s="11">
        <v>3.38171</v>
      </c>
      <c r="L541" s="1">
        <v>47.2</v>
      </c>
      <c r="M541" s="11">
        <v>6.2</v>
      </c>
      <c r="N541" s="1">
        <v>412.28</v>
      </c>
      <c r="O541" s="11">
        <v>2.8224999999999998</v>
      </c>
      <c r="P541" s="1">
        <f t="shared" si="65"/>
        <v>2900.29</v>
      </c>
      <c r="Q541" s="1">
        <v>2935.61</v>
      </c>
      <c r="R541" s="16">
        <f t="shared" si="66"/>
        <v>2346006.3313249997</v>
      </c>
      <c r="S541" s="20">
        <v>658.53</v>
      </c>
      <c r="T541" s="21">
        <v>193.07999999999996</v>
      </c>
      <c r="U541" s="21">
        <v>11.780000000000001</v>
      </c>
      <c r="V541" s="8">
        <v>863.38999999999987</v>
      </c>
      <c r="W541" s="25">
        <v>1.238</v>
      </c>
      <c r="X541" s="25">
        <f t="shared" si="67"/>
        <v>267219.20499999996</v>
      </c>
      <c r="Y541" s="1">
        <f t="shared" si="68"/>
        <v>3763.68</v>
      </c>
      <c r="Z541" s="1">
        <f t="shared" si="69"/>
        <v>3799</v>
      </c>
      <c r="AA541" s="1">
        <v>3816.5</v>
      </c>
      <c r="AB541" s="1">
        <f t="shared" si="64"/>
        <v>-52.820000000000164</v>
      </c>
      <c r="AC541" s="29">
        <f t="shared" si="70"/>
        <v>17.5</v>
      </c>
      <c r="AD541" s="11">
        <f t="shared" si="71"/>
        <v>2613225.5363249998</v>
      </c>
    </row>
    <row r="542" spans="1:30" x14ac:dyDescent="0.3">
      <c r="A542" s="14">
        <v>45935.604166666664</v>
      </c>
      <c r="B542" s="1">
        <v>1289.43</v>
      </c>
      <c r="C542" s="11">
        <v>3.2732000000000001</v>
      </c>
      <c r="D542" s="1">
        <v>754.37</v>
      </c>
      <c r="E542" s="11">
        <v>3.0760000000000001</v>
      </c>
      <c r="F542" s="1">
        <v>398.57</v>
      </c>
      <c r="G542" s="11">
        <v>3.53</v>
      </c>
      <c r="H542" s="1">
        <v>47.81</v>
      </c>
      <c r="I542" s="11">
        <v>2.78085</v>
      </c>
      <c r="J542" s="1">
        <v>33.630000000000003</v>
      </c>
      <c r="K542" s="11">
        <v>3.3598400000000002</v>
      </c>
      <c r="L542" s="1">
        <v>47.29</v>
      </c>
      <c r="M542" s="11">
        <v>6.2</v>
      </c>
      <c r="N542" s="1">
        <v>382.9</v>
      </c>
      <c r="O542" s="11">
        <v>2.8224999999999998</v>
      </c>
      <c r="P542" s="1">
        <f t="shared" si="65"/>
        <v>2954.0000000000005</v>
      </c>
      <c r="Q542" s="1">
        <v>3027.08</v>
      </c>
      <c r="R542" s="16">
        <f t="shared" si="66"/>
        <v>2391958.4009250002</v>
      </c>
      <c r="S542" s="20">
        <v>683.74</v>
      </c>
      <c r="T542" s="21">
        <v>191.37</v>
      </c>
      <c r="U542" s="21">
        <v>12.05</v>
      </c>
      <c r="V542" s="8">
        <v>887.16</v>
      </c>
      <c r="W542" s="25">
        <v>1.238</v>
      </c>
      <c r="X542" s="25">
        <f t="shared" si="67"/>
        <v>274576.01999999996</v>
      </c>
      <c r="Y542" s="1">
        <f t="shared" si="68"/>
        <v>3841.1600000000003</v>
      </c>
      <c r="Z542" s="1">
        <f t="shared" si="69"/>
        <v>3914.24</v>
      </c>
      <c r="AA542" s="1">
        <v>3927.9</v>
      </c>
      <c r="AB542" s="1">
        <f t="shared" si="64"/>
        <v>-86.739999999999782</v>
      </c>
      <c r="AC542" s="29">
        <f t="shared" si="70"/>
        <v>13.660000000000309</v>
      </c>
      <c r="AD542" s="11">
        <f t="shared" si="71"/>
        <v>2666534.4209250002</v>
      </c>
    </row>
    <row r="543" spans="1:30" x14ac:dyDescent="0.3">
      <c r="A543" s="14">
        <v>45935.614583333336</v>
      </c>
      <c r="B543" s="1">
        <v>1398.12</v>
      </c>
      <c r="C543" s="11">
        <v>3.2732000000000001</v>
      </c>
      <c r="D543" s="1">
        <v>754.37</v>
      </c>
      <c r="E543" s="11">
        <v>3.0760000000000001</v>
      </c>
      <c r="F543" s="1">
        <v>398.57</v>
      </c>
      <c r="G543" s="11">
        <v>3.53</v>
      </c>
      <c r="H543" s="1">
        <v>47.81</v>
      </c>
      <c r="I543" s="11">
        <v>2.9024000000000001</v>
      </c>
      <c r="J543" s="1">
        <v>21.39</v>
      </c>
      <c r="K543" s="11">
        <v>3.3817300000000001</v>
      </c>
      <c r="L543" s="1">
        <v>50.73</v>
      </c>
      <c r="M543" s="11">
        <v>6.2</v>
      </c>
      <c r="N543" s="1">
        <v>407.87</v>
      </c>
      <c r="O543" s="11">
        <v>2.8224999999999998</v>
      </c>
      <c r="P543" s="1">
        <f t="shared" si="65"/>
        <v>3078.8599999999997</v>
      </c>
      <c r="Q543" s="1">
        <v>3105.16</v>
      </c>
      <c r="R543" s="16">
        <f t="shared" si="66"/>
        <v>2495139.6569250003</v>
      </c>
      <c r="S543" s="20">
        <v>694.45999999999992</v>
      </c>
      <c r="T543" s="21">
        <v>181.94</v>
      </c>
      <c r="U543" s="21">
        <v>11.34</v>
      </c>
      <c r="V543" s="8">
        <v>887.7399999999999</v>
      </c>
      <c r="W543" s="25">
        <v>1.238</v>
      </c>
      <c r="X543" s="25">
        <f t="shared" si="67"/>
        <v>274755.52999999997</v>
      </c>
      <c r="Y543" s="1">
        <f t="shared" si="68"/>
        <v>3966.5999999999995</v>
      </c>
      <c r="Z543" s="1">
        <f t="shared" si="69"/>
        <v>3992.8999999999996</v>
      </c>
      <c r="AA543" s="1">
        <v>4006.52</v>
      </c>
      <c r="AB543" s="1">
        <f t="shared" si="64"/>
        <v>-39.920000000000528</v>
      </c>
      <c r="AC543" s="29">
        <f t="shared" si="70"/>
        <v>13.620000000000346</v>
      </c>
      <c r="AD543" s="11">
        <f t="shared" si="71"/>
        <v>2769895.186925</v>
      </c>
    </row>
    <row r="544" spans="1:30" x14ac:dyDescent="0.3">
      <c r="A544" s="14">
        <v>45935.625</v>
      </c>
      <c r="B544" s="1">
        <v>1404.4</v>
      </c>
      <c r="C544" s="11">
        <v>3.2732000000000001</v>
      </c>
      <c r="D544" s="1">
        <v>754.37</v>
      </c>
      <c r="E544" s="11">
        <v>3.0760000000000001</v>
      </c>
      <c r="F544" s="1">
        <v>398.57</v>
      </c>
      <c r="G544" s="11">
        <v>3.53</v>
      </c>
      <c r="H544" s="1">
        <v>39.29</v>
      </c>
      <c r="I544" s="11">
        <v>2.9222600000000001</v>
      </c>
      <c r="J544" s="1">
        <v>66.44</v>
      </c>
      <c r="K544" s="11">
        <v>3.3086700000000002</v>
      </c>
      <c r="L544" s="1">
        <v>31.84</v>
      </c>
      <c r="M544" s="11">
        <v>6.2</v>
      </c>
      <c r="N544" s="1">
        <v>408.2</v>
      </c>
      <c r="O544" s="11">
        <v>2.8224999999999998</v>
      </c>
      <c r="P544" s="1">
        <f t="shared" si="65"/>
        <v>3103.11</v>
      </c>
      <c r="Q544" s="1">
        <v>3141.7</v>
      </c>
      <c r="R544" s="16">
        <f t="shared" si="66"/>
        <v>2502118.1075500003</v>
      </c>
      <c r="S544" s="20">
        <v>729.28</v>
      </c>
      <c r="T544" s="21">
        <v>172.92000000000002</v>
      </c>
      <c r="U544" s="21">
        <v>10.68</v>
      </c>
      <c r="V544" s="8">
        <v>912.88</v>
      </c>
      <c r="W544" s="25">
        <v>1.238</v>
      </c>
      <c r="X544" s="25">
        <f t="shared" si="67"/>
        <v>282536.36</v>
      </c>
      <c r="Y544" s="1">
        <f t="shared" si="68"/>
        <v>4015.9900000000002</v>
      </c>
      <c r="Z544" s="1">
        <f t="shared" si="69"/>
        <v>4054.58</v>
      </c>
      <c r="AA544" s="1">
        <v>4069.68</v>
      </c>
      <c r="AB544" s="1">
        <f t="shared" si="64"/>
        <v>-53.6899999999996</v>
      </c>
      <c r="AC544" s="29">
        <f t="shared" si="70"/>
        <v>15.099999999999909</v>
      </c>
      <c r="AD544" s="11">
        <f t="shared" si="71"/>
        <v>2784654.4675500002</v>
      </c>
    </row>
    <row r="545" spans="1:30" x14ac:dyDescent="0.3">
      <c r="A545" s="14">
        <v>45935.635416666664</v>
      </c>
      <c r="B545" s="1">
        <v>1404.4</v>
      </c>
      <c r="C545" s="11">
        <v>3.2732000000000001</v>
      </c>
      <c r="D545" s="1">
        <v>754.37</v>
      </c>
      <c r="E545" s="11">
        <v>3.0760000000000001</v>
      </c>
      <c r="F545" s="1">
        <v>398.57</v>
      </c>
      <c r="G545" s="11">
        <v>3.53</v>
      </c>
      <c r="H545" s="1">
        <v>52.78</v>
      </c>
      <c r="I545" s="11">
        <v>2.9711999999999996</v>
      </c>
      <c r="J545" s="1">
        <v>75.599999999999994</v>
      </c>
      <c r="K545" s="11">
        <v>3.3819299999999997</v>
      </c>
      <c r="L545" s="1">
        <v>10.49</v>
      </c>
      <c r="M545" s="11">
        <v>6.2</v>
      </c>
      <c r="N545" s="1">
        <v>391.52</v>
      </c>
      <c r="O545" s="11">
        <v>2.8224999999999998</v>
      </c>
      <c r="P545" s="1">
        <f t="shared" si="65"/>
        <v>3087.73</v>
      </c>
      <c r="Q545" s="1">
        <v>3167.92</v>
      </c>
      <c r="R545" s="16">
        <f t="shared" si="66"/>
        <v>2476718.3360000006</v>
      </c>
      <c r="S545" s="20">
        <v>754.91000000000008</v>
      </c>
      <c r="T545" s="21">
        <v>162.24</v>
      </c>
      <c r="U545" s="21">
        <v>11.110000000000001</v>
      </c>
      <c r="V545" s="8">
        <v>928.2600000000001</v>
      </c>
      <c r="W545" s="25">
        <v>1.238</v>
      </c>
      <c r="X545" s="25">
        <f t="shared" si="67"/>
        <v>287296.47000000003</v>
      </c>
      <c r="Y545" s="1">
        <f t="shared" si="68"/>
        <v>4015.9900000000002</v>
      </c>
      <c r="Z545" s="1">
        <f t="shared" si="69"/>
        <v>4096.18</v>
      </c>
      <c r="AA545" s="1">
        <v>4110.3</v>
      </c>
      <c r="AB545" s="1">
        <f t="shared" si="64"/>
        <v>-94.309999999999945</v>
      </c>
      <c r="AC545" s="29">
        <f t="shared" si="70"/>
        <v>14.119999999999891</v>
      </c>
      <c r="AD545" s="11">
        <f t="shared" si="71"/>
        <v>2764014.8060000008</v>
      </c>
    </row>
    <row r="546" spans="1:30" x14ac:dyDescent="0.3">
      <c r="A546" s="14">
        <v>45935.645833333336</v>
      </c>
      <c r="B546" s="1">
        <v>1493.46</v>
      </c>
      <c r="C546" s="11">
        <v>3.2732000000000001</v>
      </c>
      <c r="D546" s="1">
        <v>754.37</v>
      </c>
      <c r="E546" s="11">
        <v>3.0760000000000001</v>
      </c>
      <c r="F546" s="1">
        <v>398.57</v>
      </c>
      <c r="G546" s="11">
        <v>3.53</v>
      </c>
      <c r="H546" s="1">
        <v>58.75</v>
      </c>
      <c r="I546" s="11">
        <v>2.9717699999999998</v>
      </c>
      <c r="J546" s="1">
        <v>69.62</v>
      </c>
      <c r="K546" s="11">
        <v>3.4993300000000001</v>
      </c>
      <c r="L546" s="1">
        <v>4.9000000000000004</v>
      </c>
      <c r="M546" s="11">
        <v>6.2</v>
      </c>
      <c r="N546" s="1">
        <v>368.75</v>
      </c>
      <c r="O546" s="11">
        <v>2.8224999999999998</v>
      </c>
      <c r="P546" s="1">
        <f t="shared" si="65"/>
        <v>3148.42</v>
      </c>
      <c r="Q546" s="1">
        <v>3205.28</v>
      </c>
      <c r="R546" s="16">
        <f t="shared" si="66"/>
        <v>2526294.8022750001</v>
      </c>
      <c r="S546" s="20">
        <v>799.06999999999994</v>
      </c>
      <c r="T546" s="21">
        <v>149.47</v>
      </c>
      <c r="U546" s="21">
        <v>10.52</v>
      </c>
      <c r="V546" s="8">
        <v>959.06</v>
      </c>
      <c r="W546" s="25">
        <v>1.238</v>
      </c>
      <c r="X546" s="25">
        <f t="shared" si="67"/>
        <v>296829.07</v>
      </c>
      <c r="Y546" s="1">
        <f t="shared" si="68"/>
        <v>4107.4799999999996</v>
      </c>
      <c r="Z546" s="1">
        <f t="shared" si="69"/>
        <v>4164.34</v>
      </c>
      <c r="AA546" s="1">
        <v>4179.99</v>
      </c>
      <c r="AB546" s="1">
        <f t="shared" si="64"/>
        <v>-72.510000000000218</v>
      </c>
      <c r="AC546" s="29">
        <f t="shared" si="70"/>
        <v>15.649999999999636</v>
      </c>
      <c r="AD546" s="11">
        <f t="shared" si="71"/>
        <v>2823123.872275</v>
      </c>
    </row>
    <row r="547" spans="1:30" x14ac:dyDescent="0.3">
      <c r="A547" s="14">
        <v>45935.65625</v>
      </c>
      <c r="B547" s="1">
        <v>1499.59</v>
      </c>
      <c r="C547" s="11">
        <v>3.2732000000000001</v>
      </c>
      <c r="D547" s="1">
        <v>754.37</v>
      </c>
      <c r="E547" s="11">
        <v>3.0760000000000001</v>
      </c>
      <c r="F547" s="1">
        <v>398.57</v>
      </c>
      <c r="G547" s="11">
        <v>3.53</v>
      </c>
      <c r="H547" s="1">
        <v>59.46</v>
      </c>
      <c r="I547" s="11">
        <v>2.9718599999999999</v>
      </c>
      <c r="J547" s="1">
        <v>13</v>
      </c>
      <c r="K547" s="11">
        <v>3.5712700000000002</v>
      </c>
      <c r="L547" s="1">
        <v>4.63</v>
      </c>
      <c r="M547" s="11">
        <v>6.2</v>
      </c>
      <c r="N547" s="1">
        <v>339.55</v>
      </c>
      <c r="O547" s="11">
        <v>2.8224999999999998</v>
      </c>
      <c r="P547" s="1">
        <f t="shared" si="65"/>
        <v>3069.1700000000005</v>
      </c>
      <c r="Q547" s="1">
        <v>3205.18</v>
      </c>
      <c r="R547" s="16">
        <f t="shared" si="66"/>
        <v>2461517.8471499998</v>
      </c>
      <c r="S547" s="20">
        <v>862.9799999999999</v>
      </c>
      <c r="T547" s="21">
        <v>136.99999999999997</v>
      </c>
      <c r="U547" s="21">
        <v>10.559999999999999</v>
      </c>
      <c r="V547" s="8">
        <v>1010.5399999999998</v>
      </c>
      <c r="W547" s="25">
        <v>1.238</v>
      </c>
      <c r="X547" s="25">
        <f t="shared" si="67"/>
        <v>312762.12999999995</v>
      </c>
      <c r="Y547" s="1">
        <f t="shared" si="68"/>
        <v>4079.7100000000005</v>
      </c>
      <c r="Z547" s="1">
        <f t="shared" si="69"/>
        <v>4215.7199999999993</v>
      </c>
      <c r="AA547" s="1">
        <v>4225.03</v>
      </c>
      <c r="AB547" s="1">
        <f t="shared" si="64"/>
        <v>-145.31999999999925</v>
      </c>
      <c r="AC547" s="29">
        <f t="shared" si="70"/>
        <v>9.3100000000004002</v>
      </c>
      <c r="AD547" s="11">
        <f t="shared" si="71"/>
        <v>2774279.9771499997</v>
      </c>
    </row>
    <row r="548" spans="1:30" x14ac:dyDescent="0.3">
      <c r="A548" s="14">
        <v>45935.666666666664</v>
      </c>
      <c r="B548" s="1">
        <v>1499.59</v>
      </c>
      <c r="C548" s="11">
        <v>3.2732000000000001</v>
      </c>
      <c r="D548" s="1">
        <v>754.37</v>
      </c>
      <c r="E548" s="11">
        <v>3.0760000000000001</v>
      </c>
      <c r="F548" s="1">
        <v>694.82</v>
      </c>
      <c r="G548" s="11">
        <v>3.53</v>
      </c>
      <c r="H548" s="1">
        <v>-34.94</v>
      </c>
      <c r="I548" s="11">
        <v>3.0701900000000002</v>
      </c>
      <c r="J548" s="1">
        <v>-3.05</v>
      </c>
      <c r="K548" s="11">
        <v>3.7109000000000001</v>
      </c>
      <c r="L548" s="1">
        <v>0.3</v>
      </c>
      <c r="M548" s="11">
        <v>6.2</v>
      </c>
      <c r="N548" s="1">
        <v>308.06</v>
      </c>
      <c r="O548" s="11">
        <v>2.8224999999999998</v>
      </c>
      <c r="P548" s="1">
        <f t="shared" si="65"/>
        <v>3219.15</v>
      </c>
      <c r="Q548" s="1">
        <v>3262.51</v>
      </c>
      <c r="R548" s="16">
        <f t="shared" si="66"/>
        <v>2608595.8436000003</v>
      </c>
      <c r="S548" s="20">
        <v>802.31999999999994</v>
      </c>
      <c r="T548" s="21">
        <v>122.53</v>
      </c>
      <c r="U548" s="21">
        <v>11.4</v>
      </c>
      <c r="V548" s="8">
        <v>936.24999999999989</v>
      </c>
      <c r="W548" s="25">
        <v>1.238</v>
      </c>
      <c r="X548" s="25">
        <f t="shared" si="67"/>
        <v>289769.37499999994</v>
      </c>
      <c r="Y548" s="1">
        <f t="shared" si="68"/>
        <v>4155.3999999999996</v>
      </c>
      <c r="Z548" s="1">
        <f t="shared" si="69"/>
        <v>4198.76</v>
      </c>
      <c r="AA548" s="1">
        <v>4210.6400000000003</v>
      </c>
      <c r="AB548" s="1">
        <f t="shared" si="64"/>
        <v>-55.240000000000691</v>
      </c>
      <c r="AC548" s="29">
        <f t="shared" si="70"/>
        <v>11.880000000000109</v>
      </c>
      <c r="AD548" s="11">
        <f t="shared" si="71"/>
        <v>2898365.2186000003</v>
      </c>
    </row>
    <row r="549" spans="1:30" x14ac:dyDescent="0.3">
      <c r="A549" s="14">
        <v>45935.677083333336</v>
      </c>
      <c r="B549" s="1">
        <v>1499.59</v>
      </c>
      <c r="C549" s="11">
        <v>3.2732000000000001</v>
      </c>
      <c r="D549" s="1">
        <v>754.37</v>
      </c>
      <c r="E549" s="11">
        <v>3.0760000000000001</v>
      </c>
      <c r="F549" s="1">
        <v>717.12</v>
      </c>
      <c r="G549" s="11">
        <v>3.53</v>
      </c>
      <c r="H549" s="1">
        <v>-42.23</v>
      </c>
      <c r="I549" s="11">
        <v>3.39994</v>
      </c>
      <c r="J549" s="1">
        <v>-3.9</v>
      </c>
      <c r="K549" s="11">
        <v>3.81298</v>
      </c>
      <c r="L549" s="1">
        <v>0</v>
      </c>
      <c r="M549" s="11">
        <v>6.2</v>
      </c>
      <c r="N549" s="1">
        <v>283.75</v>
      </c>
      <c r="O549" s="11">
        <v>2.8224999999999998</v>
      </c>
      <c r="P549" s="1">
        <f t="shared" si="65"/>
        <v>3208.7</v>
      </c>
      <c r="Q549" s="1">
        <v>3283.12</v>
      </c>
      <c r="R549" s="16">
        <f t="shared" si="66"/>
        <v>2600691.9986999999</v>
      </c>
      <c r="S549" s="20">
        <v>805.99</v>
      </c>
      <c r="T549" s="21">
        <v>108.02</v>
      </c>
      <c r="U549" s="21">
        <v>12.64</v>
      </c>
      <c r="V549" s="8">
        <v>926.65</v>
      </c>
      <c r="W549" s="25">
        <v>1.238</v>
      </c>
      <c r="X549" s="25">
        <f t="shared" si="67"/>
        <v>286798.17499999999</v>
      </c>
      <c r="Y549" s="1">
        <f t="shared" si="68"/>
        <v>4135.3499999999995</v>
      </c>
      <c r="Z549" s="1">
        <f t="shared" si="69"/>
        <v>4209.7699999999995</v>
      </c>
      <c r="AA549" s="1">
        <v>4221.96</v>
      </c>
      <c r="AB549" s="1">
        <f t="shared" si="64"/>
        <v>-86.610000000000582</v>
      </c>
      <c r="AC549" s="29">
        <f t="shared" si="70"/>
        <v>12.190000000000509</v>
      </c>
      <c r="AD549" s="11">
        <f t="shared" si="71"/>
        <v>2887490.1736999997</v>
      </c>
    </row>
    <row r="550" spans="1:30" x14ac:dyDescent="0.3">
      <c r="A550" s="14">
        <v>45935.6875</v>
      </c>
      <c r="B550" s="1">
        <v>1499.59</v>
      </c>
      <c r="C550" s="11">
        <v>3.2732000000000001</v>
      </c>
      <c r="D550" s="1">
        <v>754.37</v>
      </c>
      <c r="E550" s="11">
        <v>3.0760000000000001</v>
      </c>
      <c r="F550" s="1">
        <v>717.12</v>
      </c>
      <c r="G550" s="11">
        <v>3.53</v>
      </c>
      <c r="H550" s="1">
        <v>-42.16</v>
      </c>
      <c r="I550" s="11">
        <v>3.4166799999999999</v>
      </c>
      <c r="J550" s="1">
        <v>-3.9</v>
      </c>
      <c r="K550" s="11">
        <v>4.1452399999999994</v>
      </c>
      <c r="L550" s="1">
        <v>0</v>
      </c>
      <c r="M550" s="11">
        <v>6.2</v>
      </c>
      <c r="N550" s="1">
        <v>250.36</v>
      </c>
      <c r="O550" s="11">
        <v>2.8224999999999998</v>
      </c>
      <c r="P550" s="1">
        <f t="shared" si="65"/>
        <v>3175.38</v>
      </c>
      <c r="Q550" s="1">
        <v>3356.11</v>
      </c>
      <c r="R550" s="16">
        <f t="shared" si="66"/>
        <v>2576690.2858000002</v>
      </c>
      <c r="S550" s="20">
        <v>781.50999999999988</v>
      </c>
      <c r="T550" s="21">
        <v>91.39</v>
      </c>
      <c r="U550" s="21">
        <v>12.33</v>
      </c>
      <c r="V550" s="8">
        <v>885.2299999999999</v>
      </c>
      <c r="W550" s="25">
        <v>1.238</v>
      </c>
      <c r="X550" s="25">
        <f t="shared" si="67"/>
        <v>273978.685</v>
      </c>
      <c r="Y550" s="1">
        <f t="shared" si="68"/>
        <v>4060.61</v>
      </c>
      <c r="Z550" s="1">
        <f t="shared" si="69"/>
        <v>4241.34</v>
      </c>
      <c r="AA550" s="1">
        <v>4247.16</v>
      </c>
      <c r="AB550" s="1">
        <f t="shared" si="64"/>
        <v>-186.54999999999973</v>
      </c>
      <c r="AC550" s="29">
        <f t="shared" si="70"/>
        <v>5.819999999999709</v>
      </c>
      <c r="AD550" s="11">
        <f t="shared" si="71"/>
        <v>2850668.9708000002</v>
      </c>
    </row>
    <row r="551" spans="1:30" x14ac:dyDescent="0.3">
      <c r="A551" s="14">
        <v>45935.697916666664</v>
      </c>
      <c r="B551" s="1">
        <v>1499.59</v>
      </c>
      <c r="C551" s="11">
        <v>3.2732000000000001</v>
      </c>
      <c r="D551" s="1">
        <v>754.37</v>
      </c>
      <c r="E551" s="11">
        <v>3.0760000000000001</v>
      </c>
      <c r="F551" s="1">
        <v>717.12</v>
      </c>
      <c r="G551" s="11">
        <v>3.53</v>
      </c>
      <c r="H551" s="1">
        <v>-41.97</v>
      </c>
      <c r="I551" s="11">
        <v>3.45106</v>
      </c>
      <c r="J551" s="1">
        <v>-3.9</v>
      </c>
      <c r="K551" s="11">
        <v>4.1213999999999995</v>
      </c>
      <c r="L551" s="1">
        <v>0</v>
      </c>
      <c r="M551" s="11">
        <v>6.2</v>
      </c>
      <c r="N551" s="1">
        <v>217.29</v>
      </c>
      <c r="O551" s="11">
        <v>2.8224999999999998</v>
      </c>
      <c r="P551" s="1">
        <f t="shared" si="65"/>
        <v>3142.5</v>
      </c>
      <c r="Q551" s="1">
        <v>3318.79</v>
      </c>
      <c r="R551" s="16">
        <f t="shared" si="66"/>
        <v>2553180.0712000006</v>
      </c>
      <c r="S551" s="20">
        <v>852.27</v>
      </c>
      <c r="T551" s="21">
        <v>76.34</v>
      </c>
      <c r="U551" s="21">
        <v>10.89</v>
      </c>
      <c r="V551" s="8">
        <v>939.5</v>
      </c>
      <c r="W551" s="25">
        <v>1.238</v>
      </c>
      <c r="X551" s="25">
        <f t="shared" si="67"/>
        <v>290775.25</v>
      </c>
      <c r="Y551" s="1">
        <f t="shared" si="68"/>
        <v>4082</v>
      </c>
      <c r="Z551" s="1">
        <f t="shared" si="69"/>
        <v>4258.29</v>
      </c>
      <c r="AA551" s="1">
        <v>4259.33</v>
      </c>
      <c r="AB551" s="1">
        <f t="shared" si="64"/>
        <v>-177.32999999999993</v>
      </c>
      <c r="AC551" s="29">
        <f t="shared" si="70"/>
        <v>1.0399999999999636</v>
      </c>
      <c r="AD551" s="11">
        <f t="shared" si="71"/>
        <v>2843955.3212000006</v>
      </c>
    </row>
    <row r="552" spans="1:30" x14ac:dyDescent="0.3">
      <c r="A552" s="14">
        <v>45935.708333333336</v>
      </c>
      <c r="B552" s="1">
        <v>1497.92</v>
      </c>
      <c r="C552" s="11">
        <v>3.2732000000000001</v>
      </c>
      <c r="D552" s="1">
        <v>742.02</v>
      </c>
      <c r="E552" s="11">
        <v>3.0760000000000001</v>
      </c>
      <c r="F552" s="1">
        <v>717.12</v>
      </c>
      <c r="G552" s="11">
        <v>3.53</v>
      </c>
      <c r="H552" s="1">
        <v>-63.47</v>
      </c>
      <c r="I552" s="11">
        <v>3.5000900000000001</v>
      </c>
      <c r="J552" s="1">
        <v>19.579999999999998</v>
      </c>
      <c r="K552" s="11">
        <v>3.4992800000000002</v>
      </c>
      <c r="L552" s="1">
        <v>0</v>
      </c>
      <c r="M552" s="11">
        <v>6.2</v>
      </c>
      <c r="N552" s="1">
        <v>157.29</v>
      </c>
      <c r="O552" s="11">
        <v>2.8224999999999998</v>
      </c>
      <c r="P552" s="1">
        <f t="shared" si="65"/>
        <v>3070.46</v>
      </c>
      <c r="Q552" s="1">
        <v>3315.12</v>
      </c>
      <c r="R552" s="16">
        <f t="shared" si="66"/>
        <v>2501798.7697750004</v>
      </c>
      <c r="S552" s="20">
        <v>842.47</v>
      </c>
      <c r="T552" s="21">
        <v>55.48</v>
      </c>
      <c r="U552" s="21">
        <v>9.91</v>
      </c>
      <c r="V552" s="8">
        <v>907.86</v>
      </c>
      <c r="W552" s="25">
        <v>1.238</v>
      </c>
      <c r="X552" s="25">
        <f t="shared" si="67"/>
        <v>280982.67</v>
      </c>
      <c r="Y552" s="1">
        <f t="shared" si="68"/>
        <v>3978.32</v>
      </c>
      <c r="Z552" s="1">
        <f t="shared" si="69"/>
        <v>4222.9799999999996</v>
      </c>
      <c r="AA552" s="1">
        <v>4231.92</v>
      </c>
      <c r="AB552" s="1">
        <f t="shared" si="64"/>
        <v>-253.59999999999991</v>
      </c>
      <c r="AC552" s="29">
        <f t="shared" si="70"/>
        <v>8.9400000000005093</v>
      </c>
      <c r="AD552" s="11">
        <f t="shared" si="71"/>
        <v>2782781.4397750003</v>
      </c>
    </row>
    <row r="553" spans="1:30" x14ac:dyDescent="0.3">
      <c r="A553" s="14">
        <v>45935.71875</v>
      </c>
      <c r="B553" s="1">
        <v>1497.81</v>
      </c>
      <c r="C553" s="11">
        <v>3.2732000000000001</v>
      </c>
      <c r="D553" s="1">
        <v>741.09</v>
      </c>
      <c r="E553" s="11">
        <v>3.0760000000000001</v>
      </c>
      <c r="F553" s="1">
        <v>717.12</v>
      </c>
      <c r="G553" s="11">
        <v>3.53</v>
      </c>
      <c r="H553" s="1">
        <v>-87.8</v>
      </c>
      <c r="I553" s="11">
        <v>3.6390599999999997</v>
      </c>
      <c r="J553" s="1">
        <v>9.02</v>
      </c>
      <c r="K553" s="11">
        <v>3.64988</v>
      </c>
      <c r="L553" s="1">
        <v>0</v>
      </c>
      <c r="M553" s="11">
        <v>6.2</v>
      </c>
      <c r="N553" s="1">
        <v>124.69</v>
      </c>
      <c r="O553" s="11">
        <v>2.8224999999999998</v>
      </c>
      <c r="P553" s="1">
        <f t="shared" si="65"/>
        <v>3001.93</v>
      </c>
      <c r="Q553" s="1">
        <v>3106.08</v>
      </c>
      <c r="R553" s="16">
        <f t="shared" si="66"/>
        <v>2444752.0266499999</v>
      </c>
      <c r="S553" s="20">
        <v>1055.2199999999998</v>
      </c>
      <c r="T553" s="21">
        <v>40.119999999999997</v>
      </c>
      <c r="U553" s="21">
        <v>11.85</v>
      </c>
      <c r="V553" s="8">
        <v>1107.1899999999996</v>
      </c>
      <c r="W553" s="25">
        <v>1.238</v>
      </c>
      <c r="X553" s="25">
        <f t="shared" si="67"/>
        <v>342675.30499999988</v>
      </c>
      <c r="Y553" s="1">
        <f t="shared" si="68"/>
        <v>4109.119999999999</v>
      </c>
      <c r="Z553" s="1">
        <f t="shared" si="69"/>
        <v>4213.2699999999995</v>
      </c>
      <c r="AA553" s="1">
        <v>4212.6499999999996</v>
      </c>
      <c r="AB553" s="1">
        <f t="shared" si="64"/>
        <v>-103.53000000000065</v>
      </c>
      <c r="AC553" s="29">
        <f t="shared" si="70"/>
        <v>-0.61999999999989086</v>
      </c>
      <c r="AD553" s="11">
        <f t="shared" si="71"/>
        <v>2787427.3316499996</v>
      </c>
    </row>
    <row r="554" spans="1:30" x14ac:dyDescent="0.3">
      <c r="A554" s="14">
        <v>45935.729166666664</v>
      </c>
      <c r="B554" s="1">
        <v>1497.81</v>
      </c>
      <c r="C554" s="11">
        <v>3.2732000000000001</v>
      </c>
      <c r="D554" s="1">
        <v>741.09</v>
      </c>
      <c r="E554" s="11">
        <v>3.0760000000000001</v>
      </c>
      <c r="F554" s="1">
        <v>717.12</v>
      </c>
      <c r="G554" s="11">
        <v>3.53</v>
      </c>
      <c r="H554" s="1">
        <v>-96.27</v>
      </c>
      <c r="I554" s="11">
        <v>3.8773400000000002</v>
      </c>
      <c r="J554" s="1">
        <v>67.61</v>
      </c>
      <c r="K554" s="11">
        <v>3.036</v>
      </c>
      <c r="L554" s="1">
        <v>0</v>
      </c>
      <c r="M554" s="11">
        <v>6.2</v>
      </c>
      <c r="N554" s="1">
        <v>99.75</v>
      </c>
      <c r="O554" s="11">
        <v>2.8224999999999998</v>
      </c>
      <c r="P554" s="1">
        <f t="shared" si="65"/>
        <v>3027.11</v>
      </c>
      <c r="Q554" s="1">
        <v>3016.15</v>
      </c>
      <c r="R554" s="16">
        <f t="shared" si="66"/>
        <v>2456798.7363</v>
      </c>
      <c r="S554" s="20">
        <v>1121.24</v>
      </c>
      <c r="T554" s="21">
        <v>28.05</v>
      </c>
      <c r="U554" s="21">
        <v>12.61</v>
      </c>
      <c r="V554" s="8">
        <v>1161.8999999999999</v>
      </c>
      <c r="W554" s="25">
        <v>1.238</v>
      </c>
      <c r="X554" s="25">
        <f t="shared" si="67"/>
        <v>359608.04999999993</v>
      </c>
      <c r="Y554" s="1">
        <f t="shared" si="68"/>
        <v>4189.01</v>
      </c>
      <c r="Z554" s="1">
        <f t="shared" si="69"/>
        <v>4178.05</v>
      </c>
      <c r="AA554" s="1">
        <v>4191.97</v>
      </c>
      <c r="AB554" s="1">
        <f t="shared" si="64"/>
        <v>-2.9600000000000364</v>
      </c>
      <c r="AC554" s="29">
        <f t="shared" si="70"/>
        <v>13.920000000000073</v>
      </c>
      <c r="AD554" s="11">
        <f t="shared" si="71"/>
        <v>2816406.7862999998</v>
      </c>
    </row>
    <row r="555" spans="1:30" x14ac:dyDescent="0.3">
      <c r="A555" s="14">
        <v>45935.739583333336</v>
      </c>
      <c r="B555" s="1">
        <v>1497.81</v>
      </c>
      <c r="C555" s="11">
        <v>3.2732000000000001</v>
      </c>
      <c r="D555" s="1">
        <v>741.09</v>
      </c>
      <c r="E555" s="11">
        <v>3.0760000000000001</v>
      </c>
      <c r="F555" s="1">
        <v>717.12</v>
      </c>
      <c r="G555" s="11">
        <v>3.53</v>
      </c>
      <c r="H555" s="1">
        <v>-96.78</v>
      </c>
      <c r="I555" s="11">
        <v>3.9790900000000002</v>
      </c>
      <c r="J555" s="1">
        <v>71.78</v>
      </c>
      <c r="K555" s="11">
        <v>3.0154899999999998</v>
      </c>
      <c r="L555" s="1">
        <v>0</v>
      </c>
      <c r="M555" s="11">
        <v>6.2</v>
      </c>
      <c r="N555" s="1">
        <v>77.83</v>
      </c>
      <c r="O555" s="11">
        <v>2.8224999999999998</v>
      </c>
      <c r="P555" s="1">
        <f t="shared" si="65"/>
        <v>3008.85</v>
      </c>
      <c r="Q555" s="1">
        <v>3047.2</v>
      </c>
      <c r="R555" s="16">
        <f t="shared" si="66"/>
        <v>2441172.2122499999</v>
      </c>
      <c r="S555" s="20">
        <v>1106.98</v>
      </c>
      <c r="T555" s="21">
        <v>18.429999999999996</v>
      </c>
      <c r="U555" s="21">
        <v>11.09</v>
      </c>
      <c r="V555" s="8">
        <v>1136.5</v>
      </c>
      <c r="W555" s="25">
        <v>1.238</v>
      </c>
      <c r="X555" s="25">
        <f t="shared" si="67"/>
        <v>351746.75</v>
      </c>
      <c r="Y555" s="1">
        <f t="shared" si="68"/>
        <v>4145.3500000000004</v>
      </c>
      <c r="Z555" s="1">
        <f t="shared" si="69"/>
        <v>4183.7</v>
      </c>
      <c r="AA555" s="1">
        <v>4192.01</v>
      </c>
      <c r="AB555" s="1">
        <f t="shared" si="64"/>
        <v>-46.659999999999854</v>
      </c>
      <c r="AC555" s="29">
        <f t="shared" si="70"/>
        <v>8.3100000000004002</v>
      </c>
      <c r="AD555" s="11">
        <f t="shared" si="71"/>
        <v>2792918.9622499999</v>
      </c>
    </row>
    <row r="556" spans="1:30" x14ac:dyDescent="0.3">
      <c r="A556" s="14">
        <v>45935.75</v>
      </c>
      <c r="B556" s="1">
        <v>1497.81</v>
      </c>
      <c r="C556" s="11">
        <v>3.2732000000000001</v>
      </c>
      <c r="D556" s="1">
        <v>741.09</v>
      </c>
      <c r="E556" s="11">
        <v>3.0760000000000001</v>
      </c>
      <c r="F556" s="1">
        <v>717.12</v>
      </c>
      <c r="G556" s="11">
        <v>3.53</v>
      </c>
      <c r="H556" s="1">
        <v>-25.86</v>
      </c>
      <c r="I556" s="11">
        <v>3.93066</v>
      </c>
      <c r="J556" s="1">
        <v>165.86</v>
      </c>
      <c r="K556" s="11">
        <v>1.91093</v>
      </c>
      <c r="L556" s="1">
        <v>24.72</v>
      </c>
      <c r="M556" s="11">
        <v>6.2</v>
      </c>
      <c r="N556" s="1">
        <v>61.54</v>
      </c>
      <c r="O556" s="11">
        <v>2.8224999999999998</v>
      </c>
      <c r="P556" s="1">
        <f t="shared" si="65"/>
        <v>3182.2799999999997</v>
      </c>
      <c r="Q556" s="1">
        <v>3201.04</v>
      </c>
      <c r="R556" s="16">
        <f t="shared" si="66"/>
        <v>2563979.69105</v>
      </c>
      <c r="S556" s="20">
        <v>890.08</v>
      </c>
      <c r="T556" s="21">
        <v>10.069999999999999</v>
      </c>
      <c r="U556" s="21">
        <v>10.33</v>
      </c>
      <c r="V556" s="8">
        <v>910.48000000000013</v>
      </c>
      <c r="W556" s="25">
        <v>1.238</v>
      </c>
      <c r="X556" s="25">
        <f t="shared" si="67"/>
        <v>281793.56</v>
      </c>
      <c r="Y556" s="1">
        <f t="shared" si="68"/>
        <v>4092.7599999999998</v>
      </c>
      <c r="Z556" s="1">
        <f t="shared" si="69"/>
        <v>4111.5200000000004</v>
      </c>
      <c r="AA556" s="1">
        <v>4159.8100000000004</v>
      </c>
      <c r="AB556" s="1">
        <f t="shared" si="64"/>
        <v>-67.050000000000637</v>
      </c>
      <c r="AC556" s="29">
        <f t="shared" si="70"/>
        <v>48.289999999999964</v>
      </c>
      <c r="AD556" s="11">
        <f t="shared" si="71"/>
        <v>2845773.2510500001</v>
      </c>
    </row>
    <row r="557" spans="1:30" x14ac:dyDescent="0.3">
      <c r="A557" s="14">
        <v>45935.760416666664</v>
      </c>
      <c r="B557" s="1">
        <v>1497.81</v>
      </c>
      <c r="C557" s="11">
        <v>3.2732000000000001</v>
      </c>
      <c r="D557" s="1">
        <v>741.09</v>
      </c>
      <c r="E557" s="11">
        <v>3.0760000000000001</v>
      </c>
      <c r="F557" s="1">
        <v>717.12</v>
      </c>
      <c r="G557" s="11">
        <v>3.53</v>
      </c>
      <c r="H557" s="1">
        <v>71.739999999999995</v>
      </c>
      <c r="I557" s="11">
        <v>4.0004</v>
      </c>
      <c r="J557" s="1">
        <v>81.36</v>
      </c>
      <c r="K557" s="11">
        <v>3.59063</v>
      </c>
      <c r="L557" s="1">
        <v>26.81</v>
      </c>
      <c r="M557" s="11">
        <v>6.2</v>
      </c>
      <c r="N557" s="1">
        <v>46.99</v>
      </c>
      <c r="O557" s="11">
        <v>2.8224999999999998</v>
      </c>
      <c r="P557" s="1">
        <f t="shared" si="65"/>
        <v>3182.9199999999996</v>
      </c>
      <c r="Q557" s="1">
        <v>3236.27</v>
      </c>
      <c r="R557" s="16">
        <f t="shared" si="66"/>
        <v>2647907.93995</v>
      </c>
      <c r="S557" s="20">
        <v>877.19999999999993</v>
      </c>
      <c r="T557" s="21">
        <v>4.3699999999999992</v>
      </c>
      <c r="U557" s="21">
        <v>9.5299999999999994</v>
      </c>
      <c r="V557" s="8">
        <v>891.09999999999991</v>
      </c>
      <c r="W557" s="25">
        <v>1.238</v>
      </c>
      <c r="X557" s="25">
        <f t="shared" si="67"/>
        <v>275795.44999999995</v>
      </c>
      <c r="Y557" s="1">
        <f t="shared" si="68"/>
        <v>4074.0199999999995</v>
      </c>
      <c r="Z557" s="1">
        <f t="shared" si="69"/>
        <v>4127.37</v>
      </c>
      <c r="AA557" s="1">
        <v>4186.9399999999996</v>
      </c>
      <c r="AB557" s="1">
        <f t="shared" si="64"/>
        <v>-112.92000000000007</v>
      </c>
      <c r="AC557" s="29">
        <f t="shared" si="70"/>
        <v>59.569999999999709</v>
      </c>
      <c r="AD557" s="11">
        <f t="shared" si="71"/>
        <v>2923703.3899499997</v>
      </c>
    </row>
    <row r="558" spans="1:30" x14ac:dyDescent="0.3">
      <c r="A558" s="14">
        <v>45935.770833333336</v>
      </c>
      <c r="B558" s="1">
        <v>1497.81</v>
      </c>
      <c r="C558" s="11">
        <v>3.2732000000000001</v>
      </c>
      <c r="D558" s="1">
        <v>741.09</v>
      </c>
      <c r="E558" s="11">
        <v>3.0760000000000001</v>
      </c>
      <c r="F558" s="1">
        <v>717.12</v>
      </c>
      <c r="G558" s="11">
        <v>3.53</v>
      </c>
      <c r="H558" s="1">
        <v>-13.28</v>
      </c>
      <c r="I558" s="11">
        <v>4.25054</v>
      </c>
      <c r="J558" s="1">
        <v>26.71</v>
      </c>
      <c r="K558" s="11">
        <v>4.7527799999999996</v>
      </c>
      <c r="L558" s="1">
        <v>26.65</v>
      </c>
      <c r="M558" s="11">
        <v>6.2</v>
      </c>
      <c r="N558" s="1">
        <v>33.57</v>
      </c>
      <c r="O558" s="11">
        <v>2.8224999999999998</v>
      </c>
      <c r="P558" s="1">
        <f t="shared" si="65"/>
        <v>3029.67</v>
      </c>
      <c r="Q558" s="1">
        <v>3052.32</v>
      </c>
      <c r="R558" s="16">
        <f t="shared" si="66"/>
        <v>2511034.7598999999</v>
      </c>
      <c r="S558" s="20">
        <v>1199.7800000000002</v>
      </c>
      <c r="T558" s="21">
        <v>0.85000000000000009</v>
      </c>
      <c r="U558" s="21">
        <v>10.26</v>
      </c>
      <c r="V558" s="8">
        <v>1210.8900000000001</v>
      </c>
      <c r="W558" s="25">
        <v>1.238</v>
      </c>
      <c r="X558" s="25">
        <f t="shared" si="67"/>
        <v>374770.45500000002</v>
      </c>
      <c r="Y558" s="1">
        <f t="shared" si="68"/>
        <v>4240.5600000000004</v>
      </c>
      <c r="Z558" s="1">
        <f t="shared" si="69"/>
        <v>4263.21</v>
      </c>
      <c r="AA558" s="1">
        <v>4321.84</v>
      </c>
      <c r="AB558" s="1">
        <f t="shared" si="64"/>
        <v>-81.279999999999745</v>
      </c>
      <c r="AC558" s="29">
        <f t="shared" si="70"/>
        <v>58.630000000000109</v>
      </c>
      <c r="AD558" s="11">
        <f t="shared" si="71"/>
        <v>2885805.2149</v>
      </c>
    </row>
    <row r="559" spans="1:30" x14ac:dyDescent="0.3">
      <c r="A559" s="14">
        <v>45935.78125</v>
      </c>
      <c r="B559" s="1">
        <v>1497.81</v>
      </c>
      <c r="C559" s="11">
        <v>3.2732000000000001</v>
      </c>
      <c r="D559" s="1">
        <v>741.09</v>
      </c>
      <c r="E559" s="11">
        <v>3.0760000000000001</v>
      </c>
      <c r="F559" s="1">
        <v>717.12</v>
      </c>
      <c r="G559" s="11">
        <v>3.53</v>
      </c>
      <c r="H559" s="1">
        <v>76.14</v>
      </c>
      <c r="I559" s="11">
        <v>4.4331000000000005</v>
      </c>
      <c r="J559" s="1">
        <v>47.67</v>
      </c>
      <c r="K559" s="11">
        <v>5.0756899999999998</v>
      </c>
      <c r="L559" s="1">
        <v>26.46</v>
      </c>
      <c r="M559" s="11">
        <v>6.2</v>
      </c>
      <c r="N559" s="1">
        <v>12.28</v>
      </c>
      <c r="O559" s="11">
        <v>2.8224999999999998</v>
      </c>
      <c r="P559" s="1">
        <f t="shared" si="65"/>
        <v>3118.57</v>
      </c>
      <c r="Q559" s="1">
        <v>3141.92</v>
      </c>
      <c r="R559" s="16">
        <f t="shared" si="66"/>
        <v>2622966.2020749999</v>
      </c>
      <c r="S559" s="20">
        <v>1349.06</v>
      </c>
      <c r="T559" s="21">
        <v>0.33999999999999997</v>
      </c>
      <c r="U559" s="21">
        <v>11.29</v>
      </c>
      <c r="V559" s="8">
        <v>1360.6899999999998</v>
      </c>
      <c r="W559" s="25">
        <v>1.238</v>
      </c>
      <c r="X559" s="25">
        <f t="shared" si="67"/>
        <v>421133.55499999993</v>
      </c>
      <c r="Y559" s="1">
        <f t="shared" si="68"/>
        <v>4479.26</v>
      </c>
      <c r="Z559" s="1">
        <f t="shared" si="69"/>
        <v>4502.6099999999997</v>
      </c>
      <c r="AA559" s="1">
        <v>4567.76</v>
      </c>
      <c r="AB559" s="1">
        <f t="shared" si="64"/>
        <v>-88.5</v>
      </c>
      <c r="AC559" s="29">
        <f t="shared" si="70"/>
        <v>65.150000000000546</v>
      </c>
      <c r="AD559" s="11">
        <f t="shared" si="71"/>
        <v>3044099.7570749996</v>
      </c>
    </row>
    <row r="560" spans="1:30" x14ac:dyDescent="0.3">
      <c r="A560" s="14">
        <v>45935.791666666664</v>
      </c>
      <c r="B560" s="1">
        <v>1497.81</v>
      </c>
      <c r="C560" s="11">
        <v>3.2732000000000001</v>
      </c>
      <c r="D560" s="1">
        <v>741.09</v>
      </c>
      <c r="E560" s="11">
        <v>3.0760000000000001</v>
      </c>
      <c r="F560" s="1">
        <v>717.12</v>
      </c>
      <c r="G560" s="11">
        <v>3.53</v>
      </c>
      <c r="H560" s="1">
        <v>44.12</v>
      </c>
      <c r="I560" s="11">
        <v>5.9994100000000001</v>
      </c>
      <c r="J560" s="1">
        <v>118.09</v>
      </c>
      <c r="K560" s="11">
        <v>10</v>
      </c>
      <c r="L560" s="1">
        <v>1.73</v>
      </c>
      <c r="M560" s="11">
        <v>6.2</v>
      </c>
      <c r="N560" s="1">
        <v>3.97</v>
      </c>
      <c r="O560" s="11">
        <v>2.8224999999999998</v>
      </c>
      <c r="P560" s="1">
        <f t="shared" si="65"/>
        <v>3123.93</v>
      </c>
      <c r="Q560" s="1">
        <v>3115.69</v>
      </c>
      <c r="R560" s="16">
        <f t="shared" si="66"/>
        <v>2795295.8565500001</v>
      </c>
      <c r="S560" s="20">
        <v>1503.6200000000001</v>
      </c>
      <c r="T560" s="21">
        <v>0.23</v>
      </c>
      <c r="U560" s="21">
        <v>11.67</v>
      </c>
      <c r="V560" s="8">
        <v>1515.5200000000002</v>
      </c>
      <c r="W560" s="25">
        <v>1.238</v>
      </c>
      <c r="X560" s="25">
        <f t="shared" si="67"/>
        <v>469053.44000000006</v>
      </c>
      <c r="Y560" s="1">
        <f t="shared" si="68"/>
        <v>4639.45</v>
      </c>
      <c r="Z560" s="1">
        <f t="shared" si="69"/>
        <v>4631.21</v>
      </c>
      <c r="AA560" s="1">
        <v>4686.78</v>
      </c>
      <c r="AB560" s="1">
        <f t="shared" si="64"/>
        <v>-47.329999999999927</v>
      </c>
      <c r="AC560" s="29">
        <f t="shared" si="70"/>
        <v>55.569999999999709</v>
      </c>
      <c r="AD560" s="11">
        <f t="shared" si="71"/>
        <v>3264349.2965500001</v>
      </c>
    </row>
    <row r="561" spans="1:30" x14ac:dyDescent="0.3">
      <c r="A561" s="14">
        <v>45935.802083333336</v>
      </c>
      <c r="B561" s="1">
        <v>1497.81</v>
      </c>
      <c r="C561" s="11">
        <v>3.2732000000000001</v>
      </c>
      <c r="D561" s="1">
        <v>741.09</v>
      </c>
      <c r="E561" s="11">
        <v>3.0760000000000001</v>
      </c>
      <c r="F561" s="1">
        <v>717.12</v>
      </c>
      <c r="G561" s="11">
        <v>3.53</v>
      </c>
      <c r="H561" s="1">
        <v>-37.950000000000003</v>
      </c>
      <c r="I561" s="11">
        <v>9.0092800000000004</v>
      </c>
      <c r="J561" s="1">
        <v>102.39</v>
      </c>
      <c r="K561" s="11">
        <v>10</v>
      </c>
      <c r="L561" s="1">
        <v>0</v>
      </c>
      <c r="M561" s="11">
        <v>6.2</v>
      </c>
      <c r="N561" s="1">
        <v>0.51</v>
      </c>
      <c r="O561" s="11">
        <v>2.8224999999999998</v>
      </c>
      <c r="P561" s="1">
        <f t="shared" si="65"/>
        <v>3020.9700000000003</v>
      </c>
      <c r="Q561" s="1">
        <v>3021.4</v>
      </c>
      <c r="R561" s="16">
        <f t="shared" si="66"/>
        <v>2599273.85775</v>
      </c>
      <c r="S561" s="20">
        <v>1599.33</v>
      </c>
      <c r="T561" s="21">
        <v>0.22000000000000003</v>
      </c>
      <c r="U561" s="21">
        <v>12.66</v>
      </c>
      <c r="V561" s="8">
        <v>1612.21</v>
      </c>
      <c r="W561" s="25">
        <v>1.238</v>
      </c>
      <c r="X561" s="25">
        <f t="shared" si="67"/>
        <v>498978.995</v>
      </c>
      <c r="Y561" s="1">
        <f t="shared" si="68"/>
        <v>4633.18</v>
      </c>
      <c r="Z561" s="1">
        <f t="shared" si="69"/>
        <v>4633.6100000000006</v>
      </c>
      <c r="AA561" s="1">
        <v>4692.57</v>
      </c>
      <c r="AB561" s="1">
        <f t="shared" si="64"/>
        <v>-59.389999999999418</v>
      </c>
      <c r="AC561" s="29">
        <f t="shared" si="70"/>
        <v>58.959999999999127</v>
      </c>
      <c r="AD561" s="11">
        <f t="shared" si="71"/>
        <v>3098252.8527500001</v>
      </c>
    </row>
    <row r="562" spans="1:30" x14ac:dyDescent="0.3">
      <c r="A562" s="14">
        <v>45935.8125</v>
      </c>
      <c r="B562" s="1">
        <v>1497.81</v>
      </c>
      <c r="C562" s="11">
        <v>3.2732000000000001</v>
      </c>
      <c r="D562" s="1">
        <v>741.09</v>
      </c>
      <c r="E562" s="11">
        <v>3.0760000000000001</v>
      </c>
      <c r="F562" s="1">
        <v>717.12</v>
      </c>
      <c r="G562" s="11">
        <v>3.53</v>
      </c>
      <c r="H562" s="1">
        <v>-281.97000000000003</v>
      </c>
      <c r="I562" s="11">
        <v>9.9097399999999993</v>
      </c>
      <c r="J562" s="1">
        <v>249.54</v>
      </c>
      <c r="K562" s="11">
        <v>10</v>
      </c>
      <c r="L562" s="1">
        <v>0</v>
      </c>
      <c r="M562" s="11">
        <v>6.2</v>
      </c>
      <c r="N562" s="1">
        <v>26.73</v>
      </c>
      <c r="O562" s="11">
        <v>2.8224999999999998</v>
      </c>
      <c r="P562" s="1">
        <f t="shared" si="65"/>
        <v>2950.32</v>
      </c>
      <c r="Q562" s="1">
        <v>2975.84</v>
      </c>
      <c r="R562" s="16">
        <f t="shared" si="66"/>
        <v>2372563.5422999999</v>
      </c>
      <c r="S562" s="20">
        <v>1600.4099999999999</v>
      </c>
      <c r="T562" s="21">
        <v>0.22000000000000003</v>
      </c>
      <c r="U562" s="21">
        <v>13.669999999999998</v>
      </c>
      <c r="V562" s="8">
        <v>1614.3</v>
      </c>
      <c r="W562" s="25">
        <v>1.238</v>
      </c>
      <c r="X562" s="25">
        <f t="shared" si="67"/>
        <v>499625.85</v>
      </c>
      <c r="Y562" s="1">
        <f t="shared" si="68"/>
        <v>4564.62</v>
      </c>
      <c r="Z562" s="1">
        <f t="shared" si="69"/>
        <v>4590.1400000000003</v>
      </c>
      <c r="AA562" s="1">
        <v>4653.67</v>
      </c>
      <c r="AB562" s="1">
        <f t="shared" si="64"/>
        <v>-89.050000000000182</v>
      </c>
      <c r="AC562" s="29">
        <f t="shared" si="70"/>
        <v>63.529999999999745</v>
      </c>
      <c r="AD562" s="11">
        <f t="shared" si="71"/>
        <v>2872189.3922999999</v>
      </c>
    </row>
    <row r="563" spans="1:30" x14ac:dyDescent="0.3">
      <c r="A563" s="14">
        <v>45935.822916666664</v>
      </c>
      <c r="B563" s="1">
        <v>1497.81</v>
      </c>
      <c r="C563" s="11">
        <v>3.2732000000000001</v>
      </c>
      <c r="D563" s="1">
        <v>741.09</v>
      </c>
      <c r="E563" s="11">
        <v>3.0760000000000001</v>
      </c>
      <c r="F563" s="1">
        <v>717.12</v>
      </c>
      <c r="G563" s="11">
        <v>3.53</v>
      </c>
      <c r="H563" s="1">
        <v>-348.28</v>
      </c>
      <c r="I563" s="11">
        <v>10</v>
      </c>
      <c r="J563" s="1">
        <v>311.29000000000002</v>
      </c>
      <c r="K563" s="11">
        <v>10</v>
      </c>
      <c r="L563" s="1">
        <v>0</v>
      </c>
      <c r="M563" s="11">
        <v>6.2</v>
      </c>
      <c r="N563" s="1">
        <v>27.38</v>
      </c>
      <c r="O563" s="11">
        <v>2.8224999999999998</v>
      </c>
      <c r="P563" s="1">
        <f t="shared" si="65"/>
        <v>2946.41</v>
      </c>
      <c r="Q563" s="1">
        <v>2980.6</v>
      </c>
      <c r="R563" s="16">
        <f t="shared" si="66"/>
        <v>2355259.5455</v>
      </c>
      <c r="S563" s="20">
        <v>1597.9400000000003</v>
      </c>
      <c r="T563" s="21">
        <v>0.22999999999999998</v>
      </c>
      <c r="U563" s="21">
        <v>12.870000000000001</v>
      </c>
      <c r="V563" s="8">
        <v>1611.0400000000002</v>
      </c>
      <c r="W563" s="25">
        <v>1.238</v>
      </c>
      <c r="X563" s="25">
        <f t="shared" si="67"/>
        <v>498616.88000000006</v>
      </c>
      <c r="Y563" s="1">
        <f t="shared" si="68"/>
        <v>4557.45</v>
      </c>
      <c r="Z563" s="1">
        <f t="shared" si="69"/>
        <v>4591.6400000000003</v>
      </c>
      <c r="AA563" s="1">
        <v>4654.43</v>
      </c>
      <c r="AB563" s="1">
        <f t="shared" si="64"/>
        <v>-96.980000000000473</v>
      </c>
      <c r="AC563" s="29">
        <f t="shared" si="70"/>
        <v>62.789999999999964</v>
      </c>
      <c r="AD563" s="11">
        <f t="shared" si="71"/>
        <v>2853876.4254999999</v>
      </c>
    </row>
    <row r="564" spans="1:30" x14ac:dyDescent="0.3">
      <c r="A564" s="14">
        <v>45935.833333333336</v>
      </c>
      <c r="B564" s="1">
        <v>1497.81</v>
      </c>
      <c r="C564" s="11">
        <v>3.2732000000000001</v>
      </c>
      <c r="D564" s="1">
        <v>741.09</v>
      </c>
      <c r="E564" s="11">
        <v>3.0760000000000001</v>
      </c>
      <c r="F564" s="1">
        <v>717.12</v>
      </c>
      <c r="G564" s="11">
        <v>3.53</v>
      </c>
      <c r="H564" s="1">
        <v>-254.92</v>
      </c>
      <c r="I564" s="11">
        <v>9.9094800000000003</v>
      </c>
      <c r="J564" s="1">
        <v>239.44</v>
      </c>
      <c r="K564" s="11">
        <v>10</v>
      </c>
      <c r="L564" s="1">
        <v>0</v>
      </c>
      <c r="M564" s="11">
        <v>6.2</v>
      </c>
      <c r="N564" s="1">
        <v>26.46</v>
      </c>
      <c r="O564" s="11">
        <v>2.8224999999999998</v>
      </c>
      <c r="P564" s="1">
        <f t="shared" si="65"/>
        <v>2967</v>
      </c>
      <c r="Q564" s="1">
        <v>2972.83</v>
      </c>
      <c r="R564" s="16">
        <f t="shared" si="66"/>
        <v>2414154.2100999998</v>
      </c>
      <c r="S564" s="20">
        <v>1591.81</v>
      </c>
      <c r="T564" s="21">
        <v>0.21999999999999997</v>
      </c>
      <c r="U564" s="21">
        <v>11.99</v>
      </c>
      <c r="V564" s="8">
        <v>1604.02</v>
      </c>
      <c r="W564" s="25">
        <v>1.238</v>
      </c>
      <c r="X564" s="25">
        <f t="shared" si="67"/>
        <v>496444.19</v>
      </c>
      <c r="Y564" s="1">
        <f t="shared" si="68"/>
        <v>4571.0200000000004</v>
      </c>
      <c r="Z564" s="1">
        <f t="shared" si="69"/>
        <v>4576.8500000000004</v>
      </c>
      <c r="AA564" s="1">
        <v>4640.4399999999996</v>
      </c>
      <c r="AB564" s="1">
        <f t="shared" si="64"/>
        <v>-69.419999999999163</v>
      </c>
      <c r="AC564" s="29">
        <f t="shared" si="70"/>
        <v>63.589999999999236</v>
      </c>
      <c r="AD564" s="11">
        <f t="shared" si="71"/>
        <v>2910598.4000999997</v>
      </c>
    </row>
    <row r="565" spans="1:30" x14ac:dyDescent="0.3">
      <c r="A565" s="14">
        <v>45935.84375</v>
      </c>
      <c r="B565" s="1">
        <v>1497.81</v>
      </c>
      <c r="C565" s="11">
        <v>3.2732000000000001</v>
      </c>
      <c r="D565" s="1">
        <v>741.09</v>
      </c>
      <c r="E565" s="11">
        <v>3.0760000000000001</v>
      </c>
      <c r="F565" s="1">
        <v>717.12</v>
      </c>
      <c r="G565" s="11">
        <v>3.53</v>
      </c>
      <c r="H565" s="1">
        <v>-319.67</v>
      </c>
      <c r="I565" s="11">
        <v>9.9098700000000015</v>
      </c>
      <c r="J565" s="1">
        <v>281.5</v>
      </c>
      <c r="K565" s="11">
        <v>10</v>
      </c>
      <c r="L565" s="1">
        <v>0</v>
      </c>
      <c r="M565" s="11">
        <v>6.2</v>
      </c>
      <c r="N565" s="1">
        <v>26.4</v>
      </c>
      <c r="O565" s="11">
        <v>2.8224999999999998</v>
      </c>
      <c r="P565" s="1">
        <f t="shared" si="65"/>
        <v>2944.25</v>
      </c>
      <c r="Q565" s="1">
        <v>2970.56</v>
      </c>
      <c r="R565" s="16">
        <f t="shared" si="66"/>
        <v>2358820.9972749995</v>
      </c>
      <c r="S565" s="20">
        <v>1593.7899999999997</v>
      </c>
      <c r="T565" s="21">
        <v>0.21999999999999997</v>
      </c>
      <c r="U565" s="21">
        <v>11.219999999999999</v>
      </c>
      <c r="V565" s="8">
        <v>1605.2299999999998</v>
      </c>
      <c r="W565" s="25">
        <v>1.238</v>
      </c>
      <c r="X565" s="25">
        <f t="shared" si="67"/>
        <v>496818.68499999988</v>
      </c>
      <c r="Y565" s="1">
        <f t="shared" si="68"/>
        <v>4549.4799999999996</v>
      </c>
      <c r="Z565" s="1">
        <f t="shared" si="69"/>
        <v>4575.79</v>
      </c>
      <c r="AA565" s="1">
        <v>4636.92</v>
      </c>
      <c r="AB565" s="1">
        <f t="shared" si="64"/>
        <v>-87.440000000000509</v>
      </c>
      <c r="AC565" s="29">
        <f t="shared" si="70"/>
        <v>61.130000000000109</v>
      </c>
      <c r="AD565" s="11">
        <f t="shared" si="71"/>
        <v>2855639.6822749996</v>
      </c>
    </row>
    <row r="566" spans="1:30" x14ac:dyDescent="0.3">
      <c r="A566" s="14">
        <v>45935.854166666664</v>
      </c>
      <c r="B566" s="1">
        <v>1497.81</v>
      </c>
      <c r="C566" s="11">
        <v>3.2732000000000001</v>
      </c>
      <c r="D566" s="1">
        <v>741.09</v>
      </c>
      <c r="E566" s="11">
        <v>3.0760000000000001</v>
      </c>
      <c r="F566" s="1">
        <v>717.12</v>
      </c>
      <c r="G566" s="11">
        <v>3.53</v>
      </c>
      <c r="H566" s="1">
        <v>-350.03</v>
      </c>
      <c r="I566" s="11">
        <v>10</v>
      </c>
      <c r="J566" s="1">
        <v>380.47</v>
      </c>
      <c r="K566" s="11">
        <v>10</v>
      </c>
      <c r="L566" s="1">
        <v>0</v>
      </c>
      <c r="M566" s="11">
        <v>6.2</v>
      </c>
      <c r="N566" s="1">
        <v>26.12</v>
      </c>
      <c r="O566" s="11">
        <v>2.8224999999999998</v>
      </c>
      <c r="P566" s="1">
        <f t="shared" si="65"/>
        <v>3012.58</v>
      </c>
      <c r="Q566" s="1">
        <v>2953.31</v>
      </c>
      <c r="R566" s="16">
        <f t="shared" si="66"/>
        <v>2522945.4580000006</v>
      </c>
      <c r="S566" s="20">
        <v>1594.83</v>
      </c>
      <c r="T566" s="21">
        <v>0.21999999999999997</v>
      </c>
      <c r="U566" s="21">
        <v>10.82</v>
      </c>
      <c r="V566" s="8">
        <v>1605.87</v>
      </c>
      <c r="W566" s="25">
        <v>1.238</v>
      </c>
      <c r="X566" s="25">
        <f t="shared" si="67"/>
        <v>497016.76499999996</v>
      </c>
      <c r="Y566" s="1">
        <f t="shared" si="68"/>
        <v>4618.45</v>
      </c>
      <c r="Z566" s="1">
        <f t="shared" si="69"/>
        <v>4559.18</v>
      </c>
      <c r="AA566" s="1">
        <v>4623.7299999999996</v>
      </c>
      <c r="AB566" s="1">
        <f t="shared" si="64"/>
        <v>-5.2799999999997453</v>
      </c>
      <c r="AC566" s="29">
        <f t="shared" si="70"/>
        <v>64.549999999999272</v>
      </c>
      <c r="AD566" s="11">
        <f t="shared" si="71"/>
        <v>3019962.2230000007</v>
      </c>
    </row>
    <row r="567" spans="1:30" x14ac:dyDescent="0.3">
      <c r="A567" s="14">
        <v>45935.864583333336</v>
      </c>
      <c r="B567" s="1">
        <v>1497.81</v>
      </c>
      <c r="C567" s="11">
        <v>3.2732000000000001</v>
      </c>
      <c r="D567" s="1">
        <v>741.09</v>
      </c>
      <c r="E567" s="11">
        <v>3.0760000000000001</v>
      </c>
      <c r="F567" s="1">
        <v>717.12</v>
      </c>
      <c r="G567" s="11">
        <v>3.53</v>
      </c>
      <c r="H567" s="1">
        <v>-351.9</v>
      </c>
      <c r="I567" s="11">
        <v>10</v>
      </c>
      <c r="J567" s="1">
        <v>384.83</v>
      </c>
      <c r="K567" s="11">
        <v>10</v>
      </c>
      <c r="L567" s="1">
        <v>0</v>
      </c>
      <c r="M567" s="11">
        <v>6.2</v>
      </c>
      <c r="N567" s="1">
        <v>25.54</v>
      </c>
      <c r="O567" s="11">
        <v>2.8224999999999998</v>
      </c>
      <c r="P567" s="1">
        <f t="shared" si="65"/>
        <v>3014.49</v>
      </c>
      <c r="Q567" s="1">
        <v>3011.72</v>
      </c>
      <c r="R567" s="16">
        <f t="shared" si="66"/>
        <v>2528761.1954999999</v>
      </c>
      <c r="S567" s="20">
        <v>1532.2599999999998</v>
      </c>
      <c r="T567" s="21">
        <v>0.21999999999999997</v>
      </c>
      <c r="U567" s="21">
        <v>10.58</v>
      </c>
      <c r="V567" s="8">
        <v>1543.0599999999997</v>
      </c>
      <c r="W567" s="25">
        <v>1.238</v>
      </c>
      <c r="X567" s="25">
        <f t="shared" si="67"/>
        <v>477577.06999999995</v>
      </c>
      <c r="Y567" s="1">
        <f t="shared" si="68"/>
        <v>4557.5499999999993</v>
      </c>
      <c r="Z567" s="1">
        <f t="shared" si="69"/>
        <v>4554.78</v>
      </c>
      <c r="AA567" s="1">
        <v>4618.6499999999996</v>
      </c>
      <c r="AB567" s="1">
        <f t="shared" si="64"/>
        <v>-61.100000000000364</v>
      </c>
      <c r="AC567" s="29">
        <f t="shared" si="70"/>
        <v>63.869999999999891</v>
      </c>
      <c r="AD567" s="11">
        <f t="shared" si="71"/>
        <v>3006338.2654999997</v>
      </c>
    </row>
    <row r="568" spans="1:30" x14ac:dyDescent="0.3">
      <c r="A568" s="14">
        <v>45935.875</v>
      </c>
      <c r="B568" s="1">
        <v>1497.81</v>
      </c>
      <c r="C568" s="11">
        <v>3.2732000000000001</v>
      </c>
      <c r="D568" s="1">
        <v>741.09</v>
      </c>
      <c r="E568" s="11">
        <v>3.0760000000000001</v>
      </c>
      <c r="F568" s="1">
        <v>717.12</v>
      </c>
      <c r="G568" s="11">
        <v>3.53</v>
      </c>
      <c r="H568" s="1">
        <v>-258.89999999999998</v>
      </c>
      <c r="I568" s="11">
        <v>10</v>
      </c>
      <c r="J568" s="1">
        <v>293</v>
      </c>
      <c r="K568" s="11">
        <v>10</v>
      </c>
      <c r="L568" s="1">
        <v>0</v>
      </c>
      <c r="M568" s="11">
        <v>6.2</v>
      </c>
      <c r="N568" s="1">
        <v>36.32</v>
      </c>
      <c r="O568" s="11">
        <v>2.8224999999999998</v>
      </c>
      <c r="P568" s="1">
        <f t="shared" si="65"/>
        <v>3026.44</v>
      </c>
      <c r="Q568" s="1">
        <v>3020.34</v>
      </c>
      <c r="R568" s="16">
        <f t="shared" si="66"/>
        <v>2539292.8330000001</v>
      </c>
      <c r="S568" s="20">
        <v>1549.27</v>
      </c>
      <c r="T568" s="21">
        <v>0.21999999999999997</v>
      </c>
      <c r="U568" s="21">
        <v>12.08</v>
      </c>
      <c r="V568" s="8">
        <v>1561.57</v>
      </c>
      <c r="W568" s="25">
        <v>1.238</v>
      </c>
      <c r="X568" s="25">
        <f t="shared" si="67"/>
        <v>483305.91499999998</v>
      </c>
      <c r="Y568" s="1">
        <f t="shared" si="68"/>
        <v>4588.01</v>
      </c>
      <c r="Z568" s="1">
        <f t="shared" si="69"/>
        <v>4581.91</v>
      </c>
      <c r="AA568" s="1">
        <v>4641.38</v>
      </c>
      <c r="AB568" s="1">
        <f t="shared" si="64"/>
        <v>-53.369999999999891</v>
      </c>
      <c r="AC568" s="29">
        <f t="shared" si="70"/>
        <v>59.470000000000255</v>
      </c>
      <c r="AD568" s="11">
        <f t="shared" si="71"/>
        <v>3022598.7480000001</v>
      </c>
    </row>
    <row r="569" spans="1:30" x14ac:dyDescent="0.3">
      <c r="A569" s="14">
        <v>45935.885416666664</v>
      </c>
      <c r="B569" s="1">
        <v>1497.81</v>
      </c>
      <c r="C569" s="11">
        <v>3.2732000000000001</v>
      </c>
      <c r="D569" s="1">
        <v>741.09</v>
      </c>
      <c r="E569" s="11">
        <v>3.0760000000000001</v>
      </c>
      <c r="F569" s="1">
        <v>717.12</v>
      </c>
      <c r="G569" s="11">
        <v>3.53</v>
      </c>
      <c r="H569" s="1">
        <v>-251.9</v>
      </c>
      <c r="I569" s="11">
        <v>10</v>
      </c>
      <c r="J569" s="1">
        <v>348.89</v>
      </c>
      <c r="K569" s="11">
        <v>9.9996700000000001</v>
      </c>
      <c r="L569" s="1">
        <v>0</v>
      </c>
      <c r="M569" s="11">
        <v>6.2</v>
      </c>
      <c r="N569" s="1">
        <v>38.32</v>
      </c>
      <c r="O569" s="11">
        <v>2.8224999999999998</v>
      </c>
      <c r="P569" s="1">
        <f t="shared" si="65"/>
        <v>3091.33</v>
      </c>
      <c r="Q569" s="1">
        <v>3097.04</v>
      </c>
      <c r="R569" s="16">
        <f t="shared" si="66"/>
        <v>2697900.2995750001</v>
      </c>
      <c r="S569" s="20">
        <v>1491.3799999999999</v>
      </c>
      <c r="T569" s="21">
        <v>0.22999999999999998</v>
      </c>
      <c r="U569" s="21">
        <v>12.28</v>
      </c>
      <c r="V569" s="8">
        <v>1503.8899999999999</v>
      </c>
      <c r="W569" s="25">
        <v>1.238</v>
      </c>
      <c r="X569" s="25">
        <f t="shared" si="67"/>
        <v>465453.95499999996</v>
      </c>
      <c r="Y569" s="1">
        <f t="shared" si="68"/>
        <v>4595.2199999999993</v>
      </c>
      <c r="Z569" s="1">
        <f t="shared" si="69"/>
        <v>4600.93</v>
      </c>
      <c r="AA569" s="1">
        <v>4666.6899999999996</v>
      </c>
      <c r="AB569" s="1">
        <f t="shared" si="64"/>
        <v>-71.470000000000255</v>
      </c>
      <c r="AC569" s="29">
        <f t="shared" si="70"/>
        <v>65.759999999999309</v>
      </c>
      <c r="AD569" s="11">
        <f t="shared" si="71"/>
        <v>3163354.2545750001</v>
      </c>
    </row>
    <row r="570" spans="1:30" x14ac:dyDescent="0.3">
      <c r="A570" s="14">
        <v>45935.895833333336</v>
      </c>
      <c r="B570" s="1">
        <v>1494.52</v>
      </c>
      <c r="C570" s="11">
        <v>3.2732000000000001</v>
      </c>
      <c r="D570" s="1">
        <v>741.09</v>
      </c>
      <c r="E570" s="11">
        <v>3.0760000000000001</v>
      </c>
      <c r="F570" s="1">
        <v>717.12</v>
      </c>
      <c r="G570" s="11">
        <v>3.53</v>
      </c>
      <c r="H570" s="1">
        <v>-251.9</v>
      </c>
      <c r="I570" s="11">
        <v>10</v>
      </c>
      <c r="J570" s="1">
        <v>335.42</v>
      </c>
      <c r="K570" s="11">
        <v>7.9994499999999995</v>
      </c>
      <c r="L570" s="1">
        <v>0</v>
      </c>
      <c r="M570" s="11">
        <v>6.2</v>
      </c>
      <c r="N570" s="1">
        <v>38.950000000000003</v>
      </c>
      <c r="O570" s="11">
        <v>2.8224999999999998</v>
      </c>
      <c r="P570" s="1">
        <f t="shared" si="65"/>
        <v>3075.2</v>
      </c>
      <c r="Q570" s="1">
        <v>3117.97</v>
      </c>
      <c r="R570" s="16">
        <f t="shared" si="66"/>
        <v>2494250.2995000002</v>
      </c>
      <c r="S570" s="20">
        <v>1539.98</v>
      </c>
      <c r="T570" s="21">
        <v>0.21999999999999997</v>
      </c>
      <c r="U570" s="21">
        <v>12.29</v>
      </c>
      <c r="V570" s="8">
        <v>1552.49</v>
      </c>
      <c r="W570" s="25">
        <v>1.238</v>
      </c>
      <c r="X570" s="25">
        <f t="shared" si="67"/>
        <v>480495.65500000003</v>
      </c>
      <c r="Y570" s="1">
        <f t="shared" si="68"/>
        <v>4627.6899999999996</v>
      </c>
      <c r="Z570" s="1">
        <f t="shared" si="69"/>
        <v>4670.46</v>
      </c>
      <c r="AA570" s="1">
        <v>4729.28</v>
      </c>
      <c r="AB570" s="1">
        <f t="shared" si="64"/>
        <v>-101.59000000000015</v>
      </c>
      <c r="AC570" s="29">
        <f t="shared" si="70"/>
        <v>58.819999999999709</v>
      </c>
      <c r="AD570" s="11">
        <f t="shared" si="71"/>
        <v>2974745.9545</v>
      </c>
    </row>
    <row r="571" spans="1:30" x14ac:dyDescent="0.3">
      <c r="A571" s="14">
        <v>45935.90625</v>
      </c>
      <c r="B571" s="1">
        <v>1494.25</v>
      </c>
      <c r="C571" s="11">
        <v>3.2732000000000001</v>
      </c>
      <c r="D571" s="1">
        <v>741.09</v>
      </c>
      <c r="E571" s="11">
        <v>3.0760000000000001</v>
      </c>
      <c r="F571" s="1">
        <v>717.12</v>
      </c>
      <c r="G571" s="11">
        <v>3.53</v>
      </c>
      <c r="H571" s="1">
        <v>-251.9</v>
      </c>
      <c r="I571" s="11">
        <v>10</v>
      </c>
      <c r="J571" s="1">
        <v>333.96</v>
      </c>
      <c r="K571" s="11">
        <v>8.9999400000000005</v>
      </c>
      <c r="L571" s="1">
        <v>0</v>
      </c>
      <c r="M571" s="11">
        <v>6.2</v>
      </c>
      <c r="N571" s="1">
        <v>39.28</v>
      </c>
      <c r="O571" s="11">
        <v>2.8224999999999998</v>
      </c>
      <c r="P571" s="1">
        <f t="shared" si="65"/>
        <v>3073.8</v>
      </c>
      <c r="Q571" s="1">
        <v>3132.18</v>
      </c>
      <c r="R571" s="16">
        <f t="shared" si="66"/>
        <v>2574873.3256000001</v>
      </c>
      <c r="S571" s="20">
        <v>1599.8000000000002</v>
      </c>
      <c r="T571" s="21">
        <v>0.22999999999999998</v>
      </c>
      <c r="U571" s="21">
        <v>11.01</v>
      </c>
      <c r="V571" s="8">
        <v>1611.0400000000002</v>
      </c>
      <c r="W571" s="25">
        <v>1.238</v>
      </c>
      <c r="X571" s="25">
        <f t="shared" si="67"/>
        <v>498616.88000000006</v>
      </c>
      <c r="Y571" s="1">
        <f t="shared" si="68"/>
        <v>4684.84</v>
      </c>
      <c r="Z571" s="1">
        <f t="shared" si="69"/>
        <v>4743.22</v>
      </c>
      <c r="AA571" s="1">
        <v>4804.17</v>
      </c>
      <c r="AB571" s="1">
        <f t="shared" si="64"/>
        <v>-119.32999999999993</v>
      </c>
      <c r="AC571" s="29">
        <f t="shared" si="70"/>
        <v>60.949999999999818</v>
      </c>
      <c r="AD571" s="11">
        <f t="shared" si="71"/>
        <v>3073490.2056</v>
      </c>
    </row>
    <row r="572" spans="1:30" x14ac:dyDescent="0.3">
      <c r="A572" s="14">
        <v>45935.916666666664</v>
      </c>
      <c r="B572" s="1">
        <v>1496.09</v>
      </c>
      <c r="C572" s="11">
        <v>3.2732000000000001</v>
      </c>
      <c r="D572" s="1">
        <v>741.09</v>
      </c>
      <c r="E572" s="11">
        <v>3.0760000000000001</v>
      </c>
      <c r="F572" s="1">
        <v>717.12</v>
      </c>
      <c r="G572" s="11">
        <v>3.53</v>
      </c>
      <c r="H572" s="1">
        <v>-251.9</v>
      </c>
      <c r="I572" s="11">
        <v>10</v>
      </c>
      <c r="J572" s="1">
        <v>368.24</v>
      </c>
      <c r="K572" s="11">
        <v>10</v>
      </c>
      <c r="L572" s="1">
        <v>0</v>
      </c>
      <c r="M572" s="11">
        <v>6.2</v>
      </c>
      <c r="N572" s="1">
        <v>38.74</v>
      </c>
      <c r="O572" s="11">
        <v>2.8224999999999998</v>
      </c>
      <c r="P572" s="1">
        <f t="shared" si="65"/>
        <v>3109.3799999999992</v>
      </c>
      <c r="Q572" s="1">
        <v>3185.37</v>
      </c>
      <c r="R572" s="16">
        <f t="shared" si="66"/>
        <v>2745192.9694999997</v>
      </c>
      <c r="S572" s="20">
        <v>1626.04</v>
      </c>
      <c r="T572" s="21">
        <v>0.22000000000000003</v>
      </c>
      <c r="U572" s="21">
        <v>10.370000000000001</v>
      </c>
      <c r="V572" s="8">
        <v>1636.6299999999999</v>
      </c>
      <c r="W572" s="25">
        <v>1.238</v>
      </c>
      <c r="X572" s="25">
        <f t="shared" si="67"/>
        <v>506536.98499999999</v>
      </c>
      <c r="Y572" s="1">
        <f t="shared" si="68"/>
        <v>4746.0099999999993</v>
      </c>
      <c r="Z572" s="1">
        <f t="shared" si="69"/>
        <v>4822</v>
      </c>
      <c r="AA572" s="1">
        <v>4907.2700000000004</v>
      </c>
      <c r="AB572" s="1">
        <f t="shared" si="64"/>
        <v>-161.26000000000113</v>
      </c>
      <c r="AC572" s="29">
        <f t="shared" si="70"/>
        <v>85.270000000000437</v>
      </c>
      <c r="AD572" s="11">
        <f t="shared" si="71"/>
        <v>3251729.9544999995</v>
      </c>
    </row>
    <row r="573" spans="1:30" x14ac:dyDescent="0.3">
      <c r="A573" s="14">
        <v>45935.927083333336</v>
      </c>
      <c r="B573" s="1">
        <v>1496.51</v>
      </c>
      <c r="C573" s="11">
        <v>3.2732000000000001</v>
      </c>
      <c r="D573" s="1">
        <v>741.09</v>
      </c>
      <c r="E573" s="11">
        <v>3.0760000000000001</v>
      </c>
      <c r="F573" s="1">
        <v>717.12</v>
      </c>
      <c r="G573" s="11">
        <v>3.53</v>
      </c>
      <c r="H573" s="1">
        <v>-251.9</v>
      </c>
      <c r="I573" s="11">
        <v>10</v>
      </c>
      <c r="J573" s="1">
        <v>393.64</v>
      </c>
      <c r="K573" s="11">
        <v>10</v>
      </c>
      <c r="L573" s="1">
        <v>0</v>
      </c>
      <c r="M573" s="11">
        <v>6.2</v>
      </c>
      <c r="N573" s="1">
        <v>37.299999999999997</v>
      </c>
      <c r="O573" s="11">
        <v>2.8224999999999998</v>
      </c>
      <c r="P573" s="1">
        <f t="shared" si="65"/>
        <v>3133.7599999999998</v>
      </c>
      <c r="Q573" s="1">
        <v>3227.55</v>
      </c>
      <c r="R573" s="16">
        <f t="shared" si="66"/>
        <v>2808020.5554999998</v>
      </c>
      <c r="S573" s="20">
        <v>1630.03</v>
      </c>
      <c r="T573" s="21">
        <v>0.22000000000000003</v>
      </c>
      <c r="U573" s="21">
        <v>10.219999999999999</v>
      </c>
      <c r="V573" s="8">
        <v>1640.47</v>
      </c>
      <c r="W573" s="25">
        <v>1.238</v>
      </c>
      <c r="X573" s="25">
        <f t="shared" si="67"/>
        <v>507725.46499999997</v>
      </c>
      <c r="Y573" s="1">
        <f t="shared" si="68"/>
        <v>4774.2299999999996</v>
      </c>
      <c r="Z573" s="1">
        <f t="shared" si="69"/>
        <v>4868.0200000000004</v>
      </c>
      <c r="AA573" s="1">
        <v>4954.95</v>
      </c>
      <c r="AB573" s="1">
        <f t="shared" si="64"/>
        <v>-180.72000000000025</v>
      </c>
      <c r="AC573" s="29">
        <f t="shared" si="70"/>
        <v>86.929999999999382</v>
      </c>
      <c r="AD573" s="11">
        <f t="shared" si="71"/>
        <v>3315746.0204999996</v>
      </c>
    </row>
    <row r="574" spans="1:30" x14ac:dyDescent="0.3">
      <c r="A574" s="14">
        <v>45935.9375</v>
      </c>
      <c r="B574" s="1">
        <v>1496.53</v>
      </c>
      <c r="C574" s="11">
        <v>3.2732000000000001</v>
      </c>
      <c r="D574" s="1">
        <v>741.09</v>
      </c>
      <c r="E574" s="11">
        <v>3.0760000000000001</v>
      </c>
      <c r="F574" s="1">
        <v>717.12</v>
      </c>
      <c r="G574" s="11">
        <v>3.53</v>
      </c>
      <c r="H574" s="1">
        <v>-251.9</v>
      </c>
      <c r="I574" s="11">
        <v>10</v>
      </c>
      <c r="J574" s="1">
        <v>516.05999999999995</v>
      </c>
      <c r="K574" s="11">
        <v>10</v>
      </c>
      <c r="L574" s="1">
        <v>0</v>
      </c>
      <c r="M574" s="11">
        <v>6.2</v>
      </c>
      <c r="N574" s="1">
        <v>36.08</v>
      </c>
      <c r="O574" s="11">
        <v>2.8224999999999998</v>
      </c>
      <c r="P574" s="1">
        <f t="shared" si="65"/>
        <v>3254.9799999999996</v>
      </c>
      <c r="Q574" s="1">
        <v>3235.8</v>
      </c>
      <c r="R574" s="16">
        <f t="shared" si="66"/>
        <v>3113226.0590000004</v>
      </c>
      <c r="S574" s="20">
        <v>1631.1599999999999</v>
      </c>
      <c r="T574" s="21">
        <v>0.22999999999999998</v>
      </c>
      <c r="U574" s="21">
        <v>12</v>
      </c>
      <c r="V574" s="8">
        <v>1643.3899999999999</v>
      </c>
      <c r="W574" s="25">
        <v>1.238</v>
      </c>
      <c r="X574" s="25">
        <f t="shared" si="67"/>
        <v>508629.20499999996</v>
      </c>
      <c r="Y574" s="1">
        <f t="shared" si="68"/>
        <v>4898.369999999999</v>
      </c>
      <c r="Z574" s="1">
        <f t="shared" si="69"/>
        <v>4879.1900000000005</v>
      </c>
      <c r="AA574" s="1">
        <v>4970.47</v>
      </c>
      <c r="AB574" s="1">
        <f t="shared" si="64"/>
        <v>-72.100000000001273</v>
      </c>
      <c r="AC574" s="29">
        <f t="shared" si="70"/>
        <v>91.279999999999745</v>
      </c>
      <c r="AD574" s="11">
        <f t="shared" si="71"/>
        <v>3621855.2640000004</v>
      </c>
    </row>
    <row r="575" spans="1:30" x14ac:dyDescent="0.3">
      <c r="A575" s="14">
        <v>45935.947916666664</v>
      </c>
      <c r="B575" s="1">
        <v>1495.59</v>
      </c>
      <c r="C575" s="11">
        <v>3.2732000000000001</v>
      </c>
      <c r="D575" s="1">
        <v>741.09</v>
      </c>
      <c r="E575" s="11">
        <v>3.0760000000000001</v>
      </c>
      <c r="F575" s="1">
        <v>717.12</v>
      </c>
      <c r="G575" s="11">
        <v>3.53</v>
      </c>
      <c r="H575" s="1">
        <v>-251.9</v>
      </c>
      <c r="I575" s="11">
        <v>10</v>
      </c>
      <c r="J575" s="1">
        <v>498.95</v>
      </c>
      <c r="K575" s="11">
        <v>10</v>
      </c>
      <c r="L575" s="1">
        <v>0</v>
      </c>
      <c r="M575" s="11">
        <v>6.2</v>
      </c>
      <c r="N575" s="1">
        <v>34.880000000000003</v>
      </c>
      <c r="O575" s="11">
        <v>2.8224999999999998</v>
      </c>
      <c r="P575" s="1">
        <f t="shared" si="65"/>
        <v>3235.7299999999996</v>
      </c>
      <c r="Q575" s="1">
        <v>3260.01</v>
      </c>
      <c r="R575" s="16">
        <f t="shared" si="66"/>
        <v>3068835.1069999998</v>
      </c>
      <c r="S575" s="20">
        <v>1624.1999999999998</v>
      </c>
      <c r="T575" s="21">
        <v>0.22999999999999998</v>
      </c>
      <c r="U575" s="21">
        <v>12.84</v>
      </c>
      <c r="V575" s="8">
        <v>1637.2699999999998</v>
      </c>
      <c r="W575" s="25">
        <v>1.238</v>
      </c>
      <c r="X575" s="25">
        <f t="shared" si="67"/>
        <v>506735.06499999989</v>
      </c>
      <c r="Y575" s="1">
        <f t="shared" si="68"/>
        <v>4872.9999999999991</v>
      </c>
      <c r="Z575" s="1">
        <f t="shared" si="69"/>
        <v>4897.28</v>
      </c>
      <c r="AA575" s="1">
        <v>4964.6400000000003</v>
      </c>
      <c r="AB575" s="1">
        <f t="shared" si="64"/>
        <v>-91.640000000001237</v>
      </c>
      <c r="AC575" s="29">
        <f t="shared" si="70"/>
        <v>67.360000000000582</v>
      </c>
      <c r="AD575" s="11">
        <f t="shared" si="71"/>
        <v>3575570.1719999998</v>
      </c>
    </row>
    <row r="576" spans="1:30" x14ac:dyDescent="0.3">
      <c r="A576" s="14">
        <v>45935.958333333336</v>
      </c>
      <c r="B576" s="1">
        <v>1495.52</v>
      </c>
      <c r="C576" s="11">
        <v>3.2732000000000001</v>
      </c>
      <c r="D576" s="1">
        <v>741.09</v>
      </c>
      <c r="E576" s="11">
        <v>3.0760000000000001</v>
      </c>
      <c r="F576" s="1">
        <v>717.12</v>
      </c>
      <c r="G576" s="11">
        <v>3.53</v>
      </c>
      <c r="H576" s="1">
        <v>-251.9</v>
      </c>
      <c r="I576" s="11">
        <v>10</v>
      </c>
      <c r="J576" s="1">
        <v>434.78</v>
      </c>
      <c r="K576" s="11">
        <v>5.4992399999999995</v>
      </c>
      <c r="L576" s="1">
        <v>0</v>
      </c>
      <c r="M576" s="11">
        <v>6.2</v>
      </c>
      <c r="N576" s="1">
        <v>34.24</v>
      </c>
      <c r="O576" s="11">
        <v>2.8224999999999998</v>
      </c>
      <c r="P576" s="1">
        <f t="shared" si="65"/>
        <v>3170.8499999999995</v>
      </c>
      <c r="Q576" s="1">
        <v>3240.42</v>
      </c>
      <c r="R576" s="16">
        <f t="shared" si="66"/>
        <v>2418691.1178000001</v>
      </c>
      <c r="S576" s="20">
        <v>1619.61</v>
      </c>
      <c r="T576" s="21">
        <v>0.22999999999999998</v>
      </c>
      <c r="U576" s="21">
        <v>9.8699999999999992</v>
      </c>
      <c r="V576" s="8">
        <v>1629.7099999999998</v>
      </c>
      <c r="W576" s="25">
        <v>1.238</v>
      </c>
      <c r="X576" s="25">
        <f t="shared" si="67"/>
        <v>504395.24499999994</v>
      </c>
      <c r="Y576" s="1">
        <f t="shared" si="68"/>
        <v>4800.5599999999995</v>
      </c>
      <c r="Z576" s="1">
        <f t="shared" si="69"/>
        <v>4870.13</v>
      </c>
      <c r="AA576" s="1">
        <v>4930.88</v>
      </c>
      <c r="AB576" s="1">
        <f t="shared" si="64"/>
        <v>-130.32000000000062</v>
      </c>
      <c r="AC576" s="29">
        <f t="shared" si="70"/>
        <v>60.75</v>
      </c>
      <c r="AD576" s="11">
        <f t="shared" si="71"/>
        <v>2923086.3628000002</v>
      </c>
    </row>
    <row r="577" spans="1:31" x14ac:dyDescent="0.3">
      <c r="A577" s="14">
        <v>45935.96875</v>
      </c>
      <c r="B577" s="1">
        <v>1494.73</v>
      </c>
      <c r="C577" s="11">
        <v>3.2732000000000001</v>
      </c>
      <c r="D577" s="1">
        <v>741.09</v>
      </c>
      <c r="E577" s="11">
        <v>3.0760000000000001</v>
      </c>
      <c r="F577" s="1">
        <v>717.12</v>
      </c>
      <c r="G577" s="11">
        <v>3.53</v>
      </c>
      <c r="H577" s="1">
        <v>-251.9</v>
      </c>
      <c r="I577" s="11">
        <v>10</v>
      </c>
      <c r="J577" s="1">
        <v>349.3</v>
      </c>
      <c r="K577" s="11">
        <v>5.4502700000000006</v>
      </c>
      <c r="L577" s="1">
        <v>0</v>
      </c>
      <c r="M577" s="11">
        <v>6.2</v>
      </c>
      <c r="N577" s="1">
        <v>34.76</v>
      </c>
      <c r="O577" s="11">
        <v>2.8224999999999998</v>
      </c>
      <c r="P577" s="1">
        <f t="shared" si="65"/>
        <v>3085.1000000000004</v>
      </c>
      <c r="Q577" s="1">
        <v>3236.46</v>
      </c>
      <c r="R577" s="16">
        <f t="shared" si="66"/>
        <v>2296616.5217500003</v>
      </c>
      <c r="S577" s="20">
        <v>1617.5900000000001</v>
      </c>
      <c r="T577" s="21">
        <v>0.22999999999999998</v>
      </c>
      <c r="U577" s="21">
        <v>7.66</v>
      </c>
      <c r="V577" s="8">
        <v>1625.4800000000002</v>
      </c>
      <c r="W577" s="25">
        <v>1.238</v>
      </c>
      <c r="X577" s="25">
        <f t="shared" si="67"/>
        <v>503086.06000000011</v>
      </c>
      <c r="Y577" s="1">
        <f t="shared" si="68"/>
        <v>4710.5800000000008</v>
      </c>
      <c r="Z577" s="1">
        <f t="shared" si="69"/>
        <v>4861.9400000000005</v>
      </c>
      <c r="AA577" s="1">
        <v>4897.18</v>
      </c>
      <c r="AB577" s="1">
        <f t="shared" si="64"/>
        <v>-186.59999999999945</v>
      </c>
      <c r="AC577" s="29">
        <f t="shared" si="70"/>
        <v>35.239999999999782</v>
      </c>
      <c r="AD577" s="11">
        <f t="shared" si="71"/>
        <v>2799702.5817500004</v>
      </c>
    </row>
    <row r="578" spans="1:31" x14ac:dyDescent="0.3">
      <c r="A578" s="14">
        <v>45935.979166666664</v>
      </c>
      <c r="B578" s="1">
        <v>1494.68</v>
      </c>
      <c r="C578" s="11">
        <v>3.2732000000000001</v>
      </c>
      <c r="D578" s="1">
        <v>741.09</v>
      </c>
      <c r="E578" s="11">
        <v>3.0760000000000001</v>
      </c>
      <c r="F578" s="1">
        <v>717.12</v>
      </c>
      <c r="G578" s="11">
        <v>3.53</v>
      </c>
      <c r="H578" s="1">
        <v>-251.9</v>
      </c>
      <c r="I578" s="11">
        <v>10</v>
      </c>
      <c r="J578" s="1">
        <v>397.8</v>
      </c>
      <c r="K578" s="11">
        <v>5.2806199999999999</v>
      </c>
      <c r="L578" s="1">
        <v>0</v>
      </c>
      <c r="M578" s="11">
        <v>6.2</v>
      </c>
      <c r="N578" s="1">
        <v>34.520000000000003</v>
      </c>
      <c r="O578" s="11">
        <v>2.8224999999999998</v>
      </c>
      <c r="P578" s="1">
        <f t="shared" si="65"/>
        <v>3133.31</v>
      </c>
      <c r="Q578" s="1">
        <v>3203.21</v>
      </c>
      <c r="R578" s="16">
        <f t="shared" si="66"/>
        <v>2345619.088</v>
      </c>
      <c r="S578" s="20">
        <v>1615.08</v>
      </c>
      <c r="T578" s="21">
        <v>0.22999999999999998</v>
      </c>
      <c r="U578" s="21">
        <v>7.45</v>
      </c>
      <c r="V578" s="8">
        <v>1622.76</v>
      </c>
      <c r="W578" s="25">
        <v>1.238</v>
      </c>
      <c r="X578" s="25">
        <f t="shared" si="67"/>
        <v>502244.22</v>
      </c>
      <c r="Y578" s="1">
        <f t="shared" si="68"/>
        <v>4756.07</v>
      </c>
      <c r="Z578" s="1">
        <f t="shared" si="69"/>
        <v>4825.97</v>
      </c>
      <c r="AA578" s="1">
        <v>4834.93</v>
      </c>
      <c r="AB578" s="1">
        <f t="shared" si="64"/>
        <v>-78.860000000000582</v>
      </c>
      <c r="AC578" s="29">
        <f t="shared" si="70"/>
        <v>8.9600000000000364</v>
      </c>
      <c r="AD578" s="11">
        <f t="shared" si="71"/>
        <v>2847863.3080000002</v>
      </c>
    </row>
    <row r="579" spans="1:31" x14ac:dyDescent="0.3">
      <c r="A579" s="14">
        <v>45935.989583333336</v>
      </c>
      <c r="B579" s="1">
        <v>1494.68</v>
      </c>
      <c r="C579" s="11">
        <v>3.2732000000000001</v>
      </c>
      <c r="D579" s="1">
        <v>741.09</v>
      </c>
      <c r="E579" s="11">
        <v>3.0760000000000001</v>
      </c>
      <c r="F579" s="1">
        <v>717.12</v>
      </c>
      <c r="G579" s="11">
        <v>3.53</v>
      </c>
      <c r="H579" s="1">
        <v>-251.9</v>
      </c>
      <c r="I579" s="11">
        <v>10</v>
      </c>
      <c r="J579" s="1">
        <v>311.33</v>
      </c>
      <c r="K579" s="11">
        <v>4.99925</v>
      </c>
      <c r="L579" s="1">
        <v>0</v>
      </c>
      <c r="M579" s="11">
        <v>6.2</v>
      </c>
      <c r="N579" s="1">
        <v>34.78</v>
      </c>
      <c r="O579" s="11">
        <v>2.8224999999999998</v>
      </c>
      <c r="P579" s="1">
        <f t="shared" si="65"/>
        <v>3047.1</v>
      </c>
      <c r="Q579" s="1">
        <v>3129.02</v>
      </c>
      <c r="R579" s="16">
        <f t="shared" si="66"/>
        <v>2209749.0171250002</v>
      </c>
      <c r="S579" s="20">
        <v>1611.58</v>
      </c>
      <c r="T579" s="21">
        <v>0.22999999999999998</v>
      </c>
      <c r="U579" s="21">
        <v>8.39</v>
      </c>
      <c r="V579" s="8">
        <v>1620.2</v>
      </c>
      <c r="W579" s="25">
        <v>1.238</v>
      </c>
      <c r="X579" s="25">
        <f t="shared" si="67"/>
        <v>501451.9</v>
      </c>
      <c r="Y579" s="1">
        <f t="shared" si="68"/>
        <v>4667.3</v>
      </c>
      <c r="Z579" s="1">
        <f t="shared" si="69"/>
        <v>4749.22</v>
      </c>
      <c r="AA579" s="1">
        <v>4756.75</v>
      </c>
      <c r="AB579" s="1">
        <f t="shared" si="64"/>
        <v>-89.449999999999818</v>
      </c>
      <c r="AC579" s="29">
        <f t="shared" si="70"/>
        <v>7.5299999999997453</v>
      </c>
      <c r="AD579" s="11">
        <f t="shared" si="71"/>
        <v>2711200.9171250002</v>
      </c>
      <c r="AE579" s="31">
        <f>SUM(AD484:AD579)</f>
        <v>259709057.02422503</v>
      </c>
    </row>
    <row r="580" spans="1:31" x14ac:dyDescent="0.3">
      <c r="A580" s="14">
        <v>45966</v>
      </c>
      <c r="B580" s="1">
        <v>1494.92</v>
      </c>
      <c r="C580" s="11">
        <v>3.2732000000000001</v>
      </c>
      <c r="D580" s="1">
        <v>654.01</v>
      </c>
      <c r="E580" s="11">
        <v>3.0760000000000001</v>
      </c>
      <c r="F580" s="1">
        <v>443.31</v>
      </c>
      <c r="G580" s="11">
        <v>3.53</v>
      </c>
      <c r="H580" s="1">
        <v>-251.9</v>
      </c>
      <c r="I580" s="11">
        <v>10</v>
      </c>
      <c r="J580" s="1">
        <v>361.17</v>
      </c>
      <c r="K580" s="11">
        <v>10</v>
      </c>
      <c r="L580" s="1">
        <v>0</v>
      </c>
      <c r="M580" s="11">
        <v>6.2</v>
      </c>
      <c r="N580" s="1">
        <v>30.31</v>
      </c>
      <c r="O580" s="11">
        <v>2.8224999999999998</v>
      </c>
      <c r="P580" s="1">
        <f t="shared" si="65"/>
        <v>2731.82</v>
      </c>
      <c r="Q580" s="1">
        <v>3019.13</v>
      </c>
      <c r="R580" s="16">
        <f t="shared" si="66"/>
        <v>2412010.2947500004</v>
      </c>
      <c r="S580" s="20">
        <v>1620.3200000000002</v>
      </c>
      <c r="T580" s="21">
        <v>0.22999999999999998</v>
      </c>
      <c r="U580" s="21">
        <v>9.85</v>
      </c>
      <c r="V580" s="8">
        <v>1630.4</v>
      </c>
      <c r="W580" s="25">
        <v>1.238</v>
      </c>
      <c r="X580" s="25">
        <f t="shared" si="67"/>
        <v>504608.80000000005</v>
      </c>
      <c r="Y580" s="1">
        <f t="shared" si="68"/>
        <v>4362.22</v>
      </c>
      <c r="Z580" s="1">
        <f t="shared" si="69"/>
        <v>4649.5300000000007</v>
      </c>
      <c r="AA580" s="1">
        <v>4654.95</v>
      </c>
      <c r="AB580" s="1">
        <f t="shared" ref="AB580:AB643" si="72">Y580-AA580</f>
        <v>-292.72999999999956</v>
      </c>
      <c r="AC580" s="29">
        <f t="shared" si="70"/>
        <v>5.4199999999991633</v>
      </c>
      <c r="AD580" s="11">
        <f t="shared" si="71"/>
        <v>2916619.0947500002</v>
      </c>
    </row>
    <row r="581" spans="1:31" x14ac:dyDescent="0.3">
      <c r="A581" s="14">
        <v>45966.010416666664</v>
      </c>
      <c r="B581" s="1">
        <v>1495.05</v>
      </c>
      <c r="C581" s="11">
        <v>3.2732000000000001</v>
      </c>
      <c r="D581" s="1">
        <v>647.46</v>
      </c>
      <c r="E581" s="11">
        <v>3.0760000000000001</v>
      </c>
      <c r="F581" s="1">
        <v>422.7</v>
      </c>
      <c r="G581" s="11">
        <v>3.53</v>
      </c>
      <c r="H581" s="1">
        <v>-112.57</v>
      </c>
      <c r="I581" s="11">
        <v>5.90083</v>
      </c>
      <c r="J581" s="1">
        <v>245.98</v>
      </c>
      <c r="K581" s="11">
        <v>10</v>
      </c>
      <c r="L581" s="1">
        <v>0</v>
      </c>
      <c r="M581" s="11">
        <v>6.2</v>
      </c>
      <c r="N581" s="1">
        <v>29.44</v>
      </c>
      <c r="O581" s="11">
        <v>2.8224999999999998</v>
      </c>
      <c r="P581" s="1">
        <f t="shared" ref="P581:P644" si="73">(B581+D581+F581+H581+J581+L581+N581)</f>
        <v>2728.06</v>
      </c>
      <c r="Q581" s="1">
        <v>2930.58</v>
      </c>
      <c r="R581" s="16">
        <f t="shared" ref="R581:R644" si="74">(((B581*C581)+(D581*E581)+(F581*G581)+(H581*I581)+(J581*K581)+(L581*M581)+(N581*O581))*(1000/4))</f>
        <v>2563988.3967249999</v>
      </c>
      <c r="S581" s="20">
        <v>1620.4299999999998</v>
      </c>
      <c r="T581" s="21">
        <v>0.24</v>
      </c>
      <c r="U581" s="21">
        <v>11.2</v>
      </c>
      <c r="V581" s="8">
        <v>1631.87</v>
      </c>
      <c r="W581" s="25">
        <v>1.238</v>
      </c>
      <c r="X581" s="25">
        <f t="shared" ref="X581:X644" si="75">((V581*W581*1000)/4)</f>
        <v>505063.76500000001</v>
      </c>
      <c r="Y581" s="1">
        <f t="shared" ref="Y581:Y644" si="76">B581+D581+F581+H581+J581+L581+N581+V581</f>
        <v>4359.93</v>
      </c>
      <c r="Z581" s="1">
        <f t="shared" ref="Z581:Z644" si="77">Q581+V581</f>
        <v>4562.45</v>
      </c>
      <c r="AA581" s="1">
        <v>4570.66</v>
      </c>
      <c r="AB581" s="1">
        <f t="shared" si="72"/>
        <v>-210.72999999999956</v>
      </c>
      <c r="AC581" s="29">
        <f t="shared" ref="AC581:AC644" si="78">AA581-Z581</f>
        <v>8.2100000000000364</v>
      </c>
      <c r="AD581" s="11">
        <f t="shared" ref="AD581:AD644" si="79">(R581+X581)</f>
        <v>3069052.161725</v>
      </c>
    </row>
    <row r="582" spans="1:31" x14ac:dyDescent="0.3">
      <c r="A582" s="14">
        <v>45966.020833333336</v>
      </c>
      <c r="B582" s="1">
        <v>1461.62</v>
      </c>
      <c r="C582" s="11">
        <v>3.2732000000000001</v>
      </c>
      <c r="D582" s="1">
        <v>647.46</v>
      </c>
      <c r="E582" s="11">
        <v>3.0760000000000001</v>
      </c>
      <c r="F582" s="1">
        <v>422.7</v>
      </c>
      <c r="G582" s="11">
        <v>3.53</v>
      </c>
      <c r="H582" s="1">
        <v>-101.9</v>
      </c>
      <c r="I582" s="11">
        <v>5.0792200000000003</v>
      </c>
      <c r="J582" s="1">
        <v>299.48</v>
      </c>
      <c r="K582" s="11">
        <v>10</v>
      </c>
      <c r="L582" s="1">
        <v>0</v>
      </c>
      <c r="M582" s="11">
        <v>6.2</v>
      </c>
      <c r="N582" s="1">
        <v>28.28</v>
      </c>
      <c r="O582" s="11">
        <v>2.8224999999999998</v>
      </c>
      <c r="P582" s="1">
        <f t="shared" si="73"/>
        <v>2757.64</v>
      </c>
      <c r="Q582" s="1">
        <v>2857.48</v>
      </c>
      <c r="R582" s="16">
        <f t="shared" si="74"/>
        <v>2706235.0814999994</v>
      </c>
      <c r="S582" s="20">
        <v>1618.6799999999998</v>
      </c>
      <c r="T582" s="21">
        <v>0.24</v>
      </c>
      <c r="U582" s="21">
        <v>11.71</v>
      </c>
      <c r="V582" s="8">
        <v>1630.6299999999999</v>
      </c>
      <c r="W582" s="25">
        <v>1.238</v>
      </c>
      <c r="X582" s="25">
        <f t="shared" si="75"/>
        <v>504679.98499999993</v>
      </c>
      <c r="Y582" s="1">
        <f t="shared" si="76"/>
        <v>4388.2699999999995</v>
      </c>
      <c r="Z582" s="1">
        <f t="shared" si="77"/>
        <v>4488.1099999999997</v>
      </c>
      <c r="AA582" s="1">
        <v>4496.5600000000004</v>
      </c>
      <c r="AB582" s="1">
        <f t="shared" si="72"/>
        <v>-108.29000000000087</v>
      </c>
      <c r="AC582" s="29">
        <f t="shared" si="78"/>
        <v>8.4500000000007276</v>
      </c>
      <c r="AD582" s="11">
        <f t="shared" si="79"/>
        <v>3210915.0664999993</v>
      </c>
    </row>
    <row r="583" spans="1:31" x14ac:dyDescent="0.3">
      <c r="A583" s="14">
        <v>45966.03125</v>
      </c>
      <c r="B583" s="1">
        <v>1459.41</v>
      </c>
      <c r="C583" s="11">
        <v>3.2732000000000001</v>
      </c>
      <c r="D583" s="1">
        <v>647.46</v>
      </c>
      <c r="E583" s="11">
        <v>3.0760000000000001</v>
      </c>
      <c r="F583" s="1">
        <v>422.7</v>
      </c>
      <c r="G583" s="11">
        <v>3.53</v>
      </c>
      <c r="H583" s="1">
        <v>-101.9</v>
      </c>
      <c r="I583" s="11">
        <v>5.0007000000000001</v>
      </c>
      <c r="J583" s="1">
        <v>276.81</v>
      </c>
      <c r="K583" s="11">
        <v>10</v>
      </c>
      <c r="L583" s="1">
        <v>0</v>
      </c>
      <c r="M583" s="11">
        <v>6.2</v>
      </c>
      <c r="N583" s="1">
        <v>26.8</v>
      </c>
      <c r="O583" s="11">
        <v>2.8224999999999998</v>
      </c>
      <c r="P583" s="1">
        <f t="shared" si="73"/>
        <v>2731.2799999999997</v>
      </c>
      <c r="Q583" s="1">
        <v>2787.34</v>
      </c>
      <c r="R583" s="16">
        <f t="shared" si="74"/>
        <v>2648707.6105</v>
      </c>
      <c r="S583" s="20">
        <v>1612.96</v>
      </c>
      <c r="T583" s="21">
        <v>0.24</v>
      </c>
      <c r="U583" s="21">
        <v>11.66</v>
      </c>
      <c r="V583" s="8">
        <v>1624.8600000000001</v>
      </c>
      <c r="W583" s="25">
        <v>1.238</v>
      </c>
      <c r="X583" s="25">
        <f t="shared" si="75"/>
        <v>502894.17000000004</v>
      </c>
      <c r="Y583" s="1">
        <f t="shared" si="76"/>
        <v>4356.1399999999994</v>
      </c>
      <c r="Z583" s="1">
        <f t="shared" si="77"/>
        <v>4412.2000000000007</v>
      </c>
      <c r="AA583" s="1">
        <v>4422.4799999999996</v>
      </c>
      <c r="AB583" s="1">
        <f t="shared" si="72"/>
        <v>-66.340000000000146</v>
      </c>
      <c r="AC583" s="29">
        <f t="shared" si="78"/>
        <v>10.279999999998836</v>
      </c>
      <c r="AD583" s="11">
        <f t="shared" si="79"/>
        <v>3151601.7804999999</v>
      </c>
    </row>
    <row r="584" spans="1:31" x14ac:dyDescent="0.3">
      <c r="A584" s="14">
        <v>45966.041666666664</v>
      </c>
      <c r="B584" s="1">
        <v>1459.42</v>
      </c>
      <c r="C584" s="11">
        <v>3.2732000000000001</v>
      </c>
      <c r="D584" s="1">
        <v>647.46</v>
      </c>
      <c r="E584" s="11">
        <v>3.0760000000000001</v>
      </c>
      <c r="F584" s="1">
        <v>422.7</v>
      </c>
      <c r="G584" s="11">
        <v>3.53</v>
      </c>
      <c r="H584" s="1">
        <v>-101.9</v>
      </c>
      <c r="I584" s="11">
        <v>5.00061</v>
      </c>
      <c r="J584" s="1">
        <v>285</v>
      </c>
      <c r="K584" s="11">
        <v>9.9992800000000006</v>
      </c>
      <c r="L584" s="1">
        <v>0</v>
      </c>
      <c r="M584" s="11">
        <v>6.2</v>
      </c>
      <c r="N584" s="1">
        <v>26.7</v>
      </c>
      <c r="O584" s="11">
        <v>2.8224999999999998</v>
      </c>
      <c r="P584" s="1">
        <f t="shared" si="73"/>
        <v>2739.3799999999997</v>
      </c>
      <c r="Q584" s="1">
        <v>2720.94</v>
      </c>
      <c r="R584" s="16">
        <f t="shared" si="74"/>
        <v>2669071.2237500004</v>
      </c>
      <c r="S584" s="20">
        <v>1614.6399999999999</v>
      </c>
      <c r="T584" s="21">
        <v>0.24</v>
      </c>
      <c r="U584" s="21">
        <v>12.5</v>
      </c>
      <c r="V584" s="8">
        <v>1627.3799999999999</v>
      </c>
      <c r="W584" s="25">
        <v>1.238</v>
      </c>
      <c r="X584" s="25">
        <f t="shared" si="75"/>
        <v>503674.11</v>
      </c>
      <c r="Y584" s="1">
        <f t="shared" si="76"/>
        <v>4366.7599999999993</v>
      </c>
      <c r="Z584" s="1">
        <f t="shared" si="77"/>
        <v>4348.32</v>
      </c>
      <c r="AA584" s="1">
        <v>4361.4399999999996</v>
      </c>
      <c r="AB584" s="1">
        <f t="shared" si="72"/>
        <v>5.319999999999709</v>
      </c>
      <c r="AC584" s="29">
        <f t="shared" si="78"/>
        <v>13.119999999999891</v>
      </c>
      <c r="AD584" s="11">
        <f t="shared" si="79"/>
        <v>3172745.3337500002</v>
      </c>
    </row>
    <row r="585" spans="1:31" x14ac:dyDescent="0.3">
      <c r="A585" s="14">
        <v>45966.052083333336</v>
      </c>
      <c r="B585" s="1">
        <v>1459.42</v>
      </c>
      <c r="C585" s="11">
        <v>3.2732000000000001</v>
      </c>
      <c r="D585" s="1">
        <v>647.46</v>
      </c>
      <c r="E585" s="11">
        <v>3.0760000000000001</v>
      </c>
      <c r="F585" s="1">
        <v>422.7</v>
      </c>
      <c r="G585" s="11">
        <v>3.53</v>
      </c>
      <c r="H585" s="1">
        <v>-101.9</v>
      </c>
      <c r="I585" s="11">
        <v>4.7919200000000002</v>
      </c>
      <c r="J585" s="1">
        <v>251.45</v>
      </c>
      <c r="K585" s="11">
        <v>5.6492500000000003</v>
      </c>
      <c r="L585" s="1">
        <v>0</v>
      </c>
      <c r="M585" s="11">
        <v>6.2</v>
      </c>
      <c r="N585" s="1">
        <v>26.52</v>
      </c>
      <c r="O585" s="11">
        <v>2.8224999999999998</v>
      </c>
      <c r="P585" s="1">
        <f t="shared" si="73"/>
        <v>2705.6499999999996</v>
      </c>
      <c r="Q585" s="1">
        <v>2644.91</v>
      </c>
      <c r="R585" s="16">
        <f t="shared" si="74"/>
        <v>2316937.8671249999</v>
      </c>
      <c r="S585" s="20">
        <v>1614.79</v>
      </c>
      <c r="T585" s="21">
        <v>0.24</v>
      </c>
      <c r="U585" s="21">
        <v>13.7</v>
      </c>
      <c r="V585" s="8">
        <v>1628.73</v>
      </c>
      <c r="W585" s="25">
        <v>1.238</v>
      </c>
      <c r="X585" s="25">
        <f t="shared" si="75"/>
        <v>504091.935</v>
      </c>
      <c r="Y585" s="1">
        <f t="shared" si="76"/>
        <v>4334.3799999999992</v>
      </c>
      <c r="Z585" s="1">
        <f t="shared" si="77"/>
        <v>4273.6399999999994</v>
      </c>
      <c r="AA585" s="1">
        <v>4287.43</v>
      </c>
      <c r="AB585" s="1">
        <f t="shared" si="72"/>
        <v>46.949999999998909</v>
      </c>
      <c r="AC585" s="29">
        <f t="shared" si="78"/>
        <v>13.790000000000873</v>
      </c>
      <c r="AD585" s="11">
        <f t="shared" si="79"/>
        <v>2821029.8021249999</v>
      </c>
    </row>
    <row r="586" spans="1:31" x14ac:dyDescent="0.3">
      <c r="A586" s="14">
        <v>45966.0625</v>
      </c>
      <c r="B586" s="1">
        <v>1459.42</v>
      </c>
      <c r="C586" s="11">
        <v>3.2732000000000001</v>
      </c>
      <c r="D586" s="1">
        <v>647.46</v>
      </c>
      <c r="E586" s="11">
        <v>3.0760000000000001</v>
      </c>
      <c r="F586" s="1">
        <v>422.7</v>
      </c>
      <c r="G586" s="11">
        <v>3.53</v>
      </c>
      <c r="H586" s="1">
        <v>-101.9</v>
      </c>
      <c r="I586" s="11">
        <v>4.7913699999999997</v>
      </c>
      <c r="J586" s="1">
        <v>155.61000000000001</v>
      </c>
      <c r="K586" s="11">
        <v>4.79155</v>
      </c>
      <c r="L586" s="1">
        <v>0</v>
      </c>
      <c r="M586" s="11">
        <v>6.2</v>
      </c>
      <c r="N586" s="1">
        <v>25.84</v>
      </c>
      <c r="O586" s="11">
        <v>2.8224999999999998</v>
      </c>
      <c r="P586" s="1">
        <f t="shared" si="73"/>
        <v>2609.13</v>
      </c>
      <c r="Q586" s="1">
        <v>2602.1799999999998</v>
      </c>
      <c r="R586" s="16">
        <f t="shared" si="74"/>
        <v>2147749.3491250002</v>
      </c>
      <c r="S586" s="20">
        <v>1567.9699999999998</v>
      </c>
      <c r="T586" s="21">
        <v>0.24</v>
      </c>
      <c r="U586" s="21">
        <v>12.040000000000001</v>
      </c>
      <c r="V586" s="8">
        <v>1580.2499999999998</v>
      </c>
      <c r="W586" s="25">
        <v>1.238</v>
      </c>
      <c r="X586" s="25">
        <f t="shared" si="75"/>
        <v>489087.37499999994</v>
      </c>
      <c r="Y586" s="1">
        <f t="shared" si="76"/>
        <v>4189.38</v>
      </c>
      <c r="Z586" s="1">
        <f t="shared" si="77"/>
        <v>4182.4299999999994</v>
      </c>
      <c r="AA586" s="1">
        <v>4195.2299999999996</v>
      </c>
      <c r="AB586" s="1">
        <f t="shared" si="72"/>
        <v>-5.8499999999994543</v>
      </c>
      <c r="AC586" s="29">
        <f t="shared" si="78"/>
        <v>12.800000000000182</v>
      </c>
      <c r="AD586" s="11">
        <f t="shared" si="79"/>
        <v>2636836.7241250002</v>
      </c>
    </row>
    <row r="587" spans="1:31" x14ac:dyDescent="0.3">
      <c r="A587" s="14">
        <v>45966.072916666664</v>
      </c>
      <c r="B587" s="1">
        <v>1459.42</v>
      </c>
      <c r="C587" s="11">
        <v>3.2732000000000001</v>
      </c>
      <c r="D587" s="1">
        <v>647.46</v>
      </c>
      <c r="E587" s="11">
        <v>3.0760000000000001</v>
      </c>
      <c r="F587" s="1">
        <v>422.7</v>
      </c>
      <c r="G587" s="11">
        <v>3.53</v>
      </c>
      <c r="H587" s="1">
        <v>-101.9</v>
      </c>
      <c r="I587" s="11">
        <v>4.7309399999999995</v>
      </c>
      <c r="J587" s="1">
        <v>144.86000000000001</v>
      </c>
      <c r="K587" s="11">
        <v>4.6005000000000003</v>
      </c>
      <c r="L587" s="1">
        <v>0</v>
      </c>
      <c r="M587" s="11">
        <v>6.2</v>
      </c>
      <c r="N587" s="1">
        <v>25.8</v>
      </c>
      <c r="O587" s="11">
        <v>2.8224999999999998</v>
      </c>
      <c r="P587" s="1">
        <f t="shared" si="73"/>
        <v>2598.34</v>
      </c>
      <c r="Q587" s="1">
        <v>2591.2399999999998</v>
      </c>
      <c r="R587" s="16">
        <f t="shared" si="74"/>
        <v>2129464.4120000005</v>
      </c>
      <c r="S587" s="20">
        <v>1507.8899999999996</v>
      </c>
      <c r="T587" s="21">
        <v>0.22999999999999998</v>
      </c>
      <c r="U587" s="21">
        <v>11.54</v>
      </c>
      <c r="V587" s="8">
        <v>1519.6599999999996</v>
      </c>
      <c r="W587" s="25">
        <v>1.238</v>
      </c>
      <c r="X587" s="25">
        <f t="shared" si="75"/>
        <v>470334.7699999999</v>
      </c>
      <c r="Y587" s="1">
        <f t="shared" si="76"/>
        <v>4118</v>
      </c>
      <c r="Z587" s="1">
        <f t="shared" si="77"/>
        <v>4110.8999999999996</v>
      </c>
      <c r="AA587" s="1">
        <v>4122.6400000000003</v>
      </c>
      <c r="AB587" s="1">
        <f t="shared" si="72"/>
        <v>-4.6400000000003274</v>
      </c>
      <c r="AC587" s="29">
        <f t="shared" si="78"/>
        <v>11.740000000000691</v>
      </c>
      <c r="AD587" s="11">
        <f t="shared" si="79"/>
        <v>2599799.1820000005</v>
      </c>
    </row>
    <row r="588" spans="1:31" x14ac:dyDescent="0.3">
      <c r="A588" s="14">
        <v>45966.083333333336</v>
      </c>
      <c r="B588" s="1">
        <v>1460.68</v>
      </c>
      <c r="C588" s="11">
        <v>3.2732000000000001</v>
      </c>
      <c r="D588" s="1">
        <v>647.46</v>
      </c>
      <c r="E588" s="11">
        <v>3.0760000000000001</v>
      </c>
      <c r="F588" s="1">
        <v>400.29</v>
      </c>
      <c r="G588" s="11">
        <v>3.53</v>
      </c>
      <c r="H588" s="1">
        <v>-101.9</v>
      </c>
      <c r="I588" s="11">
        <v>4.6004899999999997</v>
      </c>
      <c r="J588" s="1">
        <v>186</v>
      </c>
      <c r="K588" s="11">
        <v>4.86097</v>
      </c>
      <c r="L588" s="1">
        <v>0</v>
      </c>
      <c r="M588" s="11">
        <v>6.2</v>
      </c>
      <c r="N588" s="1">
        <v>25.8</v>
      </c>
      <c r="O588" s="11">
        <v>2.8224999999999998</v>
      </c>
      <c r="P588" s="1">
        <f t="shared" si="73"/>
        <v>2618.3300000000004</v>
      </c>
      <c r="Q588" s="1">
        <v>2601.86</v>
      </c>
      <c r="R588" s="16">
        <f t="shared" si="74"/>
        <v>2173469.8562500002</v>
      </c>
      <c r="S588" s="20">
        <v>1453.17</v>
      </c>
      <c r="T588" s="21">
        <v>0.22999999999999998</v>
      </c>
      <c r="U588" s="21">
        <v>9.9699999999999989</v>
      </c>
      <c r="V588" s="8">
        <v>1463.3700000000001</v>
      </c>
      <c r="W588" s="25">
        <v>1.238</v>
      </c>
      <c r="X588" s="25">
        <f t="shared" si="75"/>
        <v>452913.01500000001</v>
      </c>
      <c r="Y588" s="1">
        <f t="shared" si="76"/>
        <v>4081.7000000000007</v>
      </c>
      <c r="Z588" s="1">
        <f t="shared" si="77"/>
        <v>4065.2300000000005</v>
      </c>
      <c r="AA588" s="1">
        <v>4077.85</v>
      </c>
      <c r="AB588" s="1">
        <f t="shared" si="72"/>
        <v>3.8500000000008185</v>
      </c>
      <c r="AC588" s="29">
        <f t="shared" si="78"/>
        <v>12.619999999999436</v>
      </c>
      <c r="AD588" s="11">
        <f t="shared" si="79"/>
        <v>2626382.8712500003</v>
      </c>
    </row>
    <row r="589" spans="1:31" x14ac:dyDescent="0.3">
      <c r="A589" s="14">
        <v>45966.09375</v>
      </c>
      <c r="B589" s="1">
        <v>1460.95</v>
      </c>
      <c r="C589" s="11">
        <v>3.2732000000000001</v>
      </c>
      <c r="D589" s="1">
        <v>647.46</v>
      </c>
      <c r="E589" s="11">
        <v>3.0760000000000001</v>
      </c>
      <c r="F589" s="1">
        <v>398.57</v>
      </c>
      <c r="G589" s="11">
        <v>3.53</v>
      </c>
      <c r="H589" s="1">
        <v>-101.9</v>
      </c>
      <c r="I589" s="11">
        <v>4.57925</v>
      </c>
      <c r="J589" s="1">
        <v>144.6</v>
      </c>
      <c r="K589" s="11">
        <v>4.7527499999999998</v>
      </c>
      <c r="L589" s="1">
        <v>0</v>
      </c>
      <c r="M589" s="11">
        <v>6.2</v>
      </c>
      <c r="N589" s="1">
        <v>25.8</v>
      </c>
      <c r="O589" s="11">
        <v>2.8224999999999998</v>
      </c>
      <c r="P589" s="1">
        <f t="shared" si="73"/>
        <v>2575.48</v>
      </c>
      <c r="Q589" s="1">
        <v>2584.98</v>
      </c>
      <c r="R589" s="16">
        <f t="shared" si="74"/>
        <v>2118490.7937500002</v>
      </c>
      <c r="S589" s="20">
        <v>1423.4600000000003</v>
      </c>
      <c r="T589" s="21">
        <v>0.22999999999999998</v>
      </c>
      <c r="U589" s="21">
        <v>8.93</v>
      </c>
      <c r="V589" s="8">
        <v>1432.6200000000003</v>
      </c>
      <c r="W589" s="25">
        <v>1.238</v>
      </c>
      <c r="X589" s="25">
        <f t="shared" si="75"/>
        <v>443395.89000000013</v>
      </c>
      <c r="Y589" s="1">
        <f t="shared" si="76"/>
        <v>4008.1000000000004</v>
      </c>
      <c r="Z589" s="1">
        <f t="shared" si="77"/>
        <v>4017.6000000000004</v>
      </c>
      <c r="AA589" s="1">
        <v>4028.18</v>
      </c>
      <c r="AB589" s="1">
        <f t="shared" si="72"/>
        <v>-20.079999999999472</v>
      </c>
      <c r="AC589" s="29">
        <f t="shared" si="78"/>
        <v>10.579999999999472</v>
      </c>
      <c r="AD589" s="11">
        <f t="shared" si="79"/>
        <v>2561886.6837500003</v>
      </c>
    </row>
    <row r="590" spans="1:31" x14ac:dyDescent="0.3">
      <c r="A590" s="14">
        <v>45966.104166666664</v>
      </c>
      <c r="B590" s="1">
        <v>1460.97</v>
      </c>
      <c r="C590" s="11">
        <v>3.2732000000000001</v>
      </c>
      <c r="D590" s="1">
        <v>647.46</v>
      </c>
      <c r="E590" s="11">
        <v>3.0760000000000001</v>
      </c>
      <c r="F590" s="1">
        <v>398.57</v>
      </c>
      <c r="G590" s="11">
        <v>3.53</v>
      </c>
      <c r="H590" s="1">
        <v>-101.9</v>
      </c>
      <c r="I590" s="11">
        <v>4.4338199999999999</v>
      </c>
      <c r="J590" s="1">
        <v>276.36</v>
      </c>
      <c r="K590" s="11">
        <v>4.7892299999999999</v>
      </c>
      <c r="L590" s="1">
        <v>0</v>
      </c>
      <c r="M590" s="11">
        <v>6.2</v>
      </c>
      <c r="N590" s="1">
        <v>25.8</v>
      </c>
      <c r="O590" s="11">
        <v>2.8224999999999998</v>
      </c>
      <c r="P590" s="1">
        <f t="shared" si="73"/>
        <v>2707.2600000000007</v>
      </c>
      <c r="Q590" s="1">
        <v>2680.64</v>
      </c>
      <c r="R590" s="16">
        <f t="shared" si="74"/>
        <v>2281287.9772000001</v>
      </c>
      <c r="S590" s="20">
        <v>1253.1600000000001</v>
      </c>
      <c r="T590" s="21">
        <v>0.22999999999999998</v>
      </c>
      <c r="U590" s="21">
        <v>9.49</v>
      </c>
      <c r="V590" s="8">
        <v>1262.8800000000001</v>
      </c>
      <c r="W590" s="25">
        <v>1.238</v>
      </c>
      <c r="X590" s="25">
        <f t="shared" si="75"/>
        <v>390861.36000000004</v>
      </c>
      <c r="Y590" s="1">
        <f t="shared" si="76"/>
        <v>3970.1400000000008</v>
      </c>
      <c r="Z590" s="1">
        <f t="shared" si="77"/>
        <v>3943.52</v>
      </c>
      <c r="AA590" s="1">
        <v>3958.86</v>
      </c>
      <c r="AB590" s="1">
        <f t="shared" si="72"/>
        <v>11.280000000000655</v>
      </c>
      <c r="AC590" s="29">
        <f t="shared" si="78"/>
        <v>15.340000000000146</v>
      </c>
      <c r="AD590" s="11">
        <f t="shared" si="79"/>
        <v>2672149.3372</v>
      </c>
    </row>
    <row r="591" spans="1:31" x14ac:dyDescent="0.3">
      <c r="A591" s="14">
        <v>45966.114583333336</v>
      </c>
      <c r="B591" s="1">
        <v>1460.97</v>
      </c>
      <c r="C591" s="11">
        <v>3.2732000000000001</v>
      </c>
      <c r="D591" s="1">
        <v>647.46</v>
      </c>
      <c r="E591" s="11">
        <v>3.0760000000000001</v>
      </c>
      <c r="F591" s="1">
        <v>398.57</v>
      </c>
      <c r="G591" s="11">
        <v>3.53</v>
      </c>
      <c r="H591" s="1">
        <v>-101.9</v>
      </c>
      <c r="I591" s="11">
        <v>4.40951</v>
      </c>
      <c r="J591" s="1">
        <v>241.07</v>
      </c>
      <c r="K591" s="11">
        <v>4.6007700000000007</v>
      </c>
      <c r="L591" s="1">
        <v>0</v>
      </c>
      <c r="M591" s="11">
        <v>6.2</v>
      </c>
      <c r="N591" s="1">
        <v>25.8</v>
      </c>
      <c r="O591" s="11">
        <v>2.8224999999999998</v>
      </c>
      <c r="P591" s="1">
        <f t="shared" si="73"/>
        <v>2671.9700000000007</v>
      </c>
      <c r="Q591" s="1">
        <v>2719.42</v>
      </c>
      <c r="R591" s="16">
        <f t="shared" si="74"/>
        <v>2228296.2797250003</v>
      </c>
      <c r="S591" s="20">
        <v>1173.9100000000001</v>
      </c>
      <c r="T591" s="21">
        <v>0.22999999999999998</v>
      </c>
      <c r="U591" s="21">
        <v>10.43</v>
      </c>
      <c r="V591" s="8">
        <v>1184.5700000000002</v>
      </c>
      <c r="W591" s="25">
        <v>1.238</v>
      </c>
      <c r="X591" s="25">
        <f t="shared" si="75"/>
        <v>366624.41500000004</v>
      </c>
      <c r="Y591" s="1">
        <f t="shared" si="76"/>
        <v>3856.5400000000009</v>
      </c>
      <c r="Z591" s="1">
        <f t="shared" si="77"/>
        <v>3903.9900000000002</v>
      </c>
      <c r="AA591" s="1">
        <v>3915.44</v>
      </c>
      <c r="AB591" s="1">
        <f t="shared" si="72"/>
        <v>-58.899999999999181</v>
      </c>
      <c r="AC591" s="29">
        <f t="shared" si="78"/>
        <v>11.449999999999818</v>
      </c>
      <c r="AD591" s="11">
        <f t="shared" si="79"/>
        <v>2594920.6947250003</v>
      </c>
    </row>
    <row r="592" spans="1:31" x14ac:dyDescent="0.3">
      <c r="A592" s="14">
        <v>45966.125</v>
      </c>
      <c r="B592" s="1">
        <v>1460.97</v>
      </c>
      <c r="C592" s="11">
        <v>3.2732000000000001</v>
      </c>
      <c r="D592" s="1">
        <v>1018.13</v>
      </c>
      <c r="E592" s="11">
        <v>3.0760000000000001</v>
      </c>
      <c r="F592" s="1">
        <v>27.9</v>
      </c>
      <c r="G592" s="11">
        <v>3.53</v>
      </c>
      <c r="H592" s="1">
        <v>-101.9</v>
      </c>
      <c r="I592" s="11">
        <v>4.4998000000000005</v>
      </c>
      <c r="J592" s="1">
        <v>282.58</v>
      </c>
      <c r="K592" s="11">
        <v>4.59124</v>
      </c>
      <c r="L592" s="1">
        <v>0</v>
      </c>
      <c r="M592" s="11">
        <v>6.2</v>
      </c>
      <c r="N592" s="1">
        <v>24.96</v>
      </c>
      <c r="O592" s="11">
        <v>2.8224999999999998</v>
      </c>
      <c r="P592" s="1">
        <f t="shared" si="73"/>
        <v>2712.64</v>
      </c>
      <c r="Q592" s="1">
        <v>2701.05</v>
      </c>
      <c r="R592" s="16">
        <f t="shared" si="74"/>
        <v>2230403.6157999998</v>
      </c>
      <c r="S592" s="20">
        <v>1153.75</v>
      </c>
      <c r="T592" s="21">
        <v>0.22999999999999998</v>
      </c>
      <c r="U592" s="21">
        <v>11.1</v>
      </c>
      <c r="V592" s="8">
        <v>1165.08</v>
      </c>
      <c r="W592" s="25">
        <v>1.238</v>
      </c>
      <c r="X592" s="25">
        <f t="shared" si="75"/>
        <v>360592.25999999995</v>
      </c>
      <c r="Y592" s="1">
        <f t="shared" si="76"/>
        <v>3877.72</v>
      </c>
      <c r="Z592" s="1">
        <f t="shared" si="77"/>
        <v>3866.13</v>
      </c>
      <c r="AA592" s="1">
        <v>3874.79</v>
      </c>
      <c r="AB592" s="1">
        <f t="shared" si="72"/>
        <v>2.9299999999998363</v>
      </c>
      <c r="AC592" s="29">
        <f t="shared" si="78"/>
        <v>8.6599999999998545</v>
      </c>
      <c r="AD592" s="11">
        <f t="shared" si="79"/>
        <v>2590995.8757999996</v>
      </c>
    </row>
    <row r="593" spans="1:30" x14ac:dyDescent="0.3">
      <c r="A593" s="14">
        <v>45966.135416666664</v>
      </c>
      <c r="B593" s="1">
        <v>1460.97</v>
      </c>
      <c r="C593" s="11">
        <v>3.2732000000000001</v>
      </c>
      <c r="D593" s="1">
        <v>1046.03</v>
      </c>
      <c r="E593" s="11">
        <v>3.0760000000000001</v>
      </c>
      <c r="F593" s="1">
        <v>0</v>
      </c>
      <c r="G593" s="11">
        <v>3.53</v>
      </c>
      <c r="H593" s="1">
        <v>-101.9</v>
      </c>
      <c r="I593" s="11">
        <v>4.4335399999999998</v>
      </c>
      <c r="J593" s="1">
        <v>240.64</v>
      </c>
      <c r="K593" s="11">
        <v>4.0905800000000001</v>
      </c>
      <c r="L593" s="1">
        <v>0</v>
      </c>
      <c r="M593" s="11">
        <v>6.2</v>
      </c>
      <c r="N593" s="1">
        <v>23.78</v>
      </c>
      <c r="O593" s="11">
        <v>2.8224999999999998</v>
      </c>
      <c r="P593" s="1">
        <f t="shared" si="73"/>
        <v>2669.52</v>
      </c>
      <c r="Q593" s="1">
        <v>2674.51</v>
      </c>
      <c r="R593" s="16">
        <f t="shared" si="74"/>
        <v>2149833.4447999997</v>
      </c>
      <c r="S593" s="20">
        <v>1137.1400000000001</v>
      </c>
      <c r="T593" s="21">
        <v>0.22999999999999998</v>
      </c>
      <c r="U593" s="21">
        <v>10.040000000000001</v>
      </c>
      <c r="V593" s="8">
        <v>1147.4100000000001</v>
      </c>
      <c r="W593" s="25">
        <v>1.238</v>
      </c>
      <c r="X593" s="25">
        <f t="shared" si="75"/>
        <v>355123.39500000002</v>
      </c>
      <c r="Y593" s="1">
        <f t="shared" si="76"/>
        <v>3816.9300000000003</v>
      </c>
      <c r="Z593" s="1">
        <f t="shared" si="77"/>
        <v>3821.92</v>
      </c>
      <c r="AA593" s="1">
        <v>3831.27</v>
      </c>
      <c r="AB593" s="1">
        <f t="shared" si="72"/>
        <v>-14.339999999999691</v>
      </c>
      <c r="AC593" s="29">
        <f t="shared" si="78"/>
        <v>9.3499999999999091</v>
      </c>
      <c r="AD593" s="11">
        <f t="shared" si="79"/>
        <v>2504956.8397999997</v>
      </c>
    </row>
    <row r="594" spans="1:30" x14ac:dyDescent="0.3">
      <c r="A594" s="14">
        <v>45966.145833333336</v>
      </c>
      <c r="B594" s="1">
        <v>1460.97</v>
      </c>
      <c r="C594" s="11">
        <v>3.2732000000000001</v>
      </c>
      <c r="D594" s="1">
        <v>1046.03</v>
      </c>
      <c r="E594" s="11">
        <v>3.0760000000000001</v>
      </c>
      <c r="F594" s="1">
        <v>0</v>
      </c>
      <c r="G594" s="11">
        <v>3.53</v>
      </c>
      <c r="H594" s="1">
        <v>-101.9</v>
      </c>
      <c r="I594" s="11">
        <v>4.4090699999999998</v>
      </c>
      <c r="J594" s="1">
        <v>201.34</v>
      </c>
      <c r="K594" s="11">
        <v>3.8806799999999999</v>
      </c>
      <c r="L594" s="1">
        <v>0</v>
      </c>
      <c r="M594" s="11">
        <v>6.2</v>
      </c>
      <c r="N594" s="1">
        <v>14.16</v>
      </c>
      <c r="O594" s="11">
        <v>2.8224999999999998</v>
      </c>
      <c r="P594" s="1">
        <f t="shared" si="73"/>
        <v>2620.6</v>
      </c>
      <c r="Q594" s="1">
        <v>2642.48</v>
      </c>
      <c r="R594" s="16">
        <f t="shared" si="74"/>
        <v>2092913.4405499999</v>
      </c>
      <c r="S594" s="20">
        <v>1137.93</v>
      </c>
      <c r="T594" s="21">
        <v>0.22999999999999998</v>
      </c>
      <c r="U594" s="21">
        <v>9.65</v>
      </c>
      <c r="V594" s="8">
        <v>1147.8100000000002</v>
      </c>
      <c r="W594" s="25">
        <v>1.238</v>
      </c>
      <c r="X594" s="25">
        <f t="shared" si="75"/>
        <v>355247.19500000001</v>
      </c>
      <c r="Y594" s="1">
        <f t="shared" si="76"/>
        <v>3768.41</v>
      </c>
      <c r="Z594" s="1">
        <f t="shared" si="77"/>
        <v>3790.29</v>
      </c>
      <c r="AA594" s="1">
        <v>3803.62</v>
      </c>
      <c r="AB594" s="1">
        <f t="shared" si="72"/>
        <v>-35.210000000000036</v>
      </c>
      <c r="AC594" s="29">
        <f t="shared" si="78"/>
        <v>13.329999999999927</v>
      </c>
      <c r="AD594" s="11">
        <f t="shared" si="79"/>
        <v>2448160.6355499998</v>
      </c>
    </row>
    <row r="595" spans="1:30" x14ac:dyDescent="0.3">
      <c r="A595" s="14">
        <v>45966.15625</v>
      </c>
      <c r="B595" s="1">
        <v>1460.97</v>
      </c>
      <c r="C595" s="11">
        <v>3.2732000000000001</v>
      </c>
      <c r="D595" s="1">
        <v>1046.03</v>
      </c>
      <c r="E595" s="11">
        <v>3.0760000000000001</v>
      </c>
      <c r="F595" s="1">
        <v>0</v>
      </c>
      <c r="G595" s="11">
        <v>3.53</v>
      </c>
      <c r="H595" s="1">
        <v>-176.3</v>
      </c>
      <c r="I595" s="11">
        <v>4.2619899999999999</v>
      </c>
      <c r="J595" s="1">
        <v>225.77</v>
      </c>
      <c r="K595" s="11">
        <v>3.8805900000000002</v>
      </c>
      <c r="L595" s="1">
        <v>0</v>
      </c>
      <c r="M595" s="11">
        <v>6.2</v>
      </c>
      <c r="N595" s="1">
        <v>13.5</v>
      </c>
      <c r="O595" s="11">
        <v>2.8224999999999998</v>
      </c>
      <c r="P595" s="1">
        <f t="shared" si="73"/>
        <v>2569.9699999999998</v>
      </c>
      <c r="Q595" s="1">
        <v>2587.9499999999998</v>
      </c>
      <c r="R595" s="16">
        <f t="shared" si="74"/>
        <v>2040617.7503249999</v>
      </c>
      <c r="S595" s="20">
        <v>1167.0500000000002</v>
      </c>
      <c r="T595" s="21">
        <v>0.24</v>
      </c>
      <c r="U595" s="21">
        <v>7.1499999999999995</v>
      </c>
      <c r="V595" s="8">
        <v>1174.4400000000003</v>
      </c>
      <c r="W595" s="25">
        <v>1.238</v>
      </c>
      <c r="X595" s="25">
        <f t="shared" si="75"/>
        <v>363489.18000000011</v>
      </c>
      <c r="Y595" s="1">
        <f t="shared" si="76"/>
        <v>3744.41</v>
      </c>
      <c r="Z595" s="1">
        <f t="shared" si="77"/>
        <v>3762.3900000000003</v>
      </c>
      <c r="AA595" s="1">
        <v>3776.47</v>
      </c>
      <c r="AB595" s="1">
        <f t="shared" si="72"/>
        <v>-32.059999999999945</v>
      </c>
      <c r="AC595" s="29">
        <f t="shared" si="78"/>
        <v>14.079999999999472</v>
      </c>
      <c r="AD595" s="11">
        <f t="shared" si="79"/>
        <v>2404106.9303250001</v>
      </c>
    </row>
    <row r="596" spans="1:30" x14ac:dyDescent="0.3">
      <c r="A596" s="14">
        <v>45966.166666666664</v>
      </c>
      <c r="B596" s="1">
        <v>1460.97</v>
      </c>
      <c r="C596" s="11">
        <v>3.2732000000000001</v>
      </c>
      <c r="D596" s="1">
        <v>1046.03</v>
      </c>
      <c r="E596" s="11">
        <v>3.0760000000000001</v>
      </c>
      <c r="F596" s="1">
        <v>0</v>
      </c>
      <c r="G596" s="11">
        <v>3.53</v>
      </c>
      <c r="H596" s="1">
        <v>-181.9</v>
      </c>
      <c r="I596" s="11">
        <v>4.2591400000000004</v>
      </c>
      <c r="J596" s="1">
        <v>192.89</v>
      </c>
      <c r="K596" s="11">
        <v>4.2171899999999996</v>
      </c>
      <c r="L596" s="1">
        <v>0</v>
      </c>
      <c r="M596" s="11">
        <v>6.2</v>
      </c>
      <c r="N596" s="1">
        <v>13.5</v>
      </c>
      <c r="O596" s="11">
        <v>2.8224999999999998</v>
      </c>
      <c r="P596" s="1">
        <f t="shared" si="73"/>
        <v>2531.4899999999998</v>
      </c>
      <c r="Q596" s="1">
        <v>2524.61</v>
      </c>
      <c r="R596" s="16">
        <f t="shared" si="74"/>
        <v>2019113.8117750001</v>
      </c>
      <c r="S596" s="20">
        <v>1190.29</v>
      </c>
      <c r="T596" s="21">
        <v>0.25</v>
      </c>
      <c r="U596" s="21">
        <v>6.7700000000000005</v>
      </c>
      <c r="V596" s="8">
        <v>1197.31</v>
      </c>
      <c r="W596" s="25">
        <v>1.238</v>
      </c>
      <c r="X596" s="25">
        <f t="shared" si="75"/>
        <v>370567.44499999995</v>
      </c>
      <c r="Y596" s="1">
        <f t="shared" si="76"/>
        <v>3728.7999999999997</v>
      </c>
      <c r="Z596" s="1">
        <f t="shared" si="77"/>
        <v>3721.92</v>
      </c>
      <c r="AA596" s="1">
        <v>3736.61</v>
      </c>
      <c r="AB596" s="1">
        <f t="shared" si="72"/>
        <v>-7.8100000000004002</v>
      </c>
      <c r="AC596" s="29">
        <f t="shared" si="78"/>
        <v>14.690000000000055</v>
      </c>
      <c r="AD596" s="11">
        <f t="shared" si="79"/>
        <v>2389681.2567750001</v>
      </c>
    </row>
    <row r="597" spans="1:30" x14ac:dyDescent="0.3">
      <c r="A597" s="14">
        <v>45966.177083333336</v>
      </c>
      <c r="B597" s="1">
        <v>1460.97</v>
      </c>
      <c r="C597" s="11">
        <v>3.2732000000000001</v>
      </c>
      <c r="D597" s="1">
        <v>1046.03</v>
      </c>
      <c r="E597" s="11">
        <v>3.0760000000000001</v>
      </c>
      <c r="F597" s="1">
        <v>0</v>
      </c>
      <c r="G597" s="11">
        <v>3.53</v>
      </c>
      <c r="H597" s="1">
        <v>-181.9</v>
      </c>
      <c r="I597" s="11">
        <v>4.2591999999999999</v>
      </c>
      <c r="J597" s="1">
        <v>133.77000000000001</v>
      </c>
      <c r="K597" s="11">
        <v>4.2619499999999997</v>
      </c>
      <c r="L597" s="1">
        <v>0</v>
      </c>
      <c r="M597" s="11">
        <v>6.2</v>
      </c>
      <c r="N597" s="1">
        <v>13.5</v>
      </c>
      <c r="O597" s="11">
        <v>2.8224999999999998</v>
      </c>
      <c r="P597" s="1">
        <f t="shared" si="73"/>
        <v>2472.37</v>
      </c>
      <c r="Q597" s="1">
        <v>2485.9699999999998</v>
      </c>
      <c r="R597" s="16">
        <f t="shared" si="74"/>
        <v>1958277.9013750001</v>
      </c>
      <c r="S597" s="20">
        <v>1197.1499999999999</v>
      </c>
      <c r="T597" s="21">
        <v>0.25</v>
      </c>
      <c r="U597" s="21">
        <v>7.22</v>
      </c>
      <c r="V597" s="8">
        <v>1204.6199999999999</v>
      </c>
      <c r="W597" s="25">
        <v>1.238</v>
      </c>
      <c r="X597" s="25">
        <f t="shared" si="75"/>
        <v>372829.88999999996</v>
      </c>
      <c r="Y597" s="1">
        <f t="shared" si="76"/>
        <v>3676.99</v>
      </c>
      <c r="Z597" s="1">
        <f t="shared" si="77"/>
        <v>3690.5899999999997</v>
      </c>
      <c r="AA597" s="1">
        <v>3706</v>
      </c>
      <c r="AB597" s="1">
        <f t="shared" si="72"/>
        <v>-29.010000000000218</v>
      </c>
      <c r="AC597" s="29">
        <f t="shared" si="78"/>
        <v>15.410000000000309</v>
      </c>
      <c r="AD597" s="11">
        <f t="shared" si="79"/>
        <v>2331107.791375</v>
      </c>
    </row>
    <row r="598" spans="1:30" x14ac:dyDescent="0.3">
      <c r="A598" s="14">
        <v>45966.1875</v>
      </c>
      <c r="B598" s="1">
        <v>1460.97</v>
      </c>
      <c r="C598" s="11">
        <v>3.2732000000000001</v>
      </c>
      <c r="D598" s="1">
        <v>1046.03</v>
      </c>
      <c r="E598" s="11">
        <v>3.0760000000000001</v>
      </c>
      <c r="F598" s="1">
        <v>0</v>
      </c>
      <c r="G598" s="11">
        <v>3.53</v>
      </c>
      <c r="H598" s="1">
        <v>-181.9</v>
      </c>
      <c r="I598" s="11">
        <v>4.25908</v>
      </c>
      <c r="J598" s="1">
        <v>113.18</v>
      </c>
      <c r="K598" s="11">
        <v>4.1996799999999999</v>
      </c>
      <c r="L598" s="1">
        <v>0</v>
      </c>
      <c r="M598" s="11">
        <v>6.2</v>
      </c>
      <c r="N598" s="1">
        <v>17.989999999999998</v>
      </c>
      <c r="O598" s="11">
        <v>2.8224999999999998</v>
      </c>
      <c r="P598" s="1">
        <f t="shared" si="73"/>
        <v>2456.2699999999995</v>
      </c>
      <c r="Q598" s="1">
        <v>2470.85</v>
      </c>
      <c r="R598" s="16">
        <f t="shared" si="74"/>
        <v>1937751.2973499999</v>
      </c>
      <c r="S598" s="20">
        <v>1194.8499999999999</v>
      </c>
      <c r="T598" s="21">
        <v>0.24</v>
      </c>
      <c r="U598" s="21">
        <v>7.07</v>
      </c>
      <c r="V598" s="8">
        <v>1202.1599999999999</v>
      </c>
      <c r="W598" s="25">
        <v>1.238</v>
      </c>
      <c r="X598" s="25">
        <f t="shared" si="75"/>
        <v>372068.51999999996</v>
      </c>
      <c r="Y598" s="1">
        <f t="shared" si="76"/>
        <v>3658.4299999999994</v>
      </c>
      <c r="Z598" s="1">
        <f t="shared" si="77"/>
        <v>3673.0099999999998</v>
      </c>
      <c r="AA598" s="1">
        <v>3688.35</v>
      </c>
      <c r="AB598" s="1">
        <f t="shared" si="72"/>
        <v>-29.920000000000528</v>
      </c>
      <c r="AC598" s="29">
        <f t="shared" si="78"/>
        <v>15.340000000000146</v>
      </c>
      <c r="AD598" s="11">
        <f t="shared" si="79"/>
        <v>2309819.8173499997</v>
      </c>
    </row>
    <row r="599" spans="1:30" x14ac:dyDescent="0.3">
      <c r="A599" s="14">
        <v>45966.197916666664</v>
      </c>
      <c r="B599" s="1">
        <v>1460.97</v>
      </c>
      <c r="C599" s="11">
        <v>3.2732000000000001</v>
      </c>
      <c r="D599" s="1">
        <v>1046.03</v>
      </c>
      <c r="E599" s="11">
        <v>3.0760000000000001</v>
      </c>
      <c r="F599" s="1">
        <v>0</v>
      </c>
      <c r="G599" s="11">
        <v>3.53</v>
      </c>
      <c r="H599" s="1">
        <v>-181.9</v>
      </c>
      <c r="I599" s="11">
        <v>4.2613799999999999</v>
      </c>
      <c r="J599" s="1">
        <v>111.94</v>
      </c>
      <c r="K599" s="11">
        <v>4.3912800000000001</v>
      </c>
      <c r="L599" s="1">
        <v>0</v>
      </c>
      <c r="M599" s="11">
        <v>6.2</v>
      </c>
      <c r="N599" s="1">
        <v>17.46</v>
      </c>
      <c r="O599" s="11">
        <v>2.8224999999999998</v>
      </c>
      <c r="P599" s="1">
        <f t="shared" si="73"/>
        <v>2454.5</v>
      </c>
      <c r="Q599" s="1">
        <v>2476.6</v>
      </c>
      <c r="R599" s="16">
        <f t="shared" si="74"/>
        <v>1941332.7487999999</v>
      </c>
      <c r="S599" s="20">
        <v>1184.69</v>
      </c>
      <c r="T599" s="21">
        <v>0.25</v>
      </c>
      <c r="U599" s="21">
        <v>6.34</v>
      </c>
      <c r="V599" s="8">
        <v>1191.28</v>
      </c>
      <c r="W599" s="25">
        <v>1.238</v>
      </c>
      <c r="X599" s="25">
        <f t="shared" si="75"/>
        <v>368701.16000000003</v>
      </c>
      <c r="Y599" s="1">
        <f t="shared" si="76"/>
        <v>3645.7799999999997</v>
      </c>
      <c r="Z599" s="1">
        <f t="shared" si="77"/>
        <v>3667.88</v>
      </c>
      <c r="AA599" s="1">
        <v>3682.79</v>
      </c>
      <c r="AB599" s="1">
        <f t="shared" si="72"/>
        <v>-37.010000000000218</v>
      </c>
      <c r="AC599" s="29">
        <f t="shared" si="78"/>
        <v>14.909999999999854</v>
      </c>
      <c r="AD599" s="11">
        <f t="shared" si="79"/>
        <v>2310033.9087999999</v>
      </c>
    </row>
    <row r="600" spans="1:30" x14ac:dyDescent="0.3">
      <c r="A600" s="14">
        <v>45966.208333333336</v>
      </c>
      <c r="B600" s="1">
        <v>1460.97</v>
      </c>
      <c r="C600" s="11">
        <v>3.2732000000000001</v>
      </c>
      <c r="D600" s="1">
        <v>1046.03</v>
      </c>
      <c r="E600" s="11">
        <v>3.0760000000000001</v>
      </c>
      <c r="F600" s="1">
        <v>0</v>
      </c>
      <c r="G600" s="11">
        <v>3.53</v>
      </c>
      <c r="H600" s="1">
        <v>-181.9</v>
      </c>
      <c r="I600" s="11">
        <v>4.2509199999999998</v>
      </c>
      <c r="J600" s="1">
        <v>93.87</v>
      </c>
      <c r="K600" s="11">
        <v>4.1002200000000002</v>
      </c>
      <c r="L600" s="1">
        <v>0</v>
      </c>
      <c r="M600" s="11">
        <v>6.2</v>
      </c>
      <c r="N600" s="1">
        <v>16.84</v>
      </c>
      <c r="O600" s="11">
        <v>2.8224999999999998</v>
      </c>
      <c r="P600" s="1">
        <f t="shared" si="73"/>
        <v>2435.81</v>
      </c>
      <c r="Q600" s="1">
        <v>2465.52</v>
      </c>
      <c r="R600" s="16">
        <f t="shared" si="74"/>
        <v>1914702.87185</v>
      </c>
      <c r="S600" s="20">
        <v>1182.5200000000002</v>
      </c>
      <c r="T600" s="21">
        <v>0.24</v>
      </c>
      <c r="U600" s="21">
        <v>6.31</v>
      </c>
      <c r="V600" s="8">
        <v>1189.0700000000002</v>
      </c>
      <c r="W600" s="25">
        <v>1.238</v>
      </c>
      <c r="X600" s="25">
        <f t="shared" si="75"/>
        <v>368017.16500000004</v>
      </c>
      <c r="Y600" s="1">
        <f t="shared" si="76"/>
        <v>3624.88</v>
      </c>
      <c r="Z600" s="1">
        <f t="shared" si="77"/>
        <v>3654.59</v>
      </c>
      <c r="AA600" s="1">
        <v>3665.74</v>
      </c>
      <c r="AB600" s="1">
        <f t="shared" si="72"/>
        <v>-40.859999999999673</v>
      </c>
      <c r="AC600" s="29">
        <f t="shared" si="78"/>
        <v>11.149999999999636</v>
      </c>
      <c r="AD600" s="11">
        <f t="shared" si="79"/>
        <v>2282720.0368499998</v>
      </c>
    </row>
    <row r="601" spans="1:30" x14ac:dyDescent="0.3">
      <c r="A601" s="14">
        <v>45966.21875</v>
      </c>
      <c r="B601" s="1">
        <v>1460.97</v>
      </c>
      <c r="C601" s="11">
        <v>3.2732000000000001</v>
      </c>
      <c r="D601" s="1">
        <v>1046.03</v>
      </c>
      <c r="E601" s="11">
        <v>3.0760000000000001</v>
      </c>
      <c r="F601" s="1">
        <v>0</v>
      </c>
      <c r="G601" s="11">
        <v>3.53</v>
      </c>
      <c r="H601" s="1">
        <v>-181.9</v>
      </c>
      <c r="I601" s="11">
        <v>4.2610799999999998</v>
      </c>
      <c r="J601" s="1">
        <v>110.7</v>
      </c>
      <c r="K601" s="11">
        <v>4.2506000000000004</v>
      </c>
      <c r="L601" s="1">
        <v>0</v>
      </c>
      <c r="M601" s="11">
        <v>6.2</v>
      </c>
      <c r="N601" s="1">
        <v>16.239999999999998</v>
      </c>
      <c r="O601" s="11">
        <v>2.8224999999999998</v>
      </c>
      <c r="P601" s="1">
        <f t="shared" si="73"/>
        <v>2452.0399999999995</v>
      </c>
      <c r="Q601" s="1">
        <v>2453.67</v>
      </c>
      <c r="R601" s="16">
        <f t="shared" si="74"/>
        <v>1935230.9130000002</v>
      </c>
      <c r="S601" s="20">
        <v>1180.3900000000003</v>
      </c>
      <c r="T601" s="21">
        <v>0.22999999999999998</v>
      </c>
      <c r="U601" s="21">
        <v>6.49</v>
      </c>
      <c r="V601" s="8">
        <v>1187.1100000000004</v>
      </c>
      <c r="W601" s="25">
        <v>1.238</v>
      </c>
      <c r="X601" s="25">
        <f t="shared" si="75"/>
        <v>367410.5450000001</v>
      </c>
      <c r="Y601" s="1">
        <f t="shared" si="76"/>
        <v>3639.1499999999996</v>
      </c>
      <c r="Z601" s="1">
        <f t="shared" si="77"/>
        <v>3640.7800000000007</v>
      </c>
      <c r="AA601" s="1">
        <v>3652.33</v>
      </c>
      <c r="AB601" s="1">
        <f t="shared" si="72"/>
        <v>-13.180000000000291</v>
      </c>
      <c r="AC601" s="29">
        <f t="shared" si="78"/>
        <v>11.549999999999272</v>
      </c>
      <c r="AD601" s="11">
        <f t="shared" si="79"/>
        <v>2302641.4580000001</v>
      </c>
    </row>
    <row r="602" spans="1:30" x14ac:dyDescent="0.3">
      <c r="A602" s="14">
        <v>45966.229166666664</v>
      </c>
      <c r="B602" s="1">
        <v>1419.03</v>
      </c>
      <c r="C602" s="11">
        <v>3.2732000000000001</v>
      </c>
      <c r="D602" s="1">
        <v>1046.03</v>
      </c>
      <c r="E602" s="11">
        <v>3.0760000000000001</v>
      </c>
      <c r="F602" s="1">
        <v>0</v>
      </c>
      <c r="G602" s="11">
        <v>3.53</v>
      </c>
      <c r="H602" s="1">
        <v>-181.9</v>
      </c>
      <c r="I602" s="11">
        <v>4.2616999999999994</v>
      </c>
      <c r="J602" s="1">
        <v>93.87</v>
      </c>
      <c r="K602" s="11">
        <v>4.1705800000000002</v>
      </c>
      <c r="L602" s="1">
        <v>0</v>
      </c>
      <c r="M602" s="11">
        <v>6.2</v>
      </c>
      <c r="N602" s="1">
        <v>15.92</v>
      </c>
      <c r="O602" s="11">
        <v>2.8224999999999998</v>
      </c>
      <c r="P602" s="1">
        <f t="shared" si="73"/>
        <v>2392.9499999999998</v>
      </c>
      <c r="Q602" s="1">
        <v>2399.36</v>
      </c>
      <c r="R602" s="16">
        <f t="shared" si="74"/>
        <v>1880895.1476499999</v>
      </c>
      <c r="S602" s="20">
        <v>1226.5900000000001</v>
      </c>
      <c r="T602" s="21">
        <v>0.22999999999999998</v>
      </c>
      <c r="U602" s="21">
        <v>6.18</v>
      </c>
      <c r="V602" s="8">
        <v>1233.0000000000002</v>
      </c>
      <c r="W602" s="25">
        <v>1.238</v>
      </c>
      <c r="X602" s="25">
        <f t="shared" si="75"/>
        <v>381613.50000000006</v>
      </c>
      <c r="Y602" s="1">
        <f t="shared" si="76"/>
        <v>3625.95</v>
      </c>
      <c r="Z602" s="1">
        <f t="shared" si="77"/>
        <v>3632.3600000000006</v>
      </c>
      <c r="AA602" s="1">
        <v>3647.11</v>
      </c>
      <c r="AB602" s="1">
        <f t="shared" si="72"/>
        <v>-21.160000000000309</v>
      </c>
      <c r="AC602" s="29">
        <f t="shared" si="78"/>
        <v>14.749999999999545</v>
      </c>
      <c r="AD602" s="11">
        <f t="shared" si="79"/>
        <v>2262508.6476500002</v>
      </c>
    </row>
    <row r="603" spans="1:30" x14ac:dyDescent="0.3">
      <c r="A603" s="14">
        <v>45966.239583333336</v>
      </c>
      <c r="B603" s="1">
        <v>1416.95</v>
      </c>
      <c r="C603" s="11">
        <v>3.2732000000000001</v>
      </c>
      <c r="D603" s="1">
        <v>1046.03</v>
      </c>
      <c r="E603" s="11">
        <v>3.0760000000000001</v>
      </c>
      <c r="F603" s="1">
        <v>0</v>
      </c>
      <c r="G603" s="11">
        <v>3.53</v>
      </c>
      <c r="H603" s="1">
        <v>-181.9</v>
      </c>
      <c r="I603" s="11">
        <v>4.25054</v>
      </c>
      <c r="J603" s="1">
        <v>74.56</v>
      </c>
      <c r="K603" s="11">
        <v>4.0527699999999998</v>
      </c>
      <c r="L603" s="1">
        <v>0</v>
      </c>
      <c r="M603" s="11">
        <v>6.2</v>
      </c>
      <c r="N603" s="1">
        <v>25.32</v>
      </c>
      <c r="O603" s="11">
        <v>2.8224999999999998</v>
      </c>
      <c r="P603" s="1">
        <f t="shared" si="73"/>
        <v>2380.96</v>
      </c>
      <c r="Q603" s="1">
        <v>2369.61</v>
      </c>
      <c r="R603" s="16">
        <f t="shared" si="74"/>
        <v>1864004.0063000002</v>
      </c>
      <c r="S603" s="20">
        <v>1251.3800000000001</v>
      </c>
      <c r="T603" s="21">
        <v>0.24</v>
      </c>
      <c r="U603" s="21">
        <v>5.3599999999999994</v>
      </c>
      <c r="V603" s="8">
        <v>1256.98</v>
      </c>
      <c r="W603" s="25">
        <v>1.238</v>
      </c>
      <c r="X603" s="25">
        <f t="shared" si="75"/>
        <v>389035.31</v>
      </c>
      <c r="Y603" s="1">
        <f t="shared" si="76"/>
        <v>3637.94</v>
      </c>
      <c r="Z603" s="1">
        <f t="shared" si="77"/>
        <v>3626.59</v>
      </c>
      <c r="AA603" s="1">
        <v>3639.92</v>
      </c>
      <c r="AB603" s="1">
        <f t="shared" si="72"/>
        <v>-1.9800000000000182</v>
      </c>
      <c r="AC603" s="29">
        <f t="shared" si="78"/>
        <v>13.329999999999927</v>
      </c>
      <c r="AD603" s="11">
        <f t="shared" si="79"/>
        <v>2253039.3163000001</v>
      </c>
    </row>
    <row r="604" spans="1:30" x14ac:dyDescent="0.3">
      <c r="A604" s="14">
        <v>45966.25</v>
      </c>
      <c r="B604" s="1">
        <v>1417.18</v>
      </c>
      <c r="C604" s="11">
        <v>3.2732000000000001</v>
      </c>
      <c r="D604" s="1">
        <v>675.36</v>
      </c>
      <c r="E604" s="11">
        <v>3.0760000000000001</v>
      </c>
      <c r="F604" s="1">
        <v>370.67</v>
      </c>
      <c r="G604" s="11">
        <v>3.53</v>
      </c>
      <c r="H604" s="1">
        <v>-180.11</v>
      </c>
      <c r="I604" s="11">
        <v>4.2613500000000002</v>
      </c>
      <c r="J604" s="1">
        <v>91.39</v>
      </c>
      <c r="K604" s="11">
        <v>3.7010100000000001</v>
      </c>
      <c r="L604" s="1">
        <v>0</v>
      </c>
      <c r="M604" s="11">
        <v>6.2</v>
      </c>
      <c r="N604" s="1">
        <v>28.81</v>
      </c>
      <c r="O604" s="11">
        <v>2.8224999999999998</v>
      </c>
      <c r="P604" s="1">
        <f t="shared" si="73"/>
        <v>2403.2999999999997</v>
      </c>
      <c r="Q604" s="1">
        <v>2364.5100000000002</v>
      </c>
      <c r="R604" s="16">
        <f t="shared" si="74"/>
        <v>1919156.4541</v>
      </c>
      <c r="S604" s="20">
        <v>1248.6000000000001</v>
      </c>
      <c r="T604" s="21">
        <v>0.35000000000000003</v>
      </c>
      <c r="U604" s="21">
        <v>4.9700000000000006</v>
      </c>
      <c r="V604" s="8">
        <v>1253.92</v>
      </c>
      <c r="W604" s="25">
        <v>1.238</v>
      </c>
      <c r="X604" s="25">
        <f t="shared" si="75"/>
        <v>388088.24000000005</v>
      </c>
      <c r="Y604" s="1">
        <f t="shared" si="76"/>
        <v>3657.22</v>
      </c>
      <c r="Z604" s="1">
        <f t="shared" si="77"/>
        <v>3618.4300000000003</v>
      </c>
      <c r="AA604" s="1">
        <v>3633.24</v>
      </c>
      <c r="AB604" s="1">
        <f t="shared" si="72"/>
        <v>23.980000000000018</v>
      </c>
      <c r="AC604" s="29">
        <f t="shared" si="78"/>
        <v>14.809999999999491</v>
      </c>
      <c r="AD604" s="11">
        <f t="shared" si="79"/>
        <v>2307244.6941</v>
      </c>
    </row>
    <row r="605" spans="1:30" x14ac:dyDescent="0.3">
      <c r="A605" s="14">
        <v>45966.260416666664</v>
      </c>
      <c r="B605" s="1">
        <v>1418.22</v>
      </c>
      <c r="C605" s="11">
        <v>3.2732000000000001</v>
      </c>
      <c r="D605" s="1">
        <v>647.46</v>
      </c>
      <c r="E605" s="11">
        <v>3.0760000000000001</v>
      </c>
      <c r="F605" s="1">
        <v>398.57</v>
      </c>
      <c r="G605" s="11">
        <v>3.53</v>
      </c>
      <c r="H605" s="1">
        <v>-179.97</v>
      </c>
      <c r="I605" s="11">
        <v>3.9907300000000001</v>
      </c>
      <c r="J605" s="1">
        <v>61.33</v>
      </c>
      <c r="K605" s="11">
        <v>3.56291</v>
      </c>
      <c r="L605" s="1">
        <v>0</v>
      </c>
      <c r="M605" s="11">
        <v>6.2</v>
      </c>
      <c r="N605" s="1">
        <v>35.61</v>
      </c>
      <c r="O605" s="11">
        <v>2.8224999999999998</v>
      </c>
      <c r="P605" s="1">
        <f t="shared" si="73"/>
        <v>2381.2200000000007</v>
      </c>
      <c r="Q605" s="1">
        <v>2336.21</v>
      </c>
      <c r="R605" s="16">
        <f t="shared" si="74"/>
        <v>1910366.8953000002</v>
      </c>
      <c r="S605" s="20">
        <v>1243.8200000000002</v>
      </c>
      <c r="T605" s="21">
        <v>2.5599999999999996</v>
      </c>
      <c r="U605" s="21">
        <v>3.13</v>
      </c>
      <c r="V605" s="8">
        <v>1249.5100000000002</v>
      </c>
      <c r="W605" s="25">
        <v>1.238</v>
      </c>
      <c r="X605" s="25">
        <f t="shared" si="75"/>
        <v>386723.34500000003</v>
      </c>
      <c r="Y605" s="1">
        <f t="shared" si="76"/>
        <v>3630.7300000000009</v>
      </c>
      <c r="Z605" s="1">
        <f t="shared" si="77"/>
        <v>3585.7200000000003</v>
      </c>
      <c r="AA605" s="1">
        <v>3603.25</v>
      </c>
      <c r="AB605" s="1">
        <f t="shared" si="72"/>
        <v>27.480000000000928</v>
      </c>
      <c r="AC605" s="29">
        <f t="shared" si="78"/>
        <v>17.529999999999745</v>
      </c>
      <c r="AD605" s="11">
        <f t="shared" si="79"/>
        <v>2297090.2403000002</v>
      </c>
    </row>
    <row r="606" spans="1:30" x14ac:dyDescent="0.3">
      <c r="A606" s="14">
        <v>45966.270833333336</v>
      </c>
      <c r="B606" s="1">
        <v>1419.56</v>
      </c>
      <c r="C606" s="11">
        <v>3.2732000000000001</v>
      </c>
      <c r="D606" s="1">
        <v>647.46</v>
      </c>
      <c r="E606" s="11">
        <v>3.0760000000000001</v>
      </c>
      <c r="F606" s="1">
        <v>398.57</v>
      </c>
      <c r="G606" s="11">
        <v>3.53</v>
      </c>
      <c r="H606" s="1">
        <v>-179.97</v>
      </c>
      <c r="I606" s="11">
        <v>3.8370799999999998</v>
      </c>
      <c r="J606" s="1">
        <v>69.069999999999993</v>
      </c>
      <c r="K606" s="11">
        <v>3.0004899999999997</v>
      </c>
      <c r="L606" s="1">
        <v>0</v>
      </c>
      <c r="M606" s="11">
        <v>6.2</v>
      </c>
      <c r="N606" s="1">
        <v>44.14</v>
      </c>
      <c r="O606" s="11">
        <v>2.8224999999999998</v>
      </c>
      <c r="P606" s="1">
        <f t="shared" si="73"/>
        <v>2398.8300000000004</v>
      </c>
      <c r="Q606" s="1">
        <v>2288.5300000000002</v>
      </c>
      <c r="R606" s="16">
        <f t="shared" si="74"/>
        <v>1921578.1396750002</v>
      </c>
      <c r="S606" s="20">
        <v>1238.1600000000001</v>
      </c>
      <c r="T606" s="21">
        <v>8.5199999999999978</v>
      </c>
      <c r="U606" s="21">
        <v>2.6900000000000004</v>
      </c>
      <c r="V606" s="8">
        <v>1249.3700000000001</v>
      </c>
      <c r="W606" s="25">
        <v>1.238</v>
      </c>
      <c r="X606" s="25">
        <f t="shared" si="75"/>
        <v>386680.01500000001</v>
      </c>
      <c r="Y606" s="1">
        <f t="shared" si="76"/>
        <v>3648.2000000000007</v>
      </c>
      <c r="Z606" s="1">
        <f t="shared" si="77"/>
        <v>3537.9000000000005</v>
      </c>
      <c r="AA606" s="1">
        <v>3551.52</v>
      </c>
      <c r="AB606" s="1">
        <f t="shared" si="72"/>
        <v>96.680000000000746</v>
      </c>
      <c r="AC606" s="29">
        <f t="shared" si="78"/>
        <v>13.619999999999436</v>
      </c>
      <c r="AD606" s="11">
        <f t="shared" si="79"/>
        <v>2308258.1546750003</v>
      </c>
    </row>
    <row r="607" spans="1:30" x14ac:dyDescent="0.3">
      <c r="A607" s="14">
        <v>45966.28125</v>
      </c>
      <c r="B607" s="1">
        <v>1419.74</v>
      </c>
      <c r="C607" s="11">
        <v>3.2732000000000001</v>
      </c>
      <c r="D607" s="1">
        <v>647.46</v>
      </c>
      <c r="E607" s="11">
        <v>3.0760000000000001</v>
      </c>
      <c r="F607" s="1">
        <v>398.57</v>
      </c>
      <c r="G607" s="11">
        <v>3.53</v>
      </c>
      <c r="H607" s="1">
        <v>-164.26</v>
      </c>
      <c r="I607" s="11">
        <v>3.56535</v>
      </c>
      <c r="J607" s="1">
        <v>59.83</v>
      </c>
      <c r="K607" s="11">
        <v>3.0153000000000003</v>
      </c>
      <c r="L607" s="1">
        <v>0</v>
      </c>
      <c r="M607" s="11">
        <v>6.2</v>
      </c>
      <c r="N607" s="1">
        <v>56.17</v>
      </c>
      <c r="O607" s="11">
        <v>2.8224999999999998</v>
      </c>
      <c r="P607" s="1">
        <f t="shared" si="73"/>
        <v>2417.5100000000002</v>
      </c>
      <c r="Q607" s="1">
        <v>2293.14</v>
      </c>
      <c r="R607" s="16">
        <f t="shared" si="74"/>
        <v>1949733.2152500001</v>
      </c>
      <c r="S607" s="20">
        <v>1158.2400000000002</v>
      </c>
      <c r="T607" s="21">
        <v>16.38</v>
      </c>
      <c r="U607" s="21">
        <v>2.2599999999999998</v>
      </c>
      <c r="V607" s="8">
        <v>1176.8800000000003</v>
      </c>
      <c r="W607" s="25">
        <v>1.238</v>
      </c>
      <c r="X607" s="25">
        <f t="shared" si="75"/>
        <v>364244.3600000001</v>
      </c>
      <c r="Y607" s="1">
        <f t="shared" si="76"/>
        <v>3594.3900000000003</v>
      </c>
      <c r="Z607" s="1">
        <f t="shared" si="77"/>
        <v>3470.0200000000004</v>
      </c>
      <c r="AA607" s="1">
        <v>3487.03</v>
      </c>
      <c r="AB607" s="1">
        <f t="shared" si="72"/>
        <v>107.36000000000013</v>
      </c>
      <c r="AC607" s="29">
        <f t="shared" si="78"/>
        <v>17.009999999999764</v>
      </c>
      <c r="AD607" s="11">
        <f t="shared" si="79"/>
        <v>2313977.5752500002</v>
      </c>
    </row>
    <row r="608" spans="1:30" x14ac:dyDescent="0.3">
      <c r="A608" s="14">
        <v>45966.291666666664</v>
      </c>
      <c r="B608" s="1">
        <v>1406.36</v>
      </c>
      <c r="C608" s="11">
        <v>3.2732000000000001</v>
      </c>
      <c r="D608" s="1">
        <v>647.46</v>
      </c>
      <c r="E608" s="11">
        <v>3.0760000000000001</v>
      </c>
      <c r="F608" s="1">
        <v>398.57</v>
      </c>
      <c r="G608" s="11">
        <v>3.53</v>
      </c>
      <c r="H608" s="1">
        <v>-135.13999999999999</v>
      </c>
      <c r="I608" s="11">
        <v>3.4511700000000003</v>
      </c>
      <c r="J608" s="1">
        <v>56.34</v>
      </c>
      <c r="K608" s="11">
        <v>2.4996799999999997</v>
      </c>
      <c r="L608" s="1">
        <v>0</v>
      </c>
      <c r="M608" s="11">
        <v>6.2</v>
      </c>
      <c r="N608" s="1">
        <v>66.83</v>
      </c>
      <c r="O608" s="11">
        <v>2.8224999999999998</v>
      </c>
      <c r="P608" s="1">
        <f t="shared" si="73"/>
        <v>2440.42</v>
      </c>
      <c r="Q608" s="1">
        <v>2308.98</v>
      </c>
      <c r="R608" s="16">
        <f t="shared" si="74"/>
        <v>1966226.2861000001</v>
      </c>
      <c r="S608" s="20">
        <v>1094.1799999999998</v>
      </c>
      <c r="T608" s="21">
        <v>27.970000000000002</v>
      </c>
      <c r="U608" s="21">
        <v>1.46</v>
      </c>
      <c r="V608" s="8">
        <v>1123.6099999999999</v>
      </c>
      <c r="W608" s="25">
        <v>1.238</v>
      </c>
      <c r="X608" s="25">
        <f t="shared" si="75"/>
        <v>347757.29499999993</v>
      </c>
      <c r="Y608" s="1">
        <f t="shared" si="76"/>
        <v>3564.0299999999997</v>
      </c>
      <c r="Z608" s="1">
        <f t="shared" si="77"/>
        <v>3432.59</v>
      </c>
      <c r="AA608" s="1">
        <v>3447.07</v>
      </c>
      <c r="AB608" s="1">
        <f t="shared" si="72"/>
        <v>116.95999999999958</v>
      </c>
      <c r="AC608" s="29">
        <f t="shared" si="78"/>
        <v>14.480000000000018</v>
      </c>
      <c r="AD608" s="11">
        <f t="shared" si="79"/>
        <v>2313983.5811000001</v>
      </c>
    </row>
    <row r="609" spans="1:30" x14ac:dyDescent="0.3">
      <c r="A609" s="14">
        <v>45966.302083333336</v>
      </c>
      <c r="B609" s="1">
        <v>1381.91</v>
      </c>
      <c r="C609" s="11">
        <v>3.2732000000000001</v>
      </c>
      <c r="D609" s="1">
        <v>647.46</v>
      </c>
      <c r="E609" s="11">
        <v>3.0760000000000001</v>
      </c>
      <c r="F609" s="1">
        <v>398.57</v>
      </c>
      <c r="G609" s="11">
        <v>3.53</v>
      </c>
      <c r="H609" s="1">
        <v>-115.98</v>
      </c>
      <c r="I609" s="11">
        <v>3.2508400000000002</v>
      </c>
      <c r="J609" s="1">
        <v>54.5</v>
      </c>
      <c r="K609" s="11">
        <v>2.49966</v>
      </c>
      <c r="L609" s="1">
        <v>0</v>
      </c>
      <c r="M609" s="11">
        <v>6.2</v>
      </c>
      <c r="N609" s="1">
        <v>93.94</v>
      </c>
      <c r="O609" s="11">
        <v>2.8224999999999998</v>
      </c>
      <c r="P609" s="1">
        <f t="shared" si="73"/>
        <v>2460.4</v>
      </c>
      <c r="Q609" s="1">
        <v>2316.39</v>
      </c>
      <c r="R609" s="16">
        <f t="shared" si="74"/>
        <v>1986537.8922000001</v>
      </c>
      <c r="S609" s="20">
        <v>1029.78</v>
      </c>
      <c r="T609" s="21">
        <v>41.59</v>
      </c>
      <c r="U609" s="21">
        <v>0.95</v>
      </c>
      <c r="V609" s="8">
        <v>1072.32</v>
      </c>
      <c r="W609" s="25">
        <v>1.238</v>
      </c>
      <c r="X609" s="25">
        <f t="shared" si="75"/>
        <v>331883.03999999998</v>
      </c>
      <c r="Y609" s="1">
        <f t="shared" si="76"/>
        <v>3532.7200000000003</v>
      </c>
      <c r="Z609" s="1">
        <f t="shared" si="77"/>
        <v>3388.71</v>
      </c>
      <c r="AA609" s="1">
        <v>3406.62</v>
      </c>
      <c r="AB609" s="1">
        <f t="shared" si="72"/>
        <v>126.10000000000036</v>
      </c>
      <c r="AC609" s="29">
        <f t="shared" si="78"/>
        <v>17.909999999999854</v>
      </c>
      <c r="AD609" s="11">
        <f t="shared" si="79"/>
        <v>2318420.9322000002</v>
      </c>
    </row>
    <row r="610" spans="1:30" x14ac:dyDescent="0.3">
      <c r="A610" s="14">
        <v>45966.3125</v>
      </c>
      <c r="B610" s="1">
        <v>1357.41</v>
      </c>
      <c r="C610" s="11">
        <v>3.2732000000000001</v>
      </c>
      <c r="D610" s="1">
        <v>647.46</v>
      </c>
      <c r="E610" s="11">
        <v>3.0760000000000001</v>
      </c>
      <c r="F610" s="1">
        <v>398.57</v>
      </c>
      <c r="G610" s="11">
        <v>3.53</v>
      </c>
      <c r="H610" s="1">
        <v>52.78</v>
      </c>
      <c r="I610" s="11">
        <v>2.9717199999999999</v>
      </c>
      <c r="J610" s="1">
        <v>54.5</v>
      </c>
      <c r="K610" s="11">
        <v>1.5194400000000001</v>
      </c>
      <c r="L610" s="1">
        <v>0</v>
      </c>
      <c r="M610" s="11">
        <v>6.2</v>
      </c>
      <c r="N610" s="1">
        <v>121.6</v>
      </c>
      <c r="O610" s="11">
        <v>2.8224999999999998</v>
      </c>
      <c r="P610" s="1">
        <f t="shared" si="73"/>
        <v>2632.32</v>
      </c>
      <c r="Q610" s="1">
        <v>2542.3000000000002</v>
      </c>
      <c r="R610" s="16">
        <f t="shared" si="74"/>
        <v>2106121.5833999999</v>
      </c>
      <c r="S610" s="20">
        <v>715.78</v>
      </c>
      <c r="T610" s="21">
        <v>56.08</v>
      </c>
      <c r="U610" s="21">
        <v>1.1000000000000001</v>
      </c>
      <c r="V610" s="8">
        <v>772.96</v>
      </c>
      <c r="W610" s="25">
        <v>1.238</v>
      </c>
      <c r="X610" s="25">
        <f t="shared" si="75"/>
        <v>239231.12</v>
      </c>
      <c r="Y610" s="1">
        <f t="shared" si="76"/>
        <v>3405.28</v>
      </c>
      <c r="Z610" s="1">
        <f t="shared" si="77"/>
        <v>3315.26</v>
      </c>
      <c r="AA610" s="1">
        <v>3336.03</v>
      </c>
      <c r="AB610" s="1">
        <f t="shared" si="72"/>
        <v>69.25</v>
      </c>
      <c r="AC610" s="29">
        <f t="shared" si="78"/>
        <v>20.769999999999982</v>
      </c>
      <c r="AD610" s="11">
        <f t="shared" si="79"/>
        <v>2345352.7034</v>
      </c>
    </row>
    <row r="611" spans="1:30" x14ac:dyDescent="0.3">
      <c r="A611" s="14">
        <v>45966.322916666664</v>
      </c>
      <c r="B611" s="1">
        <v>1272.45</v>
      </c>
      <c r="C611" s="11">
        <v>3.2732000000000001</v>
      </c>
      <c r="D611" s="1">
        <v>647.46</v>
      </c>
      <c r="E611" s="11">
        <v>3.0760000000000001</v>
      </c>
      <c r="F611" s="1">
        <v>398.57</v>
      </c>
      <c r="G611" s="11">
        <v>3.53</v>
      </c>
      <c r="H611" s="1">
        <v>65.39</v>
      </c>
      <c r="I611" s="11">
        <v>2.7505199999999999</v>
      </c>
      <c r="J611" s="1">
        <v>54.5</v>
      </c>
      <c r="K611" s="11">
        <v>1.51955</v>
      </c>
      <c r="L611" s="1">
        <v>0</v>
      </c>
      <c r="M611" s="11">
        <v>6.2</v>
      </c>
      <c r="N611" s="1">
        <v>148.26</v>
      </c>
      <c r="O611" s="11">
        <v>2.8224999999999998</v>
      </c>
      <c r="P611" s="1">
        <f t="shared" si="73"/>
        <v>2586.63</v>
      </c>
      <c r="Q611" s="1">
        <v>2594.7199999999998</v>
      </c>
      <c r="R611" s="16">
        <f t="shared" si="74"/>
        <v>2061164.5569500006</v>
      </c>
      <c r="S611" s="20">
        <v>583.99</v>
      </c>
      <c r="T611" s="21">
        <v>71.429999999999993</v>
      </c>
      <c r="U611" s="21">
        <v>2.1800000000000002</v>
      </c>
      <c r="V611" s="8">
        <v>657.59999999999991</v>
      </c>
      <c r="W611" s="25">
        <v>1.238</v>
      </c>
      <c r="X611" s="25">
        <f t="shared" si="75"/>
        <v>203527.19999999995</v>
      </c>
      <c r="Y611" s="1">
        <f t="shared" si="76"/>
        <v>3244.23</v>
      </c>
      <c r="Z611" s="1">
        <f t="shared" si="77"/>
        <v>3252.3199999999997</v>
      </c>
      <c r="AA611" s="1">
        <v>3265.12</v>
      </c>
      <c r="AB611" s="1">
        <f t="shared" si="72"/>
        <v>-20.889999999999873</v>
      </c>
      <c r="AC611" s="29">
        <f t="shared" si="78"/>
        <v>12.800000000000182</v>
      </c>
      <c r="AD611" s="11">
        <f t="shared" si="79"/>
        <v>2264691.7569500003</v>
      </c>
    </row>
    <row r="612" spans="1:30" x14ac:dyDescent="0.3">
      <c r="A612" s="14">
        <v>45966.333333333336</v>
      </c>
      <c r="B612" s="1">
        <v>1194.67</v>
      </c>
      <c r="C612" s="11">
        <v>3.2732000000000001</v>
      </c>
      <c r="D612" s="1">
        <v>657.11</v>
      </c>
      <c r="E612" s="11">
        <v>3.0760000000000001</v>
      </c>
      <c r="F612" s="1">
        <v>398.57</v>
      </c>
      <c r="G612" s="11">
        <v>3.53</v>
      </c>
      <c r="H612" s="1">
        <v>99.41</v>
      </c>
      <c r="I612" s="11">
        <v>2.0007199999999998</v>
      </c>
      <c r="J612" s="1">
        <v>25.33</v>
      </c>
      <c r="K612" s="11">
        <v>2.64011</v>
      </c>
      <c r="L612" s="1">
        <v>0</v>
      </c>
      <c r="M612" s="11">
        <v>6.2</v>
      </c>
      <c r="N612" s="1">
        <v>179.72</v>
      </c>
      <c r="O612" s="11">
        <v>2.8224999999999998</v>
      </c>
      <c r="P612" s="1">
        <f t="shared" si="73"/>
        <v>2554.81</v>
      </c>
      <c r="Q612" s="1">
        <v>2552.2399999999998</v>
      </c>
      <c r="R612" s="16">
        <f t="shared" si="74"/>
        <v>2027910.3913750004</v>
      </c>
      <c r="S612" s="20">
        <v>539.15</v>
      </c>
      <c r="T612" s="21">
        <v>86.309999999999988</v>
      </c>
      <c r="U612" s="21">
        <v>2.5999999999999996</v>
      </c>
      <c r="V612" s="8">
        <v>628.05999999999995</v>
      </c>
      <c r="W612" s="25">
        <v>1.238</v>
      </c>
      <c r="X612" s="25">
        <f t="shared" si="75"/>
        <v>194384.56999999998</v>
      </c>
      <c r="Y612" s="1">
        <f t="shared" si="76"/>
        <v>3182.87</v>
      </c>
      <c r="Z612" s="1">
        <f t="shared" si="77"/>
        <v>3180.2999999999997</v>
      </c>
      <c r="AA612" s="1">
        <v>3192.19</v>
      </c>
      <c r="AB612" s="1">
        <f t="shared" si="72"/>
        <v>-9.3200000000001637</v>
      </c>
      <c r="AC612" s="29">
        <f t="shared" si="78"/>
        <v>11.890000000000327</v>
      </c>
      <c r="AD612" s="11">
        <f t="shared" si="79"/>
        <v>2222294.9613750004</v>
      </c>
    </row>
    <row r="613" spans="1:30" x14ac:dyDescent="0.3">
      <c r="A613" s="14">
        <v>45966.34375</v>
      </c>
      <c r="B613" s="1">
        <v>1087.92</v>
      </c>
      <c r="C613" s="11">
        <v>3.2732000000000001</v>
      </c>
      <c r="D613" s="1">
        <v>657.84</v>
      </c>
      <c r="E613" s="11">
        <v>3.0760000000000001</v>
      </c>
      <c r="F613" s="1">
        <v>398.57</v>
      </c>
      <c r="G613" s="11">
        <v>3.53</v>
      </c>
      <c r="H613" s="1">
        <v>101.7</v>
      </c>
      <c r="I613" s="11">
        <v>1.99956</v>
      </c>
      <c r="J613" s="1">
        <v>23.32</v>
      </c>
      <c r="K613" s="11">
        <v>2.6403699999999999</v>
      </c>
      <c r="L613" s="1">
        <v>0</v>
      </c>
      <c r="M613" s="11">
        <v>6.2</v>
      </c>
      <c r="N613" s="1">
        <v>214.91</v>
      </c>
      <c r="O613" s="11">
        <v>2.8224999999999998</v>
      </c>
      <c r="P613" s="1">
        <f t="shared" si="73"/>
        <v>2484.2600000000002</v>
      </c>
      <c r="Q613" s="1">
        <v>2478.04</v>
      </c>
      <c r="R613" s="16">
        <f t="shared" si="74"/>
        <v>1965739.9598500002</v>
      </c>
      <c r="S613" s="20">
        <v>556.02</v>
      </c>
      <c r="T613" s="21">
        <v>98.719999999999985</v>
      </c>
      <c r="U613" s="21">
        <v>3.29</v>
      </c>
      <c r="V613" s="8">
        <v>658.03</v>
      </c>
      <c r="W613" s="25">
        <v>1.238</v>
      </c>
      <c r="X613" s="25">
        <f t="shared" si="75"/>
        <v>203660.28499999997</v>
      </c>
      <c r="Y613" s="1">
        <f t="shared" si="76"/>
        <v>3142.29</v>
      </c>
      <c r="Z613" s="1">
        <f t="shared" si="77"/>
        <v>3136.0699999999997</v>
      </c>
      <c r="AA613" s="1">
        <v>3151.54</v>
      </c>
      <c r="AB613" s="1">
        <f t="shared" si="72"/>
        <v>-9.25</v>
      </c>
      <c r="AC613" s="29">
        <f t="shared" si="78"/>
        <v>15.470000000000255</v>
      </c>
      <c r="AD613" s="11">
        <f t="shared" si="79"/>
        <v>2169400.2448500004</v>
      </c>
    </row>
    <row r="614" spans="1:30" x14ac:dyDescent="0.3">
      <c r="A614" s="14">
        <v>45966.354166666664</v>
      </c>
      <c r="B614" s="1">
        <v>995.17</v>
      </c>
      <c r="C614" s="11">
        <v>3.2732000000000001</v>
      </c>
      <c r="D614" s="1">
        <v>657.84</v>
      </c>
      <c r="E614" s="11">
        <v>3.0760000000000001</v>
      </c>
      <c r="F614" s="1">
        <v>398.57</v>
      </c>
      <c r="G614" s="11">
        <v>3.53</v>
      </c>
      <c r="H614" s="1">
        <v>102.4</v>
      </c>
      <c r="I614" s="11">
        <v>1.76959</v>
      </c>
      <c r="J614" s="1">
        <v>28.83</v>
      </c>
      <c r="K614" s="11">
        <v>2.0554099999999997</v>
      </c>
      <c r="L614" s="1">
        <v>0</v>
      </c>
      <c r="M614" s="11">
        <v>6.2</v>
      </c>
      <c r="N614" s="1">
        <v>248.37</v>
      </c>
      <c r="O614" s="11">
        <v>2.8224999999999998</v>
      </c>
      <c r="P614" s="1">
        <f t="shared" si="73"/>
        <v>2431.1799999999998</v>
      </c>
      <c r="Q614" s="1">
        <v>2409.59</v>
      </c>
      <c r="R614" s="16">
        <f t="shared" si="74"/>
        <v>1907336.5488250004</v>
      </c>
      <c r="S614" s="20">
        <v>551.79000000000008</v>
      </c>
      <c r="T614" s="21">
        <v>113.39999999999999</v>
      </c>
      <c r="U614" s="21">
        <v>4.93</v>
      </c>
      <c r="V614" s="8">
        <v>670.12</v>
      </c>
      <c r="W614" s="25">
        <v>1.238</v>
      </c>
      <c r="X614" s="25">
        <f t="shared" si="75"/>
        <v>207402.14</v>
      </c>
      <c r="Y614" s="1">
        <f t="shared" si="76"/>
        <v>3101.2999999999997</v>
      </c>
      <c r="Z614" s="1">
        <f t="shared" si="77"/>
        <v>3079.71</v>
      </c>
      <c r="AA614" s="1">
        <v>3096.26</v>
      </c>
      <c r="AB614" s="1">
        <f t="shared" si="72"/>
        <v>5.0399999999995089</v>
      </c>
      <c r="AC614" s="29">
        <f t="shared" si="78"/>
        <v>16.550000000000182</v>
      </c>
      <c r="AD614" s="11">
        <f t="shared" si="79"/>
        <v>2114738.6888250005</v>
      </c>
    </row>
    <row r="615" spans="1:30" x14ac:dyDescent="0.3">
      <c r="A615" s="14">
        <v>45966.364583333336</v>
      </c>
      <c r="B615" s="1">
        <v>970.1</v>
      </c>
      <c r="C615" s="11">
        <v>3.2732000000000001</v>
      </c>
      <c r="D615" s="1">
        <v>657.84</v>
      </c>
      <c r="E615" s="11">
        <v>3.0760000000000001</v>
      </c>
      <c r="F615" s="1">
        <v>398.57</v>
      </c>
      <c r="G615" s="11">
        <v>3.53</v>
      </c>
      <c r="H615" s="1">
        <v>100.56</v>
      </c>
      <c r="I615" s="11">
        <v>1.73163</v>
      </c>
      <c r="J615" s="1">
        <v>29.21</v>
      </c>
      <c r="K615" s="11">
        <v>1.90622</v>
      </c>
      <c r="L615" s="1">
        <v>0</v>
      </c>
      <c r="M615" s="11">
        <v>6.2</v>
      </c>
      <c r="N615" s="1">
        <v>281.89</v>
      </c>
      <c r="O615" s="11">
        <v>2.8224999999999998</v>
      </c>
      <c r="P615" s="1">
        <f t="shared" si="73"/>
        <v>2438.17</v>
      </c>
      <c r="Q615" s="1">
        <v>2441</v>
      </c>
      <c r="R615" s="16">
        <f t="shared" si="74"/>
        <v>1907811.7959999999</v>
      </c>
      <c r="S615" s="20">
        <v>457.11</v>
      </c>
      <c r="T615" s="21">
        <v>126.92999999999999</v>
      </c>
      <c r="U615" s="21">
        <v>4.68</v>
      </c>
      <c r="V615" s="8">
        <v>588.71999999999991</v>
      </c>
      <c r="W615" s="25">
        <v>1.238</v>
      </c>
      <c r="X615" s="25">
        <f t="shared" si="75"/>
        <v>182208.83999999997</v>
      </c>
      <c r="Y615" s="1">
        <f t="shared" si="76"/>
        <v>3026.89</v>
      </c>
      <c r="Z615" s="1">
        <f t="shared" si="77"/>
        <v>3029.72</v>
      </c>
      <c r="AA615" s="1">
        <v>3047.07</v>
      </c>
      <c r="AB615" s="1">
        <f t="shared" si="72"/>
        <v>-20.180000000000291</v>
      </c>
      <c r="AC615" s="29">
        <f t="shared" si="78"/>
        <v>17.350000000000364</v>
      </c>
      <c r="AD615" s="11">
        <f t="shared" si="79"/>
        <v>2090020.6359999999</v>
      </c>
    </row>
    <row r="616" spans="1:30" x14ac:dyDescent="0.3">
      <c r="A616" s="14">
        <v>45966.375</v>
      </c>
      <c r="B616" s="1">
        <v>952.15</v>
      </c>
      <c r="C616" s="11">
        <v>3.2732000000000001</v>
      </c>
      <c r="D616" s="1">
        <v>657.84</v>
      </c>
      <c r="E616" s="11">
        <v>3.0760000000000001</v>
      </c>
      <c r="F616" s="1">
        <v>398.57</v>
      </c>
      <c r="G616" s="11">
        <v>3.53</v>
      </c>
      <c r="H616" s="1">
        <v>95.94</v>
      </c>
      <c r="I616" s="11">
        <v>1.69947</v>
      </c>
      <c r="J616" s="1">
        <v>28.76</v>
      </c>
      <c r="K616" s="11">
        <v>1.9991300000000001</v>
      </c>
      <c r="L616" s="1">
        <v>6.77</v>
      </c>
      <c r="M616" s="11">
        <v>6.2</v>
      </c>
      <c r="N616" s="1">
        <v>310.76</v>
      </c>
      <c r="O616" s="11">
        <v>2.8224999999999998</v>
      </c>
      <c r="P616" s="1">
        <f t="shared" si="73"/>
        <v>2450.79</v>
      </c>
      <c r="Q616" s="1">
        <v>2417.65</v>
      </c>
      <c r="R616" s="16">
        <f t="shared" si="74"/>
        <v>1921670.3876500006</v>
      </c>
      <c r="S616" s="20">
        <v>413.14999999999992</v>
      </c>
      <c r="T616" s="21">
        <v>138.25</v>
      </c>
      <c r="U616" s="21">
        <v>5.4599999999999991</v>
      </c>
      <c r="V616" s="8">
        <v>556.8599999999999</v>
      </c>
      <c r="W616" s="25">
        <v>1.238</v>
      </c>
      <c r="X616" s="25">
        <f t="shared" si="75"/>
        <v>172348.16999999995</v>
      </c>
      <c r="Y616" s="1">
        <f t="shared" si="76"/>
        <v>3007.6499999999996</v>
      </c>
      <c r="Z616" s="1">
        <f t="shared" si="77"/>
        <v>2974.51</v>
      </c>
      <c r="AA616" s="1">
        <v>2989.57</v>
      </c>
      <c r="AB616" s="1">
        <f t="shared" si="72"/>
        <v>18.079999999999472</v>
      </c>
      <c r="AC616" s="29">
        <f t="shared" si="78"/>
        <v>15.059999999999945</v>
      </c>
      <c r="AD616" s="11">
        <f t="shared" si="79"/>
        <v>2094018.5576500006</v>
      </c>
    </row>
    <row r="617" spans="1:30" x14ac:dyDescent="0.3">
      <c r="A617" s="14">
        <v>45966.385416666664</v>
      </c>
      <c r="B617" s="1">
        <v>758.85</v>
      </c>
      <c r="C617" s="11">
        <v>3.2732000000000001</v>
      </c>
      <c r="D617" s="1">
        <v>650.66</v>
      </c>
      <c r="E617" s="11">
        <v>3.0760000000000001</v>
      </c>
      <c r="F617" s="1">
        <v>398.57</v>
      </c>
      <c r="G617" s="11">
        <v>3.53</v>
      </c>
      <c r="H617" s="1">
        <v>95.78</v>
      </c>
      <c r="I617" s="11">
        <v>1.6005199999999999</v>
      </c>
      <c r="J617" s="1">
        <v>73.34</v>
      </c>
      <c r="K617" s="11">
        <v>2.1557399999999998</v>
      </c>
      <c r="L617" s="1">
        <v>7.24</v>
      </c>
      <c r="M617" s="11">
        <v>6.2</v>
      </c>
      <c r="N617" s="1">
        <v>337.35</v>
      </c>
      <c r="O617" s="11">
        <v>2.8224999999999998</v>
      </c>
      <c r="P617" s="1">
        <f t="shared" si="73"/>
        <v>2321.79</v>
      </c>
      <c r="Q617" s="1">
        <v>2343.58</v>
      </c>
      <c r="R617" s="16">
        <f t="shared" si="74"/>
        <v>1800177.0580499999</v>
      </c>
      <c r="S617" s="20">
        <v>486.57</v>
      </c>
      <c r="T617" s="21">
        <v>148.44000000000003</v>
      </c>
      <c r="U617" s="21">
        <v>7.27</v>
      </c>
      <c r="V617" s="8">
        <v>642.28</v>
      </c>
      <c r="W617" s="25">
        <v>1.238</v>
      </c>
      <c r="X617" s="25">
        <f t="shared" si="75"/>
        <v>198785.65999999997</v>
      </c>
      <c r="Y617" s="1">
        <f t="shared" si="76"/>
        <v>2964.0699999999997</v>
      </c>
      <c r="Z617" s="1">
        <f t="shared" si="77"/>
        <v>2985.8599999999997</v>
      </c>
      <c r="AA617" s="1">
        <v>2995.63</v>
      </c>
      <c r="AB617" s="1">
        <f t="shared" si="72"/>
        <v>-31.5600000000004</v>
      </c>
      <c r="AC617" s="29">
        <f t="shared" si="78"/>
        <v>9.7700000000004366</v>
      </c>
      <c r="AD617" s="11">
        <f t="shared" si="79"/>
        <v>1998962.7180499998</v>
      </c>
    </row>
    <row r="618" spans="1:30" x14ac:dyDescent="0.3">
      <c r="A618" s="14">
        <v>45966.395833333336</v>
      </c>
      <c r="B618" s="1">
        <v>723.78</v>
      </c>
      <c r="C618" s="11">
        <v>3.2732000000000001</v>
      </c>
      <c r="D618" s="1">
        <v>650.11</v>
      </c>
      <c r="E618" s="11">
        <v>3.0760000000000001</v>
      </c>
      <c r="F618" s="1">
        <v>398.57</v>
      </c>
      <c r="G618" s="11">
        <v>3.53</v>
      </c>
      <c r="H618" s="1">
        <v>83.52</v>
      </c>
      <c r="I618" s="11">
        <v>1.60022</v>
      </c>
      <c r="J618" s="1">
        <v>49.57</v>
      </c>
      <c r="K618" s="11">
        <v>1.7944500000000001</v>
      </c>
      <c r="L618" s="1">
        <v>20.96</v>
      </c>
      <c r="M618" s="11">
        <v>6.2</v>
      </c>
      <c r="N618" s="1">
        <v>355.29</v>
      </c>
      <c r="O618" s="11">
        <v>2.8224999999999998</v>
      </c>
      <c r="P618" s="1">
        <f t="shared" si="73"/>
        <v>2281.7999999999997</v>
      </c>
      <c r="Q618" s="1">
        <v>2309.39</v>
      </c>
      <c r="R618" s="16">
        <f t="shared" si="74"/>
        <v>1782781.610475</v>
      </c>
      <c r="S618" s="20">
        <v>545.06000000000006</v>
      </c>
      <c r="T618" s="21">
        <v>149.60000000000002</v>
      </c>
      <c r="U618" s="21">
        <v>7.23</v>
      </c>
      <c r="V618" s="8">
        <v>701.8900000000001</v>
      </c>
      <c r="W618" s="25">
        <v>1.238</v>
      </c>
      <c r="X618" s="25">
        <f t="shared" si="75"/>
        <v>217234.95500000005</v>
      </c>
      <c r="Y618" s="1">
        <f t="shared" si="76"/>
        <v>2983.6899999999996</v>
      </c>
      <c r="Z618" s="1">
        <f t="shared" si="77"/>
        <v>3011.2799999999997</v>
      </c>
      <c r="AA618" s="1">
        <v>3027.29</v>
      </c>
      <c r="AB618" s="1">
        <f t="shared" si="72"/>
        <v>-43.600000000000364</v>
      </c>
      <c r="AC618" s="29">
        <f t="shared" si="78"/>
        <v>16.010000000000218</v>
      </c>
      <c r="AD618" s="11">
        <f t="shared" si="79"/>
        <v>2000016.5654750001</v>
      </c>
    </row>
    <row r="619" spans="1:30" x14ac:dyDescent="0.3">
      <c r="A619" s="14">
        <v>45966.40625</v>
      </c>
      <c r="B619" s="1">
        <v>719.55</v>
      </c>
      <c r="C619" s="11">
        <v>3.2732000000000001</v>
      </c>
      <c r="D619" s="1">
        <v>650.11</v>
      </c>
      <c r="E619" s="11">
        <v>3.0760000000000001</v>
      </c>
      <c r="F619" s="1">
        <v>398.57</v>
      </c>
      <c r="G619" s="11">
        <v>3.53</v>
      </c>
      <c r="H619" s="1">
        <v>86.16</v>
      </c>
      <c r="I619" s="11">
        <v>1.5108699999999999</v>
      </c>
      <c r="J619" s="1">
        <v>47.65</v>
      </c>
      <c r="K619" s="11">
        <v>1.71431</v>
      </c>
      <c r="L619" s="1">
        <v>21.83</v>
      </c>
      <c r="M619" s="11">
        <v>6.2</v>
      </c>
      <c r="N619" s="1">
        <v>378.25</v>
      </c>
      <c r="O619" s="11">
        <v>2.8224999999999998</v>
      </c>
      <c r="P619" s="1">
        <f t="shared" si="73"/>
        <v>2302.12</v>
      </c>
      <c r="Q619" s="1">
        <v>2344.11</v>
      </c>
      <c r="R619" s="16">
        <f t="shared" si="74"/>
        <v>1794185.3939250002</v>
      </c>
      <c r="S619" s="20">
        <v>542.01</v>
      </c>
      <c r="T619" s="21">
        <v>135.65</v>
      </c>
      <c r="U619" s="21">
        <v>7.5400000000000009</v>
      </c>
      <c r="V619" s="8">
        <v>685.19999999999993</v>
      </c>
      <c r="W619" s="25">
        <v>1.238</v>
      </c>
      <c r="X619" s="25">
        <f t="shared" si="75"/>
        <v>212069.39999999997</v>
      </c>
      <c r="Y619" s="1">
        <f t="shared" si="76"/>
        <v>2987.3199999999997</v>
      </c>
      <c r="Z619" s="1">
        <f t="shared" si="77"/>
        <v>3029.31</v>
      </c>
      <c r="AA619" s="1">
        <v>3042.63</v>
      </c>
      <c r="AB619" s="1">
        <f t="shared" si="72"/>
        <v>-55.3100000000004</v>
      </c>
      <c r="AC619" s="29">
        <f t="shared" si="78"/>
        <v>13.320000000000164</v>
      </c>
      <c r="AD619" s="11">
        <f t="shared" si="79"/>
        <v>2006254.7939250001</v>
      </c>
    </row>
    <row r="620" spans="1:30" x14ac:dyDescent="0.3">
      <c r="A620" s="14">
        <v>45966.416666666664</v>
      </c>
      <c r="B620" s="1">
        <v>719.33</v>
      </c>
      <c r="C620" s="11">
        <v>3.2732000000000001</v>
      </c>
      <c r="D620" s="1">
        <v>650.11</v>
      </c>
      <c r="E620" s="11">
        <v>3.0760000000000001</v>
      </c>
      <c r="F620" s="1">
        <v>398.57</v>
      </c>
      <c r="G620" s="11">
        <v>3.53</v>
      </c>
      <c r="H620" s="1">
        <v>47.24</v>
      </c>
      <c r="I620" s="11">
        <v>1.50004</v>
      </c>
      <c r="J620" s="1">
        <v>57.03</v>
      </c>
      <c r="K620" s="11">
        <v>1.61263</v>
      </c>
      <c r="L620" s="1">
        <v>62.54</v>
      </c>
      <c r="M620" s="11">
        <v>6.2</v>
      </c>
      <c r="N620" s="1">
        <v>400.15</v>
      </c>
      <c r="O620" s="11">
        <v>2.8224999999999998</v>
      </c>
      <c r="P620" s="1">
        <f t="shared" si="73"/>
        <v>2334.9699999999998</v>
      </c>
      <c r="Q620" s="1">
        <v>2416.4899999999998</v>
      </c>
      <c r="R620" s="16">
        <f t="shared" si="74"/>
        <v>1860300.7423749997</v>
      </c>
      <c r="S620" s="20">
        <v>433.99999999999994</v>
      </c>
      <c r="T620" s="21">
        <v>158.33000000000001</v>
      </c>
      <c r="U620" s="21">
        <v>7.18</v>
      </c>
      <c r="V620" s="8">
        <v>599.50999999999988</v>
      </c>
      <c r="W620" s="25">
        <v>1.238</v>
      </c>
      <c r="X620" s="25">
        <f t="shared" si="75"/>
        <v>185548.34499999994</v>
      </c>
      <c r="Y620" s="1">
        <f t="shared" si="76"/>
        <v>2934.4799999999996</v>
      </c>
      <c r="Z620" s="1">
        <f t="shared" si="77"/>
        <v>3015.9999999999995</v>
      </c>
      <c r="AA620" s="1">
        <v>3031</v>
      </c>
      <c r="AB620" s="1">
        <f t="shared" si="72"/>
        <v>-96.520000000000437</v>
      </c>
      <c r="AC620" s="29">
        <f t="shared" si="78"/>
        <v>15.000000000000455</v>
      </c>
      <c r="AD620" s="11">
        <f t="shared" si="79"/>
        <v>2045849.0873749997</v>
      </c>
    </row>
    <row r="621" spans="1:30" x14ac:dyDescent="0.3">
      <c r="A621" s="14">
        <v>45966.427083333336</v>
      </c>
      <c r="B621" s="1">
        <v>719.33</v>
      </c>
      <c r="C621" s="11">
        <v>3.2732000000000001</v>
      </c>
      <c r="D621" s="1">
        <v>650.11</v>
      </c>
      <c r="E621" s="11">
        <v>3.0760000000000001</v>
      </c>
      <c r="F621" s="1">
        <v>398.57</v>
      </c>
      <c r="G621" s="11">
        <v>3.53</v>
      </c>
      <c r="H621" s="1">
        <v>44.24</v>
      </c>
      <c r="I621" s="11">
        <v>1.4910000000000001</v>
      </c>
      <c r="J621" s="1">
        <v>30.92</v>
      </c>
      <c r="K621" s="11">
        <v>1.6873</v>
      </c>
      <c r="L621" s="1">
        <v>65.260000000000005</v>
      </c>
      <c r="M621" s="11">
        <v>6.2</v>
      </c>
      <c r="N621" s="1">
        <v>419.08</v>
      </c>
      <c r="O621" s="11">
        <v>2.8224999999999998</v>
      </c>
      <c r="P621" s="1">
        <f t="shared" si="73"/>
        <v>2327.5100000000002</v>
      </c>
      <c r="Q621" s="1">
        <v>2442.64</v>
      </c>
      <c r="R621" s="16">
        <f t="shared" si="74"/>
        <v>1866699.9679999999</v>
      </c>
      <c r="S621" s="20">
        <v>384.89000000000004</v>
      </c>
      <c r="T621" s="21">
        <v>175.28</v>
      </c>
      <c r="U621" s="21">
        <v>7.2899999999999991</v>
      </c>
      <c r="V621" s="8">
        <v>567.46</v>
      </c>
      <c r="W621" s="25">
        <v>1.238</v>
      </c>
      <c r="X621" s="25">
        <f t="shared" si="75"/>
        <v>175628.87</v>
      </c>
      <c r="Y621" s="1">
        <f t="shared" si="76"/>
        <v>2894.9700000000003</v>
      </c>
      <c r="Z621" s="1">
        <f t="shared" si="77"/>
        <v>3010.1</v>
      </c>
      <c r="AA621" s="1">
        <v>3023.5</v>
      </c>
      <c r="AB621" s="1">
        <f t="shared" si="72"/>
        <v>-128.52999999999975</v>
      </c>
      <c r="AC621" s="29">
        <f t="shared" si="78"/>
        <v>13.400000000000091</v>
      </c>
      <c r="AD621" s="11">
        <f t="shared" si="79"/>
        <v>2042328.838</v>
      </c>
    </row>
    <row r="622" spans="1:30" x14ac:dyDescent="0.3">
      <c r="A622" s="14">
        <v>45966.4375</v>
      </c>
      <c r="B622" s="1">
        <v>719.33</v>
      </c>
      <c r="C622" s="11">
        <v>3.2732000000000001</v>
      </c>
      <c r="D622" s="1">
        <v>596.30999999999995</v>
      </c>
      <c r="E622" s="11">
        <v>3.0760000000000001</v>
      </c>
      <c r="F622" s="1">
        <v>398.57</v>
      </c>
      <c r="G622" s="11">
        <v>3.53</v>
      </c>
      <c r="H622" s="1">
        <v>43.89</v>
      </c>
      <c r="I622" s="11">
        <v>1.5396500000000002</v>
      </c>
      <c r="J622" s="1">
        <v>28.73</v>
      </c>
      <c r="K622" s="11">
        <v>1.7311700000000001</v>
      </c>
      <c r="L622" s="1">
        <v>65.709999999999994</v>
      </c>
      <c r="M622" s="11">
        <v>6.2</v>
      </c>
      <c r="N622" s="1">
        <v>428.94</v>
      </c>
      <c r="O622" s="11">
        <v>2.8224999999999998</v>
      </c>
      <c r="P622" s="1">
        <f t="shared" si="73"/>
        <v>2281.48</v>
      </c>
      <c r="Q622" s="1">
        <v>2374.9</v>
      </c>
      <c r="R622" s="16">
        <f t="shared" si="74"/>
        <v>1832777.37965</v>
      </c>
      <c r="S622" s="20">
        <v>433.88</v>
      </c>
      <c r="T622" s="21">
        <v>168.53000000000003</v>
      </c>
      <c r="U622" s="21">
        <v>7.6000000000000005</v>
      </c>
      <c r="V622" s="8">
        <v>610.0100000000001</v>
      </c>
      <c r="W622" s="25">
        <v>1.238</v>
      </c>
      <c r="X622" s="25">
        <f t="shared" si="75"/>
        <v>188798.09500000003</v>
      </c>
      <c r="Y622" s="1">
        <f t="shared" si="76"/>
        <v>2891.4900000000002</v>
      </c>
      <c r="Z622" s="1">
        <f t="shared" si="77"/>
        <v>2984.9100000000003</v>
      </c>
      <c r="AA622" s="1">
        <v>3001.09</v>
      </c>
      <c r="AB622" s="1">
        <f t="shared" si="72"/>
        <v>-109.59999999999991</v>
      </c>
      <c r="AC622" s="29">
        <f t="shared" si="78"/>
        <v>16.179999999999836</v>
      </c>
      <c r="AD622" s="11">
        <f t="shared" si="79"/>
        <v>2021575.47465</v>
      </c>
    </row>
    <row r="623" spans="1:30" x14ac:dyDescent="0.3">
      <c r="A623" s="14">
        <v>45966.447916666664</v>
      </c>
      <c r="B623" s="1">
        <v>719.33</v>
      </c>
      <c r="C623" s="11">
        <v>3.2732000000000001</v>
      </c>
      <c r="D623" s="1">
        <v>583.61</v>
      </c>
      <c r="E623" s="11">
        <v>3.0760000000000001</v>
      </c>
      <c r="F623" s="1">
        <v>398.57</v>
      </c>
      <c r="G623" s="11">
        <v>3.53</v>
      </c>
      <c r="H623" s="1">
        <v>43.86</v>
      </c>
      <c r="I623" s="11">
        <v>1.51711</v>
      </c>
      <c r="J623" s="1">
        <v>28.73</v>
      </c>
      <c r="K623" s="11">
        <v>1.7143299999999999</v>
      </c>
      <c r="L623" s="1">
        <v>65.38</v>
      </c>
      <c r="M623" s="11">
        <v>6.2</v>
      </c>
      <c r="N623" s="1">
        <v>435.55</v>
      </c>
      <c r="O623" s="11">
        <v>2.8224999999999998</v>
      </c>
      <c r="P623" s="1">
        <f t="shared" si="73"/>
        <v>2275.0300000000002</v>
      </c>
      <c r="Q623" s="1">
        <v>2326.88</v>
      </c>
      <c r="R623" s="16">
        <f t="shared" si="74"/>
        <v>1826784.1091249997</v>
      </c>
      <c r="S623" s="20">
        <v>451.47999999999996</v>
      </c>
      <c r="T623" s="21">
        <v>190.45999999999998</v>
      </c>
      <c r="U623" s="21">
        <v>7.08</v>
      </c>
      <c r="V623" s="8">
        <v>649.02</v>
      </c>
      <c r="W623" s="25">
        <v>1.238</v>
      </c>
      <c r="X623" s="25">
        <f t="shared" si="75"/>
        <v>200871.69</v>
      </c>
      <c r="Y623" s="1">
        <f t="shared" si="76"/>
        <v>2924.05</v>
      </c>
      <c r="Z623" s="1">
        <f t="shared" si="77"/>
        <v>2975.9</v>
      </c>
      <c r="AA623" s="1">
        <v>2998.16</v>
      </c>
      <c r="AB623" s="1">
        <f t="shared" si="72"/>
        <v>-74.109999999999673</v>
      </c>
      <c r="AC623" s="29">
        <f t="shared" si="78"/>
        <v>22.259999999999764</v>
      </c>
      <c r="AD623" s="11">
        <f t="shared" si="79"/>
        <v>2027655.7991249997</v>
      </c>
    </row>
    <row r="624" spans="1:30" x14ac:dyDescent="0.3">
      <c r="A624" s="14">
        <v>45966.458333333336</v>
      </c>
      <c r="B624" s="1">
        <v>719.33</v>
      </c>
      <c r="C624" s="11">
        <v>3.2732000000000001</v>
      </c>
      <c r="D624" s="1">
        <v>582.95000000000005</v>
      </c>
      <c r="E624" s="11">
        <v>3.0760000000000001</v>
      </c>
      <c r="F624" s="1">
        <v>398.57</v>
      </c>
      <c r="G624" s="11">
        <v>3.53</v>
      </c>
      <c r="H624" s="1">
        <v>43.67</v>
      </c>
      <c r="I624" s="11">
        <v>1.7146300000000001</v>
      </c>
      <c r="J624" s="1">
        <v>47.24</v>
      </c>
      <c r="K624" s="11">
        <v>0.99945000000000006</v>
      </c>
      <c r="L624" s="1">
        <v>65.53</v>
      </c>
      <c r="M624" s="11">
        <v>6.2</v>
      </c>
      <c r="N624" s="1">
        <v>441.77</v>
      </c>
      <c r="O624" s="11">
        <v>2.8224999999999998</v>
      </c>
      <c r="P624" s="1">
        <f t="shared" si="73"/>
        <v>2299.0600000000004</v>
      </c>
      <c r="Q624" s="1">
        <v>2377.31</v>
      </c>
      <c r="R624" s="16">
        <f t="shared" si="74"/>
        <v>1832472.7477749998</v>
      </c>
      <c r="S624" s="20">
        <v>374.53</v>
      </c>
      <c r="T624" s="21">
        <v>192.18</v>
      </c>
      <c r="U624" s="21">
        <v>9.26</v>
      </c>
      <c r="V624" s="8">
        <v>575.97</v>
      </c>
      <c r="W624" s="25">
        <v>1.238</v>
      </c>
      <c r="X624" s="25">
        <f t="shared" si="75"/>
        <v>178262.71500000003</v>
      </c>
      <c r="Y624" s="1">
        <f t="shared" si="76"/>
        <v>2875.0300000000007</v>
      </c>
      <c r="Z624" s="1">
        <f t="shared" si="77"/>
        <v>2953.2799999999997</v>
      </c>
      <c r="AA624" s="1">
        <v>2977.82</v>
      </c>
      <c r="AB624" s="1">
        <f t="shared" si="72"/>
        <v>-102.78999999999951</v>
      </c>
      <c r="AC624" s="29">
        <f t="shared" si="78"/>
        <v>24.540000000000418</v>
      </c>
      <c r="AD624" s="11">
        <f t="shared" si="79"/>
        <v>2010735.4627749999</v>
      </c>
    </row>
    <row r="625" spans="1:30" x14ac:dyDescent="0.3">
      <c r="A625" s="14">
        <v>45966.46875</v>
      </c>
      <c r="B625" s="1">
        <v>719.33</v>
      </c>
      <c r="C625" s="11">
        <v>3.2732000000000001</v>
      </c>
      <c r="D625" s="1">
        <v>582.95000000000005</v>
      </c>
      <c r="E625" s="11">
        <v>3.0760000000000001</v>
      </c>
      <c r="F625" s="1">
        <v>398.57</v>
      </c>
      <c r="G625" s="11">
        <v>3.53</v>
      </c>
      <c r="H625" s="1">
        <v>43.66</v>
      </c>
      <c r="I625" s="11">
        <v>1.71475</v>
      </c>
      <c r="J625" s="1">
        <v>48.52</v>
      </c>
      <c r="K625" s="11">
        <v>1.58958</v>
      </c>
      <c r="L625" s="1">
        <v>65.63</v>
      </c>
      <c r="M625" s="11">
        <v>6.2</v>
      </c>
      <c r="N625" s="1">
        <v>444.23</v>
      </c>
      <c r="O625" s="11">
        <v>2.8224999999999998</v>
      </c>
      <c r="P625" s="1">
        <f t="shared" si="73"/>
        <v>2302.8900000000003</v>
      </c>
      <c r="Q625" s="1">
        <v>2341.94</v>
      </c>
      <c r="R625" s="16">
        <f t="shared" si="74"/>
        <v>1841838.7094000001</v>
      </c>
      <c r="S625" s="20">
        <v>402.44000000000005</v>
      </c>
      <c r="T625" s="21">
        <v>180.73000000000005</v>
      </c>
      <c r="U625" s="21">
        <v>10.71</v>
      </c>
      <c r="V625" s="8">
        <v>593.88000000000011</v>
      </c>
      <c r="W625" s="25">
        <v>1.238</v>
      </c>
      <c r="X625" s="25">
        <f t="shared" si="75"/>
        <v>183805.86000000002</v>
      </c>
      <c r="Y625" s="1">
        <f t="shared" si="76"/>
        <v>2896.7700000000004</v>
      </c>
      <c r="Z625" s="1">
        <f t="shared" si="77"/>
        <v>2935.82</v>
      </c>
      <c r="AA625" s="1">
        <v>2957.26</v>
      </c>
      <c r="AB625" s="1">
        <f t="shared" si="72"/>
        <v>-60.489999999999782</v>
      </c>
      <c r="AC625" s="29">
        <f t="shared" si="78"/>
        <v>21.440000000000055</v>
      </c>
      <c r="AD625" s="11">
        <f t="shared" si="79"/>
        <v>2025644.5694000002</v>
      </c>
    </row>
    <row r="626" spans="1:30" x14ac:dyDescent="0.3">
      <c r="A626" s="14">
        <v>45966.479166666664</v>
      </c>
      <c r="B626" s="1">
        <v>719.33</v>
      </c>
      <c r="C626" s="11">
        <v>3.2732000000000001</v>
      </c>
      <c r="D626" s="1">
        <v>582.95000000000005</v>
      </c>
      <c r="E626" s="11">
        <v>3.0760000000000001</v>
      </c>
      <c r="F626" s="1">
        <v>398.57</v>
      </c>
      <c r="G626" s="11">
        <v>3.53</v>
      </c>
      <c r="H626" s="1">
        <v>43.75</v>
      </c>
      <c r="I626" s="11">
        <v>1.7146600000000001</v>
      </c>
      <c r="J626" s="1">
        <v>75.599999999999994</v>
      </c>
      <c r="K626" s="11">
        <v>0.89983000000000002</v>
      </c>
      <c r="L626" s="1">
        <v>65.55</v>
      </c>
      <c r="M626" s="11">
        <v>6.2</v>
      </c>
      <c r="N626" s="1">
        <v>457.08</v>
      </c>
      <c r="O626" s="11">
        <v>2.8224999999999998</v>
      </c>
      <c r="P626" s="1">
        <f t="shared" si="73"/>
        <v>2342.83</v>
      </c>
      <c r="Q626" s="1">
        <v>2355.64</v>
      </c>
      <c r="R626" s="16">
        <f t="shared" si="74"/>
        <v>1848544.76975</v>
      </c>
      <c r="S626" s="20">
        <v>358.44</v>
      </c>
      <c r="T626" s="21">
        <v>207.09</v>
      </c>
      <c r="U626" s="21">
        <v>8.7000000000000011</v>
      </c>
      <c r="V626" s="8">
        <v>574.23</v>
      </c>
      <c r="W626" s="25">
        <v>1.238</v>
      </c>
      <c r="X626" s="25">
        <f t="shared" si="75"/>
        <v>177724.185</v>
      </c>
      <c r="Y626" s="1">
        <f t="shared" si="76"/>
        <v>2917.06</v>
      </c>
      <c r="Z626" s="1">
        <f t="shared" si="77"/>
        <v>2929.87</v>
      </c>
      <c r="AA626" s="1">
        <v>2951.57</v>
      </c>
      <c r="AB626" s="1">
        <f t="shared" si="72"/>
        <v>-34.510000000000218</v>
      </c>
      <c r="AC626" s="29">
        <f t="shared" si="78"/>
        <v>21.700000000000273</v>
      </c>
      <c r="AD626" s="11">
        <f t="shared" si="79"/>
        <v>2026268.95475</v>
      </c>
    </row>
    <row r="627" spans="1:30" x14ac:dyDescent="0.3">
      <c r="A627" s="14">
        <v>45966.489583333336</v>
      </c>
      <c r="B627" s="1">
        <v>719.33</v>
      </c>
      <c r="C627" s="11">
        <v>3.2732000000000001</v>
      </c>
      <c r="D627" s="1">
        <v>582.95000000000005</v>
      </c>
      <c r="E627" s="11">
        <v>3.0760000000000001</v>
      </c>
      <c r="F627" s="1">
        <v>398.57</v>
      </c>
      <c r="G627" s="11">
        <v>3.53</v>
      </c>
      <c r="H627" s="1">
        <v>43.76</v>
      </c>
      <c r="I627" s="11">
        <v>1.7148299999999999</v>
      </c>
      <c r="J627" s="1">
        <v>72.069999999999993</v>
      </c>
      <c r="K627" s="11">
        <v>0.99929999999999997</v>
      </c>
      <c r="L627" s="1">
        <v>65.81</v>
      </c>
      <c r="M627" s="11">
        <v>6.2</v>
      </c>
      <c r="N627" s="1">
        <v>465.08</v>
      </c>
      <c r="O627" s="11">
        <v>2.8224999999999998</v>
      </c>
      <c r="P627" s="1">
        <f t="shared" si="73"/>
        <v>2347.5700000000002</v>
      </c>
      <c r="Q627" s="1">
        <v>2346.58</v>
      </c>
      <c r="R627" s="16">
        <f t="shared" si="74"/>
        <v>1855597.0169499998</v>
      </c>
      <c r="S627" s="20">
        <v>380.91</v>
      </c>
      <c r="T627" s="21">
        <v>210.78</v>
      </c>
      <c r="U627" s="21">
        <v>8.9</v>
      </c>
      <c r="V627" s="8">
        <v>600.59</v>
      </c>
      <c r="W627" s="25">
        <v>1.238</v>
      </c>
      <c r="X627" s="25">
        <f t="shared" si="75"/>
        <v>185882.60500000001</v>
      </c>
      <c r="Y627" s="1">
        <f t="shared" si="76"/>
        <v>2948.1600000000003</v>
      </c>
      <c r="Z627" s="1">
        <f t="shared" si="77"/>
        <v>2947.17</v>
      </c>
      <c r="AA627" s="1">
        <v>2962.28</v>
      </c>
      <c r="AB627" s="1">
        <f t="shared" si="72"/>
        <v>-14.119999999999891</v>
      </c>
      <c r="AC627" s="29">
        <f t="shared" si="78"/>
        <v>15.110000000000127</v>
      </c>
      <c r="AD627" s="11">
        <f t="shared" si="79"/>
        <v>2041479.6219499998</v>
      </c>
    </row>
    <row r="628" spans="1:30" x14ac:dyDescent="0.3">
      <c r="A628" s="14">
        <v>45966.5</v>
      </c>
      <c r="B628" s="1">
        <v>719.33</v>
      </c>
      <c r="C628" s="11">
        <v>3.2732000000000001</v>
      </c>
      <c r="D628" s="1">
        <v>582.95000000000005</v>
      </c>
      <c r="E628" s="11">
        <v>3.0760000000000001</v>
      </c>
      <c r="F628" s="1">
        <v>398.57</v>
      </c>
      <c r="G628" s="11">
        <v>3.53</v>
      </c>
      <c r="H628" s="1">
        <v>43.76</v>
      </c>
      <c r="I628" s="11">
        <v>1.76946</v>
      </c>
      <c r="J628" s="1">
        <v>59.05</v>
      </c>
      <c r="K628" s="11">
        <v>1.62666</v>
      </c>
      <c r="L628" s="1">
        <v>65.38</v>
      </c>
      <c r="M628" s="11">
        <v>6.2</v>
      </c>
      <c r="N628" s="1">
        <v>464.29</v>
      </c>
      <c r="O628" s="11">
        <v>2.8224999999999998</v>
      </c>
      <c r="P628" s="1">
        <f t="shared" si="73"/>
        <v>2333.33</v>
      </c>
      <c r="Q628" s="1">
        <v>2337.38</v>
      </c>
      <c r="R628" s="16">
        <f t="shared" si="74"/>
        <v>1860979.4058999999</v>
      </c>
      <c r="S628" s="20">
        <v>395.45</v>
      </c>
      <c r="T628" s="21">
        <v>212.74999999999997</v>
      </c>
      <c r="U628" s="21">
        <v>9.11</v>
      </c>
      <c r="V628" s="8">
        <v>617.30999999999995</v>
      </c>
      <c r="W628" s="25">
        <v>1.238</v>
      </c>
      <c r="X628" s="25">
        <f t="shared" si="75"/>
        <v>191057.44499999998</v>
      </c>
      <c r="Y628" s="1">
        <f t="shared" si="76"/>
        <v>2950.64</v>
      </c>
      <c r="Z628" s="1">
        <f t="shared" si="77"/>
        <v>2954.69</v>
      </c>
      <c r="AA628" s="1">
        <v>2983.04</v>
      </c>
      <c r="AB628" s="1">
        <f t="shared" si="72"/>
        <v>-32.400000000000091</v>
      </c>
      <c r="AC628" s="29">
        <f t="shared" si="78"/>
        <v>28.349999999999909</v>
      </c>
      <c r="AD628" s="11">
        <f t="shared" si="79"/>
        <v>2052036.8509</v>
      </c>
    </row>
    <row r="629" spans="1:30" x14ac:dyDescent="0.3">
      <c r="A629" s="14">
        <v>45966.510416666664</v>
      </c>
      <c r="B629" s="1">
        <v>719.33</v>
      </c>
      <c r="C629" s="11">
        <v>3.2732000000000001</v>
      </c>
      <c r="D629" s="1">
        <v>582.95000000000005</v>
      </c>
      <c r="E629" s="11">
        <v>3.0760000000000001</v>
      </c>
      <c r="F629" s="1">
        <v>398.57</v>
      </c>
      <c r="G629" s="11">
        <v>3.53</v>
      </c>
      <c r="H629" s="1">
        <v>41.06</v>
      </c>
      <c r="I629" s="11">
        <v>1.7761300000000002</v>
      </c>
      <c r="J629" s="1">
        <v>58.17</v>
      </c>
      <c r="K629" s="11">
        <v>1.76695</v>
      </c>
      <c r="L629" s="1">
        <v>65.260000000000005</v>
      </c>
      <c r="M629" s="11">
        <v>6.2</v>
      </c>
      <c r="N629" s="1">
        <v>460.51</v>
      </c>
      <c r="O629" s="11">
        <v>2.8224999999999998</v>
      </c>
      <c r="P629" s="1">
        <f t="shared" si="73"/>
        <v>2325.8500000000004</v>
      </c>
      <c r="Q629" s="1">
        <v>2315.85</v>
      </c>
      <c r="R629" s="16">
        <f t="shared" si="74"/>
        <v>1858682.5275749997</v>
      </c>
      <c r="S629" s="20">
        <v>436.58</v>
      </c>
      <c r="T629" s="21">
        <v>209.31</v>
      </c>
      <c r="U629" s="21">
        <v>9.56</v>
      </c>
      <c r="V629" s="8">
        <v>655.44999999999993</v>
      </c>
      <c r="W629" s="25">
        <v>1.238</v>
      </c>
      <c r="X629" s="25">
        <f t="shared" si="75"/>
        <v>202861.77499999997</v>
      </c>
      <c r="Y629" s="1">
        <f t="shared" si="76"/>
        <v>2981.3</v>
      </c>
      <c r="Z629" s="1">
        <f t="shared" si="77"/>
        <v>2971.2999999999997</v>
      </c>
      <c r="AA629" s="1">
        <v>2994.06</v>
      </c>
      <c r="AB629" s="1">
        <f t="shared" si="72"/>
        <v>-12.759999999999764</v>
      </c>
      <c r="AC629" s="29">
        <f t="shared" si="78"/>
        <v>22.760000000000218</v>
      </c>
      <c r="AD629" s="11">
        <f t="shared" si="79"/>
        <v>2061544.3025749996</v>
      </c>
    </row>
    <row r="630" spans="1:30" x14ac:dyDescent="0.3">
      <c r="A630" s="14">
        <v>45966.520833333336</v>
      </c>
      <c r="B630" s="1">
        <v>719.33</v>
      </c>
      <c r="C630" s="11">
        <v>3.2732000000000001</v>
      </c>
      <c r="D630" s="1">
        <v>582.95000000000005</v>
      </c>
      <c r="E630" s="11">
        <v>3.0760000000000001</v>
      </c>
      <c r="F630" s="1">
        <v>398.57</v>
      </c>
      <c r="G630" s="11">
        <v>3.53</v>
      </c>
      <c r="H630" s="1">
        <v>43.55</v>
      </c>
      <c r="I630" s="11">
        <v>1.7761</v>
      </c>
      <c r="J630" s="1">
        <v>49.16</v>
      </c>
      <c r="K630" s="11">
        <v>1.76684</v>
      </c>
      <c r="L630" s="1">
        <v>65.17</v>
      </c>
      <c r="M630" s="11">
        <v>6.2</v>
      </c>
      <c r="N630" s="1">
        <v>461.96</v>
      </c>
      <c r="O630" s="11">
        <v>2.8224999999999998</v>
      </c>
      <c r="P630" s="1">
        <f t="shared" si="73"/>
        <v>2320.69</v>
      </c>
      <c r="Q630" s="1">
        <v>2330.94</v>
      </c>
      <c r="R630" s="16">
        <f t="shared" si="74"/>
        <v>1856690.0913499999</v>
      </c>
      <c r="S630" s="20">
        <v>437.65999999999997</v>
      </c>
      <c r="T630" s="21">
        <v>210.79</v>
      </c>
      <c r="U630" s="21">
        <v>10.02</v>
      </c>
      <c r="V630" s="8">
        <v>658.46999999999991</v>
      </c>
      <c r="W630" s="25">
        <v>1.238</v>
      </c>
      <c r="X630" s="25">
        <f t="shared" si="75"/>
        <v>203796.465</v>
      </c>
      <c r="Y630" s="1">
        <f t="shared" si="76"/>
        <v>2979.16</v>
      </c>
      <c r="Z630" s="1">
        <f t="shared" si="77"/>
        <v>2989.41</v>
      </c>
      <c r="AA630" s="1">
        <v>3008.14</v>
      </c>
      <c r="AB630" s="1">
        <f t="shared" si="72"/>
        <v>-28.980000000000018</v>
      </c>
      <c r="AC630" s="29">
        <f t="shared" si="78"/>
        <v>18.730000000000018</v>
      </c>
      <c r="AD630" s="11">
        <f t="shared" si="79"/>
        <v>2060486.55635</v>
      </c>
    </row>
    <row r="631" spans="1:30" x14ac:dyDescent="0.3">
      <c r="A631" s="14">
        <v>45966.53125</v>
      </c>
      <c r="B631" s="1">
        <v>719.33</v>
      </c>
      <c r="C631" s="11">
        <v>3.2732000000000001</v>
      </c>
      <c r="D631" s="1">
        <v>582.95000000000005</v>
      </c>
      <c r="E631" s="11">
        <v>3.0760000000000001</v>
      </c>
      <c r="F631" s="1">
        <v>398.57</v>
      </c>
      <c r="G631" s="11">
        <v>3.53</v>
      </c>
      <c r="H631" s="1">
        <v>43.76</v>
      </c>
      <c r="I631" s="11">
        <v>1.77627</v>
      </c>
      <c r="J631" s="1">
        <v>48.52</v>
      </c>
      <c r="K631" s="11">
        <v>1.70069</v>
      </c>
      <c r="L631" s="1">
        <v>64.45</v>
      </c>
      <c r="M631" s="11">
        <v>6.2</v>
      </c>
      <c r="N631" s="1">
        <v>457.73</v>
      </c>
      <c r="O631" s="11">
        <v>2.8224999999999998</v>
      </c>
      <c r="P631" s="1">
        <f t="shared" si="73"/>
        <v>2315.3100000000004</v>
      </c>
      <c r="Q631" s="1">
        <v>2294.6</v>
      </c>
      <c r="R631" s="16">
        <f t="shared" si="74"/>
        <v>1851599.3087500001</v>
      </c>
      <c r="S631" s="20">
        <v>465.92999999999995</v>
      </c>
      <c r="T631" s="21">
        <v>215.35000000000002</v>
      </c>
      <c r="U631" s="21">
        <v>12.61</v>
      </c>
      <c r="V631" s="8">
        <v>693.89</v>
      </c>
      <c r="W631" s="25">
        <v>1.238</v>
      </c>
      <c r="X631" s="25">
        <f t="shared" si="75"/>
        <v>214758.95499999999</v>
      </c>
      <c r="Y631" s="1">
        <f t="shared" si="76"/>
        <v>3009.2000000000003</v>
      </c>
      <c r="Z631" s="1">
        <f t="shared" si="77"/>
        <v>2988.49</v>
      </c>
      <c r="AA631" s="1">
        <v>3005.86</v>
      </c>
      <c r="AB631" s="1">
        <f t="shared" si="72"/>
        <v>3.3400000000001455</v>
      </c>
      <c r="AC631" s="29">
        <f t="shared" si="78"/>
        <v>17.370000000000346</v>
      </c>
      <c r="AD631" s="11">
        <f t="shared" si="79"/>
        <v>2066358.2637500002</v>
      </c>
    </row>
    <row r="632" spans="1:30" x14ac:dyDescent="0.3">
      <c r="A632" s="14">
        <v>45966.541666666664</v>
      </c>
      <c r="B632" s="1">
        <v>719.33</v>
      </c>
      <c r="C632" s="11">
        <v>3.2732000000000001</v>
      </c>
      <c r="D632" s="1">
        <v>582.95000000000005</v>
      </c>
      <c r="E632" s="11">
        <v>3.0760000000000001</v>
      </c>
      <c r="F632" s="1">
        <v>398.57</v>
      </c>
      <c r="G632" s="11">
        <v>3.53</v>
      </c>
      <c r="H632" s="1">
        <v>42.05</v>
      </c>
      <c r="I632" s="11">
        <v>1.7690899999999998</v>
      </c>
      <c r="J632" s="1">
        <v>48.52</v>
      </c>
      <c r="K632" s="11">
        <v>1.73153</v>
      </c>
      <c r="L632" s="1">
        <v>64.3</v>
      </c>
      <c r="M632" s="11">
        <v>6.2</v>
      </c>
      <c r="N632" s="1">
        <v>457.25</v>
      </c>
      <c r="O632" s="11">
        <v>2.8224999999999998</v>
      </c>
      <c r="P632" s="1">
        <f t="shared" si="73"/>
        <v>2312.9700000000003</v>
      </c>
      <c r="Q632" s="1">
        <v>2313.87</v>
      </c>
      <c r="R632" s="16">
        <f t="shared" si="74"/>
        <v>1850567.3627749998</v>
      </c>
      <c r="S632" s="20">
        <v>434.55999999999995</v>
      </c>
      <c r="T632" s="21">
        <v>201.56999999999996</v>
      </c>
      <c r="U632" s="21">
        <v>11.98</v>
      </c>
      <c r="V632" s="8">
        <v>648.1099999999999</v>
      </c>
      <c r="W632" s="25">
        <v>1.238</v>
      </c>
      <c r="X632" s="25">
        <f t="shared" si="75"/>
        <v>200590.04499999998</v>
      </c>
      <c r="Y632" s="1">
        <f t="shared" si="76"/>
        <v>2961.08</v>
      </c>
      <c r="Z632" s="1">
        <f t="shared" si="77"/>
        <v>2961.9799999999996</v>
      </c>
      <c r="AA632" s="1">
        <v>2985.8</v>
      </c>
      <c r="AB632" s="1">
        <f t="shared" si="72"/>
        <v>-24.720000000000255</v>
      </c>
      <c r="AC632" s="29">
        <f t="shared" si="78"/>
        <v>23.820000000000618</v>
      </c>
      <c r="AD632" s="11">
        <f t="shared" si="79"/>
        <v>2051157.4077749997</v>
      </c>
    </row>
    <row r="633" spans="1:30" x14ac:dyDescent="0.3">
      <c r="A633" s="14">
        <v>45966.552083333336</v>
      </c>
      <c r="B633" s="1">
        <v>719.33</v>
      </c>
      <c r="C633" s="11">
        <v>3.2732000000000001</v>
      </c>
      <c r="D633" s="1">
        <v>582.95000000000005</v>
      </c>
      <c r="E633" s="11">
        <v>3.0760000000000001</v>
      </c>
      <c r="F633" s="1">
        <v>398.57</v>
      </c>
      <c r="G633" s="11">
        <v>3.53</v>
      </c>
      <c r="H633" s="1">
        <v>41.92</v>
      </c>
      <c r="I633" s="11">
        <v>1.7690999999999999</v>
      </c>
      <c r="J633" s="1">
        <v>48.52</v>
      </c>
      <c r="K633" s="11">
        <v>1.73173</v>
      </c>
      <c r="L633" s="1">
        <v>63.75</v>
      </c>
      <c r="M633" s="11">
        <v>6.2</v>
      </c>
      <c r="N633" s="1">
        <v>455.17</v>
      </c>
      <c r="O633" s="11">
        <v>2.8224999999999998</v>
      </c>
      <c r="P633" s="1">
        <f t="shared" si="73"/>
        <v>2310.21</v>
      </c>
      <c r="Q633" s="1">
        <v>2297.31</v>
      </c>
      <c r="R633" s="16">
        <f t="shared" si="74"/>
        <v>1848192.1981499998</v>
      </c>
      <c r="S633" s="20">
        <v>480.42</v>
      </c>
      <c r="T633" s="21">
        <v>196.21999999999997</v>
      </c>
      <c r="U633" s="21">
        <v>12.120000000000001</v>
      </c>
      <c r="V633" s="8">
        <v>688.76</v>
      </c>
      <c r="W633" s="25">
        <v>1.238</v>
      </c>
      <c r="X633" s="25">
        <f t="shared" si="75"/>
        <v>213171.22</v>
      </c>
      <c r="Y633" s="1">
        <f t="shared" si="76"/>
        <v>2998.9700000000003</v>
      </c>
      <c r="Z633" s="1">
        <f t="shared" si="77"/>
        <v>2986.0699999999997</v>
      </c>
      <c r="AA633" s="1">
        <v>3003.62</v>
      </c>
      <c r="AB633" s="1">
        <f t="shared" si="72"/>
        <v>-4.6499999999996362</v>
      </c>
      <c r="AC633" s="29">
        <f t="shared" si="78"/>
        <v>17.550000000000182</v>
      </c>
      <c r="AD633" s="11">
        <f t="shared" si="79"/>
        <v>2061363.4181499998</v>
      </c>
    </row>
    <row r="634" spans="1:30" x14ac:dyDescent="0.3">
      <c r="A634" s="14">
        <v>45966.5625</v>
      </c>
      <c r="B634" s="1">
        <v>719.33</v>
      </c>
      <c r="C634" s="11">
        <v>3.2732000000000001</v>
      </c>
      <c r="D634" s="1">
        <v>582.95000000000005</v>
      </c>
      <c r="E634" s="11">
        <v>3.0760000000000001</v>
      </c>
      <c r="F634" s="1">
        <v>398.57</v>
      </c>
      <c r="G634" s="11">
        <v>3.53</v>
      </c>
      <c r="H634" s="1">
        <v>42.55</v>
      </c>
      <c r="I634" s="11">
        <v>1.77617</v>
      </c>
      <c r="J634" s="1">
        <v>75.569999999999993</v>
      </c>
      <c r="K634" s="11">
        <v>2.0346700000000002</v>
      </c>
      <c r="L634" s="1">
        <v>63.17</v>
      </c>
      <c r="M634" s="11">
        <v>6.2</v>
      </c>
      <c r="N634" s="1">
        <v>448.97</v>
      </c>
      <c r="O634" s="11">
        <v>2.8224999999999998</v>
      </c>
      <c r="P634" s="1">
        <f t="shared" si="73"/>
        <v>2331.11</v>
      </c>
      <c r="Q634" s="1">
        <v>2308.7199999999998</v>
      </c>
      <c r="R634" s="16">
        <f t="shared" si="74"/>
        <v>1860706.2815999999</v>
      </c>
      <c r="S634" s="20">
        <v>521.86</v>
      </c>
      <c r="T634" s="21">
        <v>191.12000000000003</v>
      </c>
      <c r="U634" s="21">
        <v>12.28</v>
      </c>
      <c r="V634" s="8">
        <v>725.26</v>
      </c>
      <c r="W634" s="25">
        <v>1.238</v>
      </c>
      <c r="X634" s="25">
        <f t="shared" si="75"/>
        <v>224467.97</v>
      </c>
      <c r="Y634" s="1">
        <f t="shared" si="76"/>
        <v>3056.37</v>
      </c>
      <c r="Z634" s="1">
        <f t="shared" si="77"/>
        <v>3033.9799999999996</v>
      </c>
      <c r="AA634" s="1">
        <v>3053.92</v>
      </c>
      <c r="AB634" s="1">
        <f t="shared" si="72"/>
        <v>2.4499999999998181</v>
      </c>
      <c r="AC634" s="29">
        <f t="shared" si="78"/>
        <v>19.940000000000509</v>
      </c>
      <c r="AD634" s="11">
        <f t="shared" si="79"/>
        <v>2085174.2515999998</v>
      </c>
    </row>
    <row r="635" spans="1:30" x14ac:dyDescent="0.3">
      <c r="A635" s="14">
        <v>45966.572916666664</v>
      </c>
      <c r="B635" s="1">
        <v>719.33</v>
      </c>
      <c r="C635" s="11">
        <v>3.2732000000000001</v>
      </c>
      <c r="D635" s="1">
        <v>582.95000000000005</v>
      </c>
      <c r="E635" s="11">
        <v>3.0760000000000001</v>
      </c>
      <c r="F635" s="1">
        <v>398.57</v>
      </c>
      <c r="G635" s="11">
        <v>3.53</v>
      </c>
      <c r="H635" s="1">
        <v>42.6</v>
      </c>
      <c r="I635" s="11">
        <v>1.7765599999999999</v>
      </c>
      <c r="J635" s="1">
        <v>90.56</v>
      </c>
      <c r="K635" s="11">
        <v>2.51071</v>
      </c>
      <c r="L635" s="1">
        <v>64.2</v>
      </c>
      <c r="M635" s="11">
        <v>6.2</v>
      </c>
      <c r="N635" s="1">
        <v>450.83</v>
      </c>
      <c r="O635" s="11">
        <v>2.8224999999999998</v>
      </c>
      <c r="P635" s="1">
        <f t="shared" si="73"/>
        <v>2349.04</v>
      </c>
      <c r="Q635" s="1">
        <v>2363.6999999999998</v>
      </c>
      <c r="R635" s="16">
        <f t="shared" si="74"/>
        <v>1882044.0711499997</v>
      </c>
      <c r="S635" s="20">
        <v>530.32000000000005</v>
      </c>
      <c r="T635" s="21">
        <v>198.28000000000003</v>
      </c>
      <c r="U635" s="21">
        <v>11.48</v>
      </c>
      <c r="V635" s="8">
        <v>740.08000000000015</v>
      </c>
      <c r="W635" s="25">
        <v>1.238</v>
      </c>
      <c r="X635" s="25">
        <f t="shared" si="75"/>
        <v>229054.76000000004</v>
      </c>
      <c r="Y635" s="1">
        <f t="shared" si="76"/>
        <v>3089.12</v>
      </c>
      <c r="Z635" s="1">
        <f t="shared" si="77"/>
        <v>3103.7799999999997</v>
      </c>
      <c r="AA635" s="1">
        <v>3123.1</v>
      </c>
      <c r="AB635" s="1">
        <f t="shared" si="72"/>
        <v>-33.980000000000018</v>
      </c>
      <c r="AC635" s="29">
        <f t="shared" si="78"/>
        <v>19.320000000000164</v>
      </c>
      <c r="AD635" s="11">
        <f t="shared" si="79"/>
        <v>2111098.83115</v>
      </c>
    </row>
    <row r="636" spans="1:30" x14ac:dyDescent="0.3">
      <c r="A636" s="14">
        <v>45966.583333333336</v>
      </c>
      <c r="B636" s="1">
        <v>719.33</v>
      </c>
      <c r="C636" s="11">
        <v>3.2732000000000001</v>
      </c>
      <c r="D636" s="1">
        <v>636.82000000000005</v>
      </c>
      <c r="E636" s="11">
        <v>3.0760000000000001</v>
      </c>
      <c r="F636" s="1">
        <v>398.57</v>
      </c>
      <c r="G636" s="11">
        <v>3.53</v>
      </c>
      <c r="H636" s="1">
        <v>73.03</v>
      </c>
      <c r="I636" s="11">
        <v>1.79474</v>
      </c>
      <c r="J636" s="1">
        <v>75.86</v>
      </c>
      <c r="K636" s="11">
        <v>2.79962</v>
      </c>
      <c r="L636" s="1">
        <v>29.61</v>
      </c>
      <c r="M636" s="11">
        <v>6.2</v>
      </c>
      <c r="N636" s="1">
        <v>434.47</v>
      </c>
      <c r="O636" s="11">
        <v>2.8224999999999998</v>
      </c>
      <c r="P636" s="1">
        <f t="shared" si="73"/>
        <v>2367.6899999999996</v>
      </c>
      <c r="Q636" s="1">
        <v>2433.5100000000002</v>
      </c>
      <c r="R636" s="16">
        <f t="shared" si="74"/>
        <v>1868410.9966000002</v>
      </c>
      <c r="S636" s="20">
        <v>591.05999999999995</v>
      </c>
      <c r="T636" s="21">
        <v>179.92</v>
      </c>
      <c r="U636" s="21">
        <v>10.84</v>
      </c>
      <c r="V636" s="8">
        <v>781.81999999999994</v>
      </c>
      <c r="W636" s="25">
        <v>1.238</v>
      </c>
      <c r="X636" s="25">
        <f t="shared" si="75"/>
        <v>241973.28999999998</v>
      </c>
      <c r="Y636" s="1">
        <f t="shared" si="76"/>
        <v>3149.5099999999993</v>
      </c>
      <c r="Z636" s="1">
        <f t="shared" si="77"/>
        <v>3215.33</v>
      </c>
      <c r="AA636" s="1">
        <v>3231.38</v>
      </c>
      <c r="AB636" s="1">
        <f t="shared" si="72"/>
        <v>-81.8700000000008</v>
      </c>
      <c r="AC636" s="29">
        <f t="shared" si="78"/>
        <v>16.050000000000182</v>
      </c>
      <c r="AD636" s="11">
        <f t="shared" si="79"/>
        <v>2110384.2866000002</v>
      </c>
    </row>
    <row r="637" spans="1:30" x14ac:dyDescent="0.3">
      <c r="A637" s="14">
        <v>45966.59375</v>
      </c>
      <c r="B637" s="1">
        <v>719.33</v>
      </c>
      <c r="C637" s="11">
        <v>3.2732000000000001</v>
      </c>
      <c r="D637" s="1">
        <v>649.46</v>
      </c>
      <c r="E637" s="11">
        <v>3.0760000000000001</v>
      </c>
      <c r="F637" s="1">
        <v>398.57</v>
      </c>
      <c r="G637" s="11">
        <v>3.53</v>
      </c>
      <c r="H637" s="1">
        <v>76.22</v>
      </c>
      <c r="I637" s="11">
        <v>1.99014</v>
      </c>
      <c r="J637" s="1">
        <v>30.16</v>
      </c>
      <c r="K637" s="11">
        <v>3.00047</v>
      </c>
      <c r="L637" s="1">
        <v>27.13</v>
      </c>
      <c r="M637" s="11">
        <v>6.2</v>
      </c>
      <c r="N637" s="1">
        <v>423.99</v>
      </c>
      <c r="O637" s="11">
        <v>2.8224999999999998</v>
      </c>
      <c r="P637" s="1">
        <f t="shared" si="73"/>
        <v>2324.86</v>
      </c>
      <c r="Q637" s="1">
        <v>2479.39</v>
      </c>
      <c r="R637" s="16">
        <f t="shared" si="74"/>
        <v>1841575.6092500002</v>
      </c>
      <c r="S637" s="20">
        <v>621.09</v>
      </c>
      <c r="T637" s="21">
        <v>190.46</v>
      </c>
      <c r="U637" s="21">
        <v>11.419999999999998</v>
      </c>
      <c r="V637" s="8">
        <v>822.97</v>
      </c>
      <c r="W637" s="25">
        <v>1.238</v>
      </c>
      <c r="X637" s="25">
        <f t="shared" si="75"/>
        <v>254709.215</v>
      </c>
      <c r="Y637" s="1">
        <f t="shared" si="76"/>
        <v>3147.83</v>
      </c>
      <c r="Z637" s="1">
        <f t="shared" si="77"/>
        <v>3302.3599999999997</v>
      </c>
      <c r="AA637" s="1">
        <v>3321.26</v>
      </c>
      <c r="AB637" s="1">
        <f t="shared" si="72"/>
        <v>-173.43000000000029</v>
      </c>
      <c r="AC637" s="29">
        <f t="shared" si="78"/>
        <v>18.900000000000546</v>
      </c>
      <c r="AD637" s="11">
        <f t="shared" si="79"/>
        <v>2096284.8242500003</v>
      </c>
    </row>
    <row r="638" spans="1:30" x14ac:dyDescent="0.3">
      <c r="A638" s="14">
        <v>45966.604166666664</v>
      </c>
      <c r="B638" s="1">
        <v>850.99</v>
      </c>
      <c r="C638" s="11">
        <v>3.2732000000000001</v>
      </c>
      <c r="D638" s="1">
        <v>657.3</v>
      </c>
      <c r="E638" s="11">
        <v>3.0760000000000001</v>
      </c>
      <c r="F638" s="1">
        <v>398.57</v>
      </c>
      <c r="G638" s="11">
        <v>3.53</v>
      </c>
      <c r="H638" s="1">
        <v>75.66</v>
      </c>
      <c r="I638" s="11">
        <v>1.99919</v>
      </c>
      <c r="J638" s="1">
        <v>71.66</v>
      </c>
      <c r="K638" s="11">
        <v>3.0159899999999999</v>
      </c>
      <c r="L638" s="1">
        <v>27.21</v>
      </c>
      <c r="M638" s="11">
        <v>6.2</v>
      </c>
      <c r="N638" s="1">
        <v>412.96</v>
      </c>
      <c r="O638" s="11">
        <v>2.8224999999999998</v>
      </c>
      <c r="P638" s="1">
        <f t="shared" si="73"/>
        <v>2494.35</v>
      </c>
      <c r="Q638" s="1">
        <v>2650.32</v>
      </c>
      <c r="R638" s="16">
        <f t="shared" si="74"/>
        <v>1978983.3817000003</v>
      </c>
      <c r="S638" s="20">
        <v>554.51</v>
      </c>
      <c r="T638" s="21">
        <v>168.26</v>
      </c>
      <c r="U638" s="21">
        <v>12.29</v>
      </c>
      <c r="V638" s="8">
        <v>735.06</v>
      </c>
      <c r="W638" s="25">
        <v>1.238</v>
      </c>
      <c r="X638" s="25">
        <f t="shared" si="75"/>
        <v>227501.06999999998</v>
      </c>
      <c r="Y638" s="1">
        <f t="shared" si="76"/>
        <v>3229.41</v>
      </c>
      <c r="Z638" s="1">
        <f t="shared" si="77"/>
        <v>3385.38</v>
      </c>
      <c r="AA638" s="1">
        <v>3401.02</v>
      </c>
      <c r="AB638" s="1">
        <f t="shared" si="72"/>
        <v>-171.61000000000013</v>
      </c>
      <c r="AC638" s="29">
        <f t="shared" si="78"/>
        <v>15.639999999999873</v>
      </c>
      <c r="AD638" s="11">
        <f t="shared" si="79"/>
        <v>2206484.4517000001</v>
      </c>
    </row>
    <row r="639" spans="1:30" x14ac:dyDescent="0.3">
      <c r="A639" s="14">
        <v>45966.614583333336</v>
      </c>
      <c r="B639" s="1">
        <v>942.12</v>
      </c>
      <c r="C639" s="11">
        <v>3.2732000000000001</v>
      </c>
      <c r="D639" s="1">
        <v>657.84</v>
      </c>
      <c r="E639" s="11">
        <v>3.0760000000000001</v>
      </c>
      <c r="F639" s="1">
        <v>398.57</v>
      </c>
      <c r="G639" s="11">
        <v>3.53</v>
      </c>
      <c r="H639" s="1">
        <v>82.17</v>
      </c>
      <c r="I639" s="11">
        <v>1.9995999999999998</v>
      </c>
      <c r="J639" s="1">
        <v>74.77</v>
      </c>
      <c r="K639" s="11">
        <v>3.0155400000000001</v>
      </c>
      <c r="L639" s="1">
        <v>20.7</v>
      </c>
      <c r="M639" s="11">
        <v>6.2</v>
      </c>
      <c r="N639" s="1">
        <v>402.87</v>
      </c>
      <c r="O639" s="11">
        <v>2.8224999999999998</v>
      </c>
      <c r="P639" s="1">
        <f t="shared" si="73"/>
        <v>2579.0399999999995</v>
      </c>
      <c r="Q639" s="1">
        <v>2671.92</v>
      </c>
      <c r="R639" s="16">
        <f t="shared" si="74"/>
        <v>2042358.6892000004</v>
      </c>
      <c r="S639" s="20">
        <v>588.15</v>
      </c>
      <c r="T639" s="21">
        <v>167.21000000000004</v>
      </c>
      <c r="U639" s="21">
        <v>12.040000000000001</v>
      </c>
      <c r="V639" s="8">
        <v>767.4</v>
      </c>
      <c r="W639" s="25">
        <v>1.238</v>
      </c>
      <c r="X639" s="25">
        <f t="shared" si="75"/>
        <v>237510.3</v>
      </c>
      <c r="Y639" s="1">
        <f t="shared" si="76"/>
        <v>3346.4399999999996</v>
      </c>
      <c r="Z639" s="1">
        <f t="shared" si="77"/>
        <v>3439.32</v>
      </c>
      <c r="AA639" s="1">
        <v>3450.63</v>
      </c>
      <c r="AB639" s="1">
        <f t="shared" si="72"/>
        <v>-104.19000000000051</v>
      </c>
      <c r="AC639" s="29">
        <f t="shared" si="78"/>
        <v>11.309999999999945</v>
      </c>
      <c r="AD639" s="11">
        <f t="shared" si="79"/>
        <v>2279868.9892000002</v>
      </c>
    </row>
    <row r="640" spans="1:30" x14ac:dyDescent="0.3">
      <c r="A640" s="14">
        <v>45966.625</v>
      </c>
      <c r="B640" s="1">
        <v>1069.25</v>
      </c>
      <c r="C640" s="11">
        <v>3.2732000000000001</v>
      </c>
      <c r="D640" s="1">
        <v>657.84</v>
      </c>
      <c r="E640" s="11">
        <v>3.0760000000000001</v>
      </c>
      <c r="F640" s="1">
        <v>398.57</v>
      </c>
      <c r="G640" s="11">
        <v>3.53</v>
      </c>
      <c r="H640" s="1">
        <v>49.71</v>
      </c>
      <c r="I640" s="11">
        <v>2.78098</v>
      </c>
      <c r="J640" s="1">
        <v>65.739999999999995</v>
      </c>
      <c r="K640" s="11">
        <v>2.8908299999999998</v>
      </c>
      <c r="L640" s="1">
        <v>19</v>
      </c>
      <c r="M640" s="11">
        <v>6.2</v>
      </c>
      <c r="N640" s="1">
        <v>404.54</v>
      </c>
      <c r="O640" s="11">
        <v>2.8224999999999998</v>
      </c>
      <c r="P640" s="1">
        <f t="shared" si="73"/>
        <v>2664.65</v>
      </c>
      <c r="Q640" s="1">
        <v>2718.36</v>
      </c>
      <c r="R640" s="16">
        <f t="shared" si="74"/>
        <v>2129559.2175000003</v>
      </c>
      <c r="S640" s="20">
        <v>591.39</v>
      </c>
      <c r="T640" s="21">
        <v>165.08</v>
      </c>
      <c r="U640" s="21">
        <v>11.47</v>
      </c>
      <c r="V640" s="8">
        <v>767.94</v>
      </c>
      <c r="W640" s="25">
        <v>1.238</v>
      </c>
      <c r="X640" s="25">
        <f t="shared" si="75"/>
        <v>237677.43000000002</v>
      </c>
      <c r="Y640" s="1">
        <f t="shared" si="76"/>
        <v>3432.59</v>
      </c>
      <c r="Z640" s="1">
        <f t="shared" si="77"/>
        <v>3486.3</v>
      </c>
      <c r="AA640" s="1">
        <v>3501.23</v>
      </c>
      <c r="AB640" s="1">
        <f t="shared" si="72"/>
        <v>-68.639999999999873</v>
      </c>
      <c r="AC640" s="29">
        <f t="shared" si="78"/>
        <v>14.929999999999836</v>
      </c>
      <c r="AD640" s="11">
        <f t="shared" si="79"/>
        <v>2367236.6475000004</v>
      </c>
    </row>
    <row r="641" spans="1:30" x14ac:dyDescent="0.3">
      <c r="A641" s="14">
        <v>45966.635416666664</v>
      </c>
      <c r="B641" s="1">
        <v>1102.42</v>
      </c>
      <c r="C641" s="11">
        <v>3.2732000000000001</v>
      </c>
      <c r="D641" s="1">
        <v>657.84</v>
      </c>
      <c r="E641" s="11">
        <v>3.0760000000000001</v>
      </c>
      <c r="F641" s="1">
        <v>398.57</v>
      </c>
      <c r="G641" s="11">
        <v>3.53</v>
      </c>
      <c r="H641" s="1">
        <v>55.76</v>
      </c>
      <c r="I641" s="11">
        <v>2.9009399999999999</v>
      </c>
      <c r="J641" s="1">
        <v>100.81</v>
      </c>
      <c r="K641" s="11">
        <v>3.0155400000000001</v>
      </c>
      <c r="L641" s="1">
        <v>12.86</v>
      </c>
      <c r="M641" s="11">
        <v>6.2</v>
      </c>
      <c r="N641" s="1">
        <v>392.2</v>
      </c>
      <c r="O641" s="11">
        <v>2.8224999999999998</v>
      </c>
      <c r="P641" s="1">
        <f t="shared" si="73"/>
        <v>2720.4600000000005</v>
      </c>
      <c r="Q641" s="1">
        <v>2743.25</v>
      </c>
      <c r="R641" s="16">
        <f t="shared" si="74"/>
        <v>2172844.6464500003</v>
      </c>
      <c r="S641" s="20">
        <v>646.36999999999989</v>
      </c>
      <c r="T641" s="21">
        <v>151.21</v>
      </c>
      <c r="U641" s="21">
        <v>12.68</v>
      </c>
      <c r="V641" s="8">
        <v>810.25999999999988</v>
      </c>
      <c r="W641" s="25">
        <v>1.238</v>
      </c>
      <c r="X641" s="25">
        <f t="shared" si="75"/>
        <v>250775.46999999994</v>
      </c>
      <c r="Y641" s="1">
        <f t="shared" si="76"/>
        <v>3530.7200000000003</v>
      </c>
      <c r="Z641" s="1">
        <f t="shared" si="77"/>
        <v>3553.5099999999998</v>
      </c>
      <c r="AA641" s="1">
        <v>3569.39</v>
      </c>
      <c r="AB641" s="1">
        <f t="shared" si="72"/>
        <v>-38.669999999999618</v>
      </c>
      <c r="AC641" s="29">
        <f t="shared" si="78"/>
        <v>15.880000000000109</v>
      </c>
      <c r="AD641" s="11">
        <f t="shared" si="79"/>
        <v>2423620.1164500001</v>
      </c>
    </row>
    <row r="642" spans="1:30" x14ac:dyDescent="0.3">
      <c r="A642" s="14">
        <v>45966.645833333336</v>
      </c>
      <c r="B642" s="1">
        <v>1238.75</v>
      </c>
      <c r="C642" s="11">
        <v>3.2732000000000001</v>
      </c>
      <c r="D642" s="1">
        <v>657.84</v>
      </c>
      <c r="E642" s="11">
        <v>3.0760000000000001</v>
      </c>
      <c r="F642" s="1">
        <v>398.57</v>
      </c>
      <c r="G642" s="11">
        <v>3.53</v>
      </c>
      <c r="H642" s="1">
        <v>60.26</v>
      </c>
      <c r="I642" s="11">
        <v>2.9026999999999998</v>
      </c>
      <c r="J642" s="1">
        <v>52.26</v>
      </c>
      <c r="K642" s="11">
        <v>2.9001300000000003</v>
      </c>
      <c r="L642" s="1">
        <v>7.3</v>
      </c>
      <c r="M642" s="11">
        <v>6.2</v>
      </c>
      <c r="N642" s="1">
        <v>341.99</v>
      </c>
      <c r="O642" s="11">
        <v>2.8224999999999998</v>
      </c>
      <c r="P642" s="1">
        <f t="shared" si="73"/>
        <v>2756.9700000000012</v>
      </c>
      <c r="Q642" s="1">
        <v>2757.22</v>
      </c>
      <c r="R642" s="16">
        <f t="shared" si="74"/>
        <v>2205537.1776999999</v>
      </c>
      <c r="S642" s="20">
        <v>692.19999999999993</v>
      </c>
      <c r="T642" s="21">
        <v>141.19999999999999</v>
      </c>
      <c r="U642" s="21">
        <v>14.96</v>
      </c>
      <c r="V642" s="8">
        <v>848.3599999999999</v>
      </c>
      <c r="W642" s="25">
        <v>1.238</v>
      </c>
      <c r="X642" s="25">
        <f t="shared" si="75"/>
        <v>262567.42</v>
      </c>
      <c r="Y642" s="1">
        <f t="shared" si="76"/>
        <v>3605.3300000000008</v>
      </c>
      <c r="Z642" s="1">
        <f t="shared" si="77"/>
        <v>3605.58</v>
      </c>
      <c r="AA642" s="1">
        <v>3620.02</v>
      </c>
      <c r="AB642" s="1">
        <f t="shared" si="72"/>
        <v>-14.689999999999145</v>
      </c>
      <c r="AC642" s="29">
        <f t="shared" si="78"/>
        <v>14.440000000000055</v>
      </c>
      <c r="AD642" s="11">
        <f t="shared" si="79"/>
        <v>2468104.5976999998</v>
      </c>
    </row>
    <row r="643" spans="1:30" x14ac:dyDescent="0.3">
      <c r="A643" s="14">
        <v>45966.65625</v>
      </c>
      <c r="B643" s="1">
        <v>1324.09</v>
      </c>
      <c r="C643" s="11">
        <v>3.2732000000000001</v>
      </c>
      <c r="D643" s="1">
        <v>657.84</v>
      </c>
      <c r="E643" s="11">
        <v>3.0760000000000001</v>
      </c>
      <c r="F643" s="1">
        <v>398.57</v>
      </c>
      <c r="G643" s="11">
        <v>3.53</v>
      </c>
      <c r="H643" s="1">
        <v>62.17</v>
      </c>
      <c r="I643" s="11">
        <v>2.9029699999999998</v>
      </c>
      <c r="J643" s="1">
        <v>30.86</v>
      </c>
      <c r="K643" s="11">
        <v>2.7879999999999998</v>
      </c>
      <c r="L643" s="1">
        <v>6.95</v>
      </c>
      <c r="M643" s="11">
        <v>6.2</v>
      </c>
      <c r="N643" s="1">
        <v>310.68</v>
      </c>
      <c r="O643" s="11">
        <v>2.8224999999999998</v>
      </c>
      <c r="P643" s="1">
        <f t="shared" si="73"/>
        <v>2791.16</v>
      </c>
      <c r="Q643" s="1">
        <v>2805.5</v>
      </c>
      <c r="R643" s="16">
        <f t="shared" si="74"/>
        <v>2237744.7382250004</v>
      </c>
      <c r="S643" s="20">
        <v>699.62</v>
      </c>
      <c r="T643" s="21">
        <v>130.5</v>
      </c>
      <c r="U643" s="21">
        <v>15.89</v>
      </c>
      <c r="V643" s="8">
        <v>846.01</v>
      </c>
      <c r="W643" s="25">
        <v>1.238</v>
      </c>
      <c r="X643" s="25">
        <f t="shared" si="75"/>
        <v>261840.09500000003</v>
      </c>
      <c r="Y643" s="1">
        <f t="shared" si="76"/>
        <v>3637.17</v>
      </c>
      <c r="Z643" s="1">
        <f t="shared" si="77"/>
        <v>3651.51</v>
      </c>
      <c r="AA643" s="1">
        <v>3662.93</v>
      </c>
      <c r="AB643" s="1">
        <f t="shared" si="72"/>
        <v>-25.759999999999764</v>
      </c>
      <c r="AC643" s="29">
        <f t="shared" si="78"/>
        <v>11.419999999999618</v>
      </c>
      <c r="AD643" s="11">
        <f t="shared" si="79"/>
        <v>2499584.8332250006</v>
      </c>
    </row>
    <row r="644" spans="1:30" x14ac:dyDescent="0.3">
      <c r="A644" s="14">
        <v>45966.666666666664</v>
      </c>
      <c r="B644" s="1">
        <v>1330.34</v>
      </c>
      <c r="C644" s="11">
        <v>3.2732000000000001</v>
      </c>
      <c r="D644" s="1">
        <v>657.84</v>
      </c>
      <c r="E644" s="11">
        <v>3.0760000000000001</v>
      </c>
      <c r="F644" s="1">
        <v>694.11</v>
      </c>
      <c r="G644" s="11">
        <v>3.53</v>
      </c>
      <c r="H644" s="1">
        <v>65.959999999999994</v>
      </c>
      <c r="I644" s="11">
        <v>2.9714200000000002</v>
      </c>
      <c r="J644" s="1">
        <v>75.13</v>
      </c>
      <c r="K644" s="11">
        <v>2.5106299999999999</v>
      </c>
      <c r="L644" s="1">
        <v>4.78</v>
      </c>
      <c r="M644" s="11">
        <v>6.2</v>
      </c>
      <c r="N644" s="1">
        <v>291.51</v>
      </c>
      <c r="O644" s="11">
        <v>2.8224999999999998</v>
      </c>
      <c r="P644" s="1">
        <f t="shared" si="73"/>
        <v>3119.67</v>
      </c>
      <c r="Q644" s="1">
        <v>3152.08</v>
      </c>
      <c r="R644" s="16">
        <f t="shared" si="74"/>
        <v>2516308.6245249999</v>
      </c>
      <c r="S644" s="20">
        <v>393.52</v>
      </c>
      <c r="T644" s="21">
        <v>113.95</v>
      </c>
      <c r="U644" s="21">
        <v>15.219999999999999</v>
      </c>
      <c r="V644" s="8">
        <v>522.68999999999994</v>
      </c>
      <c r="W644" s="25">
        <v>1.238</v>
      </c>
      <c r="X644" s="25">
        <f t="shared" si="75"/>
        <v>161772.55499999999</v>
      </c>
      <c r="Y644" s="1">
        <f t="shared" si="76"/>
        <v>3642.36</v>
      </c>
      <c r="Z644" s="1">
        <f t="shared" si="77"/>
        <v>3674.77</v>
      </c>
      <c r="AA644" s="1">
        <v>3693.93</v>
      </c>
      <c r="AB644" s="1">
        <f t="shared" ref="AB644:AB707" si="80">Y644-AA644</f>
        <v>-51.569999999999709</v>
      </c>
      <c r="AC644" s="29">
        <f t="shared" si="78"/>
        <v>19.159999999999854</v>
      </c>
      <c r="AD644" s="11">
        <f t="shared" si="79"/>
        <v>2678081.179525</v>
      </c>
    </row>
    <row r="645" spans="1:30" x14ac:dyDescent="0.3">
      <c r="A645" s="14">
        <v>45966.677083333336</v>
      </c>
      <c r="B645" s="1">
        <v>1330.35</v>
      </c>
      <c r="C645" s="11">
        <v>3.2732000000000001</v>
      </c>
      <c r="D645" s="1">
        <v>657.84</v>
      </c>
      <c r="E645" s="11">
        <v>3.0760000000000001</v>
      </c>
      <c r="F645" s="1">
        <v>717.12</v>
      </c>
      <c r="G645" s="11">
        <v>3.53</v>
      </c>
      <c r="H645" s="1">
        <v>38.72</v>
      </c>
      <c r="I645" s="11">
        <v>3.0091199999999998</v>
      </c>
      <c r="J645" s="1">
        <v>106.63</v>
      </c>
      <c r="K645" s="11">
        <v>2.1188099999999999</v>
      </c>
      <c r="L645" s="1">
        <v>4.63</v>
      </c>
      <c r="M645" s="11">
        <v>6.2</v>
      </c>
      <c r="N645" s="1">
        <v>274.58999999999997</v>
      </c>
      <c r="O645" s="11">
        <v>2.8224999999999998</v>
      </c>
      <c r="P645" s="1">
        <f t="shared" ref="P645:P708" si="81">(B645+D645+F645+H645+J645+L645+N645)</f>
        <v>3129.88</v>
      </c>
      <c r="Q645" s="1">
        <v>3211.69</v>
      </c>
      <c r="R645" s="16">
        <f t="shared" ref="R645:R708" si="82">(((B645*C645)+(D645*E645)+(F645*G645)+(H645*I645)+(J645*K645)+(L645*M645)+(N645*O645))*(1000/4))</f>
        <v>2513907.2929249997</v>
      </c>
      <c r="S645" s="20">
        <v>355.47999999999996</v>
      </c>
      <c r="T645" s="21">
        <v>101.66000000000001</v>
      </c>
      <c r="U645" s="21">
        <v>14.58</v>
      </c>
      <c r="V645" s="8">
        <v>471.71999999999997</v>
      </c>
      <c r="W645" s="25">
        <v>1.238</v>
      </c>
      <c r="X645" s="25">
        <f t="shared" ref="X645:X708" si="83">((V645*W645*1000)/4)</f>
        <v>145997.33999999997</v>
      </c>
      <c r="Y645" s="1">
        <f t="shared" ref="Y645:Y708" si="84">B645+D645+F645+H645+J645+L645+N645+V645</f>
        <v>3601.6</v>
      </c>
      <c r="Z645" s="1">
        <f t="shared" ref="Z645:Z708" si="85">Q645+V645</f>
        <v>3683.41</v>
      </c>
      <c r="AA645" s="1">
        <v>3691.8</v>
      </c>
      <c r="AB645" s="1">
        <f t="shared" si="80"/>
        <v>-90.200000000000273</v>
      </c>
      <c r="AC645" s="29">
        <f t="shared" ref="AC645:AC708" si="86">AA645-Z645</f>
        <v>8.3900000000003274</v>
      </c>
      <c r="AD645" s="11">
        <f t="shared" ref="AD645:AD708" si="87">(R645+X645)</f>
        <v>2659904.6329249996</v>
      </c>
    </row>
    <row r="646" spans="1:30" x14ac:dyDescent="0.3">
      <c r="A646" s="14">
        <v>45966.6875</v>
      </c>
      <c r="B646" s="1">
        <v>1330.35</v>
      </c>
      <c r="C646" s="11">
        <v>3.2732000000000001</v>
      </c>
      <c r="D646" s="1">
        <v>657.84</v>
      </c>
      <c r="E646" s="11">
        <v>3.0760000000000001</v>
      </c>
      <c r="F646" s="1">
        <v>717.12</v>
      </c>
      <c r="G646" s="11">
        <v>3.53</v>
      </c>
      <c r="H646" s="1">
        <v>-172.36</v>
      </c>
      <c r="I646" s="11">
        <v>3.0807800000000003</v>
      </c>
      <c r="J646" s="1">
        <v>34.53</v>
      </c>
      <c r="K646" s="11">
        <v>3.0356999999999998</v>
      </c>
      <c r="L646" s="1">
        <v>8.8800000000000008</v>
      </c>
      <c r="M646" s="11">
        <v>6.2</v>
      </c>
      <c r="N646" s="1">
        <v>235.52</v>
      </c>
      <c r="O646" s="11">
        <v>2.8224999999999998</v>
      </c>
      <c r="P646" s="1">
        <f t="shared" si="81"/>
        <v>2811.88</v>
      </c>
      <c r="Q646" s="1">
        <v>2915.48</v>
      </c>
      <c r="R646" s="16">
        <f t="shared" si="82"/>
        <v>2300770.43505</v>
      </c>
      <c r="S646" s="20">
        <v>686.06000000000017</v>
      </c>
      <c r="T646" s="21">
        <v>85.86</v>
      </c>
      <c r="U646" s="21">
        <v>15.83</v>
      </c>
      <c r="V646" s="8">
        <v>787.75000000000023</v>
      </c>
      <c r="W646" s="25">
        <v>1.238</v>
      </c>
      <c r="X646" s="25">
        <f t="shared" si="83"/>
        <v>243808.62500000006</v>
      </c>
      <c r="Y646" s="1">
        <f t="shared" si="84"/>
        <v>3599.63</v>
      </c>
      <c r="Z646" s="1">
        <f t="shared" si="85"/>
        <v>3703.2300000000005</v>
      </c>
      <c r="AA646" s="1">
        <v>3708.12</v>
      </c>
      <c r="AB646" s="1">
        <f t="shared" si="80"/>
        <v>-108.48999999999978</v>
      </c>
      <c r="AC646" s="29">
        <f t="shared" si="86"/>
        <v>4.8899999999994179</v>
      </c>
      <c r="AD646" s="11">
        <f t="shared" si="87"/>
        <v>2544579.06005</v>
      </c>
    </row>
    <row r="647" spans="1:30" x14ac:dyDescent="0.3">
      <c r="A647" s="14">
        <v>45966.697916666664</v>
      </c>
      <c r="B647" s="1">
        <v>1330.35</v>
      </c>
      <c r="C647" s="11">
        <v>3.2732000000000001</v>
      </c>
      <c r="D647" s="1">
        <v>657.84</v>
      </c>
      <c r="E647" s="11">
        <v>3.0760000000000001</v>
      </c>
      <c r="F647" s="1">
        <v>717.12</v>
      </c>
      <c r="G647" s="11">
        <v>3.53</v>
      </c>
      <c r="H647" s="1">
        <v>-188.09</v>
      </c>
      <c r="I647" s="11">
        <v>3.3992499999999999</v>
      </c>
      <c r="J647" s="1">
        <v>26.73</v>
      </c>
      <c r="K647" s="11">
        <v>3.22018</v>
      </c>
      <c r="L647" s="1">
        <v>11.85</v>
      </c>
      <c r="M647" s="11">
        <v>6.2</v>
      </c>
      <c r="N647" s="1">
        <v>219.72</v>
      </c>
      <c r="O647" s="11">
        <v>2.8224999999999998</v>
      </c>
      <c r="P647" s="1">
        <f t="shared" si="81"/>
        <v>2775.5199999999995</v>
      </c>
      <c r="Q647" s="1">
        <v>2797.46</v>
      </c>
      <c r="R647" s="16">
        <f t="shared" si="82"/>
        <v>2262447.8097249996</v>
      </c>
      <c r="S647" s="20">
        <v>804.54</v>
      </c>
      <c r="T647" s="21">
        <v>69.269999999999982</v>
      </c>
      <c r="U647" s="21">
        <v>17.23</v>
      </c>
      <c r="V647" s="8">
        <v>891.04</v>
      </c>
      <c r="W647" s="25">
        <v>1.238</v>
      </c>
      <c r="X647" s="25">
        <f t="shared" si="83"/>
        <v>275776.88</v>
      </c>
      <c r="Y647" s="1">
        <f t="shared" si="84"/>
        <v>3666.5599999999995</v>
      </c>
      <c r="Z647" s="1">
        <f t="shared" si="85"/>
        <v>3688.5</v>
      </c>
      <c r="AA647" s="1">
        <v>3697.63</v>
      </c>
      <c r="AB647" s="1">
        <f t="shared" si="80"/>
        <v>-31.070000000000618</v>
      </c>
      <c r="AC647" s="29">
        <f t="shared" si="86"/>
        <v>9.1300000000001091</v>
      </c>
      <c r="AD647" s="11">
        <f t="shared" si="87"/>
        <v>2538224.6897249995</v>
      </c>
    </row>
    <row r="648" spans="1:30" x14ac:dyDescent="0.3">
      <c r="A648" s="14">
        <v>45966.708333333336</v>
      </c>
      <c r="B648" s="1">
        <v>1326.94</v>
      </c>
      <c r="C648" s="11">
        <v>3.2732000000000001</v>
      </c>
      <c r="D648" s="1">
        <v>647.29999999999995</v>
      </c>
      <c r="E648" s="11">
        <v>3.0760000000000001</v>
      </c>
      <c r="F648" s="1">
        <v>717.12</v>
      </c>
      <c r="G648" s="11">
        <v>3.53</v>
      </c>
      <c r="H648" s="1">
        <v>-197.6</v>
      </c>
      <c r="I648" s="11">
        <v>3.4165000000000001</v>
      </c>
      <c r="J648" s="1">
        <v>23.8</v>
      </c>
      <c r="K648" s="11">
        <v>3.0005700000000002</v>
      </c>
      <c r="L648" s="1">
        <v>12.79</v>
      </c>
      <c r="M648" s="11">
        <v>6.2</v>
      </c>
      <c r="N648" s="1">
        <v>185.73</v>
      </c>
      <c r="O648" s="11">
        <v>2.8224999999999998</v>
      </c>
      <c r="P648" s="1">
        <f t="shared" si="81"/>
        <v>2716.0800000000004</v>
      </c>
      <c r="Q648" s="1">
        <v>2716.04</v>
      </c>
      <c r="R648" s="16">
        <f t="shared" si="82"/>
        <v>2216425.6247500004</v>
      </c>
      <c r="S648" s="20">
        <v>884.02</v>
      </c>
      <c r="T648" s="21">
        <v>58.27</v>
      </c>
      <c r="U648" s="21">
        <v>18.509999999999998</v>
      </c>
      <c r="V648" s="8">
        <v>960.8</v>
      </c>
      <c r="W648" s="25">
        <v>1.238</v>
      </c>
      <c r="X648" s="25">
        <f t="shared" si="83"/>
        <v>297367.59999999998</v>
      </c>
      <c r="Y648" s="1">
        <f t="shared" si="84"/>
        <v>3676.88</v>
      </c>
      <c r="Z648" s="1">
        <f t="shared" si="85"/>
        <v>3676.84</v>
      </c>
      <c r="AA648" s="1">
        <v>3687.74</v>
      </c>
      <c r="AB648" s="1">
        <f t="shared" si="80"/>
        <v>-10.859999999999673</v>
      </c>
      <c r="AC648" s="29">
        <f t="shared" si="86"/>
        <v>10.899999999999636</v>
      </c>
      <c r="AD648" s="11">
        <f t="shared" si="87"/>
        <v>2513793.2247500005</v>
      </c>
    </row>
    <row r="649" spans="1:30" x14ac:dyDescent="0.3">
      <c r="A649" s="14">
        <v>45966.71875</v>
      </c>
      <c r="B649" s="1">
        <v>1326.7</v>
      </c>
      <c r="C649" s="11">
        <v>3.2732000000000001</v>
      </c>
      <c r="D649" s="1">
        <v>646.49</v>
      </c>
      <c r="E649" s="11">
        <v>3.0760000000000001</v>
      </c>
      <c r="F649" s="1">
        <v>717.12</v>
      </c>
      <c r="G649" s="11">
        <v>3.53</v>
      </c>
      <c r="H649" s="1">
        <v>-198.51</v>
      </c>
      <c r="I649" s="11">
        <v>3.4514200000000002</v>
      </c>
      <c r="J649" s="1">
        <v>23.61</v>
      </c>
      <c r="K649" s="11">
        <v>2.8509000000000002</v>
      </c>
      <c r="L649" s="1">
        <v>12.84</v>
      </c>
      <c r="M649" s="11">
        <v>6.2</v>
      </c>
      <c r="N649" s="1">
        <v>160.6</v>
      </c>
      <c r="O649" s="11">
        <v>2.8224999999999998</v>
      </c>
      <c r="P649" s="1">
        <f t="shared" si="81"/>
        <v>2688.8500000000004</v>
      </c>
      <c r="Q649" s="1">
        <v>2720.28</v>
      </c>
      <c r="R649" s="16">
        <f t="shared" si="82"/>
        <v>2194415.2862</v>
      </c>
      <c r="S649" s="20">
        <v>915.15</v>
      </c>
      <c r="T649" s="21">
        <v>45.370000000000005</v>
      </c>
      <c r="U649" s="21">
        <v>16.580000000000002</v>
      </c>
      <c r="V649" s="8">
        <v>977.1</v>
      </c>
      <c r="W649" s="25">
        <v>1.238</v>
      </c>
      <c r="X649" s="25">
        <f t="shared" si="83"/>
        <v>302412.44999999995</v>
      </c>
      <c r="Y649" s="1">
        <f t="shared" si="84"/>
        <v>3665.9500000000003</v>
      </c>
      <c r="Z649" s="1">
        <f t="shared" si="85"/>
        <v>3697.38</v>
      </c>
      <c r="AA649" s="1">
        <v>3710.2</v>
      </c>
      <c r="AB649" s="1">
        <f t="shared" si="80"/>
        <v>-44.249999999999545</v>
      </c>
      <c r="AC649" s="29">
        <f t="shared" si="86"/>
        <v>12.819999999999709</v>
      </c>
      <c r="AD649" s="11">
        <f t="shared" si="87"/>
        <v>2496827.7362000002</v>
      </c>
    </row>
    <row r="650" spans="1:30" x14ac:dyDescent="0.3">
      <c r="A650" s="14">
        <v>45966.729166666664</v>
      </c>
      <c r="B650" s="1">
        <v>1435.08</v>
      </c>
      <c r="C650" s="11">
        <v>3.2732000000000001</v>
      </c>
      <c r="D650" s="1">
        <v>646.49</v>
      </c>
      <c r="E650" s="11">
        <v>3.0760000000000001</v>
      </c>
      <c r="F650" s="1">
        <v>717.12</v>
      </c>
      <c r="G650" s="11">
        <v>3.53</v>
      </c>
      <c r="H650" s="1">
        <v>-205.54</v>
      </c>
      <c r="I650" s="11">
        <v>3.5002199999999997</v>
      </c>
      <c r="J650" s="1">
        <v>225.91</v>
      </c>
      <c r="K650" s="11">
        <v>2.30003</v>
      </c>
      <c r="L650" s="1">
        <v>10.31</v>
      </c>
      <c r="M650" s="11">
        <v>6.2</v>
      </c>
      <c r="N650" s="1">
        <v>136.52000000000001</v>
      </c>
      <c r="O650" s="11">
        <v>2.8224999999999998</v>
      </c>
      <c r="P650" s="1">
        <f t="shared" si="81"/>
        <v>2965.8899999999994</v>
      </c>
      <c r="Q650" s="1">
        <v>2943.31</v>
      </c>
      <c r="R650" s="16">
        <f t="shared" si="82"/>
        <v>2366688.7386250002</v>
      </c>
      <c r="S650" s="20">
        <v>710.35</v>
      </c>
      <c r="T650" s="21">
        <v>31.480000000000004</v>
      </c>
      <c r="U650" s="21">
        <v>15.360000000000001</v>
      </c>
      <c r="V650" s="8">
        <v>757.19</v>
      </c>
      <c r="W650" s="25">
        <v>1.238</v>
      </c>
      <c r="X650" s="25">
        <f t="shared" si="83"/>
        <v>234350.30500000002</v>
      </c>
      <c r="Y650" s="1">
        <f t="shared" si="84"/>
        <v>3723.0799999999995</v>
      </c>
      <c r="Z650" s="1">
        <f t="shared" si="85"/>
        <v>3700.5</v>
      </c>
      <c r="AA650" s="1">
        <v>3716.79</v>
      </c>
      <c r="AB650" s="1">
        <f t="shared" si="80"/>
        <v>6.2899999999995089</v>
      </c>
      <c r="AC650" s="29">
        <f t="shared" si="86"/>
        <v>16.289999999999964</v>
      </c>
      <c r="AD650" s="11">
        <f t="shared" si="87"/>
        <v>2601039.0436250004</v>
      </c>
    </row>
    <row r="651" spans="1:30" x14ac:dyDescent="0.3">
      <c r="A651" s="14">
        <v>45966.739583333336</v>
      </c>
      <c r="B651" s="1">
        <v>1442.55</v>
      </c>
      <c r="C651" s="11">
        <v>3.2732000000000001</v>
      </c>
      <c r="D651" s="1">
        <v>646.49</v>
      </c>
      <c r="E651" s="11">
        <v>3.0760000000000001</v>
      </c>
      <c r="F651" s="1">
        <v>717.12</v>
      </c>
      <c r="G651" s="11">
        <v>3.53</v>
      </c>
      <c r="H651" s="1">
        <v>-232.71</v>
      </c>
      <c r="I651" s="11">
        <v>3.6393400000000002</v>
      </c>
      <c r="J651" s="1">
        <v>68.86</v>
      </c>
      <c r="K651" s="11">
        <v>2.5125199999999999</v>
      </c>
      <c r="L651" s="1">
        <v>7.46</v>
      </c>
      <c r="M651" s="11">
        <v>6.2</v>
      </c>
      <c r="N651" s="1">
        <v>114.95</v>
      </c>
      <c r="O651" s="11">
        <v>2.8224999999999998</v>
      </c>
      <c r="P651" s="1">
        <f t="shared" si="81"/>
        <v>2764.72</v>
      </c>
      <c r="Q651" s="1">
        <v>2758.73</v>
      </c>
      <c r="R651" s="16">
        <f t="shared" si="82"/>
        <v>2234647.7976999995</v>
      </c>
      <c r="S651" s="20">
        <v>917.28</v>
      </c>
      <c r="T651" s="21">
        <v>18.689999999999998</v>
      </c>
      <c r="U651" s="21">
        <v>14.31</v>
      </c>
      <c r="V651" s="8">
        <v>950.28</v>
      </c>
      <c r="W651" s="25">
        <v>1.238</v>
      </c>
      <c r="X651" s="25">
        <f t="shared" si="83"/>
        <v>294111.65999999997</v>
      </c>
      <c r="Y651" s="1">
        <f t="shared" si="84"/>
        <v>3715</v>
      </c>
      <c r="Z651" s="1">
        <f t="shared" si="85"/>
        <v>3709.01</v>
      </c>
      <c r="AA651" s="1">
        <v>3713.32</v>
      </c>
      <c r="AB651" s="1">
        <f t="shared" si="80"/>
        <v>1.6799999999998363</v>
      </c>
      <c r="AC651" s="29">
        <f t="shared" si="86"/>
        <v>4.3099999999999454</v>
      </c>
      <c r="AD651" s="11">
        <f t="shared" si="87"/>
        <v>2528759.4576999997</v>
      </c>
    </row>
    <row r="652" spans="1:30" x14ac:dyDescent="0.3">
      <c r="A652" s="14">
        <v>45966.75</v>
      </c>
      <c r="B652" s="1">
        <v>1442.55</v>
      </c>
      <c r="C652" s="11">
        <v>3.2732000000000001</v>
      </c>
      <c r="D652" s="1">
        <v>646.49</v>
      </c>
      <c r="E652" s="11">
        <v>3.0760000000000001</v>
      </c>
      <c r="F652" s="1">
        <v>717.12</v>
      </c>
      <c r="G652" s="11">
        <v>3.53</v>
      </c>
      <c r="H652" s="1">
        <v>-203.12</v>
      </c>
      <c r="I652" s="11">
        <v>3.5529299999999999</v>
      </c>
      <c r="J652" s="1">
        <v>200.56</v>
      </c>
      <c r="K652" s="11">
        <v>1.0007300000000001</v>
      </c>
      <c r="L652" s="1">
        <v>57.72</v>
      </c>
      <c r="M652" s="11">
        <v>6.2</v>
      </c>
      <c r="N652" s="1">
        <v>97.05</v>
      </c>
      <c r="O652" s="11">
        <v>2.8224999999999998</v>
      </c>
      <c r="P652" s="1">
        <f t="shared" si="81"/>
        <v>2958.37</v>
      </c>
      <c r="Q652" s="1">
        <v>3034.62</v>
      </c>
      <c r="R652" s="16">
        <f t="shared" si="82"/>
        <v>2338153.5980499997</v>
      </c>
      <c r="S652" s="20">
        <v>651.96999999999991</v>
      </c>
      <c r="T652" s="21">
        <v>10.500000000000002</v>
      </c>
      <c r="U652" s="21">
        <v>12.54</v>
      </c>
      <c r="V652" s="8">
        <v>675.00999999999988</v>
      </c>
      <c r="W652" s="25">
        <v>1.238</v>
      </c>
      <c r="X652" s="25">
        <f t="shared" si="83"/>
        <v>208915.59499999997</v>
      </c>
      <c r="Y652" s="1">
        <f t="shared" si="84"/>
        <v>3633.3799999999997</v>
      </c>
      <c r="Z652" s="1">
        <f t="shared" si="85"/>
        <v>3709.6299999999997</v>
      </c>
      <c r="AA652" s="1">
        <v>3731.1</v>
      </c>
      <c r="AB652" s="1">
        <f t="shared" si="80"/>
        <v>-97.720000000000255</v>
      </c>
      <c r="AC652" s="29">
        <f t="shared" si="86"/>
        <v>21.470000000000255</v>
      </c>
      <c r="AD652" s="11">
        <f t="shared" si="87"/>
        <v>2547069.1930499999</v>
      </c>
    </row>
    <row r="653" spans="1:30" x14ac:dyDescent="0.3">
      <c r="A653" s="14">
        <v>45966.760416666664</v>
      </c>
      <c r="B653" s="1">
        <v>1442.55</v>
      </c>
      <c r="C653" s="11">
        <v>3.2732000000000001</v>
      </c>
      <c r="D653" s="1">
        <v>646.49</v>
      </c>
      <c r="E653" s="11">
        <v>3.0760000000000001</v>
      </c>
      <c r="F653" s="1">
        <v>717.12</v>
      </c>
      <c r="G653" s="11">
        <v>3.53</v>
      </c>
      <c r="H653" s="1">
        <v>31.48</v>
      </c>
      <c r="I653" s="11">
        <v>3.6498600000000003</v>
      </c>
      <c r="J653" s="1">
        <v>121.35</v>
      </c>
      <c r="K653" s="11">
        <v>2.3497399999999997</v>
      </c>
      <c r="L653" s="1">
        <v>61.02</v>
      </c>
      <c r="M653" s="11">
        <v>6.2</v>
      </c>
      <c r="N653" s="1">
        <v>82.99</v>
      </c>
      <c r="O653" s="11">
        <v>2.8224999999999998</v>
      </c>
      <c r="P653" s="1">
        <f t="shared" si="81"/>
        <v>3102.9999999999995</v>
      </c>
      <c r="Q653" s="1">
        <v>3095.9</v>
      </c>
      <c r="R653" s="16">
        <f t="shared" si="82"/>
        <v>2563598.3292</v>
      </c>
      <c r="S653" s="20">
        <v>624.24</v>
      </c>
      <c r="T653" s="21">
        <v>4.6400000000000006</v>
      </c>
      <c r="U653" s="21">
        <v>11.77</v>
      </c>
      <c r="V653" s="8">
        <v>640.65</v>
      </c>
      <c r="W653" s="25">
        <v>1.238</v>
      </c>
      <c r="X653" s="25">
        <f t="shared" si="83"/>
        <v>198281.17499999999</v>
      </c>
      <c r="Y653" s="1">
        <f t="shared" si="84"/>
        <v>3743.6499999999996</v>
      </c>
      <c r="Z653" s="1">
        <f t="shared" si="85"/>
        <v>3736.55</v>
      </c>
      <c r="AA653" s="1">
        <v>3770.33</v>
      </c>
      <c r="AB653" s="1">
        <f t="shared" si="80"/>
        <v>-26.680000000000291</v>
      </c>
      <c r="AC653" s="29">
        <f t="shared" si="86"/>
        <v>33.779999999999745</v>
      </c>
      <c r="AD653" s="11">
        <f t="shared" si="87"/>
        <v>2761879.5041999999</v>
      </c>
    </row>
    <row r="654" spans="1:30" x14ac:dyDescent="0.3">
      <c r="A654" s="14">
        <v>45966.770833333336</v>
      </c>
      <c r="B654" s="1">
        <v>1442.55</v>
      </c>
      <c r="C654" s="11">
        <v>3.2732000000000001</v>
      </c>
      <c r="D654" s="1">
        <v>646.49</v>
      </c>
      <c r="E654" s="11">
        <v>3.0760000000000001</v>
      </c>
      <c r="F654" s="1">
        <v>717.12</v>
      </c>
      <c r="G654" s="11">
        <v>3.53</v>
      </c>
      <c r="H654" s="1">
        <v>49.17</v>
      </c>
      <c r="I654" s="11">
        <v>3.9453499999999999</v>
      </c>
      <c r="J654" s="1">
        <v>25.56</v>
      </c>
      <c r="K654" s="11">
        <v>3.6402100000000002</v>
      </c>
      <c r="L654" s="1">
        <v>60.74</v>
      </c>
      <c r="M654" s="11">
        <v>6.2</v>
      </c>
      <c r="N654" s="1">
        <v>71.97</v>
      </c>
      <c r="O654" s="11">
        <v>2.8224999999999998</v>
      </c>
      <c r="P654" s="1">
        <f t="shared" si="81"/>
        <v>3013.5999999999995</v>
      </c>
      <c r="Q654" s="1">
        <v>3009.17</v>
      </c>
      <c r="R654" s="16">
        <f t="shared" si="82"/>
        <v>2527137.8630249999</v>
      </c>
      <c r="S654" s="20">
        <v>873.56999999999994</v>
      </c>
      <c r="T654" s="21">
        <v>0.82999999999999985</v>
      </c>
      <c r="U654" s="21">
        <v>13.73</v>
      </c>
      <c r="V654" s="8">
        <v>888.13</v>
      </c>
      <c r="W654" s="25">
        <v>1.238</v>
      </c>
      <c r="X654" s="25">
        <f t="shared" si="83"/>
        <v>274876.23499999999</v>
      </c>
      <c r="Y654" s="1">
        <f t="shared" si="84"/>
        <v>3901.7299999999996</v>
      </c>
      <c r="Z654" s="1">
        <f t="shared" si="85"/>
        <v>3897.3</v>
      </c>
      <c r="AA654" s="1">
        <v>3925.4</v>
      </c>
      <c r="AB654" s="1">
        <f t="shared" si="80"/>
        <v>-23.670000000000528</v>
      </c>
      <c r="AC654" s="29">
        <f t="shared" si="86"/>
        <v>28.099999999999909</v>
      </c>
      <c r="AD654" s="11">
        <f t="shared" si="87"/>
        <v>2802014.0980249997</v>
      </c>
    </row>
    <row r="655" spans="1:30" x14ac:dyDescent="0.3">
      <c r="A655" s="14">
        <v>45966.78125</v>
      </c>
      <c r="B655" s="1">
        <v>1442.55</v>
      </c>
      <c r="C655" s="11">
        <v>3.2732000000000001</v>
      </c>
      <c r="D655" s="1">
        <v>646.49</v>
      </c>
      <c r="E655" s="11">
        <v>3.0760000000000001</v>
      </c>
      <c r="F655" s="1">
        <v>717.12</v>
      </c>
      <c r="G655" s="11">
        <v>3.53</v>
      </c>
      <c r="H655" s="1">
        <v>49.16</v>
      </c>
      <c r="I655" s="11">
        <v>4.2897700000000007</v>
      </c>
      <c r="J655" s="1">
        <v>242.56</v>
      </c>
      <c r="K655" s="11">
        <v>3.9996900000000002</v>
      </c>
      <c r="L655" s="1">
        <v>61.16</v>
      </c>
      <c r="M655" s="11">
        <v>6.2</v>
      </c>
      <c r="N655" s="1">
        <v>53.35</v>
      </c>
      <c r="O655" s="11">
        <v>2.8224999999999998</v>
      </c>
      <c r="P655" s="1">
        <f t="shared" si="81"/>
        <v>3212.3899999999994</v>
      </c>
      <c r="Q655" s="1">
        <v>3183.23</v>
      </c>
      <c r="R655" s="16">
        <f t="shared" si="82"/>
        <v>2738153.4436500003</v>
      </c>
      <c r="S655" s="20">
        <v>917.11000000000013</v>
      </c>
      <c r="T655" s="21">
        <v>0.33</v>
      </c>
      <c r="U655" s="21">
        <v>14.760000000000002</v>
      </c>
      <c r="V655" s="8">
        <v>932.20000000000016</v>
      </c>
      <c r="W655" s="25">
        <v>1.238</v>
      </c>
      <c r="X655" s="25">
        <f t="shared" si="83"/>
        <v>288515.90000000002</v>
      </c>
      <c r="Y655" s="1">
        <f t="shared" si="84"/>
        <v>4144.5899999999992</v>
      </c>
      <c r="Z655" s="1">
        <f t="shared" si="85"/>
        <v>4115.43</v>
      </c>
      <c r="AA655" s="1">
        <v>4158.8</v>
      </c>
      <c r="AB655" s="1">
        <f t="shared" si="80"/>
        <v>-14.210000000000946</v>
      </c>
      <c r="AC655" s="29">
        <f t="shared" si="86"/>
        <v>43.369999999999891</v>
      </c>
      <c r="AD655" s="11">
        <f t="shared" si="87"/>
        <v>3026669.3436500002</v>
      </c>
    </row>
    <row r="656" spans="1:30" x14ac:dyDescent="0.3">
      <c r="A656" s="14">
        <v>45966.791666666664</v>
      </c>
      <c r="B656" s="1">
        <v>1442.55</v>
      </c>
      <c r="C656" s="11">
        <v>3.2732000000000001</v>
      </c>
      <c r="D656" s="1">
        <v>646.49</v>
      </c>
      <c r="E656" s="11">
        <v>3.0760000000000001</v>
      </c>
      <c r="F656" s="1">
        <v>717.12</v>
      </c>
      <c r="G656" s="11">
        <v>3.53</v>
      </c>
      <c r="H656" s="1">
        <v>81.489999999999995</v>
      </c>
      <c r="I656" s="11">
        <v>4.6798599999999997</v>
      </c>
      <c r="J656" s="1">
        <v>-1.02</v>
      </c>
      <c r="K656" s="11">
        <v>4.7896400000000003</v>
      </c>
      <c r="L656" s="1">
        <v>28.87</v>
      </c>
      <c r="M656" s="11">
        <v>6.2</v>
      </c>
      <c r="N656" s="1">
        <v>54.58</v>
      </c>
      <c r="O656" s="11">
        <v>2.8224999999999998</v>
      </c>
      <c r="P656" s="1">
        <f t="shared" si="81"/>
        <v>2970.0799999999995</v>
      </c>
      <c r="Q656" s="1">
        <v>2928.26</v>
      </c>
      <c r="R656" s="16">
        <f t="shared" si="82"/>
        <v>2487828.4771500002</v>
      </c>
      <c r="S656" s="20">
        <v>1350.0500000000004</v>
      </c>
      <c r="T656" s="21">
        <v>0.24</v>
      </c>
      <c r="U656" s="21">
        <v>13.030000000000001</v>
      </c>
      <c r="V656" s="8">
        <v>1363.3200000000004</v>
      </c>
      <c r="W656" s="25">
        <v>1.238</v>
      </c>
      <c r="X656" s="25">
        <f t="shared" si="83"/>
        <v>421947.5400000001</v>
      </c>
      <c r="Y656" s="1">
        <f t="shared" si="84"/>
        <v>4333.3999999999996</v>
      </c>
      <c r="Z656" s="1">
        <f t="shared" si="85"/>
        <v>4291.5800000000008</v>
      </c>
      <c r="AA656" s="1">
        <v>4339.2</v>
      </c>
      <c r="AB656" s="1">
        <f t="shared" si="80"/>
        <v>-5.8000000000001819</v>
      </c>
      <c r="AC656" s="29">
        <f t="shared" si="86"/>
        <v>47.619999999998981</v>
      </c>
      <c r="AD656" s="11">
        <f t="shared" si="87"/>
        <v>2909776.0171500002</v>
      </c>
    </row>
    <row r="657" spans="1:30" x14ac:dyDescent="0.3">
      <c r="A657" s="14">
        <v>45966.802083333336</v>
      </c>
      <c r="B657" s="1">
        <v>1442.55</v>
      </c>
      <c r="C657" s="11">
        <v>3.2732000000000001</v>
      </c>
      <c r="D657" s="1">
        <v>646.49</v>
      </c>
      <c r="E657" s="11">
        <v>3.0760000000000001</v>
      </c>
      <c r="F657" s="1">
        <v>717.12</v>
      </c>
      <c r="G657" s="11">
        <v>3.53</v>
      </c>
      <c r="H657" s="1">
        <v>-18.079999999999998</v>
      </c>
      <c r="I657" s="11">
        <v>5.0095799999999997</v>
      </c>
      <c r="J657" s="1">
        <v>1.53</v>
      </c>
      <c r="K657" s="11">
        <v>5.0751899999999992</v>
      </c>
      <c r="L657" s="1">
        <v>18.260000000000002</v>
      </c>
      <c r="M657" s="11">
        <v>6.2</v>
      </c>
      <c r="N657" s="1">
        <v>48.97</v>
      </c>
      <c r="O657" s="11">
        <v>2.8224999999999998</v>
      </c>
      <c r="P657" s="1">
        <f t="shared" si="81"/>
        <v>2856.84</v>
      </c>
      <c r="Q657" s="1">
        <v>2828.09</v>
      </c>
      <c r="R657" s="16">
        <f t="shared" si="82"/>
        <v>2352603.2898249994</v>
      </c>
      <c r="S657" s="20">
        <v>1519.1699999999998</v>
      </c>
      <c r="T657" s="21">
        <v>0.25</v>
      </c>
      <c r="U657" s="21">
        <v>13.44</v>
      </c>
      <c r="V657" s="8">
        <v>1532.86</v>
      </c>
      <c r="W657" s="25">
        <v>1.238</v>
      </c>
      <c r="X657" s="25">
        <f t="shared" si="83"/>
        <v>474420.17</v>
      </c>
      <c r="Y657" s="1">
        <f t="shared" si="84"/>
        <v>4389.7</v>
      </c>
      <c r="Z657" s="1">
        <f t="shared" si="85"/>
        <v>4360.95</v>
      </c>
      <c r="AA657" s="1">
        <v>4408.3599999999997</v>
      </c>
      <c r="AB657" s="1">
        <f t="shared" si="80"/>
        <v>-18.659999999999854</v>
      </c>
      <c r="AC657" s="29">
        <f t="shared" si="86"/>
        <v>47.409999999999854</v>
      </c>
      <c r="AD657" s="11">
        <f t="shared" si="87"/>
        <v>2827023.4598249993</v>
      </c>
    </row>
    <row r="658" spans="1:30" x14ac:dyDescent="0.3">
      <c r="A658" s="14">
        <v>45966.8125</v>
      </c>
      <c r="B658" s="1">
        <v>1445.77</v>
      </c>
      <c r="C658" s="11">
        <v>3.2732000000000001</v>
      </c>
      <c r="D658" s="1">
        <v>646.49</v>
      </c>
      <c r="E658" s="11">
        <v>3.0760000000000001</v>
      </c>
      <c r="F658" s="1">
        <v>717.12</v>
      </c>
      <c r="G658" s="11">
        <v>3.53</v>
      </c>
      <c r="H658" s="1">
        <v>37.549999999999997</v>
      </c>
      <c r="I658" s="11">
        <v>5.0092100000000004</v>
      </c>
      <c r="J658" s="1">
        <v>16.7</v>
      </c>
      <c r="K658" s="11">
        <v>4.4996499999999999</v>
      </c>
      <c r="L658" s="1">
        <v>25.61</v>
      </c>
      <c r="M658" s="11">
        <v>6.2</v>
      </c>
      <c r="N658" s="1">
        <v>46.35</v>
      </c>
      <c r="O658" s="11">
        <v>2.8224999999999998</v>
      </c>
      <c r="P658" s="1">
        <f t="shared" si="81"/>
        <v>2935.59</v>
      </c>
      <c r="Q658" s="1">
        <v>2843.56</v>
      </c>
      <c r="R658" s="16">
        <f t="shared" si="82"/>
        <v>2451294.0173749998</v>
      </c>
      <c r="S658" s="20">
        <v>1486.4800000000002</v>
      </c>
      <c r="T658" s="21">
        <v>0.24</v>
      </c>
      <c r="U658" s="21">
        <v>14.31</v>
      </c>
      <c r="V658" s="8">
        <v>1501.0300000000002</v>
      </c>
      <c r="W658" s="25">
        <v>1.238</v>
      </c>
      <c r="X658" s="25">
        <f t="shared" si="83"/>
        <v>464568.78500000003</v>
      </c>
      <c r="Y658" s="1">
        <f t="shared" si="84"/>
        <v>4436.6200000000008</v>
      </c>
      <c r="Z658" s="1">
        <f t="shared" si="85"/>
        <v>4344.59</v>
      </c>
      <c r="AA658" s="1">
        <v>4401.59</v>
      </c>
      <c r="AB658" s="1">
        <f t="shared" si="80"/>
        <v>35.030000000000655</v>
      </c>
      <c r="AC658" s="29">
        <f t="shared" si="86"/>
        <v>57</v>
      </c>
      <c r="AD658" s="11">
        <f t="shared" si="87"/>
        <v>2915862.802375</v>
      </c>
    </row>
    <row r="659" spans="1:30" x14ac:dyDescent="0.3">
      <c r="A659" s="14">
        <v>45966.822916666664</v>
      </c>
      <c r="B659" s="1">
        <v>1446.99</v>
      </c>
      <c r="C659" s="11">
        <v>3.2732000000000001</v>
      </c>
      <c r="D659" s="1">
        <v>646.49</v>
      </c>
      <c r="E659" s="11">
        <v>3.0760000000000001</v>
      </c>
      <c r="F659" s="1">
        <v>717.12</v>
      </c>
      <c r="G659" s="11">
        <v>3.53</v>
      </c>
      <c r="H659" s="1">
        <v>-104.82</v>
      </c>
      <c r="I659" s="11">
        <v>5.1004700000000005</v>
      </c>
      <c r="J659" s="1">
        <v>17.63</v>
      </c>
      <c r="K659" s="11">
        <v>4.5001300000000004</v>
      </c>
      <c r="L659" s="1">
        <v>26.34</v>
      </c>
      <c r="M659" s="11">
        <v>6.2</v>
      </c>
      <c r="N659" s="1">
        <v>43.15</v>
      </c>
      <c r="O659" s="11">
        <v>2.8224999999999998</v>
      </c>
      <c r="P659" s="1">
        <f t="shared" si="81"/>
        <v>2792.9</v>
      </c>
      <c r="Q659" s="1">
        <v>2754.4</v>
      </c>
      <c r="R659" s="16">
        <f t="shared" si="82"/>
        <v>2271532.3523749998</v>
      </c>
      <c r="S659" s="20">
        <v>1602.3400000000004</v>
      </c>
      <c r="T659" s="21">
        <v>0.24</v>
      </c>
      <c r="U659" s="21">
        <v>15.469999999999999</v>
      </c>
      <c r="V659" s="8">
        <v>1618.0500000000004</v>
      </c>
      <c r="W659" s="25">
        <v>1.238</v>
      </c>
      <c r="X659" s="25">
        <f t="shared" si="83"/>
        <v>500786.47500000009</v>
      </c>
      <c r="Y659" s="1">
        <f t="shared" si="84"/>
        <v>4410.9500000000007</v>
      </c>
      <c r="Z659" s="1">
        <f t="shared" si="85"/>
        <v>4372.4500000000007</v>
      </c>
      <c r="AA659" s="1">
        <v>4420.08</v>
      </c>
      <c r="AB659" s="1">
        <f t="shared" si="80"/>
        <v>-9.1299999999991996</v>
      </c>
      <c r="AC659" s="29">
        <f t="shared" si="86"/>
        <v>47.6299999999992</v>
      </c>
      <c r="AD659" s="11">
        <f t="shared" si="87"/>
        <v>2772318.8273749999</v>
      </c>
    </row>
    <row r="660" spans="1:30" x14ac:dyDescent="0.3">
      <c r="A660" s="14">
        <v>45966.833333333336</v>
      </c>
      <c r="B660" s="1">
        <v>1447.07</v>
      </c>
      <c r="C660" s="11">
        <v>3.2732000000000001</v>
      </c>
      <c r="D660" s="1">
        <v>646.49</v>
      </c>
      <c r="E660" s="11">
        <v>3.0760000000000001</v>
      </c>
      <c r="F660" s="1">
        <v>717.12</v>
      </c>
      <c r="G660" s="11">
        <v>3.53</v>
      </c>
      <c r="H660" s="1">
        <v>-142.38</v>
      </c>
      <c r="I660" s="11">
        <v>5.0793999999999997</v>
      </c>
      <c r="J660" s="1">
        <v>91.95</v>
      </c>
      <c r="K660" s="11">
        <v>3.8805999999999998</v>
      </c>
      <c r="L660" s="1">
        <v>18.95</v>
      </c>
      <c r="M660" s="11">
        <v>6.2</v>
      </c>
      <c r="N660" s="1">
        <v>40.65</v>
      </c>
      <c r="O660" s="11">
        <v>2.8224999999999998</v>
      </c>
      <c r="P660" s="1">
        <f t="shared" si="81"/>
        <v>2819.8499999999995</v>
      </c>
      <c r="Q660" s="1">
        <v>2769.76</v>
      </c>
      <c r="R660" s="16">
        <f t="shared" si="82"/>
        <v>2280606.7967499997</v>
      </c>
      <c r="S660" s="20">
        <v>1600.51</v>
      </c>
      <c r="T660" s="21">
        <v>0.24</v>
      </c>
      <c r="U660" s="21">
        <v>14.97</v>
      </c>
      <c r="V660" s="8">
        <v>1615.72</v>
      </c>
      <c r="W660" s="25">
        <v>1.238</v>
      </c>
      <c r="X660" s="25">
        <f t="shared" si="83"/>
        <v>500065.33999999997</v>
      </c>
      <c r="Y660" s="1">
        <f t="shared" si="84"/>
        <v>4435.57</v>
      </c>
      <c r="Z660" s="1">
        <f t="shared" si="85"/>
        <v>4385.4800000000005</v>
      </c>
      <c r="AA660" s="1">
        <v>4439.41</v>
      </c>
      <c r="AB660" s="1">
        <f t="shared" si="80"/>
        <v>-3.8400000000001455</v>
      </c>
      <c r="AC660" s="29">
        <f t="shared" si="86"/>
        <v>53.929999999999382</v>
      </c>
      <c r="AD660" s="11">
        <f t="shared" si="87"/>
        <v>2780672.1367499996</v>
      </c>
    </row>
    <row r="661" spans="1:30" x14ac:dyDescent="0.3">
      <c r="A661" s="14">
        <v>45966.84375</v>
      </c>
      <c r="B661" s="1">
        <v>1447.07</v>
      </c>
      <c r="C661" s="11">
        <v>3.2732000000000001</v>
      </c>
      <c r="D661" s="1">
        <v>646.49</v>
      </c>
      <c r="E661" s="11">
        <v>3.0760000000000001</v>
      </c>
      <c r="F661" s="1">
        <v>717.12</v>
      </c>
      <c r="G661" s="11">
        <v>3.53</v>
      </c>
      <c r="H661" s="1">
        <v>-143.91999999999999</v>
      </c>
      <c r="I661" s="11">
        <v>5.1400500000000005</v>
      </c>
      <c r="J661" s="1">
        <v>97.07</v>
      </c>
      <c r="K661" s="11">
        <v>3.8808699999999998</v>
      </c>
      <c r="L661" s="1">
        <v>14.16</v>
      </c>
      <c r="M661" s="11">
        <v>6.2</v>
      </c>
      <c r="N661" s="1">
        <v>37.450000000000003</v>
      </c>
      <c r="O661" s="11">
        <v>2.8224999999999998</v>
      </c>
      <c r="P661" s="1">
        <f t="shared" si="81"/>
        <v>2815.4399999999996</v>
      </c>
      <c r="Q661" s="1">
        <v>2816.57</v>
      </c>
      <c r="R661" s="16">
        <f t="shared" si="82"/>
        <v>2271760.260975</v>
      </c>
      <c r="S661" s="20">
        <v>1574.83</v>
      </c>
      <c r="T661" s="21">
        <v>0.23000000000000004</v>
      </c>
      <c r="U661" s="21">
        <v>15.03</v>
      </c>
      <c r="V661" s="8">
        <v>1590.09</v>
      </c>
      <c r="W661" s="25">
        <v>1.238</v>
      </c>
      <c r="X661" s="25">
        <f t="shared" si="83"/>
        <v>492132.85499999992</v>
      </c>
      <c r="Y661" s="1">
        <f t="shared" si="84"/>
        <v>4405.53</v>
      </c>
      <c r="Z661" s="1">
        <f t="shared" si="85"/>
        <v>4406.66</v>
      </c>
      <c r="AA661" s="1">
        <v>4455.01</v>
      </c>
      <c r="AB661" s="1">
        <f t="shared" si="80"/>
        <v>-49.480000000000473</v>
      </c>
      <c r="AC661" s="29">
        <f t="shared" si="86"/>
        <v>48.350000000000364</v>
      </c>
      <c r="AD661" s="11">
        <f t="shared" si="87"/>
        <v>2763893.115975</v>
      </c>
    </row>
    <row r="662" spans="1:30" x14ac:dyDescent="0.3">
      <c r="A662" s="14">
        <v>45966.854166666664</v>
      </c>
      <c r="B662" s="1">
        <v>1447.07</v>
      </c>
      <c r="C662" s="11">
        <v>3.2732000000000001</v>
      </c>
      <c r="D662" s="1">
        <v>646.49</v>
      </c>
      <c r="E662" s="11">
        <v>3.0760000000000001</v>
      </c>
      <c r="F662" s="1">
        <v>717.12</v>
      </c>
      <c r="G662" s="11">
        <v>3.53</v>
      </c>
      <c r="H662" s="1">
        <v>-153.91999999999999</v>
      </c>
      <c r="I662" s="11">
        <v>6.1866300000000001</v>
      </c>
      <c r="J662" s="1">
        <v>114.99</v>
      </c>
      <c r="K662" s="11">
        <v>3.77135</v>
      </c>
      <c r="L662" s="1">
        <v>15.68</v>
      </c>
      <c r="M662" s="11">
        <v>6.2</v>
      </c>
      <c r="N662" s="1">
        <v>34.700000000000003</v>
      </c>
      <c r="O662" s="11">
        <v>2.8224999999999998</v>
      </c>
      <c r="P662" s="1">
        <f t="shared" si="81"/>
        <v>2822.1299999999992</v>
      </c>
      <c r="Q662" s="1">
        <v>2779.5</v>
      </c>
      <c r="R662" s="16">
        <f t="shared" si="82"/>
        <v>2233291.1402250002</v>
      </c>
      <c r="S662" s="20">
        <v>1613.0200000000002</v>
      </c>
      <c r="T662" s="21">
        <v>0.22000000000000003</v>
      </c>
      <c r="U662" s="21">
        <v>15.879999999999999</v>
      </c>
      <c r="V662" s="8">
        <v>1629.1200000000003</v>
      </c>
      <c r="W662" s="25">
        <v>1.238</v>
      </c>
      <c r="X662" s="25">
        <f t="shared" si="83"/>
        <v>504212.64000000007</v>
      </c>
      <c r="Y662" s="1">
        <f t="shared" si="84"/>
        <v>4451.25</v>
      </c>
      <c r="Z662" s="1">
        <f t="shared" si="85"/>
        <v>4408.6200000000008</v>
      </c>
      <c r="AA662" s="1">
        <v>4464</v>
      </c>
      <c r="AB662" s="1">
        <f t="shared" si="80"/>
        <v>-12.75</v>
      </c>
      <c r="AC662" s="29">
        <f t="shared" si="86"/>
        <v>55.3799999999992</v>
      </c>
      <c r="AD662" s="11">
        <f t="shared" si="87"/>
        <v>2737503.7802250003</v>
      </c>
    </row>
    <row r="663" spans="1:30" x14ac:dyDescent="0.3">
      <c r="A663" s="14">
        <v>45966.864583333336</v>
      </c>
      <c r="B663" s="1">
        <v>1447.07</v>
      </c>
      <c r="C663" s="11">
        <v>3.2732000000000001</v>
      </c>
      <c r="D663" s="1">
        <v>646.49</v>
      </c>
      <c r="E663" s="11">
        <v>3.0760000000000001</v>
      </c>
      <c r="F663" s="1">
        <v>717.12</v>
      </c>
      <c r="G663" s="11">
        <v>3.53</v>
      </c>
      <c r="H663" s="1">
        <v>-184.29</v>
      </c>
      <c r="I663" s="11">
        <v>7.02902</v>
      </c>
      <c r="J663" s="1">
        <v>219.89</v>
      </c>
      <c r="K663" s="11">
        <v>3.8992499999999999</v>
      </c>
      <c r="L663" s="1">
        <v>7.98</v>
      </c>
      <c r="M663" s="11">
        <v>6.2</v>
      </c>
      <c r="N663" s="1">
        <v>32.56</v>
      </c>
      <c r="O663" s="11">
        <v>2.8224999999999998</v>
      </c>
      <c r="P663" s="1">
        <f t="shared" si="81"/>
        <v>2886.8199999999997</v>
      </c>
      <c r="Q663" s="1">
        <v>2793.71</v>
      </c>
      <c r="R663" s="16">
        <f t="shared" si="82"/>
        <v>2239997.7376750009</v>
      </c>
      <c r="S663" s="20">
        <v>1615.9099999999996</v>
      </c>
      <c r="T663" s="21">
        <v>0.22000000000000003</v>
      </c>
      <c r="U663" s="21">
        <v>15.780000000000001</v>
      </c>
      <c r="V663" s="8">
        <v>1631.9099999999996</v>
      </c>
      <c r="W663" s="25">
        <v>1.238</v>
      </c>
      <c r="X663" s="25">
        <f t="shared" si="83"/>
        <v>505076.1449999999</v>
      </c>
      <c r="Y663" s="1">
        <f t="shared" si="84"/>
        <v>4518.7299999999996</v>
      </c>
      <c r="Z663" s="1">
        <f t="shared" si="85"/>
        <v>4425.62</v>
      </c>
      <c r="AA663" s="1">
        <v>4477.84</v>
      </c>
      <c r="AB663" s="1">
        <f t="shared" si="80"/>
        <v>40.889999999999418</v>
      </c>
      <c r="AC663" s="29">
        <f t="shared" si="86"/>
        <v>52.220000000000255</v>
      </c>
      <c r="AD663" s="11">
        <f t="shared" si="87"/>
        <v>2745073.8826750009</v>
      </c>
    </row>
    <row r="664" spans="1:30" x14ac:dyDescent="0.3">
      <c r="A664" s="14">
        <v>45966.875</v>
      </c>
      <c r="B664" s="1">
        <v>1447.07</v>
      </c>
      <c r="C664" s="11">
        <v>3.2732000000000001</v>
      </c>
      <c r="D664" s="1">
        <v>646.49</v>
      </c>
      <c r="E664" s="11">
        <v>3.0760000000000001</v>
      </c>
      <c r="F664" s="1">
        <v>717.12</v>
      </c>
      <c r="G664" s="11">
        <v>3.53</v>
      </c>
      <c r="H664" s="1">
        <v>-154.33000000000001</v>
      </c>
      <c r="I664" s="11">
        <v>8.0002800000000001</v>
      </c>
      <c r="J664" s="1">
        <v>329.41</v>
      </c>
      <c r="K664" s="11">
        <v>4.75061</v>
      </c>
      <c r="L664" s="1">
        <v>0.47</v>
      </c>
      <c r="M664" s="11">
        <v>6.2</v>
      </c>
      <c r="N664" s="1">
        <v>29.59</v>
      </c>
      <c r="O664" s="11">
        <v>2.8224999999999998</v>
      </c>
      <c r="P664" s="1">
        <f t="shared" si="81"/>
        <v>3015.8199999999997</v>
      </c>
      <c r="Q664" s="1">
        <v>2924.98</v>
      </c>
      <c r="R664" s="16">
        <f t="shared" si="82"/>
        <v>2418308.3416750007</v>
      </c>
      <c r="S664" s="20">
        <v>1544.8600000000001</v>
      </c>
      <c r="T664" s="21">
        <v>0.22000000000000003</v>
      </c>
      <c r="U664" s="21">
        <v>15.290000000000001</v>
      </c>
      <c r="V664" s="8">
        <v>1560.3700000000001</v>
      </c>
      <c r="W664" s="25">
        <v>1.238</v>
      </c>
      <c r="X664" s="25">
        <f t="shared" si="83"/>
        <v>482934.51500000001</v>
      </c>
      <c r="Y664" s="1">
        <f t="shared" si="84"/>
        <v>4576.1899999999996</v>
      </c>
      <c r="Z664" s="1">
        <f t="shared" si="85"/>
        <v>4485.3500000000004</v>
      </c>
      <c r="AA664" s="1">
        <v>4538.5200000000004</v>
      </c>
      <c r="AB664" s="1">
        <f t="shared" si="80"/>
        <v>37.669999999999163</v>
      </c>
      <c r="AC664" s="29">
        <f t="shared" si="86"/>
        <v>53.170000000000073</v>
      </c>
      <c r="AD664" s="11">
        <f t="shared" si="87"/>
        <v>2901242.8566750009</v>
      </c>
    </row>
    <row r="665" spans="1:30" x14ac:dyDescent="0.3">
      <c r="A665" s="14">
        <v>45966.885416666664</v>
      </c>
      <c r="B665" s="1">
        <v>1447.07</v>
      </c>
      <c r="C665" s="11">
        <v>3.2732000000000001</v>
      </c>
      <c r="D665" s="1">
        <v>646.49</v>
      </c>
      <c r="E665" s="11">
        <v>3.0760000000000001</v>
      </c>
      <c r="F665" s="1">
        <v>717.12</v>
      </c>
      <c r="G665" s="11">
        <v>3.53</v>
      </c>
      <c r="H665" s="1">
        <v>-151.9</v>
      </c>
      <c r="I665" s="11">
        <v>7.5994399999999995</v>
      </c>
      <c r="J665" s="1">
        <v>427.58</v>
      </c>
      <c r="K665" s="11">
        <v>4.6651400000000001</v>
      </c>
      <c r="L665" s="1">
        <v>0</v>
      </c>
      <c r="M665" s="11">
        <v>6.2</v>
      </c>
      <c r="N665" s="1">
        <v>28.56</v>
      </c>
      <c r="O665" s="11">
        <v>2.8224999999999998</v>
      </c>
      <c r="P665" s="1">
        <f t="shared" si="81"/>
        <v>3114.9199999999996</v>
      </c>
      <c r="Q665" s="1">
        <v>3100.85</v>
      </c>
      <c r="R665" s="16">
        <f t="shared" si="82"/>
        <v>2544390.6473000003</v>
      </c>
      <c r="S665" s="20">
        <v>1459.16</v>
      </c>
      <c r="T665" s="21">
        <v>0.22000000000000003</v>
      </c>
      <c r="U665" s="21">
        <v>15.2</v>
      </c>
      <c r="V665" s="8">
        <v>1474.5800000000002</v>
      </c>
      <c r="W665" s="25">
        <v>1.238</v>
      </c>
      <c r="X665" s="25">
        <f t="shared" si="83"/>
        <v>456382.51</v>
      </c>
      <c r="Y665" s="1">
        <f t="shared" si="84"/>
        <v>4589.5</v>
      </c>
      <c r="Z665" s="1">
        <f t="shared" si="85"/>
        <v>4575.43</v>
      </c>
      <c r="AA665" s="1">
        <v>4624.1000000000004</v>
      </c>
      <c r="AB665" s="1">
        <f t="shared" si="80"/>
        <v>-34.600000000000364</v>
      </c>
      <c r="AC665" s="29">
        <f t="shared" si="86"/>
        <v>48.670000000000073</v>
      </c>
      <c r="AD665" s="11">
        <f t="shared" si="87"/>
        <v>3000773.1573000001</v>
      </c>
    </row>
    <row r="666" spans="1:30" x14ac:dyDescent="0.3">
      <c r="A666" s="14">
        <v>45966.895833333336</v>
      </c>
      <c r="B666" s="1">
        <v>1447.07</v>
      </c>
      <c r="C666" s="11">
        <v>3.2732000000000001</v>
      </c>
      <c r="D666" s="1">
        <v>646.49</v>
      </c>
      <c r="E666" s="11">
        <v>3.0760000000000001</v>
      </c>
      <c r="F666" s="1">
        <v>717.12</v>
      </c>
      <c r="G666" s="11">
        <v>3.53</v>
      </c>
      <c r="H666" s="1">
        <v>-151.9</v>
      </c>
      <c r="I666" s="11">
        <v>8.4002800000000004</v>
      </c>
      <c r="J666" s="1">
        <v>519.34</v>
      </c>
      <c r="K666" s="11">
        <v>4.7897700000000007</v>
      </c>
      <c r="L666" s="1">
        <v>0</v>
      </c>
      <c r="M666" s="11">
        <v>6.2</v>
      </c>
      <c r="N666" s="1">
        <v>29.05</v>
      </c>
      <c r="O666" s="11">
        <v>2.8224999999999998</v>
      </c>
      <c r="P666" s="1">
        <f t="shared" si="81"/>
        <v>3207.17</v>
      </c>
      <c r="Q666" s="1">
        <v>3184.82</v>
      </c>
      <c r="R666" s="16">
        <f t="shared" si="82"/>
        <v>2637524.1521999999</v>
      </c>
      <c r="S666" s="20">
        <v>1459.1599999999999</v>
      </c>
      <c r="T666" s="21">
        <v>0.22000000000000003</v>
      </c>
      <c r="U666" s="21">
        <v>12.39</v>
      </c>
      <c r="V666" s="8">
        <v>1471.77</v>
      </c>
      <c r="W666" s="25">
        <v>1.238</v>
      </c>
      <c r="X666" s="25">
        <f t="shared" si="83"/>
        <v>455512.815</v>
      </c>
      <c r="Y666" s="1">
        <f t="shared" si="84"/>
        <v>4678.9400000000005</v>
      </c>
      <c r="Z666" s="1">
        <f t="shared" si="85"/>
        <v>4656.59</v>
      </c>
      <c r="AA666" s="1">
        <v>4707.21</v>
      </c>
      <c r="AB666" s="1">
        <f t="shared" si="80"/>
        <v>-28.269999999999527</v>
      </c>
      <c r="AC666" s="29">
        <f t="shared" si="86"/>
        <v>50.619999999999891</v>
      </c>
      <c r="AD666" s="11">
        <f t="shared" si="87"/>
        <v>3093036.9671999998</v>
      </c>
    </row>
    <row r="667" spans="1:30" x14ac:dyDescent="0.3">
      <c r="A667" s="14">
        <v>45966.90625</v>
      </c>
      <c r="B667" s="1">
        <v>1447.07</v>
      </c>
      <c r="C667" s="11">
        <v>3.2732000000000001</v>
      </c>
      <c r="D667" s="1">
        <v>646.49</v>
      </c>
      <c r="E667" s="11">
        <v>3.0760000000000001</v>
      </c>
      <c r="F667" s="1">
        <v>717.12</v>
      </c>
      <c r="G667" s="11">
        <v>3.53</v>
      </c>
      <c r="H667" s="1">
        <v>-151.9</v>
      </c>
      <c r="I667" s="11">
        <v>8.4008299999999991</v>
      </c>
      <c r="J667" s="1">
        <v>617.65</v>
      </c>
      <c r="K667" s="11">
        <v>5.4505100000000004</v>
      </c>
      <c r="L667" s="1">
        <v>0</v>
      </c>
      <c r="M667" s="11">
        <v>6.2</v>
      </c>
      <c r="N667" s="1">
        <v>28.54</v>
      </c>
      <c r="O667" s="11">
        <v>2.8224999999999998</v>
      </c>
      <c r="P667" s="1">
        <f t="shared" si="81"/>
        <v>3304.97</v>
      </c>
      <c r="Q667" s="1">
        <v>3288.79</v>
      </c>
      <c r="R667" s="16">
        <f t="shared" si="82"/>
        <v>2856890.484625</v>
      </c>
      <c r="S667" s="20">
        <v>1424.1100000000001</v>
      </c>
      <c r="T667" s="21">
        <v>0.22000000000000003</v>
      </c>
      <c r="U667" s="21">
        <v>11.389999999999999</v>
      </c>
      <c r="V667" s="8">
        <v>1435.7200000000003</v>
      </c>
      <c r="W667" s="25">
        <v>1.238</v>
      </c>
      <c r="X667" s="25">
        <f t="shared" si="83"/>
        <v>444355.34000000008</v>
      </c>
      <c r="Y667" s="1">
        <f t="shared" si="84"/>
        <v>4740.6900000000005</v>
      </c>
      <c r="Z667" s="1">
        <f t="shared" si="85"/>
        <v>4724.51</v>
      </c>
      <c r="AA667" s="1">
        <v>4798.8100000000004</v>
      </c>
      <c r="AB667" s="1">
        <f t="shared" si="80"/>
        <v>-58.119999999999891</v>
      </c>
      <c r="AC667" s="29">
        <f t="shared" si="86"/>
        <v>74.300000000000182</v>
      </c>
      <c r="AD667" s="11">
        <f t="shared" si="87"/>
        <v>3301245.8246250004</v>
      </c>
    </row>
    <row r="668" spans="1:30" x14ac:dyDescent="0.3">
      <c r="A668" s="14">
        <v>45966.916666666664</v>
      </c>
      <c r="B668" s="1">
        <v>1448.91</v>
      </c>
      <c r="C668" s="11">
        <v>3.2732000000000001</v>
      </c>
      <c r="D668" s="1">
        <v>646.49</v>
      </c>
      <c r="E668" s="11">
        <v>3.0760000000000001</v>
      </c>
      <c r="F668" s="1">
        <v>717.12</v>
      </c>
      <c r="G668" s="11">
        <v>3.53</v>
      </c>
      <c r="H668" s="1">
        <v>-383.01</v>
      </c>
      <c r="I668" s="11">
        <v>10</v>
      </c>
      <c r="J668" s="1">
        <v>846.4</v>
      </c>
      <c r="K668" s="11">
        <v>4.4506600000000001</v>
      </c>
      <c r="L668" s="1">
        <v>0</v>
      </c>
      <c r="M668" s="11">
        <v>6.2</v>
      </c>
      <c r="N668" s="1">
        <v>29.33</v>
      </c>
      <c r="O668" s="11">
        <v>2.8224999999999998</v>
      </c>
      <c r="P668" s="1">
        <f t="shared" si="81"/>
        <v>3305.2400000000002</v>
      </c>
      <c r="Q668" s="1">
        <v>3271.97</v>
      </c>
      <c r="R668" s="16">
        <f t="shared" si="82"/>
        <v>2320582.9002499995</v>
      </c>
      <c r="S668" s="20">
        <v>1550.99</v>
      </c>
      <c r="T668" s="21">
        <v>0.22000000000000003</v>
      </c>
      <c r="U668" s="21">
        <v>10.29</v>
      </c>
      <c r="V668" s="8">
        <v>1561.5</v>
      </c>
      <c r="W668" s="25">
        <v>1.238</v>
      </c>
      <c r="X668" s="25">
        <f t="shared" si="83"/>
        <v>483284.25</v>
      </c>
      <c r="Y668" s="1">
        <f t="shared" si="84"/>
        <v>4866.74</v>
      </c>
      <c r="Z668" s="1">
        <f t="shared" si="85"/>
        <v>4833.4699999999993</v>
      </c>
      <c r="AA668" s="1">
        <v>4901.55</v>
      </c>
      <c r="AB668" s="1">
        <f t="shared" si="80"/>
        <v>-34.8100000000004</v>
      </c>
      <c r="AC668" s="29">
        <f t="shared" si="86"/>
        <v>68.080000000000837</v>
      </c>
      <c r="AD668" s="11">
        <f t="shared" si="87"/>
        <v>2803867.1502499995</v>
      </c>
    </row>
    <row r="669" spans="1:30" x14ac:dyDescent="0.3">
      <c r="A669" s="14">
        <v>45966.927083333336</v>
      </c>
      <c r="B669" s="1">
        <v>1449.23</v>
      </c>
      <c r="C669" s="11">
        <v>3.2732000000000001</v>
      </c>
      <c r="D669" s="1">
        <v>646.49</v>
      </c>
      <c r="E669" s="11">
        <v>3.0760000000000001</v>
      </c>
      <c r="F669" s="1">
        <v>717.12</v>
      </c>
      <c r="G669" s="11">
        <v>3.53</v>
      </c>
      <c r="H669" s="1">
        <v>-401.9</v>
      </c>
      <c r="I669" s="11">
        <v>10</v>
      </c>
      <c r="J669" s="1">
        <v>937.11</v>
      </c>
      <c r="K669" s="11">
        <v>4.7916800000000004</v>
      </c>
      <c r="L669" s="1">
        <v>0</v>
      </c>
      <c r="M669" s="11">
        <v>6.2</v>
      </c>
      <c r="N669" s="1">
        <v>29.68</v>
      </c>
      <c r="O669" s="11">
        <v>2.8224999999999998</v>
      </c>
      <c r="P669" s="1">
        <f t="shared" si="81"/>
        <v>3377.73</v>
      </c>
      <c r="Q669" s="1">
        <v>3289.52</v>
      </c>
      <c r="R669" s="16">
        <f t="shared" si="82"/>
        <v>2454689.8802</v>
      </c>
      <c r="S669" s="20">
        <v>1593.4700000000003</v>
      </c>
      <c r="T669" s="21">
        <v>0.22000000000000003</v>
      </c>
      <c r="U669" s="21">
        <v>9.6999999999999993</v>
      </c>
      <c r="V669" s="8">
        <v>1603.3900000000003</v>
      </c>
      <c r="W669" s="25">
        <v>1.238</v>
      </c>
      <c r="X669" s="25">
        <f t="shared" si="83"/>
        <v>496249.20500000007</v>
      </c>
      <c r="Y669" s="1">
        <f t="shared" si="84"/>
        <v>4981.1200000000008</v>
      </c>
      <c r="Z669" s="1">
        <f t="shared" si="85"/>
        <v>4892.91</v>
      </c>
      <c r="AA669" s="1">
        <v>4969.26</v>
      </c>
      <c r="AB669" s="1">
        <f t="shared" si="80"/>
        <v>11.860000000000582</v>
      </c>
      <c r="AC669" s="29">
        <f t="shared" si="86"/>
        <v>76.350000000000364</v>
      </c>
      <c r="AD669" s="11">
        <f t="shared" si="87"/>
        <v>2950939.0852000001</v>
      </c>
    </row>
    <row r="670" spans="1:30" x14ac:dyDescent="0.3">
      <c r="A670" s="14">
        <v>45966.9375</v>
      </c>
      <c r="B670" s="1">
        <v>1449.24</v>
      </c>
      <c r="C670" s="11">
        <v>3.2732000000000001</v>
      </c>
      <c r="D670" s="1">
        <v>646.49</v>
      </c>
      <c r="E670" s="11">
        <v>3.0760000000000001</v>
      </c>
      <c r="F670" s="1">
        <v>717.12</v>
      </c>
      <c r="G670" s="11">
        <v>3.53</v>
      </c>
      <c r="H670" s="1">
        <v>-401.9</v>
      </c>
      <c r="I670" s="11">
        <v>10</v>
      </c>
      <c r="J670" s="1">
        <v>951.12</v>
      </c>
      <c r="K670" s="11">
        <v>7.9641700000000002</v>
      </c>
      <c r="L670" s="1">
        <v>0</v>
      </c>
      <c r="M670" s="11">
        <v>6.2</v>
      </c>
      <c r="N670" s="1">
        <v>30.26</v>
      </c>
      <c r="O670" s="11">
        <v>2.8224999999999998</v>
      </c>
      <c r="P670" s="1">
        <f t="shared" si="81"/>
        <v>3392.33</v>
      </c>
      <c r="Q670" s="1">
        <v>3295.46</v>
      </c>
      <c r="R670" s="16">
        <f t="shared" si="82"/>
        <v>3226244.8571000001</v>
      </c>
      <c r="S670" s="20">
        <v>1599.1100000000001</v>
      </c>
      <c r="T670" s="21">
        <v>0.22000000000000003</v>
      </c>
      <c r="U670" s="21">
        <v>11.07</v>
      </c>
      <c r="V670" s="8">
        <v>1610.4</v>
      </c>
      <c r="W670" s="25">
        <v>1.238</v>
      </c>
      <c r="X670" s="25">
        <f t="shared" si="83"/>
        <v>498418.80000000005</v>
      </c>
      <c r="Y670" s="1">
        <f t="shared" si="84"/>
        <v>5002.7299999999996</v>
      </c>
      <c r="Z670" s="1">
        <f t="shared" si="85"/>
        <v>4905.8600000000006</v>
      </c>
      <c r="AA670" s="1">
        <v>4980.34</v>
      </c>
      <c r="AB670" s="1">
        <f t="shared" si="80"/>
        <v>22.389999999999418</v>
      </c>
      <c r="AC670" s="29">
        <f t="shared" si="86"/>
        <v>74.479999999999563</v>
      </c>
      <c r="AD670" s="11">
        <f t="shared" si="87"/>
        <v>3724663.6571000004</v>
      </c>
    </row>
    <row r="671" spans="1:30" x14ac:dyDescent="0.3">
      <c r="A671" s="14">
        <v>45966.947916666664</v>
      </c>
      <c r="B671" s="1">
        <v>1447.62</v>
      </c>
      <c r="C671" s="11">
        <v>3.2732000000000001</v>
      </c>
      <c r="D671" s="1">
        <v>646.49</v>
      </c>
      <c r="E671" s="11">
        <v>3.0760000000000001</v>
      </c>
      <c r="F671" s="1">
        <v>717.12</v>
      </c>
      <c r="G671" s="11">
        <v>3.53</v>
      </c>
      <c r="H671" s="1">
        <v>-401.9</v>
      </c>
      <c r="I671" s="11">
        <v>10</v>
      </c>
      <c r="J671" s="1">
        <v>942.71</v>
      </c>
      <c r="K671" s="11">
        <v>6.0003100000000007</v>
      </c>
      <c r="L671" s="1">
        <v>0</v>
      </c>
      <c r="M671" s="11">
        <v>6.2</v>
      </c>
      <c r="N671" s="1">
        <v>30.02</v>
      </c>
      <c r="O671" s="11">
        <v>2.8224999999999998</v>
      </c>
      <c r="P671" s="1">
        <f t="shared" si="81"/>
        <v>3382.0599999999995</v>
      </c>
      <c r="Q671" s="1">
        <v>3285.25</v>
      </c>
      <c r="R671" s="16">
        <f t="shared" si="82"/>
        <v>2745167.5785249998</v>
      </c>
      <c r="S671" s="20">
        <v>1597.99</v>
      </c>
      <c r="T671" s="21">
        <v>0.22000000000000003</v>
      </c>
      <c r="U671" s="21">
        <v>10.870000000000001</v>
      </c>
      <c r="V671" s="8">
        <v>1609.08</v>
      </c>
      <c r="W671" s="25">
        <v>1.238</v>
      </c>
      <c r="X671" s="25">
        <f t="shared" si="83"/>
        <v>498010.25999999995</v>
      </c>
      <c r="Y671" s="1">
        <f t="shared" si="84"/>
        <v>4991.1399999999994</v>
      </c>
      <c r="Z671" s="1">
        <f t="shared" si="85"/>
        <v>4894.33</v>
      </c>
      <c r="AA671" s="1">
        <v>4961.67</v>
      </c>
      <c r="AB671" s="1">
        <f t="shared" si="80"/>
        <v>29.469999999999345</v>
      </c>
      <c r="AC671" s="29">
        <f t="shared" si="86"/>
        <v>67.340000000000146</v>
      </c>
      <c r="AD671" s="11">
        <f t="shared" si="87"/>
        <v>3243177.8385249996</v>
      </c>
    </row>
    <row r="672" spans="1:30" x14ac:dyDescent="0.3">
      <c r="A672" s="14">
        <v>45966.958333333336</v>
      </c>
      <c r="B672" s="1">
        <v>1447.51</v>
      </c>
      <c r="C672" s="11">
        <v>3.2732000000000001</v>
      </c>
      <c r="D672" s="1">
        <v>646.49</v>
      </c>
      <c r="E672" s="11">
        <v>3.0760000000000001</v>
      </c>
      <c r="F672" s="1">
        <v>717.12</v>
      </c>
      <c r="G672" s="11">
        <v>3.53</v>
      </c>
      <c r="H672" s="1">
        <v>-401.9</v>
      </c>
      <c r="I672" s="11">
        <v>10</v>
      </c>
      <c r="J672" s="1">
        <v>709.16</v>
      </c>
      <c r="K672" s="11">
        <v>10</v>
      </c>
      <c r="L672" s="1">
        <v>0</v>
      </c>
      <c r="M672" s="11">
        <v>6.2</v>
      </c>
      <c r="N672" s="1">
        <v>30</v>
      </c>
      <c r="O672" s="11">
        <v>2.8224999999999998</v>
      </c>
      <c r="P672" s="1">
        <f t="shared" si="81"/>
        <v>3148.3799999999997</v>
      </c>
      <c r="Q672" s="1">
        <v>3231.22</v>
      </c>
      <c r="R672" s="16">
        <f t="shared" si="82"/>
        <v>3103825.3930000002</v>
      </c>
      <c r="S672" s="20">
        <v>1622.3199999999997</v>
      </c>
      <c r="T672" s="21">
        <v>0.22000000000000003</v>
      </c>
      <c r="U672" s="21">
        <v>10.68</v>
      </c>
      <c r="V672" s="8">
        <v>1633.2199999999998</v>
      </c>
      <c r="W672" s="25">
        <v>1.238</v>
      </c>
      <c r="X672" s="25">
        <f t="shared" si="83"/>
        <v>505481.58999999991</v>
      </c>
      <c r="Y672" s="1">
        <f t="shared" si="84"/>
        <v>4781.5999999999995</v>
      </c>
      <c r="Z672" s="1">
        <f t="shared" si="85"/>
        <v>4864.4399999999996</v>
      </c>
      <c r="AA672" s="1">
        <v>4908.28</v>
      </c>
      <c r="AB672" s="1">
        <f t="shared" si="80"/>
        <v>-126.68000000000029</v>
      </c>
      <c r="AC672" s="29">
        <f t="shared" si="86"/>
        <v>43.840000000000146</v>
      </c>
      <c r="AD672" s="11">
        <f t="shared" si="87"/>
        <v>3609306.983</v>
      </c>
    </row>
    <row r="673" spans="1:31" x14ac:dyDescent="0.3">
      <c r="A673" s="14">
        <v>45966.96875</v>
      </c>
      <c r="B673" s="1">
        <v>1447.51</v>
      </c>
      <c r="C673" s="11">
        <v>3.2732000000000001</v>
      </c>
      <c r="D673" s="1">
        <v>646.49</v>
      </c>
      <c r="E673" s="11">
        <v>3.0760000000000001</v>
      </c>
      <c r="F673" s="1">
        <v>717.12</v>
      </c>
      <c r="G673" s="11">
        <v>3.53</v>
      </c>
      <c r="H673" s="1">
        <v>-401.9</v>
      </c>
      <c r="I673" s="11">
        <v>10</v>
      </c>
      <c r="J673" s="1">
        <v>738.02</v>
      </c>
      <c r="K673" s="11">
        <v>10</v>
      </c>
      <c r="L673" s="1">
        <v>0</v>
      </c>
      <c r="M673" s="11">
        <v>6.2</v>
      </c>
      <c r="N673" s="1">
        <v>28.6</v>
      </c>
      <c r="O673" s="11">
        <v>2.8224999999999998</v>
      </c>
      <c r="P673" s="1">
        <f t="shared" si="81"/>
        <v>3175.8399999999997</v>
      </c>
      <c r="Q673" s="1">
        <v>3141.04</v>
      </c>
      <c r="R673" s="16">
        <f t="shared" si="82"/>
        <v>3174987.5179999997</v>
      </c>
      <c r="S673" s="20">
        <v>1628.08</v>
      </c>
      <c r="T673" s="21">
        <v>0.22000000000000003</v>
      </c>
      <c r="U673" s="21">
        <v>10.48</v>
      </c>
      <c r="V673" s="8">
        <v>1638.78</v>
      </c>
      <c r="W673" s="25">
        <v>1.238</v>
      </c>
      <c r="X673" s="25">
        <f t="shared" si="83"/>
        <v>507202.41</v>
      </c>
      <c r="Y673" s="1">
        <f t="shared" si="84"/>
        <v>4814.62</v>
      </c>
      <c r="Z673" s="1">
        <f t="shared" si="85"/>
        <v>4779.82</v>
      </c>
      <c r="AA673" s="1">
        <v>4824.78</v>
      </c>
      <c r="AB673" s="1">
        <f t="shared" si="80"/>
        <v>-10.159999999999854</v>
      </c>
      <c r="AC673" s="29">
        <f t="shared" si="86"/>
        <v>44.960000000000036</v>
      </c>
      <c r="AD673" s="11">
        <f t="shared" si="87"/>
        <v>3682189.9279999998</v>
      </c>
    </row>
    <row r="674" spans="1:31" x14ac:dyDescent="0.3">
      <c r="A674" s="14">
        <v>45966.979166666664</v>
      </c>
      <c r="B674" s="1">
        <v>1447.51</v>
      </c>
      <c r="C674" s="11">
        <v>3.2732000000000001</v>
      </c>
      <c r="D674" s="1">
        <v>646.49</v>
      </c>
      <c r="E674" s="11">
        <v>3.0760000000000001</v>
      </c>
      <c r="F674" s="1">
        <v>717.12</v>
      </c>
      <c r="G674" s="11">
        <v>3.53</v>
      </c>
      <c r="H674" s="1">
        <v>-401.9</v>
      </c>
      <c r="I674" s="11">
        <v>10</v>
      </c>
      <c r="J674" s="1">
        <v>646.04999999999995</v>
      </c>
      <c r="K674" s="11">
        <v>10</v>
      </c>
      <c r="L674" s="1">
        <v>0</v>
      </c>
      <c r="M674" s="11">
        <v>6.2</v>
      </c>
      <c r="N674" s="1">
        <v>27.38</v>
      </c>
      <c r="O674" s="11">
        <v>2.8224999999999998</v>
      </c>
      <c r="P674" s="1">
        <f t="shared" si="81"/>
        <v>3082.6499999999996</v>
      </c>
      <c r="Q674" s="1">
        <v>3110.6</v>
      </c>
      <c r="R674" s="16">
        <f t="shared" si="82"/>
        <v>2944201.6554999999</v>
      </c>
      <c r="S674" s="20">
        <v>1593.6400000000003</v>
      </c>
      <c r="T674" s="21">
        <v>0.22000000000000003</v>
      </c>
      <c r="U674" s="21">
        <v>10.62</v>
      </c>
      <c r="V674" s="8">
        <v>1604.4800000000002</v>
      </c>
      <c r="W674" s="25">
        <v>1.238</v>
      </c>
      <c r="X674" s="25">
        <f t="shared" si="83"/>
        <v>496586.56000000006</v>
      </c>
      <c r="Y674" s="1">
        <f t="shared" si="84"/>
        <v>4687.13</v>
      </c>
      <c r="Z674" s="1">
        <f t="shared" si="85"/>
        <v>4715.08</v>
      </c>
      <c r="AA674" s="1">
        <v>4760.49</v>
      </c>
      <c r="AB674" s="1">
        <f t="shared" si="80"/>
        <v>-73.359999999999673</v>
      </c>
      <c r="AC674" s="29">
        <f t="shared" si="86"/>
        <v>45.409999999999854</v>
      </c>
      <c r="AD674" s="11">
        <f t="shared" si="87"/>
        <v>3440788.2154999999</v>
      </c>
    </row>
    <row r="675" spans="1:31" x14ac:dyDescent="0.3">
      <c r="A675" s="14">
        <v>45966.989583333336</v>
      </c>
      <c r="B675" s="1">
        <v>1447.51</v>
      </c>
      <c r="C675" s="11">
        <v>3.2732000000000001</v>
      </c>
      <c r="D675" s="1">
        <v>646.49</v>
      </c>
      <c r="E675" s="11">
        <v>3.0760000000000001</v>
      </c>
      <c r="F675" s="1">
        <v>717.12</v>
      </c>
      <c r="G675" s="11">
        <v>3.53</v>
      </c>
      <c r="H675" s="1">
        <v>-401.9</v>
      </c>
      <c r="I675" s="11">
        <v>10</v>
      </c>
      <c r="J675" s="1">
        <v>554.67999999999995</v>
      </c>
      <c r="K675" s="11">
        <v>10</v>
      </c>
      <c r="L675" s="1">
        <v>0</v>
      </c>
      <c r="M675" s="11">
        <v>6.2</v>
      </c>
      <c r="N675" s="1">
        <v>27.02</v>
      </c>
      <c r="O675" s="11">
        <v>2.8224999999999998</v>
      </c>
      <c r="P675" s="1">
        <f t="shared" si="81"/>
        <v>2990.9199999999996</v>
      </c>
      <c r="Q675" s="1">
        <v>3047.75</v>
      </c>
      <c r="R675" s="16">
        <f t="shared" si="82"/>
        <v>2715522.6305</v>
      </c>
      <c r="S675" s="20">
        <v>1591.5800000000002</v>
      </c>
      <c r="T675" s="21">
        <v>0.22000000000000003</v>
      </c>
      <c r="U675" s="21">
        <v>10.74</v>
      </c>
      <c r="V675" s="8">
        <v>1602.5400000000002</v>
      </c>
      <c r="W675" s="25">
        <v>1.238</v>
      </c>
      <c r="X675" s="25">
        <f t="shared" si="83"/>
        <v>495986.13000000006</v>
      </c>
      <c r="Y675" s="1">
        <f t="shared" si="84"/>
        <v>4593.46</v>
      </c>
      <c r="Z675" s="1">
        <f t="shared" si="85"/>
        <v>4650.29</v>
      </c>
      <c r="AA675" s="1">
        <v>4694.2</v>
      </c>
      <c r="AB675" s="1">
        <f t="shared" si="80"/>
        <v>-100.73999999999978</v>
      </c>
      <c r="AC675" s="29">
        <f t="shared" si="86"/>
        <v>43.909999999999854</v>
      </c>
      <c r="AD675" s="11">
        <f t="shared" si="87"/>
        <v>3211508.7604999999</v>
      </c>
      <c r="AE675" s="31">
        <f>SUM(AD580:AD675)</f>
        <v>241944470.09765005</v>
      </c>
    </row>
    <row r="676" spans="1:31" x14ac:dyDescent="0.3">
      <c r="A676" s="14">
        <v>45996</v>
      </c>
      <c r="B676" s="1">
        <v>1446.14</v>
      </c>
      <c r="C676" s="11">
        <v>3.2732000000000001</v>
      </c>
      <c r="D676" s="1">
        <v>655.59</v>
      </c>
      <c r="E676" s="11">
        <v>3.0760000000000001</v>
      </c>
      <c r="F676" s="1">
        <v>442.38</v>
      </c>
      <c r="G676" s="11">
        <v>3.53</v>
      </c>
      <c r="H676" s="1">
        <v>-262.39999999999998</v>
      </c>
      <c r="I676" s="11">
        <v>10</v>
      </c>
      <c r="J676" s="1">
        <v>563.41</v>
      </c>
      <c r="K676" s="11">
        <v>10</v>
      </c>
      <c r="L676" s="1">
        <v>0</v>
      </c>
      <c r="M676" s="11">
        <v>6.2</v>
      </c>
      <c r="N676" s="1">
        <v>42.14</v>
      </c>
      <c r="O676" s="11">
        <v>2.8224999999999998</v>
      </c>
      <c r="P676" s="1">
        <f t="shared" si="81"/>
        <v>2887.2599999999998</v>
      </c>
      <c r="Q676" s="1">
        <v>2932.19</v>
      </c>
      <c r="R676" s="16">
        <f t="shared" si="82"/>
        <v>2860185.4594999999</v>
      </c>
      <c r="S676" s="20">
        <v>1598.34</v>
      </c>
      <c r="T676" s="21"/>
      <c r="U676" s="21">
        <v>11.489999999999998</v>
      </c>
      <c r="V676" s="8">
        <v>1609.83</v>
      </c>
      <c r="W676" s="25">
        <v>1.238</v>
      </c>
      <c r="X676" s="25">
        <f t="shared" si="83"/>
        <v>498242.38499999995</v>
      </c>
      <c r="Y676" s="1">
        <f t="shared" si="84"/>
        <v>4497.09</v>
      </c>
      <c r="Z676" s="1">
        <f t="shared" si="85"/>
        <v>4542.0200000000004</v>
      </c>
      <c r="AA676" s="1">
        <v>4586.6400000000003</v>
      </c>
      <c r="AB676" s="1">
        <f t="shared" si="80"/>
        <v>-89.550000000000182</v>
      </c>
      <c r="AC676" s="29">
        <f t="shared" si="86"/>
        <v>44.619999999999891</v>
      </c>
      <c r="AD676" s="11">
        <f t="shared" si="87"/>
        <v>3358427.8444999997</v>
      </c>
    </row>
    <row r="677" spans="1:31" x14ac:dyDescent="0.3">
      <c r="A677" s="14">
        <v>45996.010416666664</v>
      </c>
      <c r="B677" s="1">
        <v>1446.29</v>
      </c>
      <c r="C677" s="11">
        <v>3.2732000000000001</v>
      </c>
      <c r="D677" s="1">
        <v>656.27</v>
      </c>
      <c r="E677" s="11">
        <v>3.0760000000000001</v>
      </c>
      <c r="F677" s="1">
        <v>421.7</v>
      </c>
      <c r="G677" s="11">
        <v>3.53</v>
      </c>
      <c r="H677" s="1">
        <v>-251.9</v>
      </c>
      <c r="I677" s="11">
        <v>10</v>
      </c>
      <c r="J677" s="1">
        <v>485.51</v>
      </c>
      <c r="K677" s="11">
        <v>10</v>
      </c>
      <c r="L677" s="1">
        <v>0</v>
      </c>
      <c r="M677" s="11">
        <v>6.2</v>
      </c>
      <c r="N677" s="1">
        <v>42.08</v>
      </c>
      <c r="O677" s="11">
        <v>2.8224999999999998</v>
      </c>
      <c r="P677" s="1">
        <f t="shared" si="81"/>
        <v>2799.95</v>
      </c>
      <c r="Q677" s="1">
        <v>2845.68</v>
      </c>
      <c r="R677" s="16">
        <f t="shared" si="82"/>
        <v>2674038.6870000004</v>
      </c>
      <c r="S677" s="20">
        <v>1585.97</v>
      </c>
      <c r="T677" s="21"/>
      <c r="U677" s="21">
        <v>11.68</v>
      </c>
      <c r="V677" s="8">
        <v>1597.65</v>
      </c>
      <c r="W677" s="25">
        <v>1.238</v>
      </c>
      <c r="X677" s="25">
        <f t="shared" si="83"/>
        <v>494472.67500000005</v>
      </c>
      <c r="Y677" s="1">
        <f t="shared" si="84"/>
        <v>4397.6000000000004</v>
      </c>
      <c r="Z677" s="1">
        <f t="shared" si="85"/>
        <v>4443.33</v>
      </c>
      <c r="AA677" s="1">
        <v>4490.18</v>
      </c>
      <c r="AB677" s="1">
        <f t="shared" si="80"/>
        <v>-92.579999999999927</v>
      </c>
      <c r="AC677" s="29">
        <f t="shared" si="86"/>
        <v>46.850000000000364</v>
      </c>
      <c r="AD677" s="11">
        <f t="shared" si="87"/>
        <v>3168511.3620000007</v>
      </c>
    </row>
    <row r="678" spans="1:31" x14ac:dyDescent="0.3">
      <c r="A678" s="14">
        <v>45996.020833333336</v>
      </c>
      <c r="B678" s="1">
        <v>1446.31</v>
      </c>
      <c r="C678" s="11">
        <v>3.2732000000000001</v>
      </c>
      <c r="D678" s="1">
        <v>656.27</v>
      </c>
      <c r="E678" s="11">
        <v>3.0760000000000001</v>
      </c>
      <c r="F678" s="1">
        <v>421.7</v>
      </c>
      <c r="G678" s="11">
        <v>3.53</v>
      </c>
      <c r="H678" s="1">
        <v>-251.9</v>
      </c>
      <c r="I678" s="11">
        <v>10</v>
      </c>
      <c r="J678" s="1">
        <v>657.74</v>
      </c>
      <c r="K678" s="11">
        <v>4.8003100000000005</v>
      </c>
      <c r="L678" s="1">
        <v>0</v>
      </c>
      <c r="M678" s="11">
        <v>6.2</v>
      </c>
      <c r="N678" s="1">
        <v>2.75</v>
      </c>
      <c r="O678" s="11">
        <v>2.8224999999999998</v>
      </c>
      <c r="P678" s="1">
        <f t="shared" si="81"/>
        <v>2932.87</v>
      </c>
      <c r="Q678" s="1">
        <v>2843.27</v>
      </c>
      <c r="R678" s="16">
        <f t="shared" si="82"/>
        <v>2221866.7966000005</v>
      </c>
      <c r="S678" s="20">
        <v>1507.34</v>
      </c>
      <c r="T678" s="21"/>
      <c r="U678" s="21">
        <v>11.14</v>
      </c>
      <c r="V678" s="8">
        <v>1518.48</v>
      </c>
      <c r="W678" s="25">
        <v>1.238</v>
      </c>
      <c r="X678" s="25">
        <f t="shared" si="83"/>
        <v>469969.56</v>
      </c>
      <c r="Y678" s="1">
        <f t="shared" si="84"/>
        <v>4451.3500000000004</v>
      </c>
      <c r="Z678" s="1">
        <f t="shared" si="85"/>
        <v>4361.75</v>
      </c>
      <c r="AA678" s="1">
        <v>4412.55</v>
      </c>
      <c r="AB678" s="1">
        <f t="shared" si="80"/>
        <v>38.800000000000182</v>
      </c>
      <c r="AC678" s="29">
        <f t="shared" si="86"/>
        <v>50.800000000000182</v>
      </c>
      <c r="AD678" s="11">
        <f t="shared" si="87"/>
        <v>2691836.3566000005</v>
      </c>
    </row>
    <row r="679" spans="1:31" x14ac:dyDescent="0.3">
      <c r="A679" s="14">
        <v>45996.03125</v>
      </c>
      <c r="B679" s="1">
        <v>1446.31</v>
      </c>
      <c r="C679" s="11">
        <v>3.2732000000000001</v>
      </c>
      <c r="D679" s="1">
        <v>656.27</v>
      </c>
      <c r="E679" s="11">
        <v>3.0760000000000001</v>
      </c>
      <c r="F679" s="1">
        <v>421.7</v>
      </c>
      <c r="G679" s="11">
        <v>3.53</v>
      </c>
      <c r="H679" s="1">
        <v>-251.9</v>
      </c>
      <c r="I679" s="11">
        <v>10</v>
      </c>
      <c r="J679" s="1">
        <v>535.05999999999995</v>
      </c>
      <c r="K679" s="11">
        <v>4.4994799999999993</v>
      </c>
      <c r="L679" s="1">
        <v>0</v>
      </c>
      <c r="M679" s="11">
        <v>6.2</v>
      </c>
      <c r="N679" s="1">
        <v>0</v>
      </c>
      <c r="O679" s="11">
        <v>2.8224999999999998</v>
      </c>
      <c r="P679" s="1">
        <f t="shared" si="81"/>
        <v>2807.4399999999996</v>
      </c>
      <c r="Q679" s="1">
        <v>2845.23</v>
      </c>
      <c r="R679" s="16">
        <f t="shared" si="82"/>
        <v>2032460.2951999996</v>
      </c>
      <c r="S679" s="20">
        <v>1418.85</v>
      </c>
      <c r="T679" s="21"/>
      <c r="U679" s="21">
        <v>11.139999999999999</v>
      </c>
      <c r="V679" s="8">
        <v>1429.99</v>
      </c>
      <c r="W679" s="25">
        <v>1.238</v>
      </c>
      <c r="X679" s="25">
        <f t="shared" si="83"/>
        <v>442581.90500000003</v>
      </c>
      <c r="Y679" s="1">
        <f t="shared" si="84"/>
        <v>4237.4299999999994</v>
      </c>
      <c r="Z679" s="1">
        <f t="shared" si="85"/>
        <v>4275.22</v>
      </c>
      <c r="AA679" s="1">
        <v>4324.3599999999997</v>
      </c>
      <c r="AB679" s="1">
        <f t="shared" si="80"/>
        <v>-86.930000000000291</v>
      </c>
      <c r="AC679" s="29">
        <f t="shared" si="86"/>
        <v>49.139999999999418</v>
      </c>
      <c r="AD679" s="11">
        <f t="shared" si="87"/>
        <v>2475042.2001999998</v>
      </c>
    </row>
    <row r="680" spans="1:31" x14ac:dyDescent="0.3">
      <c r="A680" s="14">
        <v>45996.041666666664</v>
      </c>
      <c r="B680" s="1">
        <v>1446.31</v>
      </c>
      <c r="C680" s="11">
        <v>3.2732000000000001</v>
      </c>
      <c r="D680" s="1">
        <v>656.27</v>
      </c>
      <c r="E680" s="11">
        <v>3.0760000000000001</v>
      </c>
      <c r="F680" s="1">
        <v>421.7</v>
      </c>
      <c r="G680" s="11">
        <v>3.53</v>
      </c>
      <c r="H680" s="1">
        <v>-251.9</v>
      </c>
      <c r="I680" s="11">
        <v>10</v>
      </c>
      <c r="J680" s="1">
        <v>480.7</v>
      </c>
      <c r="K680" s="11">
        <v>4.4991499999999993</v>
      </c>
      <c r="L680" s="1">
        <v>0</v>
      </c>
      <c r="M680" s="11">
        <v>6.2</v>
      </c>
      <c r="N680" s="1">
        <v>0</v>
      </c>
      <c r="O680" s="11">
        <v>2.8224999999999998</v>
      </c>
      <c r="P680" s="1">
        <f t="shared" si="81"/>
        <v>2753.0799999999995</v>
      </c>
      <c r="Q680" s="1">
        <v>2755.09</v>
      </c>
      <c r="R680" s="16">
        <f t="shared" si="82"/>
        <v>1971272.7042499997</v>
      </c>
      <c r="S680" s="20">
        <v>1441.3700000000001</v>
      </c>
      <c r="T680" s="21"/>
      <c r="U680" s="21">
        <v>11.83</v>
      </c>
      <c r="V680" s="8">
        <v>1453.2</v>
      </c>
      <c r="W680" s="25">
        <v>1.238</v>
      </c>
      <c r="X680" s="25">
        <f t="shared" si="83"/>
        <v>449765.4</v>
      </c>
      <c r="Y680" s="1">
        <f t="shared" si="84"/>
        <v>4206.28</v>
      </c>
      <c r="Z680" s="1">
        <f t="shared" si="85"/>
        <v>4208.29</v>
      </c>
      <c r="AA680" s="1">
        <v>4252.46</v>
      </c>
      <c r="AB680" s="1">
        <f t="shared" si="80"/>
        <v>-46.180000000000291</v>
      </c>
      <c r="AC680" s="29">
        <f t="shared" si="86"/>
        <v>44.170000000000073</v>
      </c>
      <c r="AD680" s="11">
        <f t="shared" si="87"/>
        <v>2421038.1042499999</v>
      </c>
    </row>
    <row r="681" spans="1:31" x14ac:dyDescent="0.3">
      <c r="A681" s="14">
        <v>45996.052083333336</v>
      </c>
      <c r="B681" s="1">
        <v>1446.31</v>
      </c>
      <c r="C681" s="11">
        <v>3.2732000000000001</v>
      </c>
      <c r="D681" s="1">
        <v>656.27</v>
      </c>
      <c r="E681" s="11">
        <v>3.0760000000000001</v>
      </c>
      <c r="F681" s="1">
        <v>421.7</v>
      </c>
      <c r="G681" s="11">
        <v>3.53</v>
      </c>
      <c r="H681" s="1">
        <v>-251.9</v>
      </c>
      <c r="I681" s="11">
        <v>10</v>
      </c>
      <c r="J681" s="1">
        <v>387.51</v>
      </c>
      <c r="K681" s="11">
        <v>3.9998800000000001</v>
      </c>
      <c r="L681" s="1">
        <v>0</v>
      </c>
      <c r="M681" s="11">
        <v>6.2</v>
      </c>
      <c r="N681" s="1">
        <v>0</v>
      </c>
      <c r="O681" s="11">
        <v>2.8224999999999998</v>
      </c>
      <c r="P681" s="1">
        <f t="shared" si="81"/>
        <v>2659.8899999999994</v>
      </c>
      <c r="Q681" s="1">
        <v>2685.26</v>
      </c>
      <c r="R681" s="16">
        <f t="shared" si="82"/>
        <v>1818085.7276999999</v>
      </c>
      <c r="S681" s="20">
        <v>1448.4600000000003</v>
      </c>
      <c r="T681" s="21"/>
      <c r="U681" s="21">
        <v>11.999999999999998</v>
      </c>
      <c r="V681" s="8">
        <v>1460.4600000000003</v>
      </c>
      <c r="W681" s="25">
        <v>1.238</v>
      </c>
      <c r="X681" s="25">
        <f t="shared" si="83"/>
        <v>452012.37000000011</v>
      </c>
      <c r="Y681" s="1">
        <f t="shared" si="84"/>
        <v>4120.3499999999995</v>
      </c>
      <c r="Z681" s="1">
        <f t="shared" si="85"/>
        <v>4145.72</v>
      </c>
      <c r="AA681" s="1">
        <v>4193.54</v>
      </c>
      <c r="AB681" s="1">
        <f t="shared" si="80"/>
        <v>-73.190000000000509</v>
      </c>
      <c r="AC681" s="29">
        <f t="shared" si="86"/>
        <v>47.819999999999709</v>
      </c>
      <c r="AD681" s="11">
        <f t="shared" si="87"/>
        <v>2270098.0976999998</v>
      </c>
    </row>
    <row r="682" spans="1:31" x14ac:dyDescent="0.3">
      <c r="A682" s="14">
        <v>45996.0625</v>
      </c>
      <c r="B682" s="1">
        <v>1446.31</v>
      </c>
      <c r="C682" s="11">
        <v>3.2732000000000001</v>
      </c>
      <c r="D682" s="1">
        <v>656.27</v>
      </c>
      <c r="E682" s="11">
        <v>3.0760000000000001</v>
      </c>
      <c r="F682" s="1">
        <v>421.7</v>
      </c>
      <c r="G682" s="11">
        <v>3.53</v>
      </c>
      <c r="H682" s="1">
        <v>-251.9</v>
      </c>
      <c r="I682" s="11">
        <v>10</v>
      </c>
      <c r="J682" s="1">
        <v>336.31</v>
      </c>
      <c r="K682" s="11">
        <v>3.5122199999999997</v>
      </c>
      <c r="L682" s="1">
        <v>0</v>
      </c>
      <c r="M682" s="11">
        <v>6.2</v>
      </c>
      <c r="N682" s="1">
        <v>0</v>
      </c>
      <c r="O682" s="11">
        <v>2.8224999999999998</v>
      </c>
      <c r="P682" s="1">
        <f t="shared" si="81"/>
        <v>2608.6899999999996</v>
      </c>
      <c r="Q682" s="1">
        <v>2606.02</v>
      </c>
      <c r="R682" s="16">
        <f t="shared" si="82"/>
        <v>1725886.0300499997</v>
      </c>
      <c r="S682" s="20">
        <v>1458.3400000000001</v>
      </c>
      <c r="T682" s="21"/>
      <c r="U682" s="21">
        <v>13.34</v>
      </c>
      <c r="V682" s="8">
        <v>1471.68</v>
      </c>
      <c r="W682" s="25">
        <v>1.238</v>
      </c>
      <c r="X682" s="25">
        <f t="shared" si="83"/>
        <v>455484.96</v>
      </c>
      <c r="Y682" s="1">
        <f t="shared" si="84"/>
        <v>4080.37</v>
      </c>
      <c r="Z682" s="1">
        <f t="shared" si="85"/>
        <v>4077.7</v>
      </c>
      <c r="AA682" s="1">
        <v>4128.76</v>
      </c>
      <c r="AB682" s="1">
        <f t="shared" si="80"/>
        <v>-48.390000000000327</v>
      </c>
      <c r="AC682" s="29">
        <f t="shared" si="86"/>
        <v>51.0600000000004</v>
      </c>
      <c r="AD682" s="11">
        <f t="shared" si="87"/>
        <v>2181370.9900499997</v>
      </c>
    </row>
    <row r="683" spans="1:31" x14ac:dyDescent="0.3">
      <c r="A683" s="14">
        <v>45996.072916666664</v>
      </c>
      <c r="B683" s="1">
        <v>1446.31</v>
      </c>
      <c r="C683" s="11">
        <v>3.2732000000000001</v>
      </c>
      <c r="D683" s="1">
        <v>656.27</v>
      </c>
      <c r="E683" s="11">
        <v>3.0760000000000001</v>
      </c>
      <c r="F683" s="1">
        <v>421.7</v>
      </c>
      <c r="G683" s="11">
        <v>3.53</v>
      </c>
      <c r="H683" s="1">
        <v>-251.9</v>
      </c>
      <c r="I683" s="11">
        <v>10</v>
      </c>
      <c r="J683" s="1">
        <v>288.10000000000002</v>
      </c>
      <c r="K683" s="11">
        <v>3.0005000000000002</v>
      </c>
      <c r="L683" s="1">
        <v>0</v>
      </c>
      <c r="M683" s="11">
        <v>6.2</v>
      </c>
      <c r="N683" s="1">
        <v>0</v>
      </c>
      <c r="O683" s="11">
        <v>2.8224999999999998</v>
      </c>
      <c r="P683" s="1">
        <f t="shared" si="81"/>
        <v>2560.4799999999996</v>
      </c>
      <c r="Q683" s="1">
        <v>2598.5700000000002</v>
      </c>
      <c r="R683" s="16">
        <f t="shared" si="82"/>
        <v>1646698.3654999998</v>
      </c>
      <c r="S683" s="20">
        <v>1416.31</v>
      </c>
      <c r="T683" s="21"/>
      <c r="U683" s="21">
        <v>12.709999999999999</v>
      </c>
      <c r="V683" s="8">
        <v>1429.02</v>
      </c>
      <c r="W683" s="25">
        <v>1.238</v>
      </c>
      <c r="X683" s="25">
        <f t="shared" si="83"/>
        <v>442281.68999999994</v>
      </c>
      <c r="Y683" s="1">
        <f t="shared" si="84"/>
        <v>3989.4999999999995</v>
      </c>
      <c r="Z683" s="1">
        <f t="shared" si="85"/>
        <v>4027.59</v>
      </c>
      <c r="AA683" s="1">
        <v>4074.16</v>
      </c>
      <c r="AB683" s="1">
        <f t="shared" si="80"/>
        <v>-84.660000000000309</v>
      </c>
      <c r="AC683" s="29">
        <f t="shared" si="86"/>
        <v>46.569999999999709</v>
      </c>
      <c r="AD683" s="11">
        <f t="shared" si="87"/>
        <v>2088980.0554999998</v>
      </c>
    </row>
    <row r="684" spans="1:31" x14ac:dyDescent="0.3">
      <c r="A684" s="14">
        <v>45996.083333333336</v>
      </c>
      <c r="B684" s="1">
        <v>1446.31</v>
      </c>
      <c r="C684" s="11">
        <v>3.2732000000000001</v>
      </c>
      <c r="D684" s="1">
        <v>649.92999999999995</v>
      </c>
      <c r="E684" s="11">
        <v>3.0760000000000001</v>
      </c>
      <c r="F684" s="1">
        <v>399.31</v>
      </c>
      <c r="G684" s="11">
        <v>3.53</v>
      </c>
      <c r="H684" s="1">
        <v>-205.4</v>
      </c>
      <c r="I684" s="11">
        <v>9.7509999999999994</v>
      </c>
      <c r="J684" s="1">
        <v>419.98</v>
      </c>
      <c r="K684" s="11">
        <v>3.56548</v>
      </c>
      <c r="L684" s="1">
        <v>0</v>
      </c>
      <c r="M684" s="11">
        <v>6.2</v>
      </c>
      <c r="N684" s="1">
        <v>0</v>
      </c>
      <c r="O684" s="11">
        <v>2.8224999999999998</v>
      </c>
      <c r="P684" s="1">
        <f t="shared" si="81"/>
        <v>2710.1299999999997</v>
      </c>
      <c r="Q684" s="1">
        <v>2604.6</v>
      </c>
      <c r="R684" s="16">
        <f t="shared" si="82"/>
        <v>1909346.4405999999</v>
      </c>
      <c r="S684" s="20">
        <v>1341.0200000000002</v>
      </c>
      <c r="T684" s="21"/>
      <c r="U684" s="21">
        <v>13.15</v>
      </c>
      <c r="V684" s="8">
        <v>1354.1700000000003</v>
      </c>
      <c r="W684" s="25">
        <v>1.238</v>
      </c>
      <c r="X684" s="25">
        <f t="shared" si="83"/>
        <v>419115.61500000011</v>
      </c>
      <c r="Y684" s="1">
        <f t="shared" si="84"/>
        <v>4064.3</v>
      </c>
      <c r="Z684" s="1">
        <f t="shared" si="85"/>
        <v>3958.7700000000004</v>
      </c>
      <c r="AA684" s="1">
        <v>4009.09</v>
      </c>
      <c r="AB684" s="1">
        <f t="shared" si="80"/>
        <v>55.210000000000036</v>
      </c>
      <c r="AC684" s="29">
        <f t="shared" si="86"/>
        <v>50.319999999999709</v>
      </c>
      <c r="AD684" s="11">
        <f t="shared" si="87"/>
        <v>2328462.0556000001</v>
      </c>
    </row>
    <row r="685" spans="1:31" x14ac:dyDescent="0.3">
      <c r="A685" s="14">
        <v>45996.09375</v>
      </c>
      <c r="B685" s="1">
        <v>1446.31</v>
      </c>
      <c r="C685" s="11">
        <v>3.2732000000000001</v>
      </c>
      <c r="D685" s="1">
        <v>649.45000000000005</v>
      </c>
      <c r="E685" s="11">
        <v>3.0760000000000001</v>
      </c>
      <c r="F685" s="1">
        <v>397.62</v>
      </c>
      <c r="G685" s="11">
        <v>3.53</v>
      </c>
      <c r="H685" s="1">
        <v>-201.9</v>
      </c>
      <c r="I685" s="11">
        <v>6.758</v>
      </c>
      <c r="J685" s="1">
        <v>384.4</v>
      </c>
      <c r="K685" s="11">
        <v>3.5658099999999999</v>
      </c>
      <c r="L685" s="1">
        <v>0</v>
      </c>
      <c r="M685" s="11">
        <v>6.2</v>
      </c>
      <c r="N685" s="1">
        <v>0</v>
      </c>
      <c r="O685" s="11">
        <v>2.8224999999999998</v>
      </c>
      <c r="P685" s="1">
        <f t="shared" si="81"/>
        <v>2675.88</v>
      </c>
      <c r="Q685" s="1">
        <v>2601.89</v>
      </c>
      <c r="R685" s="16">
        <f t="shared" si="82"/>
        <v>2035406.4639999999</v>
      </c>
      <c r="S685" s="20">
        <v>1287</v>
      </c>
      <c r="T685" s="21"/>
      <c r="U685" s="21">
        <v>11.079999999999998</v>
      </c>
      <c r="V685" s="8">
        <v>1298.08</v>
      </c>
      <c r="W685" s="25">
        <v>1.238</v>
      </c>
      <c r="X685" s="25">
        <f t="shared" si="83"/>
        <v>401755.75999999995</v>
      </c>
      <c r="Y685" s="1">
        <f t="shared" si="84"/>
        <v>3973.96</v>
      </c>
      <c r="Z685" s="1">
        <f t="shared" si="85"/>
        <v>3899.97</v>
      </c>
      <c r="AA685" s="1">
        <v>3945.46</v>
      </c>
      <c r="AB685" s="1">
        <f t="shared" si="80"/>
        <v>28.5</v>
      </c>
      <c r="AC685" s="29">
        <f t="shared" si="86"/>
        <v>45.490000000000236</v>
      </c>
      <c r="AD685" s="11">
        <f t="shared" si="87"/>
        <v>2437162.2239999999</v>
      </c>
    </row>
    <row r="686" spans="1:31" x14ac:dyDescent="0.3">
      <c r="A686" s="14">
        <v>45996.104166666664</v>
      </c>
      <c r="B686" s="1">
        <v>1446.31</v>
      </c>
      <c r="C686" s="11">
        <v>3.2732000000000001</v>
      </c>
      <c r="D686" s="1">
        <v>644.29999999999995</v>
      </c>
      <c r="E686" s="11">
        <v>3.0760000000000001</v>
      </c>
      <c r="F686" s="1">
        <v>397.62</v>
      </c>
      <c r="G686" s="11">
        <v>3.53</v>
      </c>
      <c r="H686" s="1">
        <v>-108.9</v>
      </c>
      <c r="I686" s="11">
        <v>5.7153700000000001</v>
      </c>
      <c r="J686" s="1">
        <v>237.32</v>
      </c>
      <c r="K686" s="11">
        <v>3.5627300000000002</v>
      </c>
      <c r="L686" s="1">
        <v>0</v>
      </c>
      <c r="M686" s="11">
        <v>6.2</v>
      </c>
      <c r="N686" s="1">
        <v>0</v>
      </c>
      <c r="O686" s="11">
        <v>2.8224999999999998</v>
      </c>
      <c r="P686" s="1">
        <f t="shared" si="81"/>
        <v>2616.6499999999996</v>
      </c>
      <c r="Q686" s="1">
        <v>2564.59</v>
      </c>
      <c r="R686" s="16">
        <f t="shared" si="82"/>
        <v>2085657.6456499996</v>
      </c>
      <c r="S686" s="20">
        <v>1285.5000000000002</v>
      </c>
      <c r="T686" s="21"/>
      <c r="U686" s="21">
        <v>9.58</v>
      </c>
      <c r="V686" s="8">
        <v>1295.0800000000002</v>
      </c>
      <c r="W686" s="25">
        <v>1.238</v>
      </c>
      <c r="X686" s="25">
        <f t="shared" si="83"/>
        <v>400827.26</v>
      </c>
      <c r="Y686" s="1">
        <f t="shared" si="84"/>
        <v>3911.7299999999996</v>
      </c>
      <c r="Z686" s="1">
        <f t="shared" si="85"/>
        <v>3859.67</v>
      </c>
      <c r="AA686" s="1">
        <v>3906.32</v>
      </c>
      <c r="AB686" s="1">
        <f t="shared" si="80"/>
        <v>5.4099999999993997</v>
      </c>
      <c r="AC686" s="29">
        <f t="shared" si="86"/>
        <v>46.650000000000091</v>
      </c>
      <c r="AD686" s="11">
        <f t="shared" si="87"/>
        <v>2486484.9056499996</v>
      </c>
    </row>
    <row r="687" spans="1:31" x14ac:dyDescent="0.3">
      <c r="A687" s="14">
        <v>45996.114583333336</v>
      </c>
      <c r="B687" s="1">
        <v>1446.31</v>
      </c>
      <c r="C687" s="11">
        <v>3.2732000000000001</v>
      </c>
      <c r="D687" s="1">
        <v>643.91</v>
      </c>
      <c r="E687" s="11">
        <v>3.0760000000000001</v>
      </c>
      <c r="F687" s="1">
        <v>397.62</v>
      </c>
      <c r="G687" s="11">
        <v>3.53</v>
      </c>
      <c r="H687" s="1">
        <v>-101.9</v>
      </c>
      <c r="I687" s="11">
        <v>5.4507500000000002</v>
      </c>
      <c r="J687" s="1">
        <v>191.23</v>
      </c>
      <c r="K687" s="11">
        <v>3.3424999999999998</v>
      </c>
      <c r="L687" s="1">
        <v>0</v>
      </c>
      <c r="M687" s="11">
        <v>6.2</v>
      </c>
      <c r="N687" s="1">
        <v>0</v>
      </c>
      <c r="O687" s="11">
        <v>2.8224999999999998</v>
      </c>
      <c r="P687" s="1">
        <f t="shared" si="81"/>
        <v>2577.1699999999996</v>
      </c>
      <c r="Q687" s="1">
        <v>2554.87</v>
      </c>
      <c r="R687" s="16">
        <f t="shared" si="82"/>
        <v>2050520.6254999998</v>
      </c>
      <c r="S687" s="20">
        <v>1242.2500000000002</v>
      </c>
      <c r="T687" s="21"/>
      <c r="U687" s="21">
        <v>8.93</v>
      </c>
      <c r="V687" s="8">
        <v>1251.1800000000003</v>
      </c>
      <c r="W687" s="25">
        <v>1.238</v>
      </c>
      <c r="X687" s="25">
        <f t="shared" si="83"/>
        <v>387240.21000000008</v>
      </c>
      <c r="Y687" s="1">
        <f t="shared" si="84"/>
        <v>3828.35</v>
      </c>
      <c r="Z687" s="1">
        <f t="shared" si="85"/>
        <v>3806.05</v>
      </c>
      <c r="AA687" s="1">
        <v>3855.57</v>
      </c>
      <c r="AB687" s="1">
        <f t="shared" si="80"/>
        <v>-27.220000000000255</v>
      </c>
      <c r="AC687" s="29">
        <f t="shared" si="86"/>
        <v>49.519999999999982</v>
      </c>
      <c r="AD687" s="11">
        <f t="shared" si="87"/>
        <v>2437760.8355</v>
      </c>
    </row>
    <row r="688" spans="1:31" x14ac:dyDescent="0.3">
      <c r="A688" s="14">
        <v>45996.125</v>
      </c>
      <c r="B688" s="1">
        <v>1446.31</v>
      </c>
      <c r="C688" s="11">
        <v>3.2732000000000001</v>
      </c>
      <c r="D688" s="1">
        <v>1013.7</v>
      </c>
      <c r="E688" s="11">
        <v>3.0760000000000001</v>
      </c>
      <c r="F688" s="1">
        <v>27.83</v>
      </c>
      <c r="G688" s="11">
        <v>3.53</v>
      </c>
      <c r="H688" s="1">
        <v>-101.9</v>
      </c>
      <c r="I688" s="11">
        <v>5.1004799999999992</v>
      </c>
      <c r="J688" s="1">
        <v>143.71</v>
      </c>
      <c r="K688" s="11">
        <v>3.5004299999999997</v>
      </c>
      <c r="L688" s="1">
        <v>0</v>
      </c>
      <c r="M688" s="11">
        <v>6.2</v>
      </c>
      <c r="N688" s="1">
        <v>0</v>
      </c>
      <c r="O688" s="11">
        <v>2.8224999999999998</v>
      </c>
      <c r="P688" s="1">
        <f t="shared" si="81"/>
        <v>2529.65</v>
      </c>
      <c r="Q688" s="1">
        <v>2514.3200000000002</v>
      </c>
      <c r="R688" s="16">
        <f t="shared" si="82"/>
        <v>1983437.7188249999</v>
      </c>
      <c r="S688" s="20">
        <v>1231.6000000000001</v>
      </c>
      <c r="T688" s="21"/>
      <c r="U688" s="21">
        <v>10.49</v>
      </c>
      <c r="V688" s="8">
        <v>1242.0900000000001</v>
      </c>
      <c r="W688" s="25">
        <v>1.238</v>
      </c>
      <c r="X688" s="25">
        <f t="shared" si="83"/>
        <v>384426.85500000004</v>
      </c>
      <c r="Y688" s="1">
        <f t="shared" si="84"/>
        <v>3771.7400000000002</v>
      </c>
      <c r="Z688" s="1">
        <f t="shared" si="85"/>
        <v>3756.4100000000003</v>
      </c>
      <c r="AA688" s="1">
        <v>3802.51</v>
      </c>
      <c r="AB688" s="1">
        <f t="shared" si="80"/>
        <v>-30.769999999999982</v>
      </c>
      <c r="AC688" s="29">
        <f t="shared" si="86"/>
        <v>46.099999999999909</v>
      </c>
      <c r="AD688" s="11">
        <f t="shared" si="87"/>
        <v>2367864.5738249999</v>
      </c>
    </row>
    <row r="689" spans="1:30" x14ac:dyDescent="0.3">
      <c r="A689" s="14">
        <v>45996.135416666664</v>
      </c>
      <c r="B689" s="1">
        <v>1446.31</v>
      </c>
      <c r="C689" s="11">
        <v>3.2732000000000001</v>
      </c>
      <c r="D689" s="1">
        <v>1041.53</v>
      </c>
      <c r="E689" s="11">
        <v>3.0760000000000001</v>
      </c>
      <c r="F689" s="1">
        <v>0</v>
      </c>
      <c r="G689" s="11">
        <v>3.53</v>
      </c>
      <c r="H689" s="1">
        <v>-101.9</v>
      </c>
      <c r="I689" s="11">
        <v>5.0758199999999993</v>
      </c>
      <c r="J689" s="1">
        <v>95.5</v>
      </c>
      <c r="K689" s="11">
        <v>3.10202</v>
      </c>
      <c r="L689" s="1">
        <v>0</v>
      </c>
      <c r="M689" s="11">
        <v>6.2</v>
      </c>
      <c r="N689" s="1">
        <v>0</v>
      </c>
      <c r="O689" s="11">
        <v>2.8224999999999998</v>
      </c>
      <c r="P689" s="1">
        <f t="shared" si="81"/>
        <v>2481.44</v>
      </c>
      <c r="Q689" s="1">
        <v>2469.1</v>
      </c>
      <c r="R689" s="16">
        <f t="shared" si="82"/>
        <v>1929206.2559999998</v>
      </c>
      <c r="S689" s="20">
        <v>1230.71</v>
      </c>
      <c r="T689" s="21"/>
      <c r="U689" s="21">
        <v>10.51</v>
      </c>
      <c r="V689" s="8">
        <v>1241.22</v>
      </c>
      <c r="W689" s="25">
        <v>1.238</v>
      </c>
      <c r="X689" s="25">
        <f t="shared" si="83"/>
        <v>384157.59</v>
      </c>
      <c r="Y689" s="1">
        <f t="shared" si="84"/>
        <v>3722.66</v>
      </c>
      <c r="Z689" s="1">
        <f t="shared" si="85"/>
        <v>3710.3199999999997</v>
      </c>
      <c r="AA689" s="1">
        <v>3758.8</v>
      </c>
      <c r="AB689" s="1">
        <f t="shared" si="80"/>
        <v>-36.140000000000327</v>
      </c>
      <c r="AC689" s="29">
        <f t="shared" si="86"/>
        <v>48.480000000000473</v>
      </c>
      <c r="AD689" s="11">
        <f t="shared" si="87"/>
        <v>2313363.8459999999</v>
      </c>
    </row>
    <row r="690" spans="1:30" x14ac:dyDescent="0.3">
      <c r="A690" s="14">
        <v>45996.145833333336</v>
      </c>
      <c r="B690" s="1">
        <v>1446.31</v>
      </c>
      <c r="C690" s="11">
        <v>3.2732000000000001</v>
      </c>
      <c r="D690" s="1">
        <v>1041.53</v>
      </c>
      <c r="E690" s="11">
        <v>3.0760000000000001</v>
      </c>
      <c r="F690" s="1">
        <v>0</v>
      </c>
      <c r="G690" s="11">
        <v>3.53</v>
      </c>
      <c r="H690" s="1">
        <v>-101.9</v>
      </c>
      <c r="I690" s="11">
        <v>5.0003299999999999</v>
      </c>
      <c r="J690" s="1">
        <v>92.4</v>
      </c>
      <c r="K690" s="11">
        <v>3.4992700000000001</v>
      </c>
      <c r="L690" s="1">
        <v>0</v>
      </c>
      <c r="M690" s="11">
        <v>6.2</v>
      </c>
      <c r="N690" s="1">
        <v>0</v>
      </c>
      <c r="O690" s="11">
        <v>2.8224999999999998</v>
      </c>
      <c r="P690" s="1">
        <f t="shared" si="81"/>
        <v>2478.34</v>
      </c>
      <c r="Q690" s="1">
        <v>2436.36</v>
      </c>
      <c r="R690" s="16">
        <f t="shared" si="82"/>
        <v>1937901.7732499999</v>
      </c>
      <c r="S690" s="20">
        <v>1223.58</v>
      </c>
      <c r="T690" s="21"/>
      <c r="U690" s="21">
        <v>11.229999999999999</v>
      </c>
      <c r="V690" s="8">
        <v>1234.81</v>
      </c>
      <c r="W690" s="25">
        <v>1.238</v>
      </c>
      <c r="X690" s="25">
        <f t="shared" si="83"/>
        <v>382173.69499999995</v>
      </c>
      <c r="Y690" s="1">
        <f t="shared" si="84"/>
        <v>3713.15</v>
      </c>
      <c r="Z690" s="1">
        <f t="shared" si="85"/>
        <v>3671.17</v>
      </c>
      <c r="AA690" s="1">
        <v>3721.62</v>
      </c>
      <c r="AB690" s="1">
        <f t="shared" si="80"/>
        <v>-8.4699999999997999</v>
      </c>
      <c r="AC690" s="29">
        <f t="shared" si="86"/>
        <v>50.449999999999818</v>
      </c>
      <c r="AD690" s="11">
        <f t="shared" si="87"/>
        <v>2320075.4682499999</v>
      </c>
    </row>
    <row r="691" spans="1:30" x14ac:dyDescent="0.3">
      <c r="A691" s="14">
        <v>45996.15625</v>
      </c>
      <c r="B691" s="1">
        <v>1446.31</v>
      </c>
      <c r="C691" s="11">
        <v>3.2732000000000001</v>
      </c>
      <c r="D691" s="1">
        <v>1041.53</v>
      </c>
      <c r="E691" s="11">
        <v>3.0760000000000001</v>
      </c>
      <c r="F691" s="1">
        <v>0</v>
      </c>
      <c r="G691" s="11">
        <v>3.53</v>
      </c>
      <c r="H691" s="1">
        <v>-101.9</v>
      </c>
      <c r="I691" s="11">
        <v>4.6795400000000003</v>
      </c>
      <c r="J691" s="1">
        <v>92.4</v>
      </c>
      <c r="K691" s="11">
        <v>3.2692100000000002</v>
      </c>
      <c r="L691" s="1">
        <v>0</v>
      </c>
      <c r="M691" s="11">
        <v>6.2</v>
      </c>
      <c r="N691" s="1">
        <v>0</v>
      </c>
      <c r="O691" s="11">
        <v>2.8224999999999998</v>
      </c>
      <c r="P691" s="1">
        <f t="shared" si="81"/>
        <v>2478.34</v>
      </c>
      <c r="Q691" s="1">
        <v>2410.06</v>
      </c>
      <c r="R691" s="16">
        <f t="shared" si="82"/>
        <v>1940759.5124999997</v>
      </c>
      <c r="S691" s="20">
        <v>1216.3399999999999</v>
      </c>
      <c r="T691" s="21"/>
      <c r="U691" s="21">
        <v>11.520000000000001</v>
      </c>
      <c r="V691" s="8">
        <v>1227.8599999999999</v>
      </c>
      <c r="W691" s="25">
        <v>1.238</v>
      </c>
      <c r="X691" s="25">
        <f t="shared" si="83"/>
        <v>380022.66999999993</v>
      </c>
      <c r="Y691" s="1">
        <f t="shared" si="84"/>
        <v>3706.2</v>
      </c>
      <c r="Z691" s="1">
        <f t="shared" si="85"/>
        <v>3637.92</v>
      </c>
      <c r="AA691" s="1">
        <v>3688.03</v>
      </c>
      <c r="AB691" s="1">
        <f t="shared" si="80"/>
        <v>18.169999999999618</v>
      </c>
      <c r="AC691" s="29">
        <f t="shared" si="86"/>
        <v>50.110000000000127</v>
      </c>
      <c r="AD691" s="11">
        <f t="shared" si="87"/>
        <v>2320782.1824999996</v>
      </c>
    </row>
    <row r="692" spans="1:30" x14ac:dyDescent="0.3">
      <c r="A692" s="14">
        <v>45996.166666666664</v>
      </c>
      <c r="B692" s="1">
        <v>1446.31</v>
      </c>
      <c r="C692" s="11">
        <v>3.2732000000000001</v>
      </c>
      <c r="D692" s="1">
        <v>1041.53</v>
      </c>
      <c r="E692" s="11">
        <v>3.0760000000000001</v>
      </c>
      <c r="F692" s="1">
        <v>0</v>
      </c>
      <c r="G692" s="11">
        <v>3.53</v>
      </c>
      <c r="H692" s="1">
        <v>-101.9</v>
      </c>
      <c r="I692" s="11">
        <v>4.6793500000000003</v>
      </c>
      <c r="J692" s="1">
        <v>92.4</v>
      </c>
      <c r="K692" s="11">
        <v>3.0009699999999997</v>
      </c>
      <c r="L692" s="1">
        <v>0</v>
      </c>
      <c r="M692" s="11">
        <v>6.2</v>
      </c>
      <c r="N692" s="1">
        <v>0</v>
      </c>
      <c r="O692" s="11">
        <v>2.8224999999999998</v>
      </c>
      <c r="P692" s="1">
        <f t="shared" si="81"/>
        <v>2478.34</v>
      </c>
      <c r="Q692" s="1">
        <v>2370.56</v>
      </c>
      <c r="R692" s="16">
        <f t="shared" si="82"/>
        <v>1934568.00875</v>
      </c>
      <c r="S692" s="20">
        <v>1208.18</v>
      </c>
      <c r="T692" s="21"/>
      <c r="U692" s="21">
        <v>10.11</v>
      </c>
      <c r="V692" s="8">
        <v>1218.29</v>
      </c>
      <c r="W692" s="25">
        <v>1.238</v>
      </c>
      <c r="X692" s="25">
        <f t="shared" si="83"/>
        <v>377060.75499999995</v>
      </c>
      <c r="Y692" s="1">
        <f t="shared" si="84"/>
        <v>3696.63</v>
      </c>
      <c r="Z692" s="1">
        <f t="shared" si="85"/>
        <v>3588.85</v>
      </c>
      <c r="AA692" s="1">
        <v>3639.93</v>
      </c>
      <c r="AB692" s="1">
        <f t="shared" si="80"/>
        <v>56.700000000000273</v>
      </c>
      <c r="AC692" s="29">
        <f t="shared" si="86"/>
        <v>51.079999999999927</v>
      </c>
      <c r="AD692" s="11">
        <f t="shared" si="87"/>
        <v>2311628.7637499999</v>
      </c>
    </row>
    <row r="693" spans="1:30" x14ac:dyDescent="0.3">
      <c r="A693" s="14">
        <v>45996.177083333336</v>
      </c>
      <c r="B693" s="1">
        <v>1446.31</v>
      </c>
      <c r="C693" s="11">
        <v>3.2732000000000001</v>
      </c>
      <c r="D693" s="1">
        <v>1041.53</v>
      </c>
      <c r="E693" s="11">
        <v>3.0760000000000001</v>
      </c>
      <c r="F693" s="1">
        <v>0</v>
      </c>
      <c r="G693" s="11">
        <v>3.53</v>
      </c>
      <c r="H693" s="1">
        <v>-101.9</v>
      </c>
      <c r="I693" s="11">
        <v>4.6795200000000001</v>
      </c>
      <c r="J693" s="1">
        <v>92.4</v>
      </c>
      <c r="K693" s="11">
        <v>3.4991300000000001</v>
      </c>
      <c r="L693" s="1">
        <v>0</v>
      </c>
      <c r="M693" s="11">
        <v>6.2</v>
      </c>
      <c r="N693" s="1">
        <v>0</v>
      </c>
      <c r="O693" s="11">
        <v>2.8224999999999998</v>
      </c>
      <c r="P693" s="1">
        <f t="shared" si="81"/>
        <v>2478.34</v>
      </c>
      <c r="Q693" s="1">
        <v>2373.44</v>
      </c>
      <c r="R693" s="16">
        <f t="shared" si="82"/>
        <v>1946071.1739999999</v>
      </c>
      <c r="S693" s="20">
        <v>1205.75</v>
      </c>
      <c r="T693" s="21"/>
      <c r="U693" s="21">
        <v>8.6</v>
      </c>
      <c r="V693" s="8">
        <v>1214.3499999999999</v>
      </c>
      <c r="W693" s="25">
        <v>1.238</v>
      </c>
      <c r="X693" s="25">
        <f t="shared" si="83"/>
        <v>375841.32500000001</v>
      </c>
      <c r="Y693" s="1">
        <f t="shared" si="84"/>
        <v>3692.69</v>
      </c>
      <c r="Z693" s="1">
        <f t="shared" si="85"/>
        <v>3587.79</v>
      </c>
      <c r="AA693" s="1">
        <v>3635.31</v>
      </c>
      <c r="AB693" s="1">
        <f t="shared" si="80"/>
        <v>57.380000000000109</v>
      </c>
      <c r="AC693" s="29">
        <f t="shared" si="86"/>
        <v>47.519999999999982</v>
      </c>
      <c r="AD693" s="11">
        <f t="shared" si="87"/>
        <v>2321912.4989999998</v>
      </c>
    </row>
    <row r="694" spans="1:30" x14ac:dyDescent="0.3">
      <c r="A694" s="14">
        <v>45996.1875</v>
      </c>
      <c r="B694" s="1">
        <v>1446.31</v>
      </c>
      <c r="C694" s="11">
        <v>3.2732000000000001</v>
      </c>
      <c r="D694" s="1">
        <v>1041.53</v>
      </c>
      <c r="E694" s="11">
        <v>3.0760000000000001</v>
      </c>
      <c r="F694" s="1">
        <v>0</v>
      </c>
      <c r="G694" s="11">
        <v>3.53</v>
      </c>
      <c r="H694" s="1">
        <v>-101.9</v>
      </c>
      <c r="I694" s="11">
        <v>4.9095200000000006</v>
      </c>
      <c r="J694" s="1">
        <v>92.4</v>
      </c>
      <c r="K694" s="11">
        <v>3.4999000000000002</v>
      </c>
      <c r="L694" s="1">
        <v>0</v>
      </c>
      <c r="M694" s="11">
        <v>6.2</v>
      </c>
      <c r="N694" s="1">
        <v>0</v>
      </c>
      <c r="O694" s="11">
        <v>2.8224999999999998</v>
      </c>
      <c r="P694" s="1">
        <f t="shared" si="81"/>
        <v>2478.34</v>
      </c>
      <c r="Q694" s="1">
        <v>2382.5700000000002</v>
      </c>
      <c r="R694" s="16">
        <f t="shared" si="82"/>
        <v>1940229.7109999997</v>
      </c>
      <c r="S694" s="20">
        <v>1206.7299999999998</v>
      </c>
      <c r="T694" s="21"/>
      <c r="U694" s="21">
        <v>9.32</v>
      </c>
      <c r="V694" s="8">
        <v>1216.0499999999997</v>
      </c>
      <c r="W694" s="25">
        <v>1.238</v>
      </c>
      <c r="X694" s="25">
        <f t="shared" si="83"/>
        <v>376367.47499999992</v>
      </c>
      <c r="Y694" s="1">
        <f t="shared" si="84"/>
        <v>3694.39</v>
      </c>
      <c r="Z694" s="1">
        <f t="shared" si="85"/>
        <v>3598.62</v>
      </c>
      <c r="AA694" s="1">
        <v>3621.88</v>
      </c>
      <c r="AB694" s="1">
        <f t="shared" si="80"/>
        <v>72.509999999999764</v>
      </c>
      <c r="AC694" s="29">
        <f t="shared" si="86"/>
        <v>23.260000000000218</v>
      </c>
      <c r="AD694" s="11">
        <f t="shared" si="87"/>
        <v>2316597.1859999998</v>
      </c>
    </row>
    <row r="695" spans="1:30" x14ac:dyDescent="0.3">
      <c r="A695" s="14">
        <v>45996.197916666664</v>
      </c>
      <c r="B695" s="1">
        <v>1446.31</v>
      </c>
      <c r="C695" s="11">
        <v>3.2732000000000001</v>
      </c>
      <c r="D695" s="1">
        <v>1041.53</v>
      </c>
      <c r="E695" s="11">
        <v>3.0760000000000001</v>
      </c>
      <c r="F695" s="1">
        <v>0</v>
      </c>
      <c r="G695" s="11">
        <v>3.53</v>
      </c>
      <c r="H695" s="1">
        <v>-101.9</v>
      </c>
      <c r="I695" s="11">
        <v>4.9994199999999998</v>
      </c>
      <c r="J695" s="1">
        <v>92.4</v>
      </c>
      <c r="K695" s="11">
        <v>3.56555</v>
      </c>
      <c r="L695" s="1">
        <v>0</v>
      </c>
      <c r="M695" s="11">
        <v>6.2</v>
      </c>
      <c r="N695" s="1">
        <v>0</v>
      </c>
      <c r="O695" s="11">
        <v>2.8224999999999998</v>
      </c>
      <c r="P695" s="1">
        <f t="shared" si="81"/>
        <v>2478.34</v>
      </c>
      <c r="Q695" s="1">
        <v>2370.5</v>
      </c>
      <c r="R695" s="16">
        <f t="shared" si="82"/>
        <v>1939456.0234999999</v>
      </c>
      <c r="S695" s="20">
        <v>1206.78</v>
      </c>
      <c r="T695" s="21"/>
      <c r="U695" s="21">
        <v>11.069999999999999</v>
      </c>
      <c r="V695" s="8">
        <v>1217.8499999999999</v>
      </c>
      <c r="W695" s="25">
        <v>1.238</v>
      </c>
      <c r="X695" s="25">
        <f t="shared" si="83"/>
        <v>376924.57499999995</v>
      </c>
      <c r="Y695" s="1">
        <f t="shared" si="84"/>
        <v>3696.19</v>
      </c>
      <c r="Z695" s="1">
        <f t="shared" si="85"/>
        <v>3588.35</v>
      </c>
      <c r="AA695" s="1">
        <v>3608.65</v>
      </c>
      <c r="AB695" s="1">
        <f t="shared" si="80"/>
        <v>87.539999999999964</v>
      </c>
      <c r="AC695" s="29">
        <f t="shared" si="86"/>
        <v>20.300000000000182</v>
      </c>
      <c r="AD695" s="11">
        <f t="shared" si="87"/>
        <v>2316380.5984999998</v>
      </c>
    </row>
    <row r="696" spans="1:30" x14ac:dyDescent="0.3">
      <c r="A696" s="14">
        <v>45996.208333333336</v>
      </c>
      <c r="B696" s="1">
        <v>1446.31</v>
      </c>
      <c r="C696" s="11">
        <v>3.2732000000000001</v>
      </c>
      <c r="D696" s="1">
        <v>1041.53</v>
      </c>
      <c r="E696" s="11">
        <v>3.0760000000000001</v>
      </c>
      <c r="F696" s="1">
        <v>0</v>
      </c>
      <c r="G696" s="11">
        <v>3.53</v>
      </c>
      <c r="H696" s="1">
        <v>-101.9</v>
      </c>
      <c r="I696" s="11">
        <v>4.5912100000000002</v>
      </c>
      <c r="J696" s="1">
        <v>92.4</v>
      </c>
      <c r="K696" s="11">
        <v>2.8501300000000001</v>
      </c>
      <c r="L696" s="1">
        <v>0</v>
      </c>
      <c r="M696" s="11">
        <v>6.2</v>
      </c>
      <c r="N696" s="1">
        <v>33.64</v>
      </c>
      <c r="O696" s="11">
        <v>2.8224999999999998</v>
      </c>
      <c r="P696" s="1">
        <f t="shared" si="81"/>
        <v>2511.98</v>
      </c>
      <c r="Q696" s="1">
        <v>2364.73</v>
      </c>
      <c r="R696" s="16">
        <f t="shared" si="82"/>
        <v>1957066.1962499998</v>
      </c>
      <c r="S696" s="20">
        <v>1214.96</v>
      </c>
      <c r="T696" s="21"/>
      <c r="U696" s="21">
        <v>12.25</v>
      </c>
      <c r="V696" s="8">
        <v>1227.21</v>
      </c>
      <c r="W696" s="25">
        <v>1.238</v>
      </c>
      <c r="X696" s="25">
        <f t="shared" si="83"/>
        <v>379821.49500000005</v>
      </c>
      <c r="Y696" s="1">
        <f t="shared" si="84"/>
        <v>3739.19</v>
      </c>
      <c r="Z696" s="1">
        <f t="shared" si="85"/>
        <v>3591.94</v>
      </c>
      <c r="AA696" s="1">
        <v>3601.89</v>
      </c>
      <c r="AB696" s="1">
        <f t="shared" si="80"/>
        <v>137.30000000000018</v>
      </c>
      <c r="AC696" s="29">
        <f t="shared" si="86"/>
        <v>9.9499999999998181</v>
      </c>
      <c r="AD696" s="11">
        <f t="shared" si="87"/>
        <v>2336887.6912499997</v>
      </c>
    </row>
    <row r="697" spans="1:30" x14ac:dyDescent="0.3">
      <c r="A697" s="14">
        <v>45996.21875</v>
      </c>
      <c r="B697" s="1">
        <v>1446.31</v>
      </c>
      <c r="C697" s="11">
        <v>3.2732000000000001</v>
      </c>
      <c r="D697" s="1">
        <v>1041.53</v>
      </c>
      <c r="E697" s="11">
        <v>3.0760000000000001</v>
      </c>
      <c r="F697" s="1">
        <v>0</v>
      </c>
      <c r="G697" s="11">
        <v>3.53</v>
      </c>
      <c r="H697" s="1">
        <v>-101.9</v>
      </c>
      <c r="I697" s="11">
        <v>4.5911</v>
      </c>
      <c r="J697" s="1">
        <v>92.4</v>
      </c>
      <c r="K697" s="11">
        <v>3.4996900000000002</v>
      </c>
      <c r="L697" s="1">
        <v>0</v>
      </c>
      <c r="M697" s="11">
        <v>6.2</v>
      </c>
      <c r="N697" s="1">
        <v>33.19</v>
      </c>
      <c r="O697" s="11">
        <v>2.8224999999999998</v>
      </c>
      <c r="P697" s="1">
        <f t="shared" si="81"/>
        <v>2511.5300000000002</v>
      </c>
      <c r="Q697" s="1">
        <v>2394.1</v>
      </c>
      <c r="R697" s="16">
        <f t="shared" si="82"/>
        <v>1971756.3032499996</v>
      </c>
      <c r="S697" s="20">
        <v>1219.48</v>
      </c>
      <c r="T697" s="21"/>
      <c r="U697" s="21">
        <v>12.43</v>
      </c>
      <c r="V697" s="8">
        <v>1231.9100000000001</v>
      </c>
      <c r="W697" s="25">
        <v>1.238</v>
      </c>
      <c r="X697" s="25">
        <f t="shared" si="83"/>
        <v>381276.14500000002</v>
      </c>
      <c r="Y697" s="1">
        <f t="shared" si="84"/>
        <v>3743.4400000000005</v>
      </c>
      <c r="Z697" s="1">
        <f t="shared" si="85"/>
        <v>3626.01</v>
      </c>
      <c r="AA697" s="1">
        <v>3632.17</v>
      </c>
      <c r="AB697" s="1">
        <f t="shared" si="80"/>
        <v>111.27000000000044</v>
      </c>
      <c r="AC697" s="29">
        <f t="shared" si="86"/>
        <v>6.1599999999998545</v>
      </c>
      <c r="AD697" s="11">
        <f t="shared" si="87"/>
        <v>2353032.4482499994</v>
      </c>
    </row>
    <row r="698" spans="1:30" x14ac:dyDescent="0.3">
      <c r="A698" s="14">
        <v>45996.229166666664</v>
      </c>
      <c r="B698" s="1">
        <v>1446.31</v>
      </c>
      <c r="C698" s="11">
        <v>3.2732000000000001</v>
      </c>
      <c r="D698" s="1">
        <v>1041.53</v>
      </c>
      <c r="E698" s="11">
        <v>3.0760000000000001</v>
      </c>
      <c r="F698" s="1">
        <v>0</v>
      </c>
      <c r="G698" s="11">
        <v>3.53</v>
      </c>
      <c r="H698" s="1">
        <v>-101.9</v>
      </c>
      <c r="I698" s="11">
        <v>4.5911899999999992</v>
      </c>
      <c r="J698" s="1">
        <v>47.41</v>
      </c>
      <c r="K698" s="11">
        <v>3.5905399999999998</v>
      </c>
      <c r="L698" s="1">
        <v>0</v>
      </c>
      <c r="M698" s="11">
        <v>6.2</v>
      </c>
      <c r="N698" s="1">
        <v>30.2</v>
      </c>
      <c r="O698" s="11">
        <v>2.8224999999999998</v>
      </c>
      <c r="P698" s="1">
        <f t="shared" si="81"/>
        <v>2463.5499999999997</v>
      </c>
      <c r="Q698" s="1">
        <v>2398.9499999999998</v>
      </c>
      <c r="R698" s="16">
        <f t="shared" si="82"/>
        <v>1931358.2280999997</v>
      </c>
      <c r="S698" s="20">
        <v>1220.6000000000001</v>
      </c>
      <c r="T698" s="21"/>
      <c r="U698" s="21">
        <v>10.19</v>
      </c>
      <c r="V698" s="8">
        <v>1230.7900000000002</v>
      </c>
      <c r="W698" s="25">
        <v>1.238</v>
      </c>
      <c r="X698" s="25">
        <f t="shared" si="83"/>
        <v>380929.50500000006</v>
      </c>
      <c r="Y698" s="1">
        <f t="shared" si="84"/>
        <v>3694.34</v>
      </c>
      <c r="Z698" s="1">
        <f t="shared" si="85"/>
        <v>3629.74</v>
      </c>
      <c r="AA698" s="1">
        <v>3636.02</v>
      </c>
      <c r="AB698" s="1">
        <f t="shared" si="80"/>
        <v>58.320000000000164</v>
      </c>
      <c r="AC698" s="29">
        <f t="shared" si="86"/>
        <v>6.2800000000002001</v>
      </c>
      <c r="AD698" s="11">
        <f t="shared" si="87"/>
        <v>2312287.7330999998</v>
      </c>
    </row>
    <row r="699" spans="1:30" x14ac:dyDescent="0.3">
      <c r="A699" s="14">
        <v>45996.239583333336</v>
      </c>
      <c r="B699" s="1">
        <v>1448.32</v>
      </c>
      <c r="C699" s="11">
        <v>3.2732000000000001</v>
      </c>
      <c r="D699" s="1">
        <v>1041.53</v>
      </c>
      <c r="E699" s="11">
        <v>3.0760000000000001</v>
      </c>
      <c r="F699" s="1">
        <v>0</v>
      </c>
      <c r="G699" s="11">
        <v>3.53</v>
      </c>
      <c r="H699" s="1">
        <v>-101.9</v>
      </c>
      <c r="I699" s="11">
        <v>4.4994700000000005</v>
      </c>
      <c r="J699" s="1">
        <v>44.25</v>
      </c>
      <c r="K699" s="11">
        <v>3.6385700000000001</v>
      </c>
      <c r="L699" s="1">
        <v>0</v>
      </c>
      <c r="M699" s="11">
        <v>6.2</v>
      </c>
      <c r="N699" s="1">
        <v>37.409999999999997</v>
      </c>
      <c r="O699" s="11">
        <v>2.8224999999999998</v>
      </c>
      <c r="P699" s="1">
        <f t="shared" si="81"/>
        <v>2469.6099999999997</v>
      </c>
      <c r="Q699" s="1">
        <v>2419.13</v>
      </c>
      <c r="R699" s="16">
        <f t="shared" si="82"/>
        <v>1938121.9396249999</v>
      </c>
      <c r="S699" s="20">
        <v>1218.7500000000002</v>
      </c>
      <c r="T699" s="21"/>
      <c r="U699" s="21">
        <v>10.89</v>
      </c>
      <c r="V699" s="8">
        <v>1229.6400000000003</v>
      </c>
      <c r="W699" s="25">
        <v>1.238</v>
      </c>
      <c r="X699" s="25">
        <f t="shared" si="83"/>
        <v>380573.58000000013</v>
      </c>
      <c r="Y699" s="1">
        <f t="shared" si="84"/>
        <v>3699.25</v>
      </c>
      <c r="Z699" s="1">
        <f t="shared" si="85"/>
        <v>3648.7700000000004</v>
      </c>
      <c r="AA699" s="1">
        <v>3641.21</v>
      </c>
      <c r="AB699" s="1">
        <f t="shared" si="80"/>
        <v>58.039999999999964</v>
      </c>
      <c r="AC699" s="29">
        <f t="shared" si="86"/>
        <v>-7.5600000000004002</v>
      </c>
      <c r="AD699" s="11">
        <f t="shared" si="87"/>
        <v>2318695.5196250002</v>
      </c>
    </row>
    <row r="700" spans="1:30" x14ac:dyDescent="0.3">
      <c r="A700" s="14">
        <v>45996.25</v>
      </c>
      <c r="B700" s="1">
        <v>1448.68</v>
      </c>
      <c r="C700" s="11">
        <v>3.2732000000000001</v>
      </c>
      <c r="D700" s="1">
        <v>671.74</v>
      </c>
      <c r="E700" s="11">
        <v>3.0760000000000001</v>
      </c>
      <c r="F700" s="1">
        <v>369.79</v>
      </c>
      <c r="G700" s="11">
        <v>3.53</v>
      </c>
      <c r="H700" s="1">
        <v>-101.9</v>
      </c>
      <c r="I700" s="11">
        <v>4.5910099999999998</v>
      </c>
      <c r="J700" s="1">
        <v>0.87</v>
      </c>
      <c r="K700" s="11">
        <v>3.698</v>
      </c>
      <c r="L700" s="1">
        <v>0</v>
      </c>
      <c r="M700" s="11">
        <v>6.2</v>
      </c>
      <c r="N700" s="1">
        <v>39.68</v>
      </c>
      <c r="O700" s="11">
        <v>2.8224999999999998</v>
      </c>
      <c r="P700" s="1">
        <f t="shared" si="81"/>
        <v>2428.8599999999997</v>
      </c>
      <c r="Q700" s="1">
        <v>2446.04</v>
      </c>
      <c r="R700" s="16">
        <f t="shared" si="82"/>
        <v>1940210.1142500001</v>
      </c>
      <c r="S700" s="20">
        <v>1190.3900000000001</v>
      </c>
      <c r="T700" s="21"/>
      <c r="U700" s="21">
        <v>10.59</v>
      </c>
      <c r="V700" s="8">
        <v>1200.98</v>
      </c>
      <c r="W700" s="25">
        <v>1.238</v>
      </c>
      <c r="X700" s="25">
        <f t="shared" si="83"/>
        <v>371703.31</v>
      </c>
      <c r="Y700" s="1">
        <f t="shared" si="84"/>
        <v>3629.8399999999997</v>
      </c>
      <c r="Z700" s="1">
        <f t="shared" si="85"/>
        <v>3647.02</v>
      </c>
      <c r="AA700" s="1">
        <v>3618.77</v>
      </c>
      <c r="AB700" s="1">
        <f t="shared" si="80"/>
        <v>11.069999999999709</v>
      </c>
      <c r="AC700" s="29">
        <f t="shared" si="86"/>
        <v>-28.25</v>
      </c>
      <c r="AD700" s="11">
        <f t="shared" si="87"/>
        <v>2311913.4242500002</v>
      </c>
    </row>
    <row r="701" spans="1:30" x14ac:dyDescent="0.3">
      <c r="A701" s="14">
        <v>45996.260416666664</v>
      </c>
      <c r="B701" s="1">
        <v>1448.7</v>
      </c>
      <c r="C701" s="11">
        <v>3.2732000000000001</v>
      </c>
      <c r="D701" s="1">
        <v>643.91</v>
      </c>
      <c r="E701" s="11">
        <v>3.0760000000000001</v>
      </c>
      <c r="F701" s="1">
        <v>397.62</v>
      </c>
      <c r="G701" s="11">
        <v>3.53</v>
      </c>
      <c r="H701" s="1">
        <v>-101.9</v>
      </c>
      <c r="I701" s="11">
        <v>4.5006000000000004</v>
      </c>
      <c r="J701" s="1">
        <v>13.51</v>
      </c>
      <c r="K701" s="11">
        <v>3.6031200000000001</v>
      </c>
      <c r="L701" s="1">
        <v>0</v>
      </c>
      <c r="M701" s="11">
        <v>6.2</v>
      </c>
      <c r="N701" s="1">
        <v>45.76</v>
      </c>
      <c r="O701" s="11">
        <v>2.8224999999999998</v>
      </c>
      <c r="P701" s="1">
        <f t="shared" si="81"/>
        <v>2447.6000000000004</v>
      </c>
      <c r="Q701" s="1">
        <v>2396.6</v>
      </c>
      <c r="R701" s="16">
        <f t="shared" si="82"/>
        <v>1961343.8027999999</v>
      </c>
      <c r="S701" s="20">
        <v>1213.6600000000001</v>
      </c>
      <c r="T701" s="21"/>
      <c r="U701" s="21">
        <v>9.83</v>
      </c>
      <c r="V701" s="8">
        <v>1223.49</v>
      </c>
      <c r="W701" s="25">
        <v>1.238</v>
      </c>
      <c r="X701" s="25">
        <f t="shared" si="83"/>
        <v>378670.15500000003</v>
      </c>
      <c r="Y701" s="1">
        <f t="shared" si="84"/>
        <v>3671.09</v>
      </c>
      <c r="Z701" s="1">
        <f t="shared" si="85"/>
        <v>3620.09</v>
      </c>
      <c r="AA701" s="1">
        <v>3596.77</v>
      </c>
      <c r="AB701" s="1">
        <f t="shared" si="80"/>
        <v>74.320000000000164</v>
      </c>
      <c r="AC701" s="29">
        <f t="shared" si="86"/>
        <v>-23.320000000000164</v>
      </c>
      <c r="AD701" s="11">
        <f t="shared" si="87"/>
        <v>2340013.9578</v>
      </c>
    </row>
    <row r="702" spans="1:30" x14ac:dyDescent="0.3">
      <c r="A702" s="14">
        <v>45996.270833333336</v>
      </c>
      <c r="B702" s="1">
        <v>1448.7</v>
      </c>
      <c r="C702" s="11">
        <v>3.2732000000000001</v>
      </c>
      <c r="D702" s="1">
        <v>643.91</v>
      </c>
      <c r="E702" s="11">
        <v>3.0760000000000001</v>
      </c>
      <c r="F702" s="1">
        <v>397.62</v>
      </c>
      <c r="G702" s="11">
        <v>3.53</v>
      </c>
      <c r="H702" s="1">
        <v>-101.9</v>
      </c>
      <c r="I702" s="11">
        <v>4.3791799999999999</v>
      </c>
      <c r="J702" s="1">
        <v>57.3</v>
      </c>
      <c r="K702" s="11">
        <v>3.3005399999999998</v>
      </c>
      <c r="L702" s="1">
        <v>0</v>
      </c>
      <c r="M702" s="11">
        <v>6.2</v>
      </c>
      <c r="N702" s="1">
        <v>53.28</v>
      </c>
      <c r="O702" s="11">
        <v>2.8224999999999998</v>
      </c>
      <c r="P702" s="1">
        <f t="shared" si="81"/>
        <v>2498.9100000000003</v>
      </c>
      <c r="Q702" s="1">
        <v>2380.9899999999998</v>
      </c>
      <c r="R702" s="16">
        <f t="shared" si="82"/>
        <v>2004853.9750000003</v>
      </c>
      <c r="S702" s="20">
        <v>1241.9099999999999</v>
      </c>
      <c r="T702" s="21"/>
      <c r="U702" s="21">
        <v>6.8199999999999994</v>
      </c>
      <c r="V702" s="8">
        <v>1248.7299999999998</v>
      </c>
      <c r="W702" s="25">
        <v>1.238</v>
      </c>
      <c r="X702" s="25">
        <f t="shared" si="83"/>
        <v>386481.93499999988</v>
      </c>
      <c r="Y702" s="1">
        <f t="shared" si="84"/>
        <v>3747.6400000000003</v>
      </c>
      <c r="Z702" s="1">
        <f t="shared" si="85"/>
        <v>3629.7199999999993</v>
      </c>
      <c r="AA702" s="1">
        <v>3611.98</v>
      </c>
      <c r="AB702" s="1">
        <f t="shared" si="80"/>
        <v>135.66000000000031</v>
      </c>
      <c r="AC702" s="29">
        <f t="shared" si="86"/>
        <v>-17.739999999999327</v>
      </c>
      <c r="AD702" s="11">
        <f t="shared" si="87"/>
        <v>2391335.91</v>
      </c>
    </row>
    <row r="703" spans="1:30" x14ac:dyDescent="0.3">
      <c r="A703" s="14">
        <v>45996.28125</v>
      </c>
      <c r="B703" s="1">
        <v>1448.7</v>
      </c>
      <c r="C703" s="11">
        <v>3.2732000000000001</v>
      </c>
      <c r="D703" s="1">
        <v>643.91</v>
      </c>
      <c r="E703" s="11">
        <v>3.0760000000000001</v>
      </c>
      <c r="F703" s="1">
        <v>397.62</v>
      </c>
      <c r="G703" s="11">
        <v>3.53</v>
      </c>
      <c r="H703" s="1">
        <v>-101.9</v>
      </c>
      <c r="I703" s="11">
        <v>3.93093</v>
      </c>
      <c r="J703" s="1">
        <v>64.2</v>
      </c>
      <c r="K703" s="11">
        <v>3.21177</v>
      </c>
      <c r="L703" s="1">
        <v>0</v>
      </c>
      <c r="M703" s="11">
        <v>6.2</v>
      </c>
      <c r="N703" s="1">
        <v>63.98</v>
      </c>
      <c r="O703" s="11">
        <v>2.8224999999999998</v>
      </c>
      <c r="P703" s="1">
        <f t="shared" si="81"/>
        <v>2516.5099999999998</v>
      </c>
      <c r="Q703" s="1">
        <v>2465.7600000000002</v>
      </c>
      <c r="R703" s="16">
        <f t="shared" si="82"/>
        <v>2028092.0042500002</v>
      </c>
      <c r="S703" s="20">
        <v>1122.83</v>
      </c>
      <c r="T703" s="21"/>
      <c r="U703" s="21">
        <v>4.84</v>
      </c>
      <c r="V703" s="8">
        <v>1127.6699999999998</v>
      </c>
      <c r="W703" s="25">
        <v>1.238</v>
      </c>
      <c r="X703" s="25">
        <f t="shared" si="83"/>
        <v>349013.86499999993</v>
      </c>
      <c r="Y703" s="1">
        <f t="shared" si="84"/>
        <v>3644.1799999999994</v>
      </c>
      <c r="Z703" s="1">
        <f t="shared" si="85"/>
        <v>3593.4300000000003</v>
      </c>
      <c r="AA703" s="1">
        <v>3598.39</v>
      </c>
      <c r="AB703" s="1">
        <f t="shared" si="80"/>
        <v>45.789999999999509</v>
      </c>
      <c r="AC703" s="29">
        <f t="shared" si="86"/>
        <v>4.9599999999995816</v>
      </c>
      <c r="AD703" s="11">
        <f t="shared" si="87"/>
        <v>2377105.86925</v>
      </c>
    </row>
    <row r="704" spans="1:30" x14ac:dyDescent="0.3">
      <c r="A704" s="14">
        <v>45996.291666666664</v>
      </c>
      <c r="B704" s="1">
        <v>1410.14</v>
      </c>
      <c r="C704" s="11">
        <v>3.2732000000000001</v>
      </c>
      <c r="D704" s="1">
        <v>643.91</v>
      </c>
      <c r="E704" s="11">
        <v>3.0760000000000001</v>
      </c>
      <c r="F704" s="1">
        <v>397.62</v>
      </c>
      <c r="G704" s="11">
        <v>3.53</v>
      </c>
      <c r="H704" s="1">
        <v>-79.150000000000006</v>
      </c>
      <c r="I704" s="11">
        <v>3.6920999999999999</v>
      </c>
      <c r="J704" s="1">
        <v>184.52</v>
      </c>
      <c r="K704" s="11">
        <v>2.4503900000000001</v>
      </c>
      <c r="L704" s="1">
        <v>0</v>
      </c>
      <c r="M704" s="11">
        <v>6.2</v>
      </c>
      <c r="N704" s="1">
        <v>78.58</v>
      </c>
      <c r="O704" s="11">
        <v>2.8224999999999998</v>
      </c>
      <c r="P704" s="1">
        <f t="shared" si="81"/>
        <v>2635.62</v>
      </c>
      <c r="Q704" s="1">
        <v>2501.77</v>
      </c>
      <c r="R704" s="16">
        <f t="shared" si="82"/>
        <v>2095411.0764500001</v>
      </c>
      <c r="S704" s="20">
        <v>1035.1500000000001</v>
      </c>
      <c r="T704" s="21"/>
      <c r="U704" s="21">
        <v>4.38</v>
      </c>
      <c r="V704" s="8">
        <v>1039.5300000000002</v>
      </c>
      <c r="W704" s="25">
        <v>1.238</v>
      </c>
      <c r="X704" s="25">
        <f t="shared" si="83"/>
        <v>321734.53500000003</v>
      </c>
      <c r="Y704" s="1">
        <f t="shared" si="84"/>
        <v>3675.15</v>
      </c>
      <c r="Z704" s="1">
        <f t="shared" si="85"/>
        <v>3541.3</v>
      </c>
      <c r="AA704" s="1">
        <v>3571.97</v>
      </c>
      <c r="AB704" s="1">
        <f t="shared" si="80"/>
        <v>103.18000000000029</v>
      </c>
      <c r="AC704" s="29">
        <f t="shared" si="86"/>
        <v>30.669999999999618</v>
      </c>
      <c r="AD704" s="11">
        <f t="shared" si="87"/>
        <v>2417145.6114500002</v>
      </c>
    </row>
    <row r="705" spans="1:30" x14ac:dyDescent="0.3">
      <c r="A705" s="14">
        <v>45996.302083333336</v>
      </c>
      <c r="B705" s="1">
        <v>1372.78</v>
      </c>
      <c r="C705" s="11">
        <v>3.2732000000000001</v>
      </c>
      <c r="D705" s="1">
        <v>643.91</v>
      </c>
      <c r="E705" s="11">
        <v>3.0760000000000001</v>
      </c>
      <c r="F705" s="1">
        <v>397.62</v>
      </c>
      <c r="G705" s="11">
        <v>3.53</v>
      </c>
      <c r="H705" s="1">
        <v>-36.83</v>
      </c>
      <c r="I705" s="11">
        <v>3.4712399999999999</v>
      </c>
      <c r="J705" s="1">
        <v>161.13</v>
      </c>
      <c r="K705" s="11">
        <v>1.6998199999999999</v>
      </c>
      <c r="L705" s="1">
        <v>0</v>
      </c>
      <c r="M705" s="11">
        <v>6.2</v>
      </c>
      <c r="N705" s="1">
        <v>98.85</v>
      </c>
      <c r="O705" s="11">
        <v>2.8224999999999998</v>
      </c>
      <c r="P705" s="1">
        <f t="shared" si="81"/>
        <v>2637.46</v>
      </c>
      <c r="Q705" s="1">
        <v>2568.64</v>
      </c>
      <c r="R705" s="16">
        <f t="shared" si="82"/>
        <v>2075674.9021000001</v>
      </c>
      <c r="S705" s="20">
        <v>915.5</v>
      </c>
      <c r="T705" s="21"/>
      <c r="U705" s="21">
        <v>4.3900000000000006</v>
      </c>
      <c r="V705" s="8">
        <v>919.89</v>
      </c>
      <c r="W705" s="25">
        <v>1.238</v>
      </c>
      <c r="X705" s="25">
        <f t="shared" si="83"/>
        <v>284705.95500000002</v>
      </c>
      <c r="Y705" s="1">
        <f t="shared" si="84"/>
        <v>3557.35</v>
      </c>
      <c r="Z705" s="1">
        <f t="shared" si="85"/>
        <v>3488.5299999999997</v>
      </c>
      <c r="AA705" s="1">
        <v>3546.68</v>
      </c>
      <c r="AB705" s="1">
        <f t="shared" si="80"/>
        <v>10.670000000000073</v>
      </c>
      <c r="AC705" s="29">
        <f t="shared" si="86"/>
        <v>58.150000000000091</v>
      </c>
      <c r="AD705" s="11">
        <f t="shared" si="87"/>
        <v>2360380.8571000001</v>
      </c>
    </row>
    <row r="706" spans="1:30" x14ac:dyDescent="0.3">
      <c r="A706" s="14">
        <v>45996.3125</v>
      </c>
      <c r="B706" s="1">
        <v>1308.77</v>
      </c>
      <c r="C706" s="11">
        <v>3.2732000000000001</v>
      </c>
      <c r="D706" s="1">
        <v>643.91</v>
      </c>
      <c r="E706" s="11">
        <v>3.0760000000000001</v>
      </c>
      <c r="F706" s="1">
        <v>397.62</v>
      </c>
      <c r="G706" s="11">
        <v>3.53</v>
      </c>
      <c r="H706" s="1">
        <v>-31.57</v>
      </c>
      <c r="I706" s="11">
        <v>3.3287100000000001</v>
      </c>
      <c r="J706" s="1">
        <v>159.03</v>
      </c>
      <c r="K706" s="11">
        <v>2.5007700000000002</v>
      </c>
      <c r="L706" s="1">
        <v>0</v>
      </c>
      <c r="M706" s="11">
        <v>6.2</v>
      </c>
      <c r="N706" s="1">
        <v>124.87</v>
      </c>
      <c r="O706" s="11">
        <v>2.8224999999999998</v>
      </c>
      <c r="P706" s="1">
        <f t="shared" si="81"/>
        <v>2602.6299999999997</v>
      </c>
      <c r="Q706" s="1">
        <v>2535.92</v>
      </c>
      <c r="R706" s="16">
        <f t="shared" si="82"/>
        <v>2078296.8443500004</v>
      </c>
      <c r="S706" s="20">
        <v>878.1</v>
      </c>
      <c r="T706" s="21"/>
      <c r="U706" s="21">
        <v>5.7299999999999995</v>
      </c>
      <c r="V706" s="8">
        <v>883.83</v>
      </c>
      <c r="W706" s="25">
        <v>1.238</v>
      </c>
      <c r="X706" s="25">
        <f t="shared" si="83"/>
        <v>273545.38500000001</v>
      </c>
      <c r="Y706" s="1">
        <f t="shared" si="84"/>
        <v>3486.4599999999996</v>
      </c>
      <c r="Z706" s="1">
        <f t="shared" si="85"/>
        <v>3419.75</v>
      </c>
      <c r="AA706" s="1">
        <v>3499.26</v>
      </c>
      <c r="AB706" s="1">
        <f t="shared" si="80"/>
        <v>-12.800000000000637</v>
      </c>
      <c r="AC706" s="29">
        <f t="shared" si="86"/>
        <v>79.510000000000218</v>
      </c>
      <c r="AD706" s="11">
        <f t="shared" si="87"/>
        <v>2351842.2293500006</v>
      </c>
    </row>
    <row r="707" spans="1:30" x14ac:dyDescent="0.3">
      <c r="A707" s="14">
        <v>45996.322916666664</v>
      </c>
      <c r="B707" s="1">
        <v>1304.45</v>
      </c>
      <c r="C707" s="11">
        <v>3.2732000000000001</v>
      </c>
      <c r="D707" s="1">
        <v>643.91</v>
      </c>
      <c r="E707" s="11">
        <v>3.0760000000000001</v>
      </c>
      <c r="F707" s="1">
        <v>397.62</v>
      </c>
      <c r="G707" s="11">
        <v>3.53</v>
      </c>
      <c r="H707" s="1">
        <v>62.4</v>
      </c>
      <c r="I707" s="11">
        <v>2.8993699999999998</v>
      </c>
      <c r="J707" s="1">
        <v>156.88</v>
      </c>
      <c r="K707" s="11">
        <v>2.8496300000000003</v>
      </c>
      <c r="L707" s="1">
        <v>0</v>
      </c>
      <c r="M707" s="11">
        <v>6.2</v>
      </c>
      <c r="N707" s="1">
        <v>150.84</v>
      </c>
      <c r="O707" s="11">
        <v>2.8224999999999998</v>
      </c>
      <c r="P707" s="1">
        <f t="shared" si="81"/>
        <v>2716.1000000000004</v>
      </c>
      <c r="Q707" s="1">
        <v>2667.2</v>
      </c>
      <c r="R707" s="16">
        <f t="shared" si="82"/>
        <v>2176927.0105999997</v>
      </c>
      <c r="S707" s="20">
        <v>634.45000000000005</v>
      </c>
      <c r="T707" s="21"/>
      <c r="U707" s="21">
        <v>6.12</v>
      </c>
      <c r="V707" s="8">
        <v>640.57000000000005</v>
      </c>
      <c r="W707" s="25">
        <v>1.238</v>
      </c>
      <c r="X707" s="25">
        <f t="shared" si="83"/>
        <v>198256.41500000001</v>
      </c>
      <c r="Y707" s="1">
        <f t="shared" si="84"/>
        <v>3356.6700000000005</v>
      </c>
      <c r="Z707" s="1">
        <f t="shared" si="85"/>
        <v>3307.77</v>
      </c>
      <c r="AA707" s="1">
        <v>3452.63</v>
      </c>
      <c r="AB707" s="1">
        <f t="shared" si="80"/>
        <v>-95.959999999999582</v>
      </c>
      <c r="AC707" s="29">
        <f t="shared" si="86"/>
        <v>144.86000000000013</v>
      </c>
      <c r="AD707" s="11">
        <f t="shared" si="87"/>
        <v>2375183.4255999997</v>
      </c>
    </row>
    <row r="708" spans="1:30" x14ac:dyDescent="0.3">
      <c r="A708" s="14">
        <v>45996.333333333336</v>
      </c>
      <c r="B708" s="1">
        <v>1264.74</v>
      </c>
      <c r="C708" s="11">
        <v>3.2732000000000001</v>
      </c>
      <c r="D708" s="1">
        <v>649.05999999999995</v>
      </c>
      <c r="E708" s="11">
        <v>3.0760000000000001</v>
      </c>
      <c r="F708" s="1">
        <v>397.62</v>
      </c>
      <c r="G708" s="11">
        <v>3.53</v>
      </c>
      <c r="H708" s="1">
        <v>98.11</v>
      </c>
      <c r="I708" s="11">
        <v>2.4001199999999998</v>
      </c>
      <c r="J708" s="1">
        <v>33.450000000000003</v>
      </c>
      <c r="K708" s="11">
        <v>2.6295500000000001</v>
      </c>
      <c r="L708" s="1">
        <v>7.65</v>
      </c>
      <c r="M708" s="11">
        <v>6.2</v>
      </c>
      <c r="N708" s="1">
        <v>180.45</v>
      </c>
      <c r="O708" s="11">
        <v>2.8224999999999998</v>
      </c>
      <c r="P708" s="1">
        <f t="shared" si="81"/>
        <v>2631.08</v>
      </c>
      <c r="Q708" s="1">
        <v>2620.94</v>
      </c>
      <c r="R708" s="16">
        <f t="shared" si="82"/>
        <v>2105009.618425</v>
      </c>
      <c r="S708" s="20">
        <v>668.1400000000001</v>
      </c>
      <c r="T708" s="21"/>
      <c r="U708" s="21">
        <v>6.14</v>
      </c>
      <c r="V708" s="8">
        <v>674.28000000000009</v>
      </c>
      <c r="W708" s="25">
        <v>1.238</v>
      </c>
      <c r="X708" s="25">
        <f t="shared" si="83"/>
        <v>208689.66000000003</v>
      </c>
      <c r="Y708" s="1">
        <f t="shared" si="84"/>
        <v>3305.36</v>
      </c>
      <c r="Z708" s="1">
        <f t="shared" si="85"/>
        <v>3295.2200000000003</v>
      </c>
      <c r="AA708" s="1">
        <v>3413.64</v>
      </c>
      <c r="AB708" s="1">
        <f t="shared" ref="AB708:AB771" si="88">Y708-AA708</f>
        <v>-108.27999999999975</v>
      </c>
      <c r="AC708" s="29">
        <f t="shared" si="86"/>
        <v>118.41999999999962</v>
      </c>
      <c r="AD708" s="11">
        <f t="shared" si="87"/>
        <v>2313699.2784250001</v>
      </c>
    </row>
    <row r="709" spans="1:30" x14ac:dyDescent="0.3">
      <c r="A709" s="14">
        <v>45996.34375</v>
      </c>
      <c r="B709" s="1">
        <v>1256.95</v>
      </c>
      <c r="C709" s="11">
        <v>3.2732000000000001</v>
      </c>
      <c r="D709" s="1">
        <v>649.45000000000005</v>
      </c>
      <c r="E709" s="11">
        <v>3.0760000000000001</v>
      </c>
      <c r="F709" s="1">
        <v>397.62</v>
      </c>
      <c r="G709" s="11">
        <v>3.53</v>
      </c>
      <c r="H709" s="1">
        <v>101.8</v>
      </c>
      <c r="I709" s="11">
        <v>2.0000599999999999</v>
      </c>
      <c r="J709" s="1">
        <v>21.65</v>
      </c>
      <c r="K709" s="11">
        <v>2.7309800000000002</v>
      </c>
      <c r="L709" s="1">
        <v>8.19</v>
      </c>
      <c r="M709" s="11">
        <v>6.2</v>
      </c>
      <c r="N709" s="1">
        <v>214.7</v>
      </c>
      <c r="O709" s="11">
        <v>2.8224999999999998</v>
      </c>
      <c r="P709" s="1">
        <f t="shared" ref="P709:P771" si="89">(B709+D709+F709+H709+J709+L709+N709)</f>
        <v>2650.36</v>
      </c>
      <c r="Q709" s="1">
        <v>2608.1799999999998</v>
      </c>
      <c r="R709" s="16">
        <f t="shared" ref="R709:R771" si="90">(((B709*C709)+(D709*E709)+(F709*G709)+(H709*I709)+(J709*K709)+(L709*M709)+(N709*O709))*(1000/4))</f>
        <v>2108764.0287500001</v>
      </c>
      <c r="S709" s="20">
        <v>709.86999999999989</v>
      </c>
      <c r="T709" s="21"/>
      <c r="U709" s="21">
        <v>6.27</v>
      </c>
      <c r="V709" s="8">
        <v>716.13999999999987</v>
      </c>
      <c r="W709" s="25">
        <v>1.238</v>
      </c>
      <c r="X709" s="25">
        <f t="shared" ref="X709:X771" si="91">((V709*W709*1000)/4)</f>
        <v>221645.33</v>
      </c>
      <c r="Y709" s="1">
        <f t="shared" ref="Y709:Y771" si="92">B709+D709+F709+H709+J709+L709+N709+V709</f>
        <v>3366.5</v>
      </c>
      <c r="Z709" s="1">
        <f t="shared" ref="Z709:Z771" si="93">Q709+V709</f>
        <v>3324.3199999999997</v>
      </c>
      <c r="AA709" s="1">
        <v>3405.62</v>
      </c>
      <c r="AB709" s="1">
        <f t="shared" si="88"/>
        <v>-39.119999999999891</v>
      </c>
      <c r="AC709" s="29">
        <f t="shared" ref="AC709:AC771" si="94">AA709-Z709</f>
        <v>81.300000000000182</v>
      </c>
      <c r="AD709" s="11">
        <f t="shared" ref="AD709:AD771" si="95">(R709+X709)</f>
        <v>2330409.3587500001</v>
      </c>
    </row>
    <row r="710" spans="1:30" x14ac:dyDescent="0.3">
      <c r="A710" s="14">
        <v>45996.354166666664</v>
      </c>
      <c r="B710" s="1">
        <v>1256.6099999999999</v>
      </c>
      <c r="C710" s="11">
        <v>3.2732000000000001</v>
      </c>
      <c r="D710" s="1">
        <v>649.45000000000005</v>
      </c>
      <c r="E710" s="11">
        <v>3.0760000000000001</v>
      </c>
      <c r="F710" s="1">
        <v>397.62</v>
      </c>
      <c r="G710" s="11">
        <v>3.53</v>
      </c>
      <c r="H710" s="1">
        <v>82.56</v>
      </c>
      <c r="I710" s="11">
        <v>2.1555399999999998</v>
      </c>
      <c r="J710" s="1">
        <v>77.44</v>
      </c>
      <c r="K710" s="11">
        <v>2.4001000000000001</v>
      </c>
      <c r="L710" s="1">
        <v>32.659999999999997</v>
      </c>
      <c r="M710" s="11">
        <v>6.2</v>
      </c>
      <c r="N710" s="1">
        <v>236.66</v>
      </c>
      <c r="O710" s="11">
        <v>2.8224999999999998</v>
      </c>
      <c r="P710" s="1">
        <f t="shared" si="89"/>
        <v>2732.9999999999995</v>
      </c>
      <c r="Q710" s="1">
        <v>2771.55</v>
      </c>
      <c r="R710" s="16">
        <f t="shared" si="90"/>
        <v>2187183.1571</v>
      </c>
      <c r="S710" s="20">
        <v>538.21</v>
      </c>
      <c r="T710" s="21"/>
      <c r="U710" s="21">
        <v>5.66</v>
      </c>
      <c r="V710" s="8">
        <v>543.87</v>
      </c>
      <c r="W710" s="25">
        <v>1.238</v>
      </c>
      <c r="X710" s="25">
        <f t="shared" si="91"/>
        <v>168327.76500000001</v>
      </c>
      <c r="Y710" s="1">
        <f t="shared" si="92"/>
        <v>3276.8699999999994</v>
      </c>
      <c r="Z710" s="1">
        <f t="shared" si="93"/>
        <v>3315.42</v>
      </c>
      <c r="AA710" s="1">
        <v>3434.79</v>
      </c>
      <c r="AB710" s="1">
        <f t="shared" si="88"/>
        <v>-157.92000000000053</v>
      </c>
      <c r="AC710" s="29">
        <f t="shared" si="94"/>
        <v>119.36999999999989</v>
      </c>
      <c r="AD710" s="11">
        <f t="shared" si="95"/>
        <v>2355510.9221000001</v>
      </c>
    </row>
    <row r="711" spans="1:30" x14ac:dyDescent="0.3">
      <c r="A711" s="14">
        <v>45996.364583333336</v>
      </c>
      <c r="B711" s="1">
        <v>1256.6099999999999</v>
      </c>
      <c r="C711" s="11">
        <v>3.2732000000000001</v>
      </c>
      <c r="D711" s="1">
        <v>649.45000000000005</v>
      </c>
      <c r="E711" s="11">
        <v>3.0760000000000001</v>
      </c>
      <c r="F711" s="1">
        <v>397.62</v>
      </c>
      <c r="G711" s="11">
        <v>3.53</v>
      </c>
      <c r="H711" s="1">
        <v>67.12</v>
      </c>
      <c r="I711" s="11">
        <v>2.0006500000000003</v>
      </c>
      <c r="J711" s="1">
        <v>116.19</v>
      </c>
      <c r="K711" s="11">
        <v>1.5895299999999999</v>
      </c>
      <c r="L711" s="1">
        <v>52.65</v>
      </c>
      <c r="M711" s="11">
        <v>6.2</v>
      </c>
      <c r="N711" s="1">
        <v>281.92</v>
      </c>
      <c r="O711" s="11">
        <v>2.8224999999999998</v>
      </c>
      <c r="P711" s="1">
        <f t="shared" si="89"/>
        <v>2821.56</v>
      </c>
      <c r="Q711" s="1">
        <v>2832.14</v>
      </c>
      <c r="R711" s="16">
        <f t="shared" si="90"/>
        <v>2238890.7426750003</v>
      </c>
      <c r="S711" s="20">
        <v>473.40000000000003</v>
      </c>
      <c r="T711" s="21"/>
      <c r="U711" s="21">
        <v>5.56</v>
      </c>
      <c r="V711" s="8">
        <v>478.96000000000004</v>
      </c>
      <c r="W711" s="25">
        <v>1.238</v>
      </c>
      <c r="X711" s="25">
        <f t="shared" si="91"/>
        <v>148238.12</v>
      </c>
      <c r="Y711" s="1">
        <f t="shared" si="92"/>
        <v>3300.52</v>
      </c>
      <c r="Z711" s="1">
        <f t="shared" si="93"/>
        <v>3311.1</v>
      </c>
      <c r="AA711" s="1">
        <v>3442.73</v>
      </c>
      <c r="AB711" s="1">
        <f t="shared" si="88"/>
        <v>-142.21000000000004</v>
      </c>
      <c r="AC711" s="29">
        <f t="shared" si="94"/>
        <v>131.63000000000011</v>
      </c>
      <c r="AD711" s="11">
        <f t="shared" si="95"/>
        <v>2387128.8626750004</v>
      </c>
    </row>
    <row r="712" spans="1:30" x14ac:dyDescent="0.3">
      <c r="A712" s="14">
        <v>45996.375</v>
      </c>
      <c r="B712" s="1">
        <v>1164.17</v>
      </c>
      <c r="C712" s="11">
        <v>3.2732000000000001</v>
      </c>
      <c r="D712" s="1">
        <v>649.45000000000005</v>
      </c>
      <c r="E712" s="11">
        <v>3.0760000000000001</v>
      </c>
      <c r="F712" s="1">
        <v>397.62</v>
      </c>
      <c r="G712" s="11">
        <v>3.53</v>
      </c>
      <c r="H712" s="1">
        <v>60.99</v>
      </c>
      <c r="I712" s="11">
        <v>2.1557300000000001</v>
      </c>
      <c r="J712" s="1">
        <v>144.26</v>
      </c>
      <c r="K712" s="11">
        <v>2.4000400000000002</v>
      </c>
      <c r="L712" s="1">
        <v>59.84</v>
      </c>
      <c r="M712" s="11">
        <v>6.2</v>
      </c>
      <c r="N712" s="1">
        <v>301.48</v>
      </c>
      <c r="O712" s="11">
        <v>2.8224999999999998</v>
      </c>
      <c r="P712" s="1">
        <f t="shared" si="89"/>
        <v>2777.81</v>
      </c>
      <c r="Q712" s="1">
        <v>2758.79</v>
      </c>
      <c r="R712" s="16">
        <f t="shared" si="90"/>
        <v>2227877.7717750003</v>
      </c>
      <c r="S712" s="20">
        <v>588.66000000000008</v>
      </c>
      <c r="T712" s="21"/>
      <c r="U712" s="21">
        <v>6.6099999999999994</v>
      </c>
      <c r="V712" s="8">
        <v>595.2700000000001</v>
      </c>
      <c r="W712" s="25">
        <v>1.238</v>
      </c>
      <c r="X712" s="25">
        <f t="shared" si="91"/>
        <v>184236.06500000003</v>
      </c>
      <c r="Y712" s="1">
        <f t="shared" si="92"/>
        <v>3373.08</v>
      </c>
      <c r="Z712" s="1">
        <f t="shared" si="93"/>
        <v>3354.06</v>
      </c>
      <c r="AA712" s="1">
        <v>3490.48</v>
      </c>
      <c r="AB712" s="1">
        <f t="shared" si="88"/>
        <v>-117.40000000000009</v>
      </c>
      <c r="AC712" s="29">
        <f t="shared" si="94"/>
        <v>136.42000000000007</v>
      </c>
      <c r="AD712" s="11">
        <f t="shared" si="95"/>
        <v>2412113.8367750002</v>
      </c>
    </row>
    <row r="713" spans="1:30" x14ac:dyDescent="0.3">
      <c r="A713" s="14">
        <v>45996.385416666664</v>
      </c>
      <c r="B713" s="1">
        <v>1084.71</v>
      </c>
      <c r="C713" s="11">
        <v>3.2732000000000001</v>
      </c>
      <c r="D713" s="1">
        <v>649.45000000000005</v>
      </c>
      <c r="E713" s="11">
        <v>3.0760000000000001</v>
      </c>
      <c r="F713" s="1">
        <v>397.62</v>
      </c>
      <c r="G713" s="11">
        <v>3.53</v>
      </c>
      <c r="H713" s="1">
        <v>56.84</v>
      </c>
      <c r="I713" s="11">
        <v>2.1652300000000002</v>
      </c>
      <c r="J713" s="1">
        <v>163.85</v>
      </c>
      <c r="K713" s="11">
        <v>2.40076</v>
      </c>
      <c r="L713" s="1">
        <v>64.89</v>
      </c>
      <c r="M713" s="11">
        <v>6.2</v>
      </c>
      <c r="N713" s="1">
        <v>339.38</v>
      </c>
      <c r="O713" s="11">
        <v>2.8224999999999998</v>
      </c>
      <c r="P713" s="1">
        <f t="shared" si="89"/>
        <v>2756.7400000000002</v>
      </c>
      <c r="Q713" s="1">
        <v>2766.88</v>
      </c>
      <c r="R713" s="16">
        <f t="shared" si="90"/>
        <v>2207108.4553</v>
      </c>
      <c r="S713" s="20">
        <v>647.43000000000006</v>
      </c>
      <c r="T713" s="21"/>
      <c r="U713" s="21">
        <v>8.0399999999999991</v>
      </c>
      <c r="V713" s="8">
        <v>655.47</v>
      </c>
      <c r="W713" s="25">
        <v>1.238</v>
      </c>
      <c r="X713" s="25">
        <f t="shared" si="91"/>
        <v>202867.965</v>
      </c>
      <c r="Y713" s="1">
        <f t="shared" si="92"/>
        <v>3412.21</v>
      </c>
      <c r="Z713" s="1">
        <f t="shared" si="93"/>
        <v>3422.3500000000004</v>
      </c>
      <c r="AA713" s="1">
        <v>3568.89</v>
      </c>
      <c r="AB713" s="1">
        <f t="shared" si="88"/>
        <v>-156.67999999999984</v>
      </c>
      <c r="AC713" s="29">
        <f t="shared" si="94"/>
        <v>146.53999999999951</v>
      </c>
      <c r="AD713" s="11">
        <f t="shared" si="95"/>
        <v>2409976.4202999999</v>
      </c>
    </row>
    <row r="714" spans="1:30" x14ac:dyDescent="0.3">
      <c r="A714" s="14">
        <v>45996.395833333336</v>
      </c>
      <c r="B714" s="1">
        <v>1083.27</v>
      </c>
      <c r="C714" s="11">
        <v>3.2732000000000001</v>
      </c>
      <c r="D714" s="1">
        <v>649.45000000000005</v>
      </c>
      <c r="E714" s="11">
        <v>3.0760000000000001</v>
      </c>
      <c r="F714" s="1">
        <v>397.62</v>
      </c>
      <c r="G714" s="11">
        <v>3.53</v>
      </c>
      <c r="H714" s="1">
        <v>56.84</v>
      </c>
      <c r="I714" s="11">
        <v>2.0009000000000001</v>
      </c>
      <c r="J714" s="1">
        <v>119.23</v>
      </c>
      <c r="K714" s="11">
        <v>2.15584</v>
      </c>
      <c r="L714" s="1">
        <v>65.36</v>
      </c>
      <c r="M714" s="11">
        <v>6.2</v>
      </c>
      <c r="N714" s="1">
        <v>367.49</v>
      </c>
      <c r="O714" s="11">
        <v>2.8224999999999998</v>
      </c>
      <c r="P714" s="1">
        <f t="shared" si="89"/>
        <v>2739.26</v>
      </c>
      <c r="Q714" s="1">
        <v>2775.16</v>
      </c>
      <c r="R714" s="16">
        <f t="shared" si="90"/>
        <v>2190077.6620499999</v>
      </c>
      <c r="S714" s="20">
        <v>730.43000000000006</v>
      </c>
      <c r="T714" s="21"/>
      <c r="U714" s="21">
        <v>6.6199999999999992</v>
      </c>
      <c r="V714" s="8">
        <v>737.05000000000007</v>
      </c>
      <c r="W714" s="25">
        <v>1.238</v>
      </c>
      <c r="X714" s="25">
        <f t="shared" si="91"/>
        <v>228116.97500000003</v>
      </c>
      <c r="Y714" s="1">
        <f t="shared" si="92"/>
        <v>3476.3100000000004</v>
      </c>
      <c r="Z714" s="1">
        <f t="shared" si="93"/>
        <v>3512.21</v>
      </c>
      <c r="AA714" s="1">
        <v>3650.01</v>
      </c>
      <c r="AB714" s="1">
        <f t="shared" si="88"/>
        <v>-173.69999999999982</v>
      </c>
      <c r="AC714" s="29">
        <f t="shared" si="94"/>
        <v>137.80000000000018</v>
      </c>
      <c r="AD714" s="11">
        <f t="shared" si="95"/>
        <v>2418194.63705</v>
      </c>
    </row>
    <row r="715" spans="1:30" x14ac:dyDescent="0.3">
      <c r="A715" s="14">
        <v>45996.40625</v>
      </c>
      <c r="B715" s="1">
        <v>1084.72</v>
      </c>
      <c r="C715" s="11">
        <v>3.2732000000000001</v>
      </c>
      <c r="D715" s="1">
        <v>649.45000000000005</v>
      </c>
      <c r="E715" s="11">
        <v>3.0760000000000001</v>
      </c>
      <c r="F715" s="1">
        <v>397.62</v>
      </c>
      <c r="G715" s="11">
        <v>3.53</v>
      </c>
      <c r="H715" s="1">
        <v>55.95</v>
      </c>
      <c r="I715" s="11">
        <v>2.0005799999999998</v>
      </c>
      <c r="J715" s="1">
        <v>115.7</v>
      </c>
      <c r="K715" s="11">
        <v>2.0559699999999999</v>
      </c>
      <c r="L715" s="1">
        <v>65.3</v>
      </c>
      <c r="M715" s="11">
        <v>6.2</v>
      </c>
      <c r="N715" s="1">
        <v>390.96</v>
      </c>
      <c r="O715" s="11">
        <v>2.8224999999999998</v>
      </c>
      <c r="P715" s="1">
        <f t="shared" si="89"/>
        <v>2759.7</v>
      </c>
      <c r="Q715" s="1">
        <v>2753.94</v>
      </c>
      <c r="R715" s="16">
        <f t="shared" si="90"/>
        <v>2202491.2709999997</v>
      </c>
      <c r="S715" s="20">
        <v>849.84</v>
      </c>
      <c r="T715" s="21"/>
      <c r="U715" s="21">
        <v>6.9</v>
      </c>
      <c r="V715" s="8">
        <v>856.74</v>
      </c>
      <c r="W715" s="25">
        <v>1.238</v>
      </c>
      <c r="X715" s="25">
        <f t="shared" si="91"/>
        <v>265161.02999999997</v>
      </c>
      <c r="Y715" s="1">
        <f t="shared" si="92"/>
        <v>3616.4399999999996</v>
      </c>
      <c r="Z715" s="1">
        <f t="shared" si="93"/>
        <v>3610.6800000000003</v>
      </c>
      <c r="AA715" s="1">
        <v>3750.59</v>
      </c>
      <c r="AB715" s="1">
        <f t="shared" si="88"/>
        <v>-134.15000000000055</v>
      </c>
      <c r="AC715" s="29">
        <f t="shared" si="94"/>
        <v>139.90999999999985</v>
      </c>
      <c r="AD715" s="11">
        <f t="shared" si="95"/>
        <v>2467652.3009999995</v>
      </c>
    </row>
    <row r="716" spans="1:30" x14ac:dyDescent="0.3">
      <c r="A716" s="14">
        <v>45996.416666666664</v>
      </c>
      <c r="B716" s="1">
        <v>1084.8900000000001</v>
      </c>
      <c r="C716" s="11">
        <v>3.2732000000000001</v>
      </c>
      <c r="D716" s="1">
        <v>649.45000000000005</v>
      </c>
      <c r="E716" s="11">
        <v>3.0760000000000001</v>
      </c>
      <c r="F716" s="1">
        <v>397.62</v>
      </c>
      <c r="G716" s="11">
        <v>3.53</v>
      </c>
      <c r="H716" s="1">
        <v>54.18</v>
      </c>
      <c r="I716" s="11">
        <v>1.9999400000000001</v>
      </c>
      <c r="J716" s="1">
        <v>114.98</v>
      </c>
      <c r="K716" s="11">
        <v>1.78844</v>
      </c>
      <c r="L716" s="1">
        <v>65.56</v>
      </c>
      <c r="M716" s="11">
        <v>6.2</v>
      </c>
      <c r="N716" s="1">
        <v>398.81</v>
      </c>
      <c r="O716" s="11">
        <v>2.8224999999999998</v>
      </c>
      <c r="P716" s="1">
        <f t="shared" si="89"/>
        <v>2765.49</v>
      </c>
      <c r="Q716" s="1">
        <v>2753.11</v>
      </c>
      <c r="R716" s="16">
        <f t="shared" si="90"/>
        <v>2199618.3883500001</v>
      </c>
      <c r="S716" s="20">
        <v>832.47</v>
      </c>
      <c r="T716" s="21"/>
      <c r="U716" s="21">
        <v>7.5000000000000009</v>
      </c>
      <c r="V716" s="8">
        <v>839.97</v>
      </c>
      <c r="W716" s="25">
        <v>1.238</v>
      </c>
      <c r="X716" s="25">
        <f t="shared" si="91"/>
        <v>259970.715</v>
      </c>
      <c r="Y716" s="1">
        <f t="shared" si="92"/>
        <v>3605.46</v>
      </c>
      <c r="Z716" s="1">
        <f t="shared" si="93"/>
        <v>3593.08</v>
      </c>
      <c r="AA716" s="1">
        <v>3753.93</v>
      </c>
      <c r="AB716" s="1">
        <f t="shared" si="88"/>
        <v>-148.4699999999998</v>
      </c>
      <c r="AC716" s="29">
        <f t="shared" si="94"/>
        <v>160.84999999999991</v>
      </c>
      <c r="AD716" s="11">
        <f t="shared" si="95"/>
        <v>2459589.10335</v>
      </c>
    </row>
    <row r="717" spans="1:30" x14ac:dyDescent="0.3">
      <c r="A717" s="14">
        <v>45996.427083333336</v>
      </c>
      <c r="B717" s="1">
        <v>1086.45</v>
      </c>
      <c r="C717" s="11">
        <v>3.2732000000000001</v>
      </c>
      <c r="D717" s="1">
        <v>649.45000000000005</v>
      </c>
      <c r="E717" s="11">
        <v>3.0760000000000001</v>
      </c>
      <c r="F717" s="1">
        <v>397.62</v>
      </c>
      <c r="G717" s="11">
        <v>3.53</v>
      </c>
      <c r="H717" s="1">
        <v>52.33</v>
      </c>
      <c r="I717" s="11">
        <v>2.0003699999999998</v>
      </c>
      <c r="J717" s="1">
        <v>114.93</v>
      </c>
      <c r="K717" s="11">
        <v>1.7769600000000001</v>
      </c>
      <c r="L717" s="1">
        <v>65.52</v>
      </c>
      <c r="M717" s="11">
        <v>6.2</v>
      </c>
      <c r="N717" s="1">
        <v>414.97</v>
      </c>
      <c r="O717" s="11">
        <v>2.8224999999999998</v>
      </c>
      <c r="P717" s="1">
        <f t="shared" si="89"/>
        <v>2781.2699999999995</v>
      </c>
      <c r="Q717" s="1">
        <v>2799.61</v>
      </c>
      <c r="R717" s="16">
        <f t="shared" si="90"/>
        <v>2210964.2849750002</v>
      </c>
      <c r="S717" s="20">
        <v>801.59</v>
      </c>
      <c r="T717" s="21"/>
      <c r="U717" s="21">
        <v>7.42</v>
      </c>
      <c r="V717" s="8">
        <v>809.01</v>
      </c>
      <c r="W717" s="25">
        <v>1.238</v>
      </c>
      <c r="X717" s="25">
        <f t="shared" si="91"/>
        <v>250388.59499999997</v>
      </c>
      <c r="Y717" s="1">
        <f t="shared" si="92"/>
        <v>3590.2799999999997</v>
      </c>
      <c r="Z717" s="1">
        <f t="shared" si="93"/>
        <v>3608.62</v>
      </c>
      <c r="AA717" s="1">
        <v>3770.26</v>
      </c>
      <c r="AB717" s="1">
        <f t="shared" si="88"/>
        <v>-179.98000000000047</v>
      </c>
      <c r="AC717" s="29">
        <f t="shared" si="94"/>
        <v>161.64000000000033</v>
      </c>
      <c r="AD717" s="11">
        <f t="shared" si="95"/>
        <v>2461352.8799750004</v>
      </c>
    </row>
    <row r="718" spans="1:30" x14ac:dyDescent="0.3">
      <c r="A718" s="14">
        <v>45996.4375</v>
      </c>
      <c r="B718" s="1">
        <v>1088.19</v>
      </c>
      <c r="C718" s="11">
        <v>3.2732000000000001</v>
      </c>
      <c r="D718" s="1">
        <v>649.45000000000005</v>
      </c>
      <c r="E718" s="11">
        <v>3.0760000000000001</v>
      </c>
      <c r="F718" s="1">
        <v>397.62</v>
      </c>
      <c r="G718" s="11">
        <v>3.53</v>
      </c>
      <c r="H718" s="1">
        <v>54.74</v>
      </c>
      <c r="I718" s="11">
        <v>2.4004099999999999</v>
      </c>
      <c r="J718" s="1">
        <v>87.9</v>
      </c>
      <c r="K718" s="11">
        <v>2.1184499999999997</v>
      </c>
      <c r="L718" s="1">
        <v>65.569999999999993</v>
      </c>
      <c r="M718" s="11">
        <v>6.2</v>
      </c>
      <c r="N718" s="1">
        <v>443.06</v>
      </c>
      <c r="O718" s="11">
        <v>2.8224999999999998</v>
      </c>
      <c r="P718" s="1">
        <f t="shared" si="89"/>
        <v>2786.53</v>
      </c>
      <c r="Q718" s="1">
        <v>2765.21</v>
      </c>
      <c r="R718" s="16">
        <f t="shared" si="90"/>
        <v>2234462.8391</v>
      </c>
      <c r="S718" s="20">
        <v>813.65000000000009</v>
      </c>
      <c r="T718" s="21"/>
      <c r="U718" s="21">
        <v>8.1999999999999993</v>
      </c>
      <c r="V718" s="8">
        <v>821.85000000000014</v>
      </c>
      <c r="W718" s="25">
        <v>1.238</v>
      </c>
      <c r="X718" s="25">
        <f t="shared" si="91"/>
        <v>254362.57500000004</v>
      </c>
      <c r="Y718" s="1">
        <f t="shared" si="92"/>
        <v>3608.38</v>
      </c>
      <c r="Z718" s="1">
        <f t="shared" si="93"/>
        <v>3587.0600000000004</v>
      </c>
      <c r="AA718" s="1">
        <v>3781.16</v>
      </c>
      <c r="AB718" s="1">
        <f t="shared" si="88"/>
        <v>-172.77999999999975</v>
      </c>
      <c r="AC718" s="29">
        <f t="shared" si="94"/>
        <v>194.09999999999945</v>
      </c>
      <c r="AD718" s="11">
        <f t="shared" si="95"/>
        <v>2488825.4141000002</v>
      </c>
    </row>
    <row r="719" spans="1:30" x14ac:dyDescent="0.3">
      <c r="A719" s="14">
        <v>45996.447916666664</v>
      </c>
      <c r="B719" s="1">
        <v>1088.24</v>
      </c>
      <c r="C719" s="11">
        <v>3.2732000000000001</v>
      </c>
      <c r="D719" s="1">
        <v>649.45000000000005</v>
      </c>
      <c r="E719" s="11">
        <v>3.0760000000000001</v>
      </c>
      <c r="F719" s="1">
        <v>397.62</v>
      </c>
      <c r="G719" s="11">
        <v>3.53</v>
      </c>
      <c r="H719" s="1">
        <v>55.91</v>
      </c>
      <c r="I719" s="11">
        <v>2.4005900000000002</v>
      </c>
      <c r="J719" s="1">
        <v>86.04</v>
      </c>
      <c r="K719" s="11">
        <v>2.1000199999999998</v>
      </c>
      <c r="L719" s="1">
        <v>65.23</v>
      </c>
      <c r="M719" s="11">
        <v>6.2</v>
      </c>
      <c r="N719" s="1">
        <v>452.23</v>
      </c>
      <c r="O719" s="11">
        <v>2.8224999999999998</v>
      </c>
      <c r="P719" s="1">
        <f t="shared" si="89"/>
        <v>2794.72</v>
      </c>
      <c r="Q719" s="1">
        <v>2796.78</v>
      </c>
      <c r="R719" s="16">
        <f t="shared" si="90"/>
        <v>2239770.4626750001</v>
      </c>
      <c r="S719" s="20">
        <v>781.77</v>
      </c>
      <c r="T719" s="21"/>
      <c r="U719" s="21">
        <v>7.61</v>
      </c>
      <c r="V719" s="8">
        <v>789.38</v>
      </c>
      <c r="W719" s="25">
        <v>1.238</v>
      </c>
      <c r="X719" s="25">
        <f t="shared" si="91"/>
        <v>244313.11</v>
      </c>
      <c r="Y719" s="1">
        <f t="shared" si="92"/>
        <v>3584.1</v>
      </c>
      <c r="Z719" s="1">
        <f t="shared" si="93"/>
        <v>3586.1600000000003</v>
      </c>
      <c r="AA719" s="1">
        <v>3781.27</v>
      </c>
      <c r="AB719" s="1">
        <f t="shared" si="88"/>
        <v>-197.17000000000007</v>
      </c>
      <c r="AC719" s="29">
        <f t="shared" si="94"/>
        <v>195.10999999999967</v>
      </c>
      <c r="AD719" s="11">
        <f t="shared" si="95"/>
        <v>2484083.5726749999</v>
      </c>
    </row>
    <row r="720" spans="1:30" x14ac:dyDescent="0.3">
      <c r="A720" s="14">
        <v>45996.458333333336</v>
      </c>
      <c r="B720" s="1">
        <v>1189.4100000000001</v>
      </c>
      <c r="C720" s="11">
        <v>3.2732000000000001</v>
      </c>
      <c r="D720" s="1">
        <v>649.45000000000005</v>
      </c>
      <c r="E720" s="11">
        <v>3.0760000000000001</v>
      </c>
      <c r="F720" s="1">
        <v>397.62</v>
      </c>
      <c r="G720" s="11">
        <v>3.53</v>
      </c>
      <c r="H720" s="1">
        <v>25.52</v>
      </c>
      <c r="I720" s="11">
        <v>2.4009800000000001</v>
      </c>
      <c r="J720" s="1">
        <v>55.41</v>
      </c>
      <c r="K720" s="11">
        <v>2.5108200000000003</v>
      </c>
      <c r="L720" s="1">
        <v>65.73</v>
      </c>
      <c r="M720" s="11">
        <v>6.2</v>
      </c>
      <c r="N720" s="1">
        <v>436.68</v>
      </c>
      <c r="O720" s="11">
        <v>2.8224999999999998</v>
      </c>
      <c r="P720" s="1">
        <f t="shared" si="89"/>
        <v>2819.8199999999997</v>
      </c>
      <c r="Q720" s="1">
        <v>2822.15</v>
      </c>
      <c r="R720" s="16">
        <f t="shared" si="90"/>
        <v>2283734.1144500002</v>
      </c>
      <c r="S720" s="20">
        <v>759.44000000000017</v>
      </c>
      <c r="T720" s="21"/>
      <c r="U720" s="21">
        <v>8.09</v>
      </c>
      <c r="V720" s="8">
        <v>767.5300000000002</v>
      </c>
      <c r="W720" s="25">
        <v>1.238</v>
      </c>
      <c r="X720" s="25">
        <f t="shared" si="91"/>
        <v>237550.53500000006</v>
      </c>
      <c r="Y720" s="1">
        <f t="shared" si="92"/>
        <v>3587.35</v>
      </c>
      <c r="Z720" s="1">
        <f t="shared" si="93"/>
        <v>3589.6800000000003</v>
      </c>
      <c r="AA720" s="1">
        <v>3776.48</v>
      </c>
      <c r="AB720" s="1">
        <f t="shared" si="88"/>
        <v>-189.13000000000011</v>
      </c>
      <c r="AC720" s="29">
        <f t="shared" si="94"/>
        <v>186.79999999999973</v>
      </c>
      <c r="AD720" s="11">
        <f t="shared" si="95"/>
        <v>2521284.6494500004</v>
      </c>
    </row>
    <row r="721" spans="1:30" x14ac:dyDescent="0.3">
      <c r="A721" s="14">
        <v>45996.46875</v>
      </c>
      <c r="B721" s="1">
        <v>1196.3800000000001</v>
      </c>
      <c r="C721" s="11">
        <v>3.2732000000000001</v>
      </c>
      <c r="D721" s="1">
        <v>649.45000000000005</v>
      </c>
      <c r="E721" s="11">
        <v>3.0760000000000001</v>
      </c>
      <c r="F721" s="1">
        <v>397.62</v>
      </c>
      <c r="G721" s="11">
        <v>3.53</v>
      </c>
      <c r="H721" s="1">
        <v>23.23</v>
      </c>
      <c r="I721" s="11">
        <v>2.5006200000000001</v>
      </c>
      <c r="J721" s="1">
        <v>21.34</v>
      </c>
      <c r="K721" s="11">
        <v>2.56088</v>
      </c>
      <c r="L721" s="1">
        <v>65.86</v>
      </c>
      <c r="M721" s="11">
        <v>6.2</v>
      </c>
      <c r="N721" s="1">
        <v>448.39</v>
      </c>
      <c r="O721" s="11">
        <v>2.8224999999999998</v>
      </c>
      <c r="P721" s="1">
        <f t="shared" si="89"/>
        <v>2802.2700000000004</v>
      </c>
      <c r="Q721" s="1">
        <v>2789.46</v>
      </c>
      <c r="R721" s="16">
        <f t="shared" si="90"/>
        <v>2275987.2932000002</v>
      </c>
      <c r="S721" s="20">
        <v>746.05</v>
      </c>
      <c r="T721" s="21"/>
      <c r="U721" s="21">
        <v>9.06</v>
      </c>
      <c r="V721" s="8">
        <v>755.1099999999999</v>
      </c>
      <c r="W721" s="25">
        <v>1.238</v>
      </c>
      <c r="X721" s="25">
        <f t="shared" si="91"/>
        <v>233706.54499999998</v>
      </c>
      <c r="Y721" s="1">
        <f t="shared" si="92"/>
        <v>3557.38</v>
      </c>
      <c r="Z721" s="1">
        <f t="shared" si="93"/>
        <v>3544.5699999999997</v>
      </c>
      <c r="AA721" s="1">
        <v>3749.05</v>
      </c>
      <c r="AB721" s="1">
        <f t="shared" si="88"/>
        <v>-191.67000000000007</v>
      </c>
      <c r="AC721" s="29">
        <f t="shared" si="94"/>
        <v>204.48000000000047</v>
      </c>
      <c r="AD721" s="11">
        <f t="shared" si="95"/>
        <v>2509693.8382000001</v>
      </c>
    </row>
    <row r="722" spans="1:30" x14ac:dyDescent="0.3">
      <c r="A722" s="14">
        <v>45996.479166666664</v>
      </c>
      <c r="B722" s="1">
        <v>1196.3800000000001</v>
      </c>
      <c r="C722" s="11">
        <v>3.2732000000000001</v>
      </c>
      <c r="D722" s="1">
        <v>649.45000000000005</v>
      </c>
      <c r="E722" s="11">
        <v>3.0760000000000001</v>
      </c>
      <c r="F722" s="1">
        <v>397.62</v>
      </c>
      <c r="G722" s="11">
        <v>3.53</v>
      </c>
      <c r="H722" s="1">
        <v>23.23</v>
      </c>
      <c r="I722" s="11">
        <v>2.7003200000000001</v>
      </c>
      <c r="J722" s="1">
        <v>16.57</v>
      </c>
      <c r="K722" s="11">
        <v>2.79982</v>
      </c>
      <c r="L722" s="1">
        <v>65.78</v>
      </c>
      <c r="M722" s="11">
        <v>6.2</v>
      </c>
      <c r="N722" s="1">
        <v>456.19</v>
      </c>
      <c r="O722" s="11">
        <v>2.8224999999999998</v>
      </c>
      <c r="P722" s="1">
        <f t="shared" si="89"/>
        <v>2805.2200000000007</v>
      </c>
      <c r="Q722" s="1">
        <v>2826.35</v>
      </c>
      <c r="R722" s="16">
        <f t="shared" si="90"/>
        <v>2280462.8854999999</v>
      </c>
      <c r="S722" s="20">
        <v>701.38</v>
      </c>
      <c r="T722" s="21"/>
      <c r="U722" s="21">
        <v>11.04</v>
      </c>
      <c r="V722" s="8">
        <v>712.42</v>
      </c>
      <c r="W722" s="25">
        <v>1.238</v>
      </c>
      <c r="X722" s="25">
        <f t="shared" si="91"/>
        <v>220493.99</v>
      </c>
      <c r="Y722" s="1">
        <f t="shared" si="92"/>
        <v>3517.6400000000008</v>
      </c>
      <c r="Z722" s="1">
        <f t="shared" si="93"/>
        <v>3538.77</v>
      </c>
      <c r="AA722" s="1">
        <v>3752.75</v>
      </c>
      <c r="AB722" s="1">
        <f t="shared" si="88"/>
        <v>-235.10999999999922</v>
      </c>
      <c r="AC722" s="29">
        <f t="shared" si="94"/>
        <v>213.98000000000002</v>
      </c>
      <c r="AD722" s="11">
        <f t="shared" si="95"/>
        <v>2500956.8755000001</v>
      </c>
    </row>
    <row r="723" spans="1:30" x14ac:dyDescent="0.3">
      <c r="A723" s="14">
        <v>45996.489583333336</v>
      </c>
      <c r="B723" s="1">
        <v>1196.3800000000001</v>
      </c>
      <c r="C723" s="11">
        <v>3.2732000000000001</v>
      </c>
      <c r="D723" s="1">
        <v>649.45000000000005</v>
      </c>
      <c r="E723" s="11">
        <v>3.0760000000000001</v>
      </c>
      <c r="F723" s="1">
        <v>397.62</v>
      </c>
      <c r="G723" s="11">
        <v>3.53</v>
      </c>
      <c r="H723" s="1">
        <v>23.23</v>
      </c>
      <c r="I723" s="11">
        <v>2.7805</v>
      </c>
      <c r="J723" s="1">
        <v>16.420000000000002</v>
      </c>
      <c r="K723" s="11">
        <v>2.7991799999999998</v>
      </c>
      <c r="L723" s="1">
        <v>66.040000000000006</v>
      </c>
      <c r="M723" s="11">
        <v>6.2</v>
      </c>
      <c r="N723" s="1">
        <v>462.25</v>
      </c>
      <c r="O723" s="11">
        <v>2.8224999999999998</v>
      </c>
      <c r="P723" s="1">
        <f t="shared" si="89"/>
        <v>2811.3900000000003</v>
      </c>
      <c r="Q723" s="1">
        <v>2840.59</v>
      </c>
      <c r="R723" s="16">
        <f t="shared" si="90"/>
        <v>2285499.9979000003</v>
      </c>
      <c r="S723" s="20">
        <v>689.09999999999991</v>
      </c>
      <c r="T723" s="21"/>
      <c r="U723" s="21">
        <v>10.93</v>
      </c>
      <c r="V723" s="8">
        <v>700.02999999999986</v>
      </c>
      <c r="W723" s="25">
        <v>1.238</v>
      </c>
      <c r="X723" s="25">
        <f t="shared" si="91"/>
        <v>216659.28499999995</v>
      </c>
      <c r="Y723" s="1">
        <f t="shared" si="92"/>
        <v>3511.42</v>
      </c>
      <c r="Z723" s="1">
        <f t="shared" si="93"/>
        <v>3540.62</v>
      </c>
      <c r="AA723" s="1">
        <v>3750.81</v>
      </c>
      <c r="AB723" s="1">
        <f t="shared" si="88"/>
        <v>-239.38999999999987</v>
      </c>
      <c r="AC723" s="29">
        <f t="shared" si="94"/>
        <v>210.19000000000005</v>
      </c>
      <c r="AD723" s="11">
        <f t="shared" si="95"/>
        <v>2502159.2829000005</v>
      </c>
    </row>
    <row r="724" spans="1:30" x14ac:dyDescent="0.3">
      <c r="A724" s="14">
        <v>45996.5</v>
      </c>
      <c r="B724" s="1">
        <v>1237.5999999999999</v>
      </c>
      <c r="C724" s="11">
        <v>3.2732000000000001</v>
      </c>
      <c r="D724" s="1">
        <v>649.45000000000005</v>
      </c>
      <c r="E724" s="11">
        <v>3.0760000000000001</v>
      </c>
      <c r="F724" s="1">
        <v>397.62</v>
      </c>
      <c r="G724" s="11">
        <v>3.53</v>
      </c>
      <c r="H724" s="1">
        <v>24.58</v>
      </c>
      <c r="I724" s="11">
        <v>2.78044</v>
      </c>
      <c r="J724" s="1">
        <v>16.420000000000002</v>
      </c>
      <c r="K724" s="11">
        <v>2.9593099999999999</v>
      </c>
      <c r="L724" s="1">
        <v>65.069999999999993</v>
      </c>
      <c r="M724" s="11">
        <v>6.2</v>
      </c>
      <c r="N724" s="1">
        <v>464.97</v>
      </c>
      <c r="O724" s="11">
        <v>2.8224999999999998</v>
      </c>
      <c r="P724" s="1">
        <f t="shared" si="89"/>
        <v>2855.71</v>
      </c>
      <c r="Q724" s="1">
        <v>2985.48</v>
      </c>
      <c r="R724" s="16">
        <f t="shared" si="90"/>
        <v>2321241.5076000001</v>
      </c>
      <c r="S724" s="20">
        <v>539.9</v>
      </c>
      <c r="T724" s="21"/>
      <c r="U724" s="21">
        <v>11</v>
      </c>
      <c r="V724" s="8">
        <v>550.9</v>
      </c>
      <c r="W724" s="25">
        <v>1.238</v>
      </c>
      <c r="X724" s="25">
        <f t="shared" si="91"/>
        <v>170503.55</v>
      </c>
      <c r="Y724" s="1">
        <f t="shared" si="92"/>
        <v>3406.61</v>
      </c>
      <c r="Z724" s="1">
        <f t="shared" si="93"/>
        <v>3536.38</v>
      </c>
      <c r="AA724" s="1">
        <v>3761.54</v>
      </c>
      <c r="AB724" s="1">
        <f t="shared" si="88"/>
        <v>-354.92999999999984</v>
      </c>
      <c r="AC724" s="29">
        <f t="shared" si="94"/>
        <v>225.15999999999985</v>
      </c>
      <c r="AD724" s="11">
        <f t="shared" si="95"/>
        <v>2491745.0575999999</v>
      </c>
    </row>
    <row r="725" spans="1:30" x14ac:dyDescent="0.3">
      <c r="A725" s="14">
        <v>45996.510416666664</v>
      </c>
      <c r="B725" s="1">
        <v>1244.22</v>
      </c>
      <c r="C725" s="11">
        <v>3.2732000000000001</v>
      </c>
      <c r="D725" s="1">
        <v>649.45000000000005</v>
      </c>
      <c r="E725" s="11">
        <v>3.0760000000000001</v>
      </c>
      <c r="F725" s="1">
        <v>397.62</v>
      </c>
      <c r="G725" s="11">
        <v>3.53</v>
      </c>
      <c r="H725" s="1">
        <v>24.68</v>
      </c>
      <c r="I725" s="11">
        <v>2.78091</v>
      </c>
      <c r="J725" s="1">
        <v>16.420000000000002</v>
      </c>
      <c r="K725" s="11">
        <v>3.01939</v>
      </c>
      <c r="L725" s="1">
        <v>64.92</v>
      </c>
      <c r="M725" s="11">
        <v>6.2</v>
      </c>
      <c r="N725" s="1">
        <v>467.15</v>
      </c>
      <c r="O725" s="11">
        <v>2.8224999999999998</v>
      </c>
      <c r="P725" s="1">
        <f t="shared" si="89"/>
        <v>2864.46</v>
      </c>
      <c r="Q725" s="1">
        <v>2897.66</v>
      </c>
      <c r="R725" s="16">
        <f t="shared" si="90"/>
        <v>2328283.4554000003</v>
      </c>
      <c r="S725" s="20">
        <v>642.69999999999982</v>
      </c>
      <c r="T725" s="21"/>
      <c r="U725" s="21">
        <v>10.45</v>
      </c>
      <c r="V725" s="8">
        <v>653.14999999999986</v>
      </c>
      <c r="W725" s="25">
        <v>1.238</v>
      </c>
      <c r="X725" s="25">
        <f t="shared" si="91"/>
        <v>202149.92499999996</v>
      </c>
      <c r="Y725" s="1">
        <f t="shared" si="92"/>
        <v>3517.6099999999997</v>
      </c>
      <c r="Z725" s="1">
        <f t="shared" si="93"/>
        <v>3550.8099999999995</v>
      </c>
      <c r="AA725" s="1">
        <v>3772.65</v>
      </c>
      <c r="AB725" s="1">
        <f t="shared" si="88"/>
        <v>-255.04000000000042</v>
      </c>
      <c r="AC725" s="29">
        <f t="shared" si="94"/>
        <v>221.8400000000006</v>
      </c>
      <c r="AD725" s="11">
        <f t="shared" si="95"/>
        <v>2530433.3804000001</v>
      </c>
    </row>
    <row r="726" spans="1:30" x14ac:dyDescent="0.3">
      <c r="A726" s="14">
        <v>45996.520833333336</v>
      </c>
      <c r="B726" s="1">
        <v>1313.24</v>
      </c>
      <c r="C726" s="11">
        <v>3.2732000000000001</v>
      </c>
      <c r="D726" s="1">
        <v>649.45000000000005</v>
      </c>
      <c r="E726" s="11">
        <v>3.0760000000000001</v>
      </c>
      <c r="F726" s="1">
        <v>397.62</v>
      </c>
      <c r="G726" s="11">
        <v>3.53</v>
      </c>
      <c r="H726" s="1">
        <v>24.68</v>
      </c>
      <c r="I726" s="11">
        <v>2.8504099999999997</v>
      </c>
      <c r="J726" s="1">
        <v>19.11</v>
      </c>
      <c r="K726" s="11">
        <v>2.9803800000000003</v>
      </c>
      <c r="L726" s="1">
        <v>64.819999999999993</v>
      </c>
      <c r="M726" s="11">
        <v>6.2</v>
      </c>
      <c r="N726" s="1">
        <v>468.78</v>
      </c>
      <c r="O726" s="11">
        <v>2.8224999999999998</v>
      </c>
      <c r="P726" s="1">
        <f t="shared" si="89"/>
        <v>2937.7</v>
      </c>
      <c r="Q726" s="1">
        <v>2954.91</v>
      </c>
      <c r="R726" s="16">
        <f t="shared" si="90"/>
        <v>2388030.6746499999</v>
      </c>
      <c r="S726" s="20">
        <v>525.66999999999996</v>
      </c>
      <c r="T726" s="21"/>
      <c r="U726" s="21">
        <v>10.64</v>
      </c>
      <c r="V726" s="8">
        <v>536.30999999999995</v>
      </c>
      <c r="W726" s="25">
        <v>1.238</v>
      </c>
      <c r="X726" s="25">
        <f t="shared" si="91"/>
        <v>165987.94499999998</v>
      </c>
      <c r="Y726" s="1">
        <f t="shared" si="92"/>
        <v>3474.0099999999998</v>
      </c>
      <c r="Z726" s="1">
        <f t="shared" si="93"/>
        <v>3491.22</v>
      </c>
      <c r="AA726" s="1">
        <v>3720.01</v>
      </c>
      <c r="AB726" s="1">
        <f t="shared" si="88"/>
        <v>-246.00000000000045</v>
      </c>
      <c r="AC726" s="29">
        <f t="shared" si="94"/>
        <v>228.79000000000042</v>
      </c>
      <c r="AD726" s="11">
        <f t="shared" si="95"/>
        <v>2554018.6196499998</v>
      </c>
    </row>
    <row r="727" spans="1:30" x14ac:dyDescent="0.3">
      <c r="A727" s="14">
        <v>45996.53125</v>
      </c>
      <c r="B727" s="1">
        <v>1315.42</v>
      </c>
      <c r="C727" s="11">
        <v>3.2732000000000001</v>
      </c>
      <c r="D727" s="1">
        <v>649.45000000000005</v>
      </c>
      <c r="E727" s="11">
        <v>3.0760000000000001</v>
      </c>
      <c r="F727" s="1">
        <v>397.62</v>
      </c>
      <c r="G727" s="11">
        <v>3.53</v>
      </c>
      <c r="H727" s="1">
        <v>24.68</v>
      </c>
      <c r="I727" s="11">
        <v>2.89995</v>
      </c>
      <c r="J727" s="1">
        <v>19.309999999999999</v>
      </c>
      <c r="K727" s="11">
        <v>2.7993399999999999</v>
      </c>
      <c r="L727" s="1">
        <v>64.09</v>
      </c>
      <c r="M727" s="11">
        <v>6.2</v>
      </c>
      <c r="N727" s="1">
        <v>468.99</v>
      </c>
      <c r="O727" s="11">
        <v>2.8224999999999998</v>
      </c>
      <c r="P727" s="1">
        <f t="shared" si="89"/>
        <v>2939.5600000000004</v>
      </c>
      <c r="Q727" s="1">
        <v>2991.57</v>
      </c>
      <c r="R727" s="16">
        <f t="shared" si="90"/>
        <v>2388411.9601000003</v>
      </c>
      <c r="S727" s="20">
        <v>513.94999999999993</v>
      </c>
      <c r="T727" s="21"/>
      <c r="U727" s="21">
        <v>10.25</v>
      </c>
      <c r="V727" s="8">
        <v>524.19999999999993</v>
      </c>
      <c r="W727" s="25">
        <v>1.238</v>
      </c>
      <c r="X727" s="25">
        <f t="shared" si="91"/>
        <v>162239.89999999997</v>
      </c>
      <c r="Y727" s="1">
        <f t="shared" si="92"/>
        <v>3463.76</v>
      </c>
      <c r="Z727" s="1">
        <f t="shared" si="93"/>
        <v>3515.77</v>
      </c>
      <c r="AA727" s="1">
        <v>3746.64</v>
      </c>
      <c r="AB727" s="1">
        <f t="shared" si="88"/>
        <v>-282.87999999999965</v>
      </c>
      <c r="AC727" s="29">
        <f t="shared" si="94"/>
        <v>230.86999999999989</v>
      </c>
      <c r="AD727" s="11">
        <f t="shared" si="95"/>
        <v>2550651.8601000002</v>
      </c>
    </row>
    <row r="728" spans="1:30" x14ac:dyDescent="0.3">
      <c r="A728" s="14">
        <v>45996.541666666664</v>
      </c>
      <c r="B728" s="1">
        <v>1315.22</v>
      </c>
      <c r="C728" s="11">
        <v>3.2732000000000001</v>
      </c>
      <c r="D728" s="1">
        <v>649.45000000000005</v>
      </c>
      <c r="E728" s="11">
        <v>3.0760000000000001</v>
      </c>
      <c r="F728" s="1">
        <v>397.62</v>
      </c>
      <c r="G728" s="11">
        <v>3.53</v>
      </c>
      <c r="H728" s="1">
        <v>20.38</v>
      </c>
      <c r="I728" s="11">
        <v>2.83948</v>
      </c>
      <c r="J728" s="1">
        <v>142.94999999999999</v>
      </c>
      <c r="K728" s="11">
        <v>2.0559699999999999</v>
      </c>
      <c r="L728" s="1">
        <v>64.94</v>
      </c>
      <c r="M728" s="11">
        <v>6.2</v>
      </c>
      <c r="N728" s="1">
        <v>471.42</v>
      </c>
      <c r="O728" s="11">
        <v>2.8224999999999998</v>
      </c>
      <c r="P728" s="1">
        <f t="shared" si="89"/>
        <v>3061.98</v>
      </c>
      <c r="Q728" s="1">
        <v>3098.86</v>
      </c>
      <c r="R728" s="16">
        <f t="shared" si="90"/>
        <v>2447816.3419749998</v>
      </c>
      <c r="S728" s="20">
        <v>412.75</v>
      </c>
      <c r="T728" s="21"/>
      <c r="U728" s="21">
        <v>9.1999999999999993</v>
      </c>
      <c r="V728" s="8">
        <v>421.95</v>
      </c>
      <c r="W728" s="25">
        <v>1.238</v>
      </c>
      <c r="X728" s="25">
        <f t="shared" si="91"/>
        <v>130593.52499999999</v>
      </c>
      <c r="Y728" s="1">
        <f t="shared" si="92"/>
        <v>3483.93</v>
      </c>
      <c r="Z728" s="1">
        <f t="shared" si="93"/>
        <v>3520.81</v>
      </c>
      <c r="AA728" s="1">
        <v>3751.46</v>
      </c>
      <c r="AB728" s="1">
        <f t="shared" si="88"/>
        <v>-267.5300000000002</v>
      </c>
      <c r="AC728" s="29">
        <f t="shared" si="94"/>
        <v>230.65000000000009</v>
      </c>
      <c r="AD728" s="11">
        <f t="shared" si="95"/>
        <v>2578409.8669749997</v>
      </c>
    </row>
    <row r="729" spans="1:30" x14ac:dyDescent="0.3">
      <c r="A729" s="14">
        <v>45996.552083333336</v>
      </c>
      <c r="B729" s="1">
        <v>1315.22</v>
      </c>
      <c r="C729" s="11">
        <v>3.2732000000000001</v>
      </c>
      <c r="D729" s="1">
        <v>649.45000000000005</v>
      </c>
      <c r="E729" s="11">
        <v>3.0760000000000001</v>
      </c>
      <c r="F729" s="1">
        <v>397.62</v>
      </c>
      <c r="G729" s="11">
        <v>3.53</v>
      </c>
      <c r="H729" s="1">
        <v>20.95</v>
      </c>
      <c r="I729" s="11">
        <v>2.7732899999999998</v>
      </c>
      <c r="J729" s="1">
        <v>151.62</v>
      </c>
      <c r="K729" s="11">
        <v>2.0676700000000001</v>
      </c>
      <c r="L729" s="1">
        <v>64.459999999999994</v>
      </c>
      <c r="M729" s="11">
        <v>6.2</v>
      </c>
      <c r="N729" s="1">
        <v>469.59</v>
      </c>
      <c r="O729" s="11">
        <v>2.8224999999999998</v>
      </c>
      <c r="P729" s="1">
        <f t="shared" si="89"/>
        <v>3068.91</v>
      </c>
      <c r="Q729" s="1">
        <v>3126.1</v>
      </c>
      <c r="R729" s="16">
        <f t="shared" si="90"/>
        <v>2450738.8074749997</v>
      </c>
      <c r="S729" s="20">
        <v>396.95000000000005</v>
      </c>
      <c r="T729" s="21"/>
      <c r="U729" s="21">
        <v>10.26</v>
      </c>
      <c r="V729" s="8">
        <v>407.21000000000004</v>
      </c>
      <c r="W729" s="25">
        <v>1.238</v>
      </c>
      <c r="X729" s="25">
        <f t="shared" si="91"/>
        <v>126031.49500000001</v>
      </c>
      <c r="Y729" s="1">
        <f t="shared" si="92"/>
        <v>3476.12</v>
      </c>
      <c r="Z729" s="1">
        <f t="shared" si="93"/>
        <v>3533.31</v>
      </c>
      <c r="AA729" s="1">
        <v>3756.1</v>
      </c>
      <c r="AB729" s="1">
        <f t="shared" si="88"/>
        <v>-279.98</v>
      </c>
      <c r="AC729" s="29">
        <f t="shared" si="94"/>
        <v>222.78999999999996</v>
      </c>
      <c r="AD729" s="11">
        <f t="shared" si="95"/>
        <v>2576770.3024749998</v>
      </c>
    </row>
    <row r="730" spans="1:30" x14ac:dyDescent="0.3">
      <c r="A730" s="14">
        <v>45996.5625</v>
      </c>
      <c r="B730" s="1">
        <v>1315.22</v>
      </c>
      <c r="C730" s="11">
        <v>3.2732000000000001</v>
      </c>
      <c r="D730" s="1">
        <v>649.45000000000005</v>
      </c>
      <c r="E730" s="11">
        <v>3.0760000000000001</v>
      </c>
      <c r="F730" s="1">
        <v>397.62</v>
      </c>
      <c r="G730" s="11">
        <v>3.53</v>
      </c>
      <c r="H730" s="1">
        <v>21.02</v>
      </c>
      <c r="I730" s="11">
        <v>2.8996399999999998</v>
      </c>
      <c r="J730" s="1">
        <v>60.52</v>
      </c>
      <c r="K730" s="11">
        <v>2.6005100000000003</v>
      </c>
      <c r="L730" s="1">
        <v>63.52</v>
      </c>
      <c r="M730" s="11">
        <v>6.2</v>
      </c>
      <c r="N730" s="1">
        <v>459.4</v>
      </c>
      <c r="O730" s="11">
        <v>2.8224999999999998</v>
      </c>
      <c r="P730" s="1">
        <f t="shared" si="89"/>
        <v>2966.75</v>
      </c>
      <c r="Q730" s="1">
        <v>3030.11</v>
      </c>
      <c r="R730" s="16">
        <f t="shared" si="90"/>
        <v>2403774.6754999999</v>
      </c>
      <c r="S730" s="20">
        <v>536.00999999999988</v>
      </c>
      <c r="T730" s="21"/>
      <c r="U730" s="21">
        <v>10.309999999999999</v>
      </c>
      <c r="V730" s="8">
        <v>546.31999999999982</v>
      </c>
      <c r="W730" s="25">
        <v>1.238</v>
      </c>
      <c r="X730" s="25">
        <f t="shared" si="91"/>
        <v>169086.03999999995</v>
      </c>
      <c r="Y730" s="1">
        <f t="shared" si="92"/>
        <v>3513.0699999999997</v>
      </c>
      <c r="Z730" s="1">
        <f t="shared" si="93"/>
        <v>3576.43</v>
      </c>
      <c r="AA730" s="1">
        <v>3795.74</v>
      </c>
      <c r="AB730" s="1">
        <f t="shared" si="88"/>
        <v>-282.67000000000007</v>
      </c>
      <c r="AC730" s="29">
        <f t="shared" si="94"/>
        <v>219.30999999999995</v>
      </c>
      <c r="AD730" s="11">
        <f t="shared" si="95"/>
        <v>2572860.7154999999</v>
      </c>
    </row>
    <row r="731" spans="1:30" x14ac:dyDescent="0.3">
      <c r="A731" s="14">
        <v>45996.572916666664</v>
      </c>
      <c r="B731" s="1">
        <v>1315.22</v>
      </c>
      <c r="C731" s="11">
        <v>3.2732000000000001</v>
      </c>
      <c r="D731" s="1">
        <v>649.45000000000005</v>
      </c>
      <c r="E731" s="11">
        <v>3.0760000000000001</v>
      </c>
      <c r="F731" s="1">
        <v>397.62</v>
      </c>
      <c r="G731" s="11">
        <v>3.53</v>
      </c>
      <c r="H731" s="1">
        <v>22.81</v>
      </c>
      <c r="I731" s="11">
        <v>2.9710300000000003</v>
      </c>
      <c r="J731" s="1">
        <v>53.08</v>
      </c>
      <c r="K731" s="11">
        <v>2.84992</v>
      </c>
      <c r="L731" s="1">
        <v>64.55</v>
      </c>
      <c r="M731" s="11">
        <v>6.2</v>
      </c>
      <c r="N731" s="1">
        <v>462.05</v>
      </c>
      <c r="O731" s="11">
        <v>2.8224999999999998</v>
      </c>
      <c r="P731" s="1">
        <f t="shared" si="89"/>
        <v>2964.78</v>
      </c>
      <c r="Q731" s="1">
        <v>3042.6</v>
      </c>
      <c r="R731" s="16">
        <f t="shared" si="90"/>
        <v>2407418.4942250005</v>
      </c>
      <c r="S731" s="20">
        <v>595.62999999999988</v>
      </c>
      <c r="T731" s="21"/>
      <c r="U731" s="21">
        <v>10.75</v>
      </c>
      <c r="V731" s="8">
        <v>606.37999999999988</v>
      </c>
      <c r="W731" s="25">
        <v>1.238</v>
      </c>
      <c r="X731" s="25">
        <f t="shared" si="91"/>
        <v>187674.61</v>
      </c>
      <c r="Y731" s="1">
        <f t="shared" si="92"/>
        <v>3571.16</v>
      </c>
      <c r="Z731" s="1">
        <f t="shared" si="93"/>
        <v>3648.9799999999996</v>
      </c>
      <c r="AA731" s="1">
        <v>3864.62</v>
      </c>
      <c r="AB731" s="1">
        <f t="shared" si="88"/>
        <v>-293.46000000000004</v>
      </c>
      <c r="AC731" s="29">
        <f t="shared" si="94"/>
        <v>215.64000000000033</v>
      </c>
      <c r="AD731" s="11">
        <f t="shared" si="95"/>
        <v>2595093.1042250004</v>
      </c>
    </row>
    <row r="732" spans="1:30" x14ac:dyDescent="0.3">
      <c r="A732" s="14">
        <v>45996.583333333336</v>
      </c>
      <c r="B732" s="1">
        <v>1315.22</v>
      </c>
      <c r="C732" s="11">
        <v>3.2732000000000001</v>
      </c>
      <c r="D732" s="1">
        <v>655.79</v>
      </c>
      <c r="E732" s="11">
        <v>3.0760000000000001</v>
      </c>
      <c r="F732" s="1">
        <v>397.62</v>
      </c>
      <c r="G732" s="11">
        <v>3.53</v>
      </c>
      <c r="H732" s="1">
        <v>24.02</v>
      </c>
      <c r="I732" s="11">
        <v>2.97153</v>
      </c>
      <c r="J732" s="1">
        <v>21.48</v>
      </c>
      <c r="K732" s="11">
        <v>2.9806699999999999</v>
      </c>
      <c r="L732" s="1">
        <v>57.32</v>
      </c>
      <c r="M732" s="11">
        <v>6.2</v>
      </c>
      <c r="N732" s="1">
        <v>454.94</v>
      </c>
      <c r="O732" s="11">
        <v>2.8224999999999998</v>
      </c>
      <c r="P732" s="1">
        <f t="shared" si="89"/>
        <v>2926.3900000000003</v>
      </c>
      <c r="Q732" s="1">
        <v>2962.44</v>
      </c>
      <c r="R732" s="16">
        <f t="shared" si="90"/>
        <v>2375159.9590500002</v>
      </c>
      <c r="S732" s="20">
        <v>765.93</v>
      </c>
      <c r="T732" s="21"/>
      <c r="U732" s="21">
        <v>10.39</v>
      </c>
      <c r="V732" s="8">
        <v>776.31999999999994</v>
      </c>
      <c r="W732" s="25">
        <v>1.238</v>
      </c>
      <c r="X732" s="25">
        <f t="shared" si="91"/>
        <v>240271.03999999998</v>
      </c>
      <c r="Y732" s="1">
        <f t="shared" si="92"/>
        <v>3702.71</v>
      </c>
      <c r="Z732" s="1">
        <f t="shared" si="93"/>
        <v>3738.76</v>
      </c>
      <c r="AA732" s="1">
        <v>3956.12</v>
      </c>
      <c r="AB732" s="1">
        <f t="shared" si="88"/>
        <v>-253.40999999999985</v>
      </c>
      <c r="AC732" s="29">
        <f t="shared" si="94"/>
        <v>217.35999999999967</v>
      </c>
      <c r="AD732" s="11">
        <f t="shared" si="95"/>
        <v>2615430.9990500002</v>
      </c>
    </row>
    <row r="733" spans="1:30" x14ac:dyDescent="0.3">
      <c r="A733" s="14">
        <v>45996.59375</v>
      </c>
      <c r="B733" s="1">
        <v>1315.22</v>
      </c>
      <c r="C733" s="11">
        <v>3.2732000000000001</v>
      </c>
      <c r="D733" s="1">
        <v>656.27</v>
      </c>
      <c r="E733" s="11">
        <v>3.0760000000000001</v>
      </c>
      <c r="F733" s="1">
        <v>397.62</v>
      </c>
      <c r="G733" s="11">
        <v>3.53</v>
      </c>
      <c r="H733" s="1">
        <v>24.99</v>
      </c>
      <c r="I733" s="11">
        <v>2.97187</v>
      </c>
      <c r="J733" s="1">
        <v>19.309999999999999</v>
      </c>
      <c r="K733" s="11">
        <v>3.2016999999999998</v>
      </c>
      <c r="L733" s="1">
        <v>56.73</v>
      </c>
      <c r="M733" s="11">
        <v>6.2</v>
      </c>
      <c r="N733" s="1">
        <v>442.51</v>
      </c>
      <c r="O733" s="11">
        <v>2.8224999999999998</v>
      </c>
      <c r="P733" s="1">
        <f t="shared" si="89"/>
        <v>2912.6499999999996</v>
      </c>
      <c r="Q733" s="1">
        <v>2939.44</v>
      </c>
      <c r="R733" s="16">
        <f t="shared" si="90"/>
        <v>2366016.3893249999</v>
      </c>
      <c r="S733" s="20">
        <v>908.67</v>
      </c>
      <c r="T733" s="21"/>
      <c r="U733" s="21">
        <v>12.87</v>
      </c>
      <c r="V733" s="8">
        <v>921.54</v>
      </c>
      <c r="W733" s="25">
        <v>1.238</v>
      </c>
      <c r="X733" s="25">
        <f t="shared" si="91"/>
        <v>285216.63</v>
      </c>
      <c r="Y733" s="1">
        <f t="shared" si="92"/>
        <v>3834.1899999999996</v>
      </c>
      <c r="Z733" s="1">
        <f t="shared" si="93"/>
        <v>3860.98</v>
      </c>
      <c r="AA733" s="1">
        <v>4071.41</v>
      </c>
      <c r="AB733" s="1">
        <f t="shared" si="88"/>
        <v>-237.22000000000025</v>
      </c>
      <c r="AC733" s="29">
        <f t="shared" si="94"/>
        <v>210.42999999999984</v>
      </c>
      <c r="AD733" s="11">
        <f t="shared" si="95"/>
        <v>2651233.0193249998</v>
      </c>
    </row>
    <row r="734" spans="1:30" x14ac:dyDescent="0.3">
      <c r="A734" s="14">
        <v>45996.604166666664</v>
      </c>
      <c r="B734" s="1">
        <v>1362.1</v>
      </c>
      <c r="C734" s="11">
        <v>3.2732000000000001</v>
      </c>
      <c r="D734" s="1">
        <v>656.27</v>
      </c>
      <c r="E734" s="11">
        <v>3.0760000000000001</v>
      </c>
      <c r="F734" s="1">
        <v>397.62</v>
      </c>
      <c r="G734" s="11">
        <v>3.53</v>
      </c>
      <c r="H734" s="1">
        <v>25.06</v>
      </c>
      <c r="I734" s="11">
        <v>2.9719799999999998</v>
      </c>
      <c r="J734" s="1">
        <v>5.81</v>
      </c>
      <c r="K734" s="11">
        <v>3.4708299999999999</v>
      </c>
      <c r="L734" s="1">
        <v>56.18</v>
      </c>
      <c r="M734" s="11">
        <v>6.2</v>
      </c>
      <c r="N734" s="1">
        <v>422.72</v>
      </c>
      <c r="O734" s="11">
        <v>2.8224999999999998</v>
      </c>
      <c r="P734" s="1">
        <f t="shared" si="89"/>
        <v>2925.7599999999993</v>
      </c>
      <c r="Q734" s="1">
        <v>2957.1</v>
      </c>
      <c r="R734" s="16">
        <f t="shared" si="90"/>
        <v>2379199.3452750002</v>
      </c>
      <c r="S734" s="20">
        <v>1016.75</v>
      </c>
      <c r="T734" s="21"/>
      <c r="U734" s="21">
        <v>13.61</v>
      </c>
      <c r="V734" s="8">
        <v>1030.3599999999999</v>
      </c>
      <c r="W734" s="25">
        <v>1.238</v>
      </c>
      <c r="X734" s="25">
        <f t="shared" si="91"/>
        <v>318896.42</v>
      </c>
      <c r="Y734" s="1">
        <f t="shared" si="92"/>
        <v>3956.119999999999</v>
      </c>
      <c r="Z734" s="1">
        <f t="shared" si="93"/>
        <v>3987.46</v>
      </c>
      <c r="AA734" s="1">
        <v>4184.95</v>
      </c>
      <c r="AB734" s="1">
        <f t="shared" si="88"/>
        <v>-228.83000000000084</v>
      </c>
      <c r="AC734" s="29">
        <f t="shared" si="94"/>
        <v>197.48999999999978</v>
      </c>
      <c r="AD734" s="11">
        <f t="shared" si="95"/>
        <v>2698095.7652750001</v>
      </c>
    </row>
    <row r="735" spans="1:30" x14ac:dyDescent="0.3">
      <c r="A735" s="14">
        <v>45996.614583333336</v>
      </c>
      <c r="B735" s="1">
        <v>1405.38</v>
      </c>
      <c r="C735" s="11">
        <v>3.2732000000000001</v>
      </c>
      <c r="D735" s="1">
        <v>656.27</v>
      </c>
      <c r="E735" s="11">
        <v>3.0760000000000001</v>
      </c>
      <c r="F735" s="1">
        <v>397.62</v>
      </c>
      <c r="G735" s="11">
        <v>3.53</v>
      </c>
      <c r="H735" s="1">
        <v>-67.72</v>
      </c>
      <c r="I735" s="11">
        <v>3.1197600000000003</v>
      </c>
      <c r="J735" s="1">
        <v>-1.53</v>
      </c>
      <c r="K735" s="11">
        <v>3.6206799999999997</v>
      </c>
      <c r="L735" s="1">
        <v>56.14</v>
      </c>
      <c r="M735" s="11">
        <v>6.2</v>
      </c>
      <c r="N735" s="1">
        <v>403.57</v>
      </c>
      <c r="O735" s="11">
        <v>2.8224999999999998</v>
      </c>
      <c r="P735" s="1">
        <f t="shared" si="89"/>
        <v>2849.73</v>
      </c>
      <c r="Q735" s="1">
        <v>2974.7</v>
      </c>
      <c r="R735" s="16">
        <f t="shared" si="90"/>
        <v>2323177.3683500006</v>
      </c>
      <c r="S735" s="20">
        <v>1115.52</v>
      </c>
      <c r="T735" s="21"/>
      <c r="U735" s="21">
        <v>14.09</v>
      </c>
      <c r="V735" s="8">
        <v>1129.6099999999999</v>
      </c>
      <c r="W735" s="25">
        <v>1.238</v>
      </c>
      <c r="X735" s="25">
        <f t="shared" si="91"/>
        <v>349614.29499999998</v>
      </c>
      <c r="Y735" s="1">
        <f t="shared" si="92"/>
        <v>3979.34</v>
      </c>
      <c r="Z735" s="1">
        <f t="shared" si="93"/>
        <v>4104.3099999999995</v>
      </c>
      <c r="AA735" s="1">
        <v>4290.32</v>
      </c>
      <c r="AB735" s="1">
        <f t="shared" si="88"/>
        <v>-310.97999999999956</v>
      </c>
      <c r="AC735" s="29">
        <f t="shared" si="94"/>
        <v>186.01000000000022</v>
      </c>
      <c r="AD735" s="11">
        <f t="shared" si="95"/>
        <v>2672791.6633500005</v>
      </c>
    </row>
    <row r="736" spans="1:30" x14ac:dyDescent="0.3">
      <c r="A736" s="14">
        <v>45996.625</v>
      </c>
      <c r="B736" s="1">
        <v>1408.13</v>
      </c>
      <c r="C736" s="11">
        <v>3.2732000000000001</v>
      </c>
      <c r="D736" s="1">
        <v>656.27</v>
      </c>
      <c r="E736" s="11">
        <v>3.0760000000000001</v>
      </c>
      <c r="F736" s="1">
        <v>397.62</v>
      </c>
      <c r="G736" s="11">
        <v>3.53</v>
      </c>
      <c r="H736" s="1">
        <v>-58.74</v>
      </c>
      <c r="I736" s="11">
        <v>3.2054800000000001</v>
      </c>
      <c r="J736" s="1">
        <v>-1.97</v>
      </c>
      <c r="K736" s="11">
        <v>3.6490200000000002</v>
      </c>
      <c r="L736" s="1">
        <v>41.48</v>
      </c>
      <c r="M736" s="11">
        <v>6.2</v>
      </c>
      <c r="N736" s="1">
        <v>405.36</v>
      </c>
      <c r="O736" s="11">
        <v>2.8224999999999998</v>
      </c>
      <c r="P736" s="1">
        <f t="shared" si="89"/>
        <v>2848.1500000000005</v>
      </c>
      <c r="Q736" s="1">
        <v>2976.53</v>
      </c>
      <c r="R736" s="16">
        <f t="shared" si="90"/>
        <v>2309300.5928500006</v>
      </c>
      <c r="S736" s="20">
        <v>1169.52</v>
      </c>
      <c r="T736" s="21"/>
      <c r="U736" s="21">
        <v>13.7</v>
      </c>
      <c r="V736" s="8">
        <v>1183.22</v>
      </c>
      <c r="W736" s="25">
        <v>1.238</v>
      </c>
      <c r="X736" s="25">
        <f t="shared" si="91"/>
        <v>366206.59</v>
      </c>
      <c r="Y736" s="1">
        <f t="shared" si="92"/>
        <v>4031.3700000000008</v>
      </c>
      <c r="Z736" s="1">
        <f t="shared" si="93"/>
        <v>4159.75</v>
      </c>
      <c r="AA736" s="1">
        <v>4325.6099999999997</v>
      </c>
      <c r="AB736" s="1">
        <f t="shared" si="88"/>
        <v>-294.23999999999887</v>
      </c>
      <c r="AC736" s="29">
        <f t="shared" si="94"/>
        <v>165.85999999999967</v>
      </c>
      <c r="AD736" s="11">
        <f t="shared" si="95"/>
        <v>2675507.1828500004</v>
      </c>
    </row>
    <row r="737" spans="1:30" x14ac:dyDescent="0.3">
      <c r="A737" s="14">
        <v>45996.635416666664</v>
      </c>
      <c r="B737" s="1">
        <v>1408.13</v>
      </c>
      <c r="C737" s="11">
        <v>3.2732000000000001</v>
      </c>
      <c r="D737" s="1">
        <v>656.27</v>
      </c>
      <c r="E737" s="11">
        <v>3.0760000000000001</v>
      </c>
      <c r="F737" s="1">
        <v>397.62</v>
      </c>
      <c r="G737" s="11">
        <v>3.53</v>
      </c>
      <c r="H737" s="1">
        <v>-51.86</v>
      </c>
      <c r="I737" s="11">
        <v>3.2050200000000002</v>
      </c>
      <c r="J737" s="1">
        <v>-1.97</v>
      </c>
      <c r="K737" s="11">
        <v>3.8209299999999997</v>
      </c>
      <c r="L737" s="1">
        <v>34.58</v>
      </c>
      <c r="M737" s="11">
        <v>6.2</v>
      </c>
      <c r="N737" s="1">
        <v>394.65</v>
      </c>
      <c r="O737" s="11">
        <v>2.8224999999999998</v>
      </c>
      <c r="P737" s="1">
        <f t="shared" si="89"/>
        <v>2837.42</v>
      </c>
      <c r="Q737" s="1">
        <v>2962.58</v>
      </c>
      <c r="R737" s="16">
        <f t="shared" si="90"/>
        <v>2296483.072925</v>
      </c>
      <c r="S737" s="20">
        <v>1189.25</v>
      </c>
      <c r="T737" s="21"/>
      <c r="U737" s="21">
        <v>12.84</v>
      </c>
      <c r="V737" s="8">
        <v>1202.0899999999999</v>
      </c>
      <c r="W737" s="25">
        <v>1.238</v>
      </c>
      <c r="X737" s="25">
        <f t="shared" si="91"/>
        <v>372046.85499999998</v>
      </c>
      <c r="Y737" s="1">
        <f t="shared" si="92"/>
        <v>4039.51</v>
      </c>
      <c r="Z737" s="1">
        <f t="shared" si="93"/>
        <v>4164.67</v>
      </c>
      <c r="AA737" s="1">
        <v>4321.21</v>
      </c>
      <c r="AB737" s="1">
        <f t="shared" si="88"/>
        <v>-281.69999999999982</v>
      </c>
      <c r="AC737" s="29">
        <f t="shared" si="94"/>
        <v>156.53999999999996</v>
      </c>
      <c r="AD737" s="11">
        <f t="shared" si="95"/>
        <v>2668529.927925</v>
      </c>
    </row>
    <row r="738" spans="1:30" x14ac:dyDescent="0.3">
      <c r="A738" s="14">
        <v>45996.645833333336</v>
      </c>
      <c r="B738" s="1">
        <v>1405.63</v>
      </c>
      <c r="C738" s="11">
        <v>3.2732000000000001</v>
      </c>
      <c r="D738" s="1">
        <v>656.27</v>
      </c>
      <c r="E738" s="11">
        <v>3.0760000000000001</v>
      </c>
      <c r="F738" s="1">
        <v>397.62</v>
      </c>
      <c r="G738" s="11">
        <v>3.53</v>
      </c>
      <c r="H738" s="1">
        <v>-30.3</v>
      </c>
      <c r="I738" s="11">
        <v>3.2058899999999997</v>
      </c>
      <c r="J738" s="1">
        <v>267.99</v>
      </c>
      <c r="K738" s="11">
        <v>3.8521199999999998</v>
      </c>
      <c r="L738" s="1">
        <v>9.98</v>
      </c>
      <c r="M738" s="11">
        <v>6.2</v>
      </c>
      <c r="N738" s="1">
        <v>363.47</v>
      </c>
      <c r="O738" s="11">
        <v>2.8224999999999998</v>
      </c>
      <c r="P738" s="1">
        <f t="shared" si="89"/>
        <v>3070.66</v>
      </c>
      <c r="Q738" s="1">
        <v>3064.58</v>
      </c>
      <c r="R738" s="16">
        <f t="shared" si="90"/>
        <v>2511538.6207000003</v>
      </c>
      <c r="S738" s="20">
        <v>1108.8499999999999</v>
      </c>
      <c r="T738" s="21"/>
      <c r="U738" s="21">
        <v>13.33</v>
      </c>
      <c r="V738" s="8">
        <v>1122.1799999999998</v>
      </c>
      <c r="W738" s="25">
        <v>1.238</v>
      </c>
      <c r="X738" s="25">
        <f t="shared" si="91"/>
        <v>347314.70999999996</v>
      </c>
      <c r="Y738" s="1">
        <f t="shared" si="92"/>
        <v>4192.84</v>
      </c>
      <c r="Z738" s="1">
        <f t="shared" si="93"/>
        <v>4186.76</v>
      </c>
      <c r="AA738" s="1">
        <v>4358.54</v>
      </c>
      <c r="AB738" s="1">
        <f t="shared" si="88"/>
        <v>-165.69999999999982</v>
      </c>
      <c r="AC738" s="29">
        <f t="shared" si="94"/>
        <v>171.77999999999975</v>
      </c>
      <c r="AD738" s="11">
        <f t="shared" si="95"/>
        <v>2858853.3307000003</v>
      </c>
    </row>
    <row r="739" spans="1:30" x14ac:dyDescent="0.3">
      <c r="A739" s="14">
        <v>45996.65625</v>
      </c>
      <c r="B739" s="1">
        <v>1405.46</v>
      </c>
      <c r="C739" s="11">
        <v>3.2732000000000001</v>
      </c>
      <c r="D739" s="1">
        <v>656.27</v>
      </c>
      <c r="E739" s="11">
        <v>3.0760000000000001</v>
      </c>
      <c r="F739" s="1">
        <v>397.62</v>
      </c>
      <c r="G739" s="11">
        <v>3.53</v>
      </c>
      <c r="H739" s="1">
        <v>-32.47</v>
      </c>
      <c r="I739" s="11">
        <v>3.2056100000000001</v>
      </c>
      <c r="J739" s="1">
        <v>286.93</v>
      </c>
      <c r="K739" s="11">
        <v>3.7716999999999996</v>
      </c>
      <c r="L739" s="1">
        <v>5.13</v>
      </c>
      <c r="M739" s="11">
        <v>6.2</v>
      </c>
      <c r="N739" s="1">
        <v>335.89</v>
      </c>
      <c r="O739" s="11">
        <v>2.8224999999999998</v>
      </c>
      <c r="P739" s="1">
        <f t="shared" si="89"/>
        <v>3054.83</v>
      </c>
      <c r="Q739" s="1">
        <v>3155.41</v>
      </c>
      <c r="R739" s="16">
        <f t="shared" si="90"/>
        <v>2495155.0103250006</v>
      </c>
      <c r="S739" s="20">
        <v>1065.9000000000001</v>
      </c>
      <c r="T739" s="21"/>
      <c r="U739" s="21">
        <v>13.22</v>
      </c>
      <c r="V739" s="8">
        <v>1079.1200000000001</v>
      </c>
      <c r="W739" s="25">
        <v>1.238</v>
      </c>
      <c r="X739" s="25">
        <f t="shared" si="91"/>
        <v>333987.64000000007</v>
      </c>
      <c r="Y739" s="1">
        <f t="shared" si="92"/>
        <v>4133.95</v>
      </c>
      <c r="Z739" s="1">
        <f t="shared" si="93"/>
        <v>4234.53</v>
      </c>
      <c r="AA739" s="1">
        <v>4408.32</v>
      </c>
      <c r="AB739" s="1">
        <f t="shared" si="88"/>
        <v>-274.36999999999989</v>
      </c>
      <c r="AC739" s="29">
        <f t="shared" si="94"/>
        <v>173.78999999999996</v>
      </c>
      <c r="AD739" s="11">
        <f t="shared" si="95"/>
        <v>2829142.6503250008</v>
      </c>
    </row>
    <row r="740" spans="1:30" x14ac:dyDescent="0.3">
      <c r="A740" s="14">
        <v>45996.666666666664</v>
      </c>
      <c r="B740" s="1">
        <v>1405.46</v>
      </c>
      <c r="C740" s="11">
        <v>3.2732000000000001</v>
      </c>
      <c r="D740" s="1">
        <v>656.27</v>
      </c>
      <c r="E740" s="11">
        <v>3.0760000000000001</v>
      </c>
      <c r="F740" s="1">
        <v>693.16</v>
      </c>
      <c r="G740" s="11">
        <v>3.53</v>
      </c>
      <c r="H740" s="1">
        <v>-33.65</v>
      </c>
      <c r="I740" s="11">
        <v>3.4232800000000001</v>
      </c>
      <c r="J740" s="1">
        <v>191.34</v>
      </c>
      <c r="K740" s="11">
        <v>4.0400499999999999</v>
      </c>
      <c r="L740" s="1">
        <v>2.84</v>
      </c>
      <c r="M740" s="11">
        <v>6.2</v>
      </c>
      <c r="N740" s="1">
        <v>330.82</v>
      </c>
      <c r="O740" s="11">
        <v>2.8224999999999998</v>
      </c>
      <c r="P740" s="1">
        <f t="shared" si="89"/>
        <v>3246.2400000000002</v>
      </c>
      <c r="Q740" s="1">
        <v>3260.1</v>
      </c>
      <c r="R740" s="16">
        <f t="shared" si="90"/>
        <v>2668767.5592499999</v>
      </c>
      <c r="S740" s="20">
        <v>982.07999999999993</v>
      </c>
      <c r="T740" s="21"/>
      <c r="U740" s="21">
        <v>13.759999999999998</v>
      </c>
      <c r="V740" s="8">
        <v>995.83999999999992</v>
      </c>
      <c r="W740" s="25">
        <v>1.238</v>
      </c>
      <c r="X740" s="25">
        <f t="shared" si="91"/>
        <v>308212.47999999998</v>
      </c>
      <c r="Y740" s="1">
        <f t="shared" si="92"/>
        <v>4242.08</v>
      </c>
      <c r="Z740" s="1">
        <f t="shared" si="93"/>
        <v>4255.9399999999996</v>
      </c>
      <c r="AA740" s="1">
        <v>4421.3599999999997</v>
      </c>
      <c r="AB740" s="1">
        <f t="shared" si="88"/>
        <v>-179.27999999999975</v>
      </c>
      <c r="AC740" s="29">
        <f t="shared" si="94"/>
        <v>165.42000000000007</v>
      </c>
      <c r="AD740" s="11">
        <f t="shared" si="95"/>
        <v>2976980.0392499999</v>
      </c>
    </row>
    <row r="741" spans="1:30" x14ac:dyDescent="0.3">
      <c r="A741" s="14">
        <v>45996.677083333336</v>
      </c>
      <c r="B741" s="1">
        <v>1405.46</v>
      </c>
      <c r="C741" s="11">
        <v>3.2732000000000001</v>
      </c>
      <c r="D741" s="1">
        <v>656.27</v>
      </c>
      <c r="E741" s="11">
        <v>3.0760000000000001</v>
      </c>
      <c r="F741" s="1">
        <v>715.41</v>
      </c>
      <c r="G741" s="11">
        <v>3.53</v>
      </c>
      <c r="H741" s="1">
        <v>-33.630000000000003</v>
      </c>
      <c r="I741" s="11">
        <v>3.4513699999999998</v>
      </c>
      <c r="J741" s="1">
        <v>164.89</v>
      </c>
      <c r="K741" s="11">
        <v>4.2615299999999996</v>
      </c>
      <c r="L741" s="1">
        <v>2.7</v>
      </c>
      <c r="M741" s="11">
        <v>6.2</v>
      </c>
      <c r="N741" s="1">
        <v>308.48</v>
      </c>
      <c r="O741" s="11">
        <v>2.8224999999999998</v>
      </c>
      <c r="P741" s="1">
        <f t="shared" si="89"/>
        <v>3219.5799999999995</v>
      </c>
      <c r="Q741" s="1">
        <v>3243.01</v>
      </c>
      <c r="R741" s="16">
        <f t="shared" si="90"/>
        <v>2654618.6001499998</v>
      </c>
      <c r="S741" s="20">
        <v>1024.04</v>
      </c>
      <c r="T741" s="21"/>
      <c r="U741" s="21">
        <v>13.819999999999999</v>
      </c>
      <c r="V741" s="8">
        <v>1037.8599999999999</v>
      </c>
      <c r="W741" s="25">
        <v>1.238</v>
      </c>
      <c r="X741" s="25">
        <f t="shared" si="91"/>
        <v>321217.66999999993</v>
      </c>
      <c r="Y741" s="1">
        <f t="shared" si="92"/>
        <v>4257.4399999999996</v>
      </c>
      <c r="Z741" s="1">
        <f t="shared" si="93"/>
        <v>4280.87</v>
      </c>
      <c r="AA741" s="1">
        <v>4441.32</v>
      </c>
      <c r="AB741" s="1">
        <f t="shared" si="88"/>
        <v>-183.88000000000011</v>
      </c>
      <c r="AC741" s="29">
        <f t="shared" si="94"/>
        <v>160.44999999999982</v>
      </c>
      <c r="AD741" s="11">
        <f t="shared" si="95"/>
        <v>2975836.2701499998</v>
      </c>
    </row>
    <row r="742" spans="1:30" x14ac:dyDescent="0.3">
      <c r="A742" s="14">
        <v>45996.6875</v>
      </c>
      <c r="B742" s="1">
        <v>1405.46</v>
      </c>
      <c r="C742" s="11">
        <v>3.2732000000000001</v>
      </c>
      <c r="D742" s="1">
        <v>652.91999999999996</v>
      </c>
      <c r="E742" s="11">
        <v>3.0760000000000001</v>
      </c>
      <c r="F742" s="1">
        <v>715.41</v>
      </c>
      <c r="G742" s="11">
        <v>3.53</v>
      </c>
      <c r="H742" s="1">
        <v>-32.729999999999997</v>
      </c>
      <c r="I742" s="11">
        <v>3.4519099999999998</v>
      </c>
      <c r="J742" s="1">
        <v>232.04</v>
      </c>
      <c r="K742" s="11">
        <v>4.3915500000000005</v>
      </c>
      <c r="L742" s="1">
        <v>2.7</v>
      </c>
      <c r="M742" s="11">
        <v>6.2</v>
      </c>
      <c r="N742" s="1">
        <v>289.77999999999997</v>
      </c>
      <c r="O742" s="11">
        <v>2.8224999999999998</v>
      </c>
      <c r="P742" s="1">
        <f t="shared" si="89"/>
        <v>3265.58</v>
      </c>
      <c r="Q742" s="1">
        <v>3237.03</v>
      </c>
      <c r="R742" s="16">
        <f t="shared" si="90"/>
        <v>2718702.2974250005</v>
      </c>
      <c r="S742" s="20">
        <v>1046.9700000000003</v>
      </c>
      <c r="T742" s="21"/>
      <c r="U742" s="21">
        <v>13.690000000000001</v>
      </c>
      <c r="V742" s="8">
        <v>1060.6600000000003</v>
      </c>
      <c r="W742" s="25">
        <v>1.238</v>
      </c>
      <c r="X742" s="25">
        <f t="shared" si="91"/>
        <v>328274.27000000014</v>
      </c>
      <c r="Y742" s="1">
        <f t="shared" si="92"/>
        <v>4326.24</v>
      </c>
      <c r="Z742" s="1">
        <f t="shared" si="93"/>
        <v>4297.6900000000005</v>
      </c>
      <c r="AA742" s="1">
        <v>4446.6899999999996</v>
      </c>
      <c r="AB742" s="1">
        <f t="shared" si="88"/>
        <v>-120.44999999999982</v>
      </c>
      <c r="AC742" s="29">
        <f t="shared" si="94"/>
        <v>148.99999999999909</v>
      </c>
      <c r="AD742" s="11">
        <f t="shared" si="95"/>
        <v>3046976.5674250005</v>
      </c>
    </row>
    <row r="743" spans="1:30" x14ac:dyDescent="0.3">
      <c r="A743" s="14">
        <v>45996.697916666664</v>
      </c>
      <c r="B743" s="1">
        <v>1405.46</v>
      </c>
      <c r="C743" s="11">
        <v>3.2732000000000001</v>
      </c>
      <c r="D743" s="1">
        <v>652.66</v>
      </c>
      <c r="E743" s="11">
        <v>3.0760000000000001</v>
      </c>
      <c r="F743" s="1">
        <v>715.41</v>
      </c>
      <c r="G743" s="11">
        <v>3.53</v>
      </c>
      <c r="H743" s="1">
        <v>-31.77</v>
      </c>
      <c r="I743" s="11">
        <v>3.4712199999999998</v>
      </c>
      <c r="J743" s="1">
        <v>236.85</v>
      </c>
      <c r="K743" s="11">
        <v>4.5007600000000005</v>
      </c>
      <c r="L743" s="1">
        <v>2.7</v>
      </c>
      <c r="M743" s="11">
        <v>6.2</v>
      </c>
      <c r="N743" s="1">
        <v>263.83</v>
      </c>
      <c r="O743" s="11">
        <v>2.8224999999999998</v>
      </c>
      <c r="P743" s="1">
        <f t="shared" si="89"/>
        <v>3245.1399999999994</v>
      </c>
      <c r="Q743" s="1">
        <v>3221.14</v>
      </c>
      <c r="R743" s="16">
        <f t="shared" si="90"/>
        <v>2712613.9133999995</v>
      </c>
      <c r="S743" s="20">
        <v>1079.6000000000001</v>
      </c>
      <c r="T743" s="21"/>
      <c r="U743" s="21">
        <v>14.530000000000001</v>
      </c>
      <c r="V743" s="8">
        <v>1094.1300000000001</v>
      </c>
      <c r="W743" s="25">
        <v>1.238</v>
      </c>
      <c r="X743" s="25">
        <f t="shared" si="91"/>
        <v>338633.23499999999</v>
      </c>
      <c r="Y743" s="1">
        <f t="shared" si="92"/>
        <v>4339.2699999999995</v>
      </c>
      <c r="Z743" s="1">
        <f t="shared" si="93"/>
        <v>4315.2700000000004</v>
      </c>
      <c r="AA743" s="1">
        <v>4450.3500000000004</v>
      </c>
      <c r="AB743" s="1">
        <f t="shared" si="88"/>
        <v>-111.08000000000084</v>
      </c>
      <c r="AC743" s="29">
        <f t="shared" si="94"/>
        <v>135.07999999999993</v>
      </c>
      <c r="AD743" s="11">
        <f t="shared" si="95"/>
        <v>3051247.1483999994</v>
      </c>
    </row>
    <row r="744" spans="1:30" x14ac:dyDescent="0.3">
      <c r="A744" s="14">
        <v>45996.708333333336</v>
      </c>
      <c r="B744" s="1">
        <v>1405.46</v>
      </c>
      <c r="C744" s="11">
        <v>3.2732000000000001</v>
      </c>
      <c r="D744" s="1">
        <v>652.66</v>
      </c>
      <c r="E744" s="11">
        <v>3.0760000000000001</v>
      </c>
      <c r="F744" s="1">
        <v>715.41</v>
      </c>
      <c r="G744" s="11">
        <v>3.53</v>
      </c>
      <c r="H744" s="1">
        <v>-40.659999999999997</v>
      </c>
      <c r="I744" s="11">
        <v>3.4519899999999999</v>
      </c>
      <c r="J744" s="1">
        <v>283.64999999999998</v>
      </c>
      <c r="K744" s="11">
        <v>3.7835700000000001</v>
      </c>
      <c r="L744" s="1">
        <v>0.18</v>
      </c>
      <c r="M744" s="11">
        <v>6.2</v>
      </c>
      <c r="N744" s="1">
        <v>232.09</v>
      </c>
      <c r="O744" s="11">
        <v>2.8224999999999998</v>
      </c>
      <c r="P744" s="1">
        <f t="shared" si="89"/>
        <v>3248.79</v>
      </c>
      <c r="Q744" s="1">
        <v>3269.35</v>
      </c>
      <c r="R744" s="16">
        <f t="shared" si="90"/>
        <v>2680593.2185249999</v>
      </c>
      <c r="S744" s="20">
        <v>1025.31</v>
      </c>
      <c r="T744" s="21"/>
      <c r="U744" s="21">
        <v>13.62</v>
      </c>
      <c r="V744" s="8">
        <v>1038.9299999999998</v>
      </c>
      <c r="W744" s="25">
        <v>1.238</v>
      </c>
      <c r="X744" s="25">
        <f t="shared" si="91"/>
        <v>321548.83499999996</v>
      </c>
      <c r="Y744" s="1">
        <f t="shared" si="92"/>
        <v>4287.7199999999993</v>
      </c>
      <c r="Z744" s="1">
        <f t="shared" si="93"/>
        <v>4308.28</v>
      </c>
      <c r="AA744" s="1">
        <v>4432.74</v>
      </c>
      <c r="AB744" s="1">
        <f t="shared" si="88"/>
        <v>-145.02000000000044</v>
      </c>
      <c r="AC744" s="29">
        <f t="shared" si="94"/>
        <v>124.46000000000004</v>
      </c>
      <c r="AD744" s="11">
        <f t="shared" si="95"/>
        <v>3002142.0535249999</v>
      </c>
    </row>
    <row r="745" spans="1:30" x14ac:dyDescent="0.3">
      <c r="A745" s="14">
        <v>45996.71875</v>
      </c>
      <c r="B745" s="1">
        <v>1405.46</v>
      </c>
      <c r="C745" s="11">
        <v>3.2732000000000001</v>
      </c>
      <c r="D745" s="1">
        <v>652.66</v>
      </c>
      <c r="E745" s="11">
        <v>3.0760000000000001</v>
      </c>
      <c r="F745" s="1">
        <v>715.41</v>
      </c>
      <c r="G745" s="11">
        <v>3.53</v>
      </c>
      <c r="H745" s="1">
        <v>-64.790000000000006</v>
      </c>
      <c r="I745" s="11">
        <v>3.5499699999999996</v>
      </c>
      <c r="J745" s="1">
        <v>331.39</v>
      </c>
      <c r="K745" s="11">
        <v>3.8200700000000003</v>
      </c>
      <c r="L745" s="1">
        <v>0</v>
      </c>
      <c r="M745" s="11">
        <v>6.2</v>
      </c>
      <c r="N745" s="1">
        <v>198.98</v>
      </c>
      <c r="O745" s="11">
        <v>2.8224999999999998</v>
      </c>
      <c r="P745" s="1">
        <f t="shared" si="89"/>
        <v>3239.1099999999997</v>
      </c>
      <c r="Q745" s="1">
        <v>3265.19</v>
      </c>
      <c r="R745" s="16">
        <f t="shared" si="90"/>
        <v>2682720.6557499999</v>
      </c>
      <c r="S745" s="20">
        <v>1042.52</v>
      </c>
      <c r="T745" s="21"/>
      <c r="U745" s="21">
        <v>10.719999999999999</v>
      </c>
      <c r="V745" s="8">
        <v>1053.24</v>
      </c>
      <c r="W745" s="25">
        <v>1.238</v>
      </c>
      <c r="X745" s="25">
        <f t="shared" si="91"/>
        <v>325977.77999999997</v>
      </c>
      <c r="Y745" s="1">
        <f t="shared" si="92"/>
        <v>4292.3499999999995</v>
      </c>
      <c r="Z745" s="1">
        <f t="shared" si="93"/>
        <v>4318.43</v>
      </c>
      <c r="AA745" s="1">
        <v>4430.7700000000004</v>
      </c>
      <c r="AB745" s="1">
        <f t="shared" si="88"/>
        <v>-138.42000000000098</v>
      </c>
      <c r="AC745" s="29">
        <f t="shared" si="94"/>
        <v>112.34000000000015</v>
      </c>
      <c r="AD745" s="11">
        <f t="shared" si="95"/>
        <v>3008698.4357499997</v>
      </c>
    </row>
    <row r="746" spans="1:30" x14ac:dyDescent="0.3">
      <c r="A746" s="14">
        <v>45996.729166666664</v>
      </c>
      <c r="B746" s="1">
        <v>1405.46</v>
      </c>
      <c r="C746" s="11">
        <v>3.2732000000000001</v>
      </c>
      <c r="D746" s="1">
        <v>652.66</v>
      </c>
      <c r="E746" s="11">
        <v>3.0760000000000001</v>
      </c>
      <c r="F746" s="1">
        <v>715.41</v>
      </c>
      <c r="G746" s="11">
        <v>3.53</v>
      </c>
      <c r="H746" s="1">
        <v>-76.150000000000006</v>
      </c>
      <c r="I746" s="11">
        <v>3.6397300000000001</v>
      </c>
      <c r="J746" s="1">
        <v>335.08</v>
      </c>
      <c r="K746" s="11">
        <v>3.7830900000000001</v>
      </c>
      <c r="L746" s="1">
        <v>0</v>
      </c>
      <c r="M746" s="11">
        <v>6.2</v>
      </c>
      <c r="N746" s="1">
        <v>177.77</v>
      </c>
      <c r="O746" s="11">
        <v>2.8224999999999998</v>
      </c>
      <c r="P746" s="1">
        <f t="shared" si="89"/>
        <v>3210.2299999999996</v>
      </c>
      <c r="Q746" s="1">
        <v>3175.7</v>
      </c>
      <c r="R746" s="16">
        <f t="shared" si="90"/>
        <v>2656389.828675</v>
      </c>
      <c r="S746" s="20">
        <v>1126.2900000000002</v>
      </c>
      <c r="T746" s="21"/>
      <c r="U746" s="21">
        <v>10.01</v>
      </c>
      <c r="V746" s="8">
        <v>1136.3000000000002</v>
      </c>
      <c r="W746" s="25">
        <v>1.238</v>
      </c>
      <c r="X746" s="25">
        <f t="shared" si="91"/>
        <v>351684.85000000003</v>
      </c>
      <c r="Y746" s="1">
        <f t="shared" si="92"/>
        <v>4346.53</v>
      </c>
      <c r="Z746" s="1">
        <f t="shared" si="93"/>
        <v>4312</v>
      </c>
      <c r="AA746" s="1">
        <v>4421.12</v>
      </c>
      <c r="AB746" s="1">
        <f t="shared" si="88"/>
        <v>-74.590000000000146</v>
      </c>
      <c r="AC746" s="29">
        <f t="shared" si="94"/>
        <v>109.11999999999989</v>
      </c>
      <c r="AD746" s="11">
        <f t="shared" si="95"/>
        <v>3008074.6786750001</v>
      </c>
    </row>
    <row r="747" spans="1:30" x14ac:dyDescent="0.3">
      <c r="A747" s="14">
        <v>45996.739583333336</v>
      </c>
      <c r="B747" s="1">
        <v>1405.46</v>
      </c>
      <c r="C747" s="11">
        <v>3.2732000000000001</v>
      </c>
      <c r="D747" s="1">
        <v>652.66</v>
      </c>
      <c r="E747" s="11">
        <v>3.0760000000000001</v>
      </c>
      <c r="F747" s="1">
        <v>715.41</v>
      </c>
      <c r="G747" s="11">
        <v>3.53</v>
      </c>
      <c r="H747" s="1">
        <v>-95.81</v>
      </c>
      <c r="I747" s="11">
        <v>3.8776299999999999</v>
      </c>
      <c r="J747" s="1">
        <v>335.08</v>
      </c>
      <c r="K747" s="11">
        <v>3.7716599999999998</v>
      </c>
      <c r="L747" s="1">
        <v>0</v>
      </c>
      <c r="M747" s="11">
        <v>6.2</v>
      </c>
      <c r="N747" s="1">
        <v>139.44999999999999</v>
      </c>
      <c r="O747" s="11">
        <v>2.8224999999999998</v>
      </c>
      <c r="P747" s="1">
        <f t="shared" si="89"/>
        <v>3152.2499999999995</v>
      </c>
      <c r="Q747" s="1">
        <v>3136.32</v>
      </c>
      <c r="R747" s="16">
        <f t="shared" si="90"/>
        <v>2604805.2148749996</v>
      </c>
      <c r="S747" s="20">
        <v>1159.8400000000001</v>
      </c>
      <c r="T747" s="21"/>
      <c r="U747" s="21">
        <v>11.56</v>
      </c>
      <c r="V747" s="8">
        <v>1171.4000000000001</v>
      </c>
      <c r="W747" s="25">
        <v>1.238</v>
      </c>
      <c r="X747" s="25">
        <f t="shared" si="91"/>
        <v>362548.30000000005</v>
      </c>
      <c r="Y747" s="1">
        <f t="shared" si="92"/>
        <v>4323.6499999999996</v>
      </c>
      <c r="Z747" s="1">
        <f t="shared" si="93"/>
        <v>4307.72</v>
      </c>
      <c r="AA747" s="1">
        <v>4420.2299999999996</v>
      </c>
      <c r="AB747" s="1">
        <f t="shared" si="88"/>
        <v>-96.579999999999927</v>
      </c>
      <c r="AC747" s="29">
        <f t="shared" si="94"/>
        <v>112.50999999999931</v>
      </c>
      <c r="AD747" s="11">
        <f t="shared" si="95"/>
        <v>2967353.5148749994</v>
      </c>
    </row>
    <row r="748" spans="1:30" x14ac:dyDescent="0.3">
      <c r="A748" s="14">
        <v>45996.75</v>
      </c>
      <c r="B748" s="1">
        <v>1400.37</v>
      </c>
      <c r="C748" s="11">
        <v>3.2732000000000001</v>
      </c>
      <c r="D748" s="1">
        <v>652.66</v>
      </c>
      <c r="E748" s="11">
        <v>3.0760000000000001</v>
      </c>
      <c r="F748" s="1">
        <v>715.41</v>
      </c>
      <c r="G748" s="11">
        <v>3.53</v>
      </c>
      <c r="H748" s="1">
        <v>-2.67</v>
      </c>
      <c r="I748" s="11">
        <v>4.0005199999999999</v>
      </c>
      <c r="J748" s="1">
        <v>263.18</v>
      </c>
      <c r="K748" s="11">
        <v>3.4910900000000002</v>
      </c>
      <c r="L748" s="1">
        <v>11.17</v>
      </c>
      <c r="M748" s="11">
        <v>6.2</v>
      </c>
      <c r="N748" s="1">
        <v>113.38</v>
      </c>
      <c r="O748" s="11">
        <v>2.8224999999999998</v>
      </c>
      <c r="P748" s="1">
        <f t="shared" si="89"/>
        <v>3153.4999999999995</v>
      </c>
      <c r="Q748" s="1">
        <v>3200.79</v>
      </c>
      <c r="R748" s="16">
        <f t="shared" si="90"/>
        <v>2603510.8179500001</v>
      </c>
      <c r="S748" s="20">
        <v>1037.3000000000002</v>
      </c>
      <c r="T748" s="21"/>
      <c r="U748" s="21">
        <v>11.28</v>
      </c>
      <c r="V748" s="8">
        <v>1048.5800000000002</v>
      </c>
      <c r="W748" s="25">
        <v>1.238</v>
      </c>
      <c r="X748" s="25">
        <f t="shared" si="91"/>
        <v>324535.51000000007</v>
      </c>
      <c r="Y748" s="1">
        <f t="shared" si="92"/>
        <v>4202.08</v>
      </c>
      <c r="Z748" s="1">
        <f t="shared" si="93"/>
        <v>4249.37</v>
      </c>
      <c r="AA748" s="1">
        <v>4317.42</v>
      </c>
      <c r="AB748" s="1">
        <f t="shared" si="88"/>
        <v>-115.34000000000015</v>
      </c>
      <c r="AC748" s="29">
        <f t="shared" si="94"/>
        <v>68.050000000000182</v>
      </c>
      <c r="AD748" s="11">
        <f t="shared" si="95"/>
        <v>2928046.3279500003</v>
      </c>
    </row>
    <row r="749" spans="1:30" x14ac:dyDescent="0.3">
      <c r="A749" s="14">
        <v>45996.760416666664</v>
      </c>
      <c r="B749" s="1">
        <v>1400.02</v>
      </c>
      <c r="C749" s="11">
        <v>3.2732000000000001</v>
      </c>
      <c r="D749" s="1">
        <v>652.66</v>
      </c>
      <c r="E749" s="11">
        <v>3.0760000000000001</v>
      </c>
      <c r="F749" s="1">
        <v>715.41</v>
      </c>
      <c r="G749" s="11">
        <v>3.53</v>
      </c>
      <c r="H749" s="1">
        <v>7.46</v>
      </c>
      <c r="I749" s="11">
        <v>4.2890699999999997</v>
      </c>
      <c r="J749" s="1">
        <v>306.88</v>
      </c>
      <c r="K749" s="11">
        <v>4.49071</v>
      </c>
      <c r="L749" s="1">
        <v>5.09</v>
      </c>
      <c r="M749" s="11">
        <v>6.2</v>
      </c>
      <c r="N749" s="1">
        <v>92.2</v>
      </c>
      <c r="O749" s="11">
        <v>2.8224999999999998</v>
      </c>
      <c r="P749" s="1">
        <f t="shared" si="89"/>
        <v>3179.72</v>
      </c>
      <c r="Q749" s="1">
        <v>3246.73</v>
      </c>
      <c r="R749" s="16">
        <f t="shared" si="90"/>
        <v>2704355.7427500007</v>
      </c>
      <c r="S749" s="20">
        <v>1017.1699999999998</v>
      </c>
      <c r="T749" s="21"/>
      <c r="U749" s="21">
        <v>10.82</v>
      </c>
      <c r="V749" s="8">
        <v>1027.9899999999998</v>
      </c>
      <c r="W749" s="25">
        <v>1.238</v>
      </c>
      <c r="X749" s="25">
        <f t="shared" si="91"/>
        <v>318162.90499999991</v>
      </c>
      <c r="Y749" s="1">
        <f t="shared" si="92"/>
        <v>4207.7099999999991</v>
      </c>
      <c r="Z749" s="1">
        <f t="shared" si="93"/>
        <v>4274.7199999999993</v>
      </c>
      <c r="AA749" s="1">
        <v>4308.91</v>
      </c>
      <c r="AB749" s="1">
        <f t="shared" si="88"/>
        <v>-101.20000000000073</v>
      </c>
      <c r="AC749" s="29">
        <f t="shared" si="94"/>
        <v>34.190000000000509</v>
      </c>
      <c r="AD749" s="11">
        <f t="shared" si="95"/>
        <v>3022518.6477500005</v>
      </c>
    </row>
    <row r="750" spans="1:30" x14ac:dyDescent="0.3">
      <c r="A750" s="14">
        <v>45996.770833333336</v>
      </c>
      <c r="B750" s="1">
        <v>1400.02</v>
      </c>
      <c r="C750" s="11">
        <v>3.2732000000000001</v>
      </c>
      <c r="D750" s="1">
        <v>652.66</v>
      </c>
      <c r="E750" s="11">
        <v>3.0760000000000001</v>
      </c>
      <c r="F750" s="1">
        <v>715.41</v>
      </c>
      <c r="G750" s="11">
        <v>3.53</v>
      </c>
      <c r="H750" s="1">
        <v>7.15</v>
      </c>
      <c r="I750" s="11">
        <v>4.7505200000000007</v>
      </c>
      <c r="J750" s="1">
        <v>224.37</v>
      </c>
      <c r="K750" s="11">
        <v>4.75284</v>
      </c>
      <c r="L750" s="1">
        <v>0.3</v>
      </c>
      <c r="M750" s="11">
        <v>6.2</v>
      </c>
      <c r="N750" s="1">
        <v>75.69</v>
      </c>
      <c r="O750" s="11">
        <v>2.8224999999999998</v>
      </c>
      <c r="P750" s="1">
        <f t="shared" si="89"/>
        <v>3075.6</v>
      </c>
      <c r="Q750" s="1">
        <v>3073.44</v>
      </c>
      <c r="R750" s="16">
        <f t="shared" si="90"/>
        <v>2607845.2194499997</v>
      </c>
      <c r="S750" s="20">
        <v>1345.66</v>
      </c>
      <c r="T750" s="21"/>
      <c r="U750" s="21">
        <v>11.12</v>
      </c>
      <c r="V750" s="8">
        <v>1356.78</v>
      </c>
      <c r="W750" s="25">
        <v>1.238</v>
      </c>
      <c r="X750" s="25">
        <f t="shared" si="91"/>
        <v>419923.41</v>
      </c>
      <c r="Y750" s="1">
        <f t="shared" si="92"/>
        <v>4432.38</v>
      </c>
      <c r="Z750" s="1">
        <f t="shared" si="93"/>
        <v>4430.22</v>
      </c>
      <c r="AA750" s="1">
        <v>4473.05</v>
      </c>
      <c r="AB750" s="1">
        <f t="shared" si="88"/>
        <v>-40.670000000000073</v>
      </c>
      <c r="AC750" s="29">
        <f t="shared" si="94"/>
        <v>42.829999999999927</v>
      </c>
      <c r="AD750" s="11">
        <f t="shared" si="95"/>
        <v>3027768.6294499999</v>
      </c>
    </row>
    <row r="751" spans="1:30" x14ac:dyDescent="0.3">
      <c r="A751" s="14">
        <v>45996.78125</v>
      </c>
      <c r="B751" s="1">
        <v>1400.02</v>
      </c>
      <c r="C751" s="11">
        <v>3.2732000000000001</v>
      </c>
      <c r="D751" s="1">
        <v>652.66</v>
      </c>
      <c r="E751" s="11">
        <v>3.0760000000000001</v>
      </c>
      <c r="F751" s="1">
        <v>715.41</v>
      </c>
      <c r="G751" s="11">
        <v>3.53</v>
      </c>
      <c r="H751" s="1">
        <v>-58.52</v>
      </c>
      <c r="I751" s="11">
        <v>7.7098399999999998</v>
      </c>
      <c r="J751" s="1">
        <v>340.02</v>
      </c>
      <c r="K751" s="11">
        <v>6.0008599999999994</v>
      </c>
      <c r="L751" s="1">
        <v>0</v>
      </c>
      <c r="M751" s="11">
        <v>6.2</v>
      </c>
      <c r="N751" s="1">
        <v>53.46</v>
      </c>
      <c r="O751" s="11">
        <v>2.8224999999999998</v>
      </c>
      <c r="P751" s="1">
        <f t="shared" si="89"/>
        <v>3103.0499999999997</v>
      </c>
      <c r="Q751" s="1">
        <v>3084.21</v>
      </c>
      <c r="R751" s="16">
        <f t="shared" si="90"/>
        <v>2713912.0885999994</v>
      </c>
      <c r="S751" s="20">
        <v>1565.6000000000004</v>
      </c>
      <c r="T751" s="21"/>
      <c r="U751" s="21">
        <v>11.28</v>
      </c>
      <c r="V751" s="8">
        <v>1576.8800000000003</v>
      </c>
      <c r="W751" s="25">
        <v>1.238</v>
      </c>
      <c r="X751" s="25">
        <f t="shared" si="91"/>
        <v>488044.3600000001</v>
      </c>
      <c r="Y751" s="1">
        <f t="shared" si="92"/>
        <v>4679.93</v>
      </c>
      <c r="Z751" s="1">
        <f t="shared" si="93"/>
        <v>4661.09</v>
      </c>
      <c r="AA751" s="1">
        <v>4714.54</v>
      </c>
      <c r="AB751" s="1">
        <f t="shared" si="88"/>
        <v>-34.609999999999673</v>
      </c>
      <c r="AC751" s="29">
        <f t="shared" si="94"/>
        <v>53.449999999999818</v>
      </c>
      <c r="AD751" s="11">
        <f t="shared" si="95"/>
        <v>3201956.4485999998</v>
      </c>
    </row>
    <row r="752" spans="1:30" x14ac:dyDescent="0.3">
      <c r="A752" s="14">
        <v>45996.791666666664</v>
      </c>
      <c r="B752" s="1">
        <v>1400.02</v>
      </c>
      <c r="C752" s="11">
        <v>3.2732000000000001</v>
      </c>
      <c r="D752" s="1">
        <v>466.66</v>
      </c>
      <c r="E752" s="11">
        <v>3.0760000000000001</v>
      </c>
      <c r="F752" s="1">
        <v>715.41</v>
      </c>
      <c r="G752" s="11">
        <v>3.53</v>
      </c>
      <c r="H752" s="1">
        <v>-145.71</v>
      </c>
      <c r="I752" s="11">
        <v>10</v>
      </c>
      <c r="J752" s="1">
        <v>521.91</v>
      </c>
      <c r="K752" s="11">
        <v>10</v>
      </c>
      <c r="L752" s="1">
        <v>0</v>
      </c>
      <c r="M752" s="11">
        <v>6.2</v>
      </c>
      <c r="N752" s="1">
        <v>42.99</v>
      </c>
      <c r="O752" s="11">
        <v>2.8224999999999998</v>
      </c>
      <c r="P752" s="1">
        <f t="shared" si="89"/>
        <v>3001.2799999999997</v>
      </c>
      <c r="Q752" s="1">
        <v>3175.73</v>
      </c>
      <c r="R752" s="16">
        <f t="shared" si="90"/>
        <v>3106682.0497499998</v>
      </c>
      <c r="S752" s="20">
        <v>1630.5500000000002</v>
      </c>
      <c r="T752" s="21"/>
      <c r="U752" s="21">
        <v>11.389999999999999</v>
      </c>
      <c r="V752" s="8">
        <v>1641.9400000000003</v>
      </c>
      <c r="W752" s="25">
        <v>1.238</v>
      </c>
      <c r="X752" s="25">
        <f t="shared" si="91"/>
        <v>508180.43000000005</v>
      </c>
      <c r="Y752" s="1">
        <f t="shared" si="92"/>
        <v>4643.22</v>
      </c>
      <c r="Z752" s="1">
        <f t="shared" si="93"/>
        <v>4817.67</v>
      </c>
      <c r="AA752" s="1">
        <v>4865.07</v>
      </c>
      <c r="AB752" s="1">
        <f t="shared" si="88"/>
        <v>-221.84999999999945</v>
      </c>
      <c r="AC752" s="29">
        <f t="shared" si="94"/>
        <v>47.399999999999636</v>
      </c>
      <c r="AD752" s="11">
        <f t="shared" si="95"/>
        <v>3614862.4797499999</v>
      </c>
    </row>
    <row r="753" spans="1:30" x14ac:dyDescent="0.3">
      <c r="A753" s="14">
        <v>45996.802083333336</v>
      </c>
      <c r="B753" s="1">
        <v>1400.02</v>
      </c>
      <c r="C753" s="11">
        <v>3.2732000000000001</v>
      </c>
      <c r="D753" s="1">
        <v>452.66</v>
      </c>
      <c r="E753" s="11">
        <v>3.0760000000000001</v>
      </c>
      <c r="F753" s="1">
        <v>715.41</v>
      </c>
      <c r="G753" s="11">
        <v>3.53</v>
      </c>
      <c r="H753" s="1">
        <v>-151.9</v>
      </c>
      <c r="I753" s="11">
        <v>10</v>
      </c>
      <c r="J753" s="1">
        <v>471.95</v>
      </c>
      <c r="K753" s="11">
        <v>10</v>
      </c>
      <c r="L753" s="1">
        <v>0</v>
      </c>
      <c r="M753" s="11">
        <v>6.2</v>
      </c>
      <c r="N753" s="1">
        <v>36.909999999999997</v>
      </c>
      <c r="O753" s="11">
        <v>2.8224999999999998</v>
      </c>
      <c r="P753" s="1">
        <f t="shared" si="89"/>
        <v>2925.0499999999997</v>
      </c>
      <c r="Q753" s="1">
        <v>3186.84</v>
      </c>
      <c r="R753" s="16">
        <f t="shared" si="90"/>
        <v>2951250.8497500001</v>
      </c>
      <c r="S753" s="20">
        <v>1631.02</v>
      </c>
      <c r="T753" s="21"/>
      <c r="U753" s="21">
        <v>10.72</v>
      </c>
      <c r="V753" s="8">
        <v>1641.74</v>
      </c>
      <c r="W753" s="25">
        <v>1.238</v>
      </c>
      <c r="X753" s="25">
        <f t="shared" si="91"/>
        <v>508118.53</v>
      </c>
      <c r="Y753" s="1">
        <f t="shared" si="92"/>
        <v>4566.79</v>
      </c>
      <c r="Z753" s="1">
        <f t="shared" si="93"/>
        <v>4828.58</v>
      </c>
      <c r="AA753" s="1">
        <v>4879.24</v>
      </c>
      <c r="AB753" s="1">
        <f t="shared" si="88"/>
        <v>-312.44999999999982</v>
      </c>
      <c r="AC753" s="29">
        <f t="shared" si="94"/>
        <v>50.659999999999854</v>
      </c>
      <c r="AD753" s="11">
        <f t="shared" si="95"/>
        <v>3459369.3797500003</v>
      </c>
    </row>
    <row r="754" spans="1:30" x14ac:dyDescent="0.3">
      <c r="A754" s="14">
        <v>45996.8125</v>
      </c>
      <c r="B754" s="1">
        <v>1400.02</v>
      </c>
      <c r="C754" s="11">
        <v>3.2732000000000001</v>
      </c>
      <c r="D754" s="1">
        <v>452.66</v>
      </c>
      <c r="E754" s="11">
        <v>3.0760000000000001</v>
      </c>
      <c r="F754" s="1">
        <v>668.97</v>
      </c>
      <c r="G754" s="11">
        <v>3.53</v>
      </c>
      <c r="H754" s="1">
        <v>-151.9</v>
      </c>
      <c r="I754" s="11">
        <v>10</v>
      </c>
      <c r="J754" s="1">
        <v>567.9</v>
      </c>
      <c r="K754" s="11">
        <v>10</v>
      </c>
      <c r="L754" s="1">
        <v>0</v>
      </c>
      <c r="M754" s="11">
        <v>6.2</v>
      </c>
      <c r="N754" s="1">
        <v>34.630000000000003</v>
      </c>
      <c r="O754" s="11">
        <v>2.8224999999999998</v>
      </c>
      <c r="P754" s="1">
        <f t="shared" si="89"/>
        <v>2972.28</v>
      </c>
      <c r="Q754" s="1">
        <v>3170.78</v>
      </c>
      <c r="R754" s="16">
        <f t="shared" si="90"/>
        <v>3148533.7247500001</v>
      </c>
      <c r="S754" s="20">
        <v>1637.31</v>
      </c>
      <c r="T754" s="21"/>
      <c r="U754" s="21">
        <v>9.2999999999999989</v>
      </c>
      <c r="V754" s="8">
        <v>1646.61</v>
      </c>
      <c r="W754" s="25">
        <v>1.238</v>
      </c>
      <c r="X754" s="25">
        <f t="shared" si="91"/>
        <v>509625.79499999998</v>
      </c>
      <c r="Y754" s="1">
        <f t="shared" si="92"/>
        <v>4618.8900000000003</v>
      </c>
      <c r="Z754" s="1">
        <f t="shared" si="93"/>
        <v>4817.3900000000003</v>
      </c>
      <c r="AA754" s="1">
        <v>4866.8599999999997</v>
      </c>
      <c r="AB754" s="1">
        <f t="shared" si="88"/>
        <v>-247.96999999999935</v>
      </c>
      <c r="AC754" s="29">
        <f t="shared" si="94"/>
        <v>49.469999999999345</v>
      </c>
      <c r="AD754" s="11">
        <f t="shared" si="95"/>
        <v>3658159.51975</v>
      </c>
    </row>
    <row r="755" spans="1:30" x14ac:dyDescent="0.3">
      <c r="A755" s="14">
        <v>45996.822916666664</v>
      </c>
      <c r="B755" s="1">
        <v>1400.02</v>
      </c>
      <c r="C755" s="11">
        <v>3.2732000000000001</v>
      </c>
      <c r="D755" s="1">
        <v>452.66</v>
      </c>
      <c r="E755" s="11">
        <v>3.0760000000000001</v>
      </c>
      <c r="F755" s="1">
        <v>665.41</v>
      </c>
      <c r="G755" s="11">
        <v>3.53</v>
      </c>
      <c r="H755" s="1">
        <v>-151.9</v>
      </c>
      <c r="I755" s="11">
        <v>10</v>
      </c>
      <c r="J755" s="1">
        <v>533.66</v>
      </c>
      <c r="K755" s="11">
        <v>10</v>
      </c>
      <c r="L755" s="1">
        <v>0</v>
      </c>
      <c r="M755" s="11">
        <v>6.2</v>
      </c>
      <c r="N755" s="1">
        <v>32.56</v>
      </c>
      <c r="O755" s="11">
        <v>2.8224999999999998</v>
      </c>
      <c r="P755" s="1">
        <f t="shared" si="89"/>
        <v>2932.41</v>
      </c>
      <c r="Q755" s="1">
        <v>3164.55</v>
      </c>
      <c r="R755" s="16">
        <f t="shared" si="90"/>
        <v>3058331.3810000001</v>
      </c>
      <c r="S755" s="20">
        <v>1639.3700000000001</v>
      </c>
      <c r="T755" s="21"/>
      <c r="U755" s="21">
        <v>9.17</v>
      </c>
      <c r="V755" s="8">
        <v>1648.5400000000002</v>
      </c>
      <c r="W755" s="25">
        <v>1.238</v>
      </c>
      <c r="X755" s="25">
        <f t="shared" si="91"/>
        <v>510223.13000000006</v>
      </c>
      <c r="Y755" s="1">
        <f t="shared" si="92"/>
        <v>4580.95</v>
      </c>
      <c r="Z755" s="1">
        <f t="shared" si="93"/>
        <v>4813.09</v>
      </c>
      <c r="AA755" s="1">
        <v>4862.7299999999996</v>
      </c>
      <c r="AB755" s="1">
        <f t="shared" si="88"/>
        <v>-281.77999999999975</v>
      </c>
      <c r="AC755" s="29">
        <f t="shared" si="94"/>
        <v>49.639999999999418</v>
      </c>
      <c r="AD755" s="11">
        <f t="shared" si="95"/>
        <v>3568554.5109999999</v>
      </c>
    </row>
    <row r="756" spans="1:30" x14ac:dyDescent="0.3">
      <c r="A756" s="14">
        <v>45996.833333333336</v>
      </c>
      <c r="B756" s="1">
        <v>1403.68</v>
      </c>
      <c r="C756" s="11">
        <v>3.2732000000000001</v>
      </c>
      <c r="D756" s="1">
        <v>452.66</v>
      </c>
      <c r="E756" s="11">
        <v>3.0760000000000001</v>
      </c>
      <c r="F756" s="1">
        <v>665.41</v>
      </c>
      <c r="G756" s="11">
        <v>3.53</v>
      </c>
      <c r="H756" s="1">
        <v>-151.9</v>
      </c>
      <c r="I756" s="11">
        <v>10</v>
      </c>
      <c r="J756" s="1">
        <v>636.48</v>
      </c>
      <c r="K756" s="11">
        <v>10</v>
      </c>
      <c r="L756" s="1">
        <v>0</v>
      </c>
      <c r="M756" s="11">
        <v>6.2</v>
      </c>
      <c r="N756" s="1">
        <v>31.28</v>
      </c>
      <c r="O756" s="11">
        <v>2.8224999999999998</v>
      </c>
      <c r="P756" s="1">
        <f t="shared" si="89"/>
        <v>3037.61</v>
      </c>
      <c r="Q756" s="1">
        <v>3181.82</v>
      </c>
      <c r="R756" s="16">
        <f t="shared" si="90"/>
        <v>3317473.1589999995</v>
      </c>
      <c r="S756" s="20">
        <v>1629.41</v>
      </c>
      <c r="T756" s="21"/>
      <c r="U756" s="21">
        <v>9.93</v>
      </c>
      <c r="V756" s="8">
        <v>1639.3400000000001</v>
      </c>
      <c r="W756" s="25">
        <v>1.238</v>
      </c>
      <c r="X756" s="25">
        <f t="shared" si="91"/>
        <v>507375.73000000004</v>
      </c>
      <c r="Y756" s="1">
        <f t="shared" si="92"/>
        <v>4676.9500000000007</v>
      </c>
      <c r="Z756" s="1">
        <f t="shared" si="93"/>
        <v>4821.16</v>
      </c>
      <c r="AA756" s="1">
        <v>4866.6400000000003</v>
      </c>
      <c r="AB756" s="1">
        <f t="shared" si="88"/>
        <v>-189.6899999999996</v>
      </c>
      <c r="AC756" s="29">
        <f t="shared" si="94"/>
        <v>45.480000000000473</v>
      </c>
      <c r="AD756" s="11">
        <f t="shared" si="95"/>
        <v>3824848.8889999995</v>
      </c>
    </row>
    <row r="757" spans="1:30" x14ac:dyDescent="0.3">
      <c r="A757" s="14">
        <v>45996.84375</v>
      </c>
      <c r="B757" s="1">
        <v>1406.58</v>
      </c>
      <c r="C757" s="11">
        <v>3.2732000000000001</v>
      </c>
      <c r="D757" s="1">
        <v>452.66</v>
      </c>
      <c r="E757" s="11">
        <v>3.0760000000000001</v>
      </c>
      <c r="F757" s="1">
        <v>665.41</v>
      </c>
      <c r="G757" s="11">
        <v>3.53</v>
      </c>
      <c r="H757" s="1">
        <v>-151.9</v>
      </c>
      <c r="I757" s="11">
        <v>10</v>
      </c>
      <c r="J757" s="1">
        <v>647.57000000000005</v>
      </c>
      <c r="K757" s="11">
        <v>10</v>
      </c>
      <c r="L757" s="1">
        <v>0</v>
      </c>
      <c r="M757" s="11">
        <v>6.2</v>
      </c>
      <c r="N757" s="1">
        <v>30.08</v>
      </c>
      <c r="O757" s="11">
        <v>2.8224999999999998</v>
      </c>
      <c r="P757" s="1">
        <f t="shared" si="89"/>
        <v>3050.4</v>
      </c>
      <c r="Q757" s="1">
        <v>3172.86</v>
      </c>
      <c r="R757" s="16">
        <f t="shared" si="90"/>
        <v>3346724.4789999998</v>
      </c>
      <c r="S757" s="20">
        <v>1629.2900000000002</v>
      </c>
      <c r="T757" s="21"/>
      <c r="U757" s="21">
        <v>10.17</v>
      </c>
      <c r="V757" s="8">
        <v>1639.4600000000003</v>
      </c>
      <c r="W757" s="25">
        <v>1.238</v>
      </c>
      <c r="X757" s="25">
        <f t="shared" si="91"/>
        <v>507412.87000000005</v>
      </c>
      <c r="Y757" s="1">
        <f t="shared" si="92"/>
        <v>4689.8600000000006</v>
      </c>
      <c r="Z757" s="1">
        <f t="shared" si="93"/>
        <v>4812.3200000000006</v>
      </c>
      <c r="AA757" s="1">
        <v>4860.87</v>
      </c>
      <c r="AB757" s="1">
        <f t="shared" si="88"/>
        <v>-171.00999999999931</v>
      </c>
      <c r="AC757" s="29">
        <f t="shared" si="94"/>
        <v>48.549999999999272</v>
      </c>
      <c r="AD757" s="11">
        <f t="shared" si="95"/>
        <v>3854137.3489999999</v>
      </c>
    </row>
    <row r="758" spans="1:30" x14ac:dyDescent="0.3">
      <c r="A758" s="14">
        <v>45996.854166666664</v>
      </c>
      <c r="B758" s="1">
        <v>1407.86</v>
      </c>
      <c r="C758" s="11">
        <v>3.2732000000000001</v>
      </c>
      <c r="D758" s="1">
        <v>452.66</v>
      </c>
      <c r="E758" s="11">
        <v>3.0760000000000001</v>
      </c>
      <c r="F758" s="1">
        <v>665.41</v>
      </c>
      <c r="G758" s="11">
        <v>3.53</v>
      </c>
      <c r="H758" s="1">
        <v>-151.9</v>
      </c>
      <c r="I758" s="11">
        <v>10</v>
      </c>
      <c r="J758" s="1">
        <v>724.63</v>
      </c>
      <c r="K758" s="11">
        <v>10</v>
      </c>
      <c r="L758" s="1">
        <v>0</v>
      </c>
      <c r="M758" s="11">
        <v>6.2</v>
      </c>
      <c r="N758" s="1">
        <v>28.88</v>
      </c>
      <c r="O758" s="11">
        <v>2.8224999999999998</v>
      </c>
      <c r="P758" s="1">
        <f t="shared" si="89"/>
        <v>3127.54</v>
      </c>
      <c r="Q758" s="1">
        <v>3147.88</v>
      </c>
      <c r="R758" s="16">
        <f t="shared" si="90"/>
        <v>3539575.1529999999</v>
      </c>
      <c r="S758" s="20">
        <v>1633.3100000000002</v>
      </c>
      <c r="T758" s="21"/>
      <c r="U758" s="21">
        <v>10.48</v>
      </c>
      <c r="V758" s="8">
        <v>1643.7900000000002</v>
      </c>
      <c r="W758" s="25">
        <v>1.238</v>
      </c>
      <c r="X758" s="25">
        <f t="shared" si="91"/>
        <v>508753.005</v>
      </c>
      <c r="Y758" s="1">
        <f t="shared" si="92"/>
        <v>4771.33</v>
      </c>
      <c r="Z758" s="1">
        <f t="shared" si="93"/>
        <v>4791.67</v>
      </c>
      <c r="AA758" s="1">
        <v>4837.9399999999996</v>
      </c>
      <c r="AB758" s="1">
        <f t="shared" si="88"/>
        <v>-66.609999999999673</v>
      </c>
      <c r="AC758" s="29">
        <f t="shared" si="94"/>
        <v>46.269999999999527</v>
      </c>
      <c r="AD758" s="11">
        <f t="shared" si="95"/>
        <v>4048328.1579999998</v>
      </c>
    </row>
    <row r="759" spans="1:30" x14ac:dyDescent="0.3">
      <c r="A759" s="14">
        <v>45996.864583333336</v>
      </c>
      <c r="B759" s="1">
        <v>1408.01</v>
      </c>
      <c r="C759" s="11">
        <v>3.2732000000000001</v>
      </c>
      <c r="D759" s="1">
        <v>452.66</v>
      </c>
      <c r="E759" s="11">
        <v>3.0760000000000001</v>
      </c>
      <c r="F759" s="1">
        <v>665.41</v>
      </c>
      <c r="G759" s="11">
        <v>3.53</v>
      </c>
      <c r="H759" s="1">
        <v>-151.9</v>
      </c>
      <c r="I759" s="11">
        <v>10</v>
      </c>
      <c r="J759" s="1">
        <v>717.66</v>
      </c>
      <c r="K759" s="11">
        <v>10</v>
      </c>
      <c r="L759" s="1">
        <v>0</v>
      </c>
      <c r="M759" s="11">
        <v>6.2</v>
      </c>
      <c r="N759" s="1">
        <v>27.96</v>
      </c>
      <c r="O759" s="11">
        <v>2.8224999999999998</v>
      </c>
      <c r="P759" s="1">
        <f t="shared" si="89"/>
        <v>3119.7999999999997</v>
      </c>
      <c r="Q759" s="1">
        <v>3162.52</v>
      </c>
      <c r="R759" s="16">
        <f t="shared" si="90"/>
        <v>3521623.7230000002</v>
      </c>
      <c r="S759" s="20">
        <v>1621.3700000000001</v>
      </c>
      <c r="T759" s="21"/>
      <c r="U759" s="21">
        <v>10.73</v>
      </c>
      <c r="V759" s="8">
        <v>1632.1000000000001</v>
      </c>
      <c r="W759" s="25">
        <v>1.238</v>
      </c>
      <c r="X759" s="25">
        <f t="shared" si="91"/>
        <v>505134.95000000007</v>
      </c>
      <c r="Y759" s="1">
        <f t="shared" si="92"/>
        <v>4751.8999999999996</v>
      </c>
      <c r="Z759" s="1">
        <f t="shared" si="93"/>
        <v>4794.62</v>
      </c>
      <c r="AA759" s="1">
        <v>4846.6499999999996</v>
      </c>
      <c r="AB759" s="1">
        <f t="shared" si="88"/>
        <v>-94.75</v>
      </c>
      <c r="AC759" s="29">
        <f t="shared" si="94"/>
        <v>52.029999999999745</v>
      </c>
      <c r="AD759" s="11">
        <f t="shared" si="95"/>
        <v>4026758.6730000004</v>
      </c>
    </row>
    <row r="760" spans="1:30" x14ac:dyDescent="0.3">
      <c r="A760" s="14">
        <v>45996.875</v>
      </c>
      <c r="B760" s="1">
        <v>1408.02</v>
      </c>
      <c r="C760" s="11">
        <v>3.2732000000000001</v>
      </c>
      <c r="D760" s="1">
        <v>452.66</v>
      </c>
      <c r="E760" s="11">
        <v>3.0760000000000001</v>
      </c>
      <c r="F760" s="1">
        <v>665.41</v>
      </c>
      <c r="G760" s="11">
        <v>3.53</v>
      </c>
      <c r="H760" s="1">
        <v>-151.9</v>
      </c>
      <c r="I760" s="11">
        <v>10</v>
      </c>
      <c r="J760" s="1">
        <v>936.79</v>
      </c>
      <c r="K760" s="11">
        <v>10</v>
      </c>
      <c r="L760" s="1">
        <v>0</v>
      </c>
      <c r="M760" s="11">
        <v>6.2</v>
      </c>
      <c r="N760" s="1">
        <v>27.34</v>
      </c>
      <c r="O760" s="11">
        <v>2.8224999999999998</v>
      </c>
      <c r="P760" s="1">
        <f t="shared" si="89"/>
        <v>3338.32</v>
      </c>
      <c r="Q760" s="1">
        <v>3324.92</v>
      </c>
      <c r="R760" s="16">
        <f t="shared" si="90"/>
        <v>4069019.4185000001</v>
      </c>
      <c r="S760" s="20">
        <v>1488.16</v>
      </c>
      <c r="T760" s="21"/>
      <c r="U760" s="21">
        <v>9.7799999999999994</v>
      </c>
      <c r="V760" s="8">
        <v>1497.94</v>
      </c>
      <c r="W760" s="25">
        <v>1.238</v>
      </c>
      <c r="X760" s="25">
        <f t="shared" si="91"/>
        <v>463612.43</v>
      </c>
      <c r="Y760" s="1">
        <f t="shared" si="92"/>
        <v>4836.26</v>
      </c>
      <c r="Z760" s="1">
        <f t="shared" si="93"/>
        <v>4822.8600000000006</v>
      </c>
      <c r="AA760" s="1">
        <v>4882.58</v>
      </c>
      <c r="AB760" s="1">
        <f t="shared" si="88"/>
        <v>-46.319999999999709</v>
      </c>
      <c r="AC760" s="29">
        <f t="shared" si="94"/>
        <v>59.719999999999345</v>
      </c>
      <c r="AD760" s="11">
        <f t="shared" si="95"/>
        <v>4532631.8485000003</v>
      </c>
    </row>
    <row r="761" spans="1:30" x14ac:dyDescent="0.3">
      <c r="A761" s="14">
        <v>45996.885416666664</v>
      </c>
      <c r="B761" s="1">
        <v>1408.02</v>
      </c>
      <c r="C761" s="11">
        <v>3.2732000000000001</v>
      </c>
      <c r="D761" s="1">
        <v>452.66</v>
      </c>
      <c r="E761" s="11">
        <v>3.0760000000000001</v>
      </c>
      <c r="F761" s="1">
        <v>665.41</v>
      </c>
      <c r="G761" s="11">
        <v>3.53</v>
      </c>
      <c r="H761" s="1">
        <v>-151.9</v>
      </c>
      <c r="I761" s="11">
        <v>10</v>
      </c>
      <c r="J761" s="1">
        <v>1026.3800000000001</v>
      </c>
      <c r="K761" s="11">
        <v>10</v>
      </c>
      <c r="L761" s="1">
        <v>0</v>
      </c>
      <c r="M761" s="11">
        <v>6.2</v>
      </c>
      <c r="N761" s="1">
        <v>26.75</v>
      </c>
      <c r="O761" s="11">
        <v>2.8224999999999998</v>
      </c>
      <c r="P761" s="1">
        <f t="shared" si="89"/>
        <v>3427.32</v>
      </c>
      <c r="Q761" s="1">
        <v>3441.2</v>
      </c>
      <c r="R761" s="16">
        <f t="shared" si="90"/>
        <v>4292578.099750001</v>
      </c>
      <c r="S761" s="20">
        <v>1442.39</v>
      </c>
      <c r="T761" s="21"/>
      <c r="U761" s="21">
        <v>9.2799999999999994</v>
      </c>
      <c r="V761" s="8">
        <v>1451.67</v>
      </c>
      <c r="W761" s="25">
        <v>1.238</v>
      </c>
      <c r="X761" s="25">
        <f t="shared" si="91"/>
        <v>449291.86500000005</v>
      </c>
      <c r="Y761" s="1">
        <f t="shared" si="92"/>
        <v>4878.99</v>
      </c>
      <c r="Z761" s="1">
        <f t="shared" si="93"/>
        <v>4892.87</v>
      </c>
      <c r="AA761" s="1">
        <v>4941.21</v>
      </c>
      <c r="AB761" s="1">
        <f t="shared" si="88"/>
        <v>-62.220000000000255</v>
      </c>
      <c r="AC761" s="29">
        <f t="shared" si="94"/>
        <v>48.340000000000146</v>
      </c>
      <c r="AD761" s="11">
        <f t="shared" si="95"/>
        <v>4741869.9647500012</v>
      </c>
    </row>
    <row r="762" spans="1:30" x14ac:dyDescent="0.3">
      <c r="A762" s="14">
        <v>45996.895833333336</v>
      </c>
      <c r="B762" s="1">
        <v>1408.02</v>
      </c>
      <c r="C762" s="11">
        <v>3.2732000000000001</v>
      </c>
      <c r="D762" s="1">
        <v>452.66</v>
      </c>
      <c r="E762" s="11">
        <v>3.0760000000000001</v>
      </c>
      <c r="F762" s="1">
        <v>665.41</v>
      </c>
      <c r="G762" s="11">
        <v>3.53</v>
      </c>
      <c r="H762" s="1">
        <v>-151.9</v>
      </c>
      <c r="I762" s="11">
        <v>10</v>
      </c>
      <c r="J762" s="1">
        <v>1082.46</v>
      </c>
      <c r="K762" s="11">
        <v>10</v>
      </c>
      <c r="L762" s="1">
        <v>0</v>
      </c>
      <c r="M762" s="11">
        <v>6.2</v>
      </c>
      <c r="N762" s="1">
        <v>26.14</v>
      </c>
      <c r="O762" s="11">
        <v>2.8224999999999998</v>
      </c>
      <c r="P762" s="1">
        <f t="shared" si="89"/>
        <v>3482.79</v>
      </c>
      <c r="Q762" s="1">
        <v>3469.67</v>
      </c>
      <c r="R762" s="16">
        <f t="shared" si="90"/>
        <v>4432347.6685000006</v>
      </c>
      <c r="S762" s="20">
        <v>1466.3700000000003</v>
      </c>
      <c r="T762" s="21"/>
      <c r="U762" s="21">
        <v>8.379999999999999</v>
      </c>
      <c r="V762" s="8">
        <v>1474.7500000000005</v>
      </c>
      <c r="W762" s="25">
        <v>1.238</v>
      </c>
      <c r="X762" s="25">
        <f t="shared" si="91"/>
        <v>456435.12500000012</v>
      </c>
      <c r="Y762" s="1">
        <f t="shared" si="92"/>
        <v>4957.5400000000009</v>
      </c>
      <c r="Z762" s="1">
        <f t="shared" si="93"/>
        <v>4944.42</v>
      </c>
      <c r="AA762" s="1">
        <v>4995.43</v>
      </c>
      <c r="AB762" s="1">
        <f t="shared" si="88"/>
        <v>-37.889999999999418</v>
      </c>
      <c r="AC762" s="29">
        <f t="shared" si="94"/>
        <v>51.010000000000218</v>
      </c>
      <c r="AD762" s="11">
        <f t="shared" si="95"/>
        <v>4888782.7935000006</v>
      </c>
    </row>
    <row r="763" spans="1:30" x14ac:dyDescent="0.3">
      <c r="A763" s="14">
        <v>45996.90625</v>
      </c>
      <c r="B763" s="1">
        <v>1408.02</v>
      </c>
      <c r="C763" s="11">
        <v>3.2732000000000001</v>
      </c>
      <c r="D763" s="1">
        <v>452.66</v>
      </c>
      <c r="E763" s="11">
        <v>3.0760000000000001</v>
      </c>
      <c r="F763" s="1">
        <v>665.41</v>
      </c>
      <c r="G763" s="11">
        <v>3.53</v>
      </c>
      <c r="H763" s="1">
        <v>-151.9</v>
      </c>
      <c r="I763" s="11">
        <v>10</v>
      </c>
      <c r="J763" s="1">
        <v>1027.1199999999999</v>
      </c>
      <c r="K763" s="11">
        <v>10</v>
      </c>
      <c r="L763" s="1">
        <v>0</v>
      </c>
      <c r="M763" s="11">
        <v>6.2</v>
      </c>
      <c r="N763" s="1">
        <v>25.82</v>
      </c>
      <c r="O763" s="11">
        <v>2.8224999999999998</v>
      </c>
      <c r="P763" s="1">
        <f t="shared" si="89"/>
        <v>3427.13</v>
      </c>
      <c r="Q763" s="1">
        <v>3435.02</v>
      </c>
      <c r="R763" s="16">
        <f t="shared" si="90"/>
        <v>4293771.8685000008</v>
      </c>
      <c r="S763" s="20">
        <v>1582.2100000000003</v>
      </c>
      <c r="T763" s="21"/>
      <c r="U763" s="21">
        <v>8.7900000000000009</v>
      </c>
      <c r="V763" s="8">
        <v>1591.0000000000002</v>
      </c>
      <c r="W763" s="25">
        <v>1.238</v>
      </c>
      <c r="X763" s="25">
        <f t="shared" si="91"/>
        <v>492414.50000000012</v>
      </c>
      <c r="Y763" s="1">
        <f t="shared" si="92"/>
        <v>5018.13</v>
      </c>
      <c r="Z763" s="1">
        <f t="shared" si="93"/>
        <v>5026.0200000000004</v>
      </c>
      <c r="AA763" s="1">
        <v>5074.57</v>
      </c>
      <c r="AB763" s="1">
        <f t="shared" si="88"/>
        <v>-56.4399999999996</v>
      </c>
      <c r="AC763" s="29">
        <f t="shared" si="94"/>
        <v>48.549999999999272</v>
      </c>
      <c r="AD763" s="11">
        <f t="shared" si="95"/>
        <v>4786186.3685000008</v>
      </c>
    </row>
    <row r="764" spans="1:30" x14ac:dyDescent="0.3">
      <c r="A764" s="14">
        <v>45996.916666666664</v>
      </c>
      <c r="B764" s="1">
        <v>1410.01</v>
      </c>
      <c r="C764" s="11">
        <v>3.2732000000000001</v>
      </c>
      <c r="D764" s="1">
        <v>452.66</v>
      </c>
      <c r="E764" s="11">
        <v>3.0760000000000001</v>
      </c>
      <c r="F764" s="1">
        <v>665.41</v>
      </c>
      <c r="G764" s="11">
        <v>3.53</v>
      </c>
      <c r="H764" s="1">
        <v>-151.9</v>
      </c>
      <c r="I764" s="11">
        <v>10</v>
      </c>
      <c r="J764" s="1">
        <v>714</v>
      </c>
      <c r="K764" s="11">
        <v>10</v>
      </c>
      <c r="L764" s="1">
        <v>0</v>
      </c>
      <c r="M764" s="11">
        <v>6.2</v>
      </c>
      <c r="N764" s="1">
        <v>25.52</v>
      </c>
      <c r="O764" s="11">
        <v>2.8224999999999998</v>
      </c>
      <c r="P764" s="1">
        <f t="shared" si="89"/>
        <v>3115.7</v>
      </c>
      <c r="Q764" s="1">
        <v>3418.88</v>
      </c>
      <c r="R764" s="16">
        <f t="shared" si="90"/>
        <v>3512388.5980000002</v>
      </c>
      <c r="S764" s="20">
        <v>1636.0100000000004</v>
      </c>
      <c r="T764" s="21"/>
      <c r="U764" s="21">
        <v>7.95</v>
      </c>
      <c r="V764" s="8">
        <v>1643.9600000000005</v>
      </c>
      <c r="W764" s="25">
        <v>1.238</v>
      </c>
      <c r="X764" s="25">
        <f t="shared" si="91"/>
        <v>508805.62000000017</v>
      </c>
      <c r="Y764" s="1">
        <f t="shared" si="92"/>
        <v>4759.66</v>
      </c>
      <c r="Z764" s="1">
        <f t="shared" si="93"/>
        <v>5062.84</v>
      </c>
      <c r="AA764" s="1">
        <v>5115.34</v>
      </c>
      <c r="AB764" s="1">
        <f t="shared" si="88"/>
        <v>-355.68000000000029</v>
      </c>
      <c r="AC764" s="29">
        <f t="shared" si="94"/>
        <v>52.5</v>
      </c>
      <c r="AD764" s="11">
        <f t="shared" si="95"/>
        <v>4021194.2180000003</v>
      </c>
    </row>
    <row r="765" spans="1:30" x14ac:dyDescent="0.3">
      <c r="A765" s="14">
        <v>45996.927083333336</v>
      </c>
      <c r="B765" s="1">
        <v>1410.39</v>
      </c>
      <c r="C765" s="11">
        <v>3.2732000000000001</v>
      </c>
      <c r="D765" s="1">
        <v>452.66</v>
      </c>
      <c r="E765" s="11">
        <v>3.0760000000000001</v>
      </c>
      <c r="F765" s="1">
        <v>665.41</v>
      </c>
      <c r="G765" s="11">
        <v>3.53</v>
      </c>
      <c r="H765" s="1">
        <v>-151.9</v>
      </c>
      <c r="I765" s="11">
        <v>10</v>
      </c>
      <c r="J765" s="1">
        <v>678.87</v>
      </c>
      <c r="K765" s="11">
        <v>10</v>
      </c>
      <c r="L765" s="1">
        <v>0</v>
      </c>
      <c r="M765" s="11">
        <v>6.2</v>
      </c>
      <c r="N765" s="1">
        <v>25.5</v>
      </c>
      <c r="O765" s="11">
        <v>2.8224999999999998</v>
      </c>
      <c r="P765" s="1">
        <f t="shared" si="89"/>
        <v>3080.93</v>
      </c>
      <c r="Q765" s="1">
        <v>3467.72</v>
      </c>
      <c r="R765" s="16">
        <f t="shared" si="90"/>
        <v>3424860.4394999999</v>
      </c>
      <c r="S765" s="20">
        <v>1636.2000000000003</v>
      </c>
      <c r="T765" s="21"/>
      <c r="U765" s="21">
        <v>7.28</v>
      </c>
      <c r="V765" s="8">
        <v>1643.4800000000002</v>
      </c>
      <c r="W765" s="25">
        <v>1.238</v>
      </c>
      <c r="X765" s="25">
        <f t="shared" si="91"/>
        <v>508657.06000000006</v>
      </c>
      <c r="Y765" s="1">
        <f t="shared" si="92"/>
        <v>4724.41</v>
      </c>
      <c r="Z765" s="1">
        <f t="shared" si="93"/>
        <v>5111.2</v>
      </c>
      <c r="AA765" s="1">
        <v>5165.05</v>
      </c>
      <c r="AB765" s="1">
        <f t="shared" si="88"/>
        <v>-440.64000000000033</v>
      </c>
      <c r="AC765" s="29">
        <f t="shared" si="94"/>
        <v>53.850000000000364</v>
      </c>
      <c r="AD765" s="11">
        <f t="shared" si="95"/>
        <v>3933517.4994999999</v>
      </c>
    </row>
    <row r="766" spans="1:30" x14ac:dyDescent="0.3">
      <c r="A766" s="14">
        <v>45996.9375</v>
      </c>
      <c r="B766" s="1">
        <v>1410.41</v>
      </c>
      <c r="C766" s="11">
        <v>3.2732000000000001</v>
      </c>
      <c r="D766" s="1">
        <v>452.66</v>
      </c>
      <c r="E766" s="11">
        <v>3.0760000000000001</v>
      </c>
      <c r="F766" s="1">
        <v>665.41</v>
      </c>
      <c r="G766" s="11">
        <v>3.53</v>
      </c>
      <c r="H766" s="1">
        <v>-151.9</v>
      </c>
      <c r="I766" s="11">
        <v>10</v>
      </c>
      <c r="J766" s="1">
        <v>805.35</v>
      </c>
      <c r="K766" s="11">
        <v>10</v>
      </c>
      <c r="L766" s="1">
        <v>0</v>
      </c>
      <c r="M766" s="11">
        <v>6.2</v>
      </c>
      <c r="N766" s="1">
        <v>25.22</v>
      </c>
      <c r="O766" s="11">
        <v>2.8224999999999998</v>
      </c>
      <c r="P766" s="1">
        <f t="shared" si="89"/>
        <v>3207.1499999999996</v>
      </c>
      <c r="Q766" s="1">
        <v>3487.29</v>
      </c>
      <c r="R766" s="16">
        <f t="shared" si="90"/>
        <v>3740879.2305000001</v>
      </c>
      <c r="S766" s="20">
        <v>1627.7500000000005</v>
      </c>
      <c r="T766" s="21"/>
      <c r="U766" s="21">
        <v>8.5300000000000011</v>
      </c>
      <c r="V766" s="8">
        <v>1636.2800000000004</v>
      </c>
      <c r="W766" s="25">
        <v>1.238</v>
      </c>
      <c r="X766" s="25">
        <f t="shared" si="91"/>
        <v>506428.66000000015</v>
      </c>
      <c r="Y766" s="1">
        <f t="shared" si="92"/>
        <v>4843.43</v>
      </c>
      <c r="Z766" s="1">
        <f t="shared" si="93"/>
        <v>5123.5700000000006</v>
      </c>
      <c r="AA766" s="1">
        <v>5172.17</v>
      </c>
      <c r="AB766" s="1">
        <f t="shared" si="88"/>
        <v>-328.73999999999978</v>
      </c>
      <c r="AC766" s="29">
        <f t="shared" si="94"/>
        <v>48.599999999999454</v>
      </c>
      <c r="AD766" s="11">
        <f t="shared" si="95"/>
        <v>4247307.8904999997</v>
      </c>
    </row>
    <row r="767" spans="1:30" x14ac:dyDescent="0.3">
      <c r="A767" s="14">
        <v>45996.947916666664</v>
      </c>
      <c r="B767" s="1">
        <v>1408.61</v>
      </c>
      <c r="C767" s="11">
        <v>3.2732000000000001</v>
      </c>
      <c r="D767" s="1">
        <v>452.66</v>
      </c>
      <c r="E767" s="11">
        <v>3.0760000000000001</v>
      </c>
      <c r="F767" s="1">
        <v>665.41</v>
      </c>
      <c r="G767" s="11">
        <v>3.53</v>
      </c>
      <c r="H767" s="1">
        <v>-151.9</v>
      </c>
      <c r="I767" s="11">
        <v>10</v>
      </c>
      <c r="J767" s="1">
        <v>771.45</v>
      </c>
      <c r="K767" s="11">
        <v>10</v>
      </c>
      <c r="L767" s="1">
        <v>0</v>
      </c>
      <c r="M767" s="11">
        <v>6.2</v>
      </c>
      <c r="N767" s="1">
        <v>25.2</v>
      </c>
      <c r="O767" s="11">
        <v>2.8224999999999998</v>
      </c>
      <c r="P767" s="1">
        <f t="shared" si="89"/>
        <v>3171.4299999999994</v>
      </c>
      <c r="Q767" s="1">
        <v>3458.67</v>
      </c>
      <c r="R767" s="16">
        <f t="shared" si="90"/>
        <v>3654642.1779999998</v>
      </c>
      <c r="S767" s="20">
        <v>1622.8300000000002</v>
      </c>
      <c r="T767" s="21"/>
      <c r="U767" s="21">
        <v>10.549999999999999</v>
      </c>
      <c r="V767" s="8">
        <v>1633.38</v>
      </c>
      <c r="W767" s="25">
        <v>1.238</v>
      </c>
      <c r="X767" s="25">
        <f t="shared" si="91"/>
        <v>505531.11</v>
      </c>
      <c r="Y767" s="1">
        <f t="shared" si="92"/>
        <v>4804.8099999999995</v>
      </c>
      <c r="Z767" s="1">
        <f t="shared" si="93"/>
        <v>5092.05</v>
      </c>
      <c r="AA767" s="1">
        <v>5139.3599999999997</v>
      </c>
      <c r="AB767" s="1">
        <f t="shared" si="88"/>
        <v>-334.55000000000018</v>
      </c>
      <c r="AC767" s="29">
        <f t="shared" si="94"/>
        <v>47.309999999999491</v>
      </c>
      <c r="AD767" s="11">
        <f t="shared" si="95"/>
        <v>4160173.2879999997</v>
      </c>
    </row>
    <row r="768" spans="1:30" x14ac:dyDescent="0.3">
      <c r="A768" s="14">
        <v>45996.958333333336</v>
      </c>
      <c r="B768" s="1">
        <v>1408.46</v>
      </c>
      <c r="C768" s="11">
        <v>3.2732000000000001</v>
      </c>
      <c r="D768" s="1">
        <v>452.66</v>
      </c>
      <c r="E768" s="11">
        <v>3.0760000000000001</v>
      </c>
      <c r="F768" s="1">
        <v>665.41</v>
      </c>
      <c r="G768" s="11">
        <v>3.53</v>
      </c>
      <c r="H768" s="1">
        <v>-151.9</v>
      </c>
      <c r="I768" s="11">
        <v>10</v>
      </c>
      <c r="J768" s="1">
        <v>931.31</v>
      </c>
      <c r="K768" s="11">
        <v>10</v>
      </c>
      <c r="L768" s="1">
        <v>0</v>
      </c>
      <c r="M768" s="11">
        <v>6.2</v>
      </c>
      <c r="N768" s="1">
        <v>27.44</v>
      </c>
      <c r="O768" s="11">
        <v>2.8224999999999998</v>
      </c>
      <c r="P768" s="1">
        <f t="shared" si="89"/>
        <v>3333.38</v>
      </c>
      <c r="Q768" s="1">
        <v>3418.06</v>
      </c>
      <c r="R768" s="16">
        <f t="shared" si="90"/>
        <v>4055750.0329999998</v>
      </c>
      <c r="S768" s="20">
        <v>1626.6800000000003</v>
      </c>
      <c r="T768" s="21"/>
      <c r="U768" s="21">
        <v>10</v>
      </c>
      <c r="V768" s="8">
        <v>1636.6800000000003</v>
      </c>
      <c r="W768" s="25">
        <v>1.238</v>
      </c>
      <c r="X768" s="25">
        <f t="shared" si="91"/>
        <v>506552.46000000014</v>
      </c>
      <c r="Y768" s="1">
        <f t="shared" si="92"/>
        <v>4970.0600000000004</v>
      </c>
      <c r="Z768" s="1">
        <f t="shared" si="93"/>
        <v>5054.74</v>
      </c>
      <c r="AA768" s="1">
        <v>5103.22</v>
      </c>
      <c r="AB768" s="1">
        <f t="shared" si="88"/>
        <v>-133.15999999999985</v>
      </c>
      <c r="AC768" s="29">
        <f t="shared" si="94"/>
        <v>48.480000000000473</v>
      </c>
      <c r="AD768" s="11">
        <f t="shared" si="95"/>
        <v>4562302.4929999998</v>
      </c>
    </row>
    <row r="769" spans="1:32" x14ac:dyDescent="0.3">
      <c r="A769" s="14">
        <v>45996.96875</v>
      </c>
      <c r="B769" s="1">
        <v>1408.46</v>
      </c>
      <c r="C769" s="11">
        <v>3.2732000000000001</v>
      </c>
      <c r="D769" s="1">
        <v>452.66</v>
      </c>
      <c r="E769" s="11">
        <v>3.0760000000000001</v>
      </c>
      <c r="F769" s="1">
        <v>665.41</v>
      </c>
      <c r="G769" s="11">
        <v>3.53</v>
      </c>
      <c r="H769" s="1">
        <v>-151.9</v>
      </c>
      <c r="I769" s="11">
        <v>10</v>
      </c>
      <c r="J769" s="1">
        <v>896.66</v>
      </c>
      <c r="K769" s="11">
        <v>10</v>
      </c>
      <c r="L769" s="1">
        <v>0</v>
      </c>
      <c r="M769" s="11">
        <v>6.2</v>
      </c>
      <c r="N769" s="1">
        <v>29.56</v>
      </c>
      <c r="O769" s="11">
        <v>2.8224999999999998</v>
      </c>
      <c r="P769" s="1">
        <f t="shared" si="89"/>
        <v>3300.85</v>
      </c>
      <c r="Q769" s="1">
        <v>3375.35</v>
      </c>
      <c r="R769" s="16">
        <f t="shared" si="90"/>
        <v>3970620.9580000006</v>
      </c>
      <c r="S769" s="20">
        <v>1628.19</v>
      </c>
      <c r="T769" s="21"/>
      <c r="U769" s="21">
        <v>10.110000000000001</v>
      </c>
      <c r="V769" s="8">
        <v>1638.3</v>
      </c>
      <c r="W769" s="25">
        <v>1.238</v>
      </c>
      <c r="X769" s="25">
        <f t="shared" si="91"/>
        <v>507053.85</v>
      </c>
      <c r="Y769" s="1">
        <f t="shared" si="92"/>
        <v>4939.1499999999996</v>
      </c>
      <c r="Z769" s="1">
        <f t="shared" si="93"/>
        <v>5013.6499999999996</v>
      </c>
      <c r="AA769" s="1">
        <v>5060.88</v>
      </c>
      <c r="AB769" s="1">
        <f t="shared" si="88"/>
        <v>-121.73000000000047</v>
      </c>
      <c r="AC769" s="29">
        <f t="shared" si="94"/>
        <v>47.230000000000473</v>
      </c>
      <c r="AD769" s="11">
        <f t="shared" si="95"/>
        <v>4477674.8080000002</v>
      </c>
    </row>
    <row r="770" spans="1:32" x14ac:dyDescent="0.3">
      <c r="A770" s="14">
        <v>45996.979166666664</v>
      </c>
      <c r="B770" s="1">
        <v>1408.38</v>
      </c>
      <c r="C770" s="11">
        <v>3.2732000000000001</v>
      </c>
      <c r="D770" s="1">
        <v>452.66</v>
      </c>
      <c r="E770" s="11">
        <v>3.0760000000000001</v>
      </c>
      <c r="F770" s="1">
        <v>711.85</v>
      </c>
      <c r="G770" s="11">
        <v>3.53</v>
      </c>
      <c r="H770" s="1">
        <v>-151.9</v>
      </c>
      <c r="I770" s="11">
        <v>10</v>
      </c>
      <c r="J770" s="1">
        <v>694.83</v>
      </c>
      <c r="K770" s="11">
        <v>10</v>
      </c>
      <c r="L770" s="1">
        <v>0</v>
      </c>
      <c r="M770" s="11">
        <v>6.2</v>
      </c>
      <c r="N770" s="1">
        <v>31.94</v>
      </c>
      <c r="O770" s="11">
        <v>2.8224999999999998</v>
      </c>
      <c r="P770" s="1">
        <f t="shared" si="89"/>
        <v>3147.76</v>
      </c>
      <c r="Q770" s="1">
        <v>3293.93</v>
      </c>
      <c r="R770" s="16">
        <f t="shared" si="90"/>
        <v>3508643.1814999995</v>
      </c>
      <c r="S770" s="20">
        <v>1630.0300000000002</v>
      </c>
      <c r="T770" s="21"/>
      <c r="U770" s="21">
        <v>10.71</v>
      </c>
      <c r="V770" s="8">
        <v>1640.7400000000002</v>
      </c>
      <c r="W770" s="25">
        <v>1.238</v>
      </c>
      <c r="X770" s="25">
        <f t="shared" si="91"/>
        <v>507809.03000000009</v>
      </c>
      <c r="Y770" s="1">
        <f t="shared" si="92"/>
        <v>4788.5</v>
      </c>
      <c r="Z770" s="1">
        <f t="shared" si="93"/>
        <v>4934.67</v>
      </c>
      <c r="AA770" s="1">
        <v>4983.05</v>
      </c>
      <c r="AB770" s="1">
        <f t="shared" si="88"/>
        <v>-194.55000000000018</v>
      </c>
      <c r="AC770" s="29">
        <f t="shared" si="94"/>
        <v>48.380000000000109</v>
      </c>
      <c r="AD770" s="11">
        <f t="shared" si="95"/>
        <v>4016452.2114999997</v>
      </c>
    </row>
    <row r="771" spans="1:32" x14ac:dyDescent="0.3">
      <c r="A771" s="15">
        <v>45996.989583333336</v>
      </c>
      <c r="B771" s="2">
        <v>1408.37</v>
      </c>
      <c r="C771" s="11">
        <v>3.2732000000000001</v>
      </c>
      <c r="D771" s="2">
        <v>452.66</v>
      </c>
      <c r="E771" s="11">
        <v>3.0760000000000001</v>
      </c>
      <c r="F771" s="2">
        <v>715.41</v>
      </c>
      <c r="G771" s="11">
        <v>3.53</v>
      </c>
      <c r="H771" s="2">
        <v>-151.9</v>
      </c>
      <c r="I771" s="23">
        <v>10</v>
      </c>
      <c r="J771" s="2">
        <v>737.88</v>
      </c>
      <c r="K771" s="23">
        <v>10</v>
      </c>
      <c r="L771" s="2">
        <v>0</v>
      </c>
      <c r="M771" s="11">
        <v>6.2</v>
      </c>
      <c r="N771" s="2">
        <v>34.6</v>
      </c>
      <c r="O771" s="11">
        <v>2.8224999999999998</v>
      </c>
      <c r="P771" s="1">
        <f t="shared" si="89"/>
        <v>3197.02</v>
      </c>
      <c r="Q771" s="2">
        <v>3230.72</v>
      </c>
      <c r="R771" s="16">
        <f t="shared" si="90"/>
        <v>3621278.6609999998</v>
      </c>
      <c r="S771" s="20">
        <v>1624.1100000000001</v>
      </c>
      <c r="T771" s="21"/>
      <c r="U771" s="21">
        <v>9.1199999999999992</v>
      </c>
      <c r="V771" s="8">
        <v>1633.23</v>
      </c>
      <c r="W771" s="25">
        <v>1.238</v>
      </c>
      <c r="X771" s="25">
        <f t="shared" si="91"/>
        <v>505484.685</v>
      </c>
      <c r="Y771" s="1">
        <f t="shared" si="92"/>
        <v>4830.25</v>
      </c>
      <c r="Z771" s="1">
        <f t="shared" si="93"/>
        <v>4863.95</v>
      </c>
      <c r="AA771" s="2">
        <v>4916.5200000000004</v>
      </c>
      <c r="AB771" s="1">
        <f t="shared" si="88"/>
        <v>-86.270000000000437</v>
      </c>
      <c r="AC771" s="29">
        <f t="shared" si="94"/>
        <v>52.570000000000618</v>
      </c>
      <c r="AD771" s="11">
        <f t="shared" si="95"/>
        <v>4126763.3459999999</v>
      </c>
      <c r="AE771" s="31">
        <f>SUM(AD676:AD771)</f>
        <v>277089277.95615005</v>
      </c>
    </row>
    <row r="772" spans="1:32" ht="55.2" customHeight="1" x14ac:dyDescent="0.3">
      <c r="A772" s="4"/>
      <c r="B772" s="4"/>
      <c r="C772" s="24"/>
      <c r="D772" s="4"/>
      <c r="E772" s="24"/>
      <c r="F772" s="4"/>
      <c r="G772" s="24"/>
      <c r="H772" s="4"/>
      <c r="I772" s="24"/>
      <c r="J772" s="4"/>
      <c r="K772" s="24"/>
      <c r="L772" s="4"/>
      <c r="M772" s="24"/>
      <c r="N772" s="4"/>
      <c r="Q772" s="4"/>
      <c r="R772" s="24"/>
      <c r="Z772" s="4"/>
      <c r="AA772" s="4"/>
      <c r="AD772" s="30">
        <f>SUM(AD4:AD771)</f>
        <v>2068610789.0904481</v>
      </c>
      <c r="AE772" s="32">
        <f>SUM(AE771,AE675,AE579,AE483,AE387,AE291,AE195,AE99)</f>
        <v>2068610789.0904503</v>
      </c>
      <c r="AF772" s="33" t="s">
        <v>58</v>
      </c>
    </row>
  </sheetData>
  <mergeCells count="3">
    <mergeCell ref="Y2:AC2"/>
    <mergeCell ref="S2:X2"/>
    <mergeCell ref="B2:R2"/>
  </mergeCells>
  <conditionalFormatting sqref="K1:K1048576">
    <cfRule type="cellIs" dxfId="0" priority="1" operator="lessThan">
      <formula>1.238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012A-17A1-42C9-86C9-B79F48A78329}">
  <dimension ref="A1:U771"/>
  <sheetViews>
    <sheetView workbookViewId="0">
      <selection sqref="A1:A1048576"/>
    </sheetView>
  </sheetViews>
  <sheetFormatPr defaultColWidth="8.88671875" defaultRowHeight="14.4" x14ac:dyDescent="0.3"/>
  <cols>
    <col min="1" max="1" width="19" customWidth="1"/>
    <col min="2" max="2" width="15.109375" customWidth="1"/>
    <col min="3" max="3" width="12.6640625" customWidth="1"/>
    <col min="4" max="4" width="11.44140625" customWidth="1"/>
    <col min="5" max="5" width="15" customWidth="1"/>
    <col min="6" max="6" width="11.6640625" customWidth="1"/>
    <col min="7" max="7" width="11.109375" customWidth="1"/>
    <col min="8" max="8" width="12.88671875" customWidth="1"/>
    <col min="9" max="9" width="14.21875" customWidth="1"/>
    <col min="10" max="10" width="11.33203125" customWidth="1"/>
    <col min="21" max="21" width="9.109375" style="12" customWidth="1"/>
  </cols>
  <sheetData>
    <row r="1" spans="1:21" x14ac:dyDescent="0.3">
      <c r="B1" s="62" t="s">
        <v>28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11"/>
    </row>
    <row r="2" spans="1:21" ht="86.4" x14ac:dyDescent="0.3">
      <c r="A2" s="13" t="s">
        <v>0</v>
      </c>
      <c r="B2" s="27" t="s">
        <v>29</v>
      </c>
      <c r="C2" s="3" t="s">
        <v>30</v>
      </c>
      <c r="D2" s="27" t="s">
        <v>31</v>
      </c>
      <c r="E2" s="3" t="s">
        <v>32</v>
      </c>
      <c r="F2" s="3" t="s">
        <v>33</v>
      </c>
      <c r="G2" s="3" t="s">
        <v>34</v>
      </c>
      <c r="H2" s="27" t="s">
        <v>35</v>
      </c>
      <c r="I2" s="3" t="s">
        <v>36</v>
      </c>
      <c r="J2" s="27" t="s">
        <v>37</v>
      </c>
      <c r="K2" s="27" t="s">
        <v>38</v>
      </c>
      <c r="L2" s="3" t="s">
        <v>39</v>
      </c>
      <c r="M2" s="27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5" t="s">
        <v>23</v>
      </c>
    </row>
    <row r="3" spans="1:21" x14ac:dyDescent="0.3">
      <c r="A3" s="14">
        <v>45782</v>
      </c>
      <c r="B3" s="1">
        <v>-715.11</v>
      </c>
      <c r="C3" s="1">
        <v>-55.29</v>
      </c>
      <c r="D3" s="1">
        <v>35.86</v>
      </c>
      <c r="E3" s="1">
        <v>191.59</v>
      </c>
      <c r="F3" s="1">
        <v>115.59</v>
      </c>
      <c r="G3" s="1">
        <v>-56.25</v>
      </c>
      <c r="H3" s="1">
        <v>66.89</v>
      </c>
      <c r="I3" s="1">
        <v>0</v>
      </c>
      <c r="J3" s="1">
        <v>268.39999999999998</v>
      </c>
      <c r="K3" s="1">
        <v>33.340000000000003</v>
      </c>
      <c r="L3" s="1">
        <v>-30.89</v>
      </c>
      <c r="M3" s="1">
        <v>54.25</v>
      </c>
      <c r="N3" s="1">
        <v>10.42</v>
      </c>
      <c r="O3" s="1">
        <v>0</v>
      </c>
      <c r="P3" s="1">
        <v>0</v>
      </c>
      <c r="Q3" s="1">
        <v>0</v>
      </c>
      <c r="R3" s="1">
        <v>0</v>
      </c>
      <c r="S3" s="1">
        <v>4.72</v>
      </c>
      <c r="T3" s="1">
        <v>0</v>
      </c>
      <c r="U3" s="11" cm="1">
        <f t="array" ref="U3">SUM(ABS(B3:T3))</f>
        <v>1638.6000000000001</v>
      </c>
    </row>
    <row r="4" spans="1:21" x14ac:dyDescent="0.3">
      <c r="A4" s="14">
        <v>45782.010416666664</v>
      </c>
      <c r="B4" s="1">
        <v>-684.21</v>
      </c>
      <c r="C4" s="1">
        <v>-55.27</v>
      </c>
      <c r="D4" s="1">
        <v>35.869999999999997</v>
      </c>
      <c r="E4" s="1">
        <v>190.28</v>
      </c>
      <c r="F4" s="1">
        <v>115.49</v>
      </c>
      <c r="G4" s="1">
        <v>-55.89</v>
      </c>
      <c r="H4" s="1">
        <v>63.45</v>
      </c>
      <c r="I4" s="1">
        <v>0</v>
      </c>
      <c r="J4" s="1">
        <v>266.24</v>
      </c>
      <c r="K4" s="1">
        <v>25.67</v>
      </c>
      <c r="L4" s="1">
        <v>-30.88</v>
      </c>
      <c r="M4" s="1">
        <v>54.25</v>
      </c>
      <c r="N4" s="1">
        <v>10.42</v>
      </c>
      <c r="O4" s="1">
        <v>0</v>
      </c>
      <c r="P4" s="1">
        <v>0</v>
      </c>
      <c r="Q4" s="1">
        <v>0</v>
      </c>
      <c r="R4" s="1">
        <v>0</v>
      </c>
      <c r="S4" s="1">
        <v>4.72</v>
      </c>
      <c r="T4" s="1">
        <v>0</v>
      </c>
      <c r="U4" s="11" cm="1">
        <f t="array" ref="U4">SUM(ABS(B4:T4))</f>
        <v>1592.6400000000003</v>
      </c>
    </row>
    <row r="5" spans="1:21" x14ac:dyDescent="0.3">
      <c r="A5" s="14">
        <v>45782.020833333336</v>
      </c>
      <c r="B5" s="1">
        <v>-685.33</v>
      </c>
      <c r="C5" s="1">
        <v>-55.28</v>
      </c>
      <c r="D5" s="1">
        <v>35.86</v>
      </c>
      <c r="E5" s="1">
        <v>190.4</v>
      </c>
      <c r="F5" s="1">
        <v>115.39</v>
      </c>
      <c r="G5" s="1">
        <v>-55.95</v>
      </c>
      <c r="H5" s="1">
        <v>31.92</v>
      </c>
      <c r="I5" s="1">
        <v>0</v>
      </c>
      <c r="J5" s="1">
        <v>267.02999999999997</v>
      </c>
      <c r="K5" s="1">
        <v>25.65</v>
      </c>
      <c r="L5" s="1">
        <v>-30.88</v>
      </c>
      <c r="M5" s="1">
        <v>54.26</v>
      </c>
      <c r="N5" s="1">
        <v>10.41</v>
      </c>
      <c r="O5" s="1">
        <v>0</v>
      </c>
      <c r="P5" s="1">
        <v>0</v>
      </c>
      <c r="Q5" s="1">
        <v>0</v>
      </c>
      <c r="R5" s="1">
        <v>0</v>
      </c>
      <c r="S5" s="1">
        <v>4.72</v>
      </c>
      <c r="T5" s="1">
        <v>0</v>
      </c>
      <c r="U5" s="11" cm="1">
        <f t="array" ref="U5">SUM(ABS(B5:T5))</f>
        <v>1563.0800000000004</v>
      </c>
    </row>
    <row r="6" spans="1:21" x14ac:dyDescent="0.3">
      <c r="A6" s="14">
        <v>45782.03125</v>
      </c>
      <c r="B6" s="1">
        <v>-687.02</v>
      </c>
      <c r="C6" s="1">
        <v>-55.29</v>
      </c>
      <c r="D6" s="1">
        <v>35.840000000000003</v>
      </c>
      <c r="E6" s="1">
        <v>190.68</v>
      </c>
      <c r="F6" s="1">
        <v>115.28</v>
      </c>
      <c r="G6" s="1">
        <v>-56.04</v>
      </c>
      <c r="H6" s="1">
        <v>12</v>
      </c>
      <c r="I6" s="1">
        <v>0</v>
      </c>
      <c r="J6" s="1">
        <v>267.76</v>
      </c>
      <c r="K6" s="1">
        <v>25.65</v>
      </c>
      <c r="L6" s="1">
        <v>-30.88</v>
      </c>
      <c r="M6" s="1">
        <v>54.26</v>
      </c>
      <c r="N6" s="1">
        <v>10.41</v>
      </c>
      <c r="O6" s="1">
        <v>0</v>
      </c>
      <c r="P6" s="1">
        <v>0</v>
      </c>
      <c r="Q6" s="1">
        <v>0</v>
      </c>
      <c r="R6" s="1">
        <v>0</v>
      </c>
      <c r="S6" s="1">
        <v>4.72</v>
      </c>
      <c r="T6" s="1">
        <v>0</v>
      </c>
      <c r="U6" s="11" cm="1">
        <f t="array" ref="U6">SUM(ABS(B6:T6))</f>
        <v>1545.8300000000002</v>
      </c>
    </row>
    <row r="7" spans="1:21" x14ac:dyDescent="0.3">
      <c r="A7" s="14">
        <v>45782.041666666664</v>
      </c>
      <c r="B7" s="1">
        <v>-703.57</v>
      </c>
      <c r="C7" s="1">
        <v>-55.3</v>
      </c>
      <c r="D7" s="1">
        <v>35.869999999999997</v>
      </c>
      <c r="E7" s="1">
        <v>193.7</v>
      </c>
      <c r="F7" s="1">
        <v>91.42</v>
      </c>
      <c r="G7" s="1">
        <v>-57.02</v>
      </c>
      <c r="H7" s="1">
        <v>12</v>
      </c>
      <c r="I7" s="1">
        <v>0</v>
      </c>
      <c r="J7" s="1">
        <v>271.2</v>
      </c>
      <c r="K7" s="1">
        <v>17.95</v>
      </c>
      <c r="L7" s="1">
        <v>-30.9</v>
      </c>
      <c r="M7" s="1">
        <v>54.27</v>
      </c>
      <c r="N7" s="1">
        <v>10.42</v>
      </c>
      <c r="O7" s="1">
        <v>0</v>
      </c>
      <c r="P7" s="1">
        <v>0</v>
      </c>
      <c r="Q7" s="1">
        <v>0</v>
      </c>
      <c r="R7" s="1">
        <v>0</v>
      </c>
      <c r="S7" s="1">
        <v>4.72</v>
      </c>
      <c r="T7" s="1">
        <v>0</v>
      </c>
      <c r="U7" s="11" cm="1">
        <f t="array" ref="U7">SUM(ABS(B7:T7))</f>
        <v>1538.3400000000004</v>
      </c>
    </row>
    <row r="8" spans="1:21" x14ac:dyDescent="0.3">
      <c r="A8" s="14">
        <v>45782.052083333336</v>
      </c>
      <c r="B8" s="1">
        <v>-723.14</v>
      </c>
      <c r="C8" s="1">
        <v>-55.33</v>
      </c>
      <c r="D8" s="1">
        <v>35.89</v>
      </c>
      <c r="E8" s="1">
        <v>194.51</v>
      </c>
      <c r="F8" s="1">
        <v>47.22</v>
      </c>
      <c r="G8" s="1">
        <v>-58.29</v>
      </c>
      <c r="H8" s="1">
        <v>12</v>
      </c>
      <c r="I8" s="1">
        <v>0</v>
      </c>
      <c r="J8" s="1">
        <v>272.66000000000003</v>
      </c>
      <c r="K8" s="1">
        <v>12.79</v>
      </c>
      <c r="L8" s="1">
        <v>-30.89</v>
      </c>
      <c r="M8" s="1">
        <v>54.24</v>
      </c>
      <c r="N8" s="1">
        <v>10.41</v>
      </c>
      <c r="O8" s="1">
        <v>0</v>
      </c>
      <c r="P8" s="1">
        <v>0</v>
      </c>
      <c r="Q8" s="1">
        <v>0</v>
      </c>
      <c r="R8" s="1">
        <v>0</v>
      </c>
      <c r="S8" s="1">
        <v>4.72</v>
      </c>
      <c r="T8" s="1">
        <v>0</v>
      </c>
      <c r="U8" s="11" cm="1">
        <f t="array" ref="U8">SUM(ABS(B8:T8))</f>
        <v>1512.0900000000001</v>
      </c>
    </row>
    <row r="9" spans="1:21" x14ac:dyDescent="0.3">
      <c r="A9" s="14">
        <v>45782.0625</v>
      </c>
      <c r="B9" s="1">
        <v>-716.72</v>
      </c>
      <c r="C9" s="1">
        <v>-55.29</v>
      </c>
      <c r="D9" s="1">
        <v>35.880000000000003</v>
      </c>
      <c r="E9" s="1">
        <v>153.76</v>
      </c>
      <c r="F9" s="1">
        <v>47.92</v>
      </c>
      <c r="G9" s="1">
        <v>-57.69</v>
      </c>
      <c r="H9" s="1">
        <v>12</v>
      </c>
      <c r="I9" s="1">
        <v>0</v>
      </c>
      <c r="J9" s="1">
        <v>272.58999999999997</v>
      </c>
      <c r="K9" s="1">
        <v>11.43</v>
      </c>
      <c r="L9" s="1">
        <v>-30.87</v>
      </c>
      <c r="M9" s="1">
        <v>54.26</v>
      </c>
      <c r="N9" s="1">
        <v>10.4</v>
      </c>
      <c r="O9" s="1">
        <v>0</v>
      </c>
      <c r="P9" s="1">
        <v>0</v>
      </c>
      <c r="Q9" s="1">
        <v>0</v>
      </c>
      <c r="R9" s="1">
        <v>0</v>
      </c>
      <c r="S9" s="1">
        <v>4.72</v>
      </c>
      <c r="T9" s="1">
        <v>0</v>
      </c>
      <c r="U9" s="11" cm="1">
        <f t="array" ref="U9">SUM(ABS(B9:T9))</f>
        <v>1463.53</v>
      </c>
    </row>
    <row r="10" spans="1:21" x14ac:dyDescent="0.3">
      <c r="A10" s="14">
        <v>45782.072916666664</v>
      </c>
      <c r="B10" s="1">
        <v>-710.01</v>
      </c>
      <c r="C10" s="1">
        <v>-55.27</v>
      </c>
      <c r="D10" s="1">
        <v>35.880000000000003</v>
      </c>
      <c r="E10" s="1">
        <v>111.91</v>
      </c>
      <c r="F10" s="1">
        <v>48.04</v>
      </c>
      <c r="G10" s="1">
        <v>-57.27</v>
      </c>
      <c r="H10" s="1">
        <v>12</v>
      </c>
      <c r="I10" s="1">
        <v>0</v>
      </c>
      <c r="J10" s="1">
        <v>272.27999999999997</v>
      </c>
      <c r="K10" s="1">
        <v>6.42</v>
      </c>
      <c r="L10" s="1">
        <v>-30.86</v>
      </c>
      <c r="M10" s="1">
        <v>54.25</v>
      </c>
      <c r="N10" s="1">
        <v>10.4</v>
      </c>
      <c r="O10" s="1">
        <v>0</v>
      </c>
      <c r="P10" s="1">
        <v>0</v>
      </c>
      <c r="Q10" s="1">
        <v>0</v>
      </c>
      <c r="R10" s="1">
        <v>0</v>
      </c>
      <c r="S10" s="1">
        <v>4.72</v>
      </c>
      <c r="T10" s="1">
        <v>0</v>
      </c>
      <c r="U10" s="11" cm="1">
        <f t="array" ref="U10">SUM(ABS(B10:T10))</f>
        <v>1409.31</v>
      </c>
    </row>
    <row r="11" spans="1:21" x14ac:dyDescent="0.3">
      <c r="A11" s="14">
        <v>45782.083333333336</v>
      </c>
      <c r="B11" s="1">
        <v>-727.74</v>
      </c>
      <c r="C11" s="1">
        <v>-55.25</v>
      </c>
      <c r="D11" s="1">
        <v>35.909999999999997</v>
      </c>
      <c r="E11" s="1">
        <v>95.26</v>
      </c>
      <c r="F11" s="1">
        <v>47.99</v>
      </c>
      <c r="G11" s="1">
        <v>-57.34</v>
      </c>
      <c r="H11" s="1">
        <v>12</v>
      </c>
      <c r="I11" s="1">
        <v>0</v>
      </c>
      <c r="J11" s="1">
        <v>272.56</v>
      </c>
      <c r="K11" s="1">
        <v>6.41</v>
      </c>
      <c r="L11" s="1">
        <v>-30.88</v>
      </c>
      <c r="M11" s="1">
        <v>54.25</v>
      </c>
      <c r="N11" s="1">
        <v>10.4</v>
      </c>
      <c r="O11" s="1">
        <v>0</v>
      </c>
      <c r="P11" s="1">
        <v>0</v>
      </c>
      <c r="Q11" s="1">
        <v>0</v>
      </c>
      <c r="R11" s="1">
        <v>0</v>
      </c>
      <c r="S11" s="1">
        <v>4.72</v>
      </c>
      <c r="T11" s="1">
        <v>0</v>
      </c>
      <c r="U11" s="11" cm="1">
        <f t="array" ref="U11">SUM(ABS(B11:T11))</f>
        <v>1410.7100000000003</v>
      </c>
    </row>
    <row r="12" spans="1:21" x14ac:dyDescent="0.3">
      <c r="A12" s="14">
        <v>45782.09375</v>
      </c>
      <c r="B12" s="1">
        <v>-724</v>
      </c>
      <c r="C12" s="1">
        <v>-55.22</v>
      </c>
      <c r="D12" s="1">
        <v>35.909999999999997</v>
      </c>
      <c r="E12" s="1">
        <v>94.51</v>
      </c>
      <c r="F12" s="1">
        <v>47.95</v>
      </c>
      <c r="G12" s="1">
        <v>-57.02</v>
      </c>
      <c r="H12" s="1">
        <v>12</v>
      </c>
      <c r="I12" s="1">
        <v>0</v>
      </c>
      <c r="J12" s="1">
        <v>270.97000000000003</v>
      </c>
      <c r="K12" s="1">
        <v>6.4</v>
      </c>
      <c r="L12" s="1">
        <v>-30.88</v>
      </c>
      <c r="M12" s="1">
        <v>54.26</v>
      </c>
      <c r="N12" s="1">
        <v>10.4</v>
      </c>
      <c r="O12" s="1">
        <v>0</v>
      </c>
      <c r="P12" s="1">
        <v>0</v>
      </c>
      <c r="Q12" s="1">
        <v>0</v>
      </c>
      <c r="R12" s="1">
        <v>0</v>
      </c>
      <c r="S12" s="1">
        <v>4.72</v>
      </c>
      <c r="T12" s="1">
        <v>0</v>
      </c>
      <c r="U12" s="11" cm="1">
        <f t="array" ref="U12">SUM(ABS(B12:T12))</f>
        <v>1404.2400000000005</v>
      </c>
    </row>
    <row r="13" spans="1:21" x14ac:dyDescent="0.3">
      <c r="A13" s="14">
        <v>45782.104166666664</v>
      </c>
      <c r="B13" s="1">
        <v>-552.41</v>
      </c>
      <c r="C13" s="1">
        <v>-55.22</v>
      </c>
      <c r="D13" s="1">
        <v>35.92</v>
      </c>
      <c r="E13" s="1">
        <v>43.34</v>
      </c>
      <c r="F13" s="1">
        <v>48.04</v>
      </c>
      <c r="G13" s="1">
        <v>-57.74</v>
      </c>
      <c r="H13" s="1">
        <v>12</v>
      </c>
      <c r="I13" s="1">
        <v>0</v>
      </c>
      <c r="J13" s="1">
        <v>272.76</v>
      </c>
      <c r="K13" s="1">
        <v>6.36</v>
      </c>
      <c r="L13" s="1">
        <v>-30.85</v>
      </c>
      <c r="M13" s="1">
        <v>54.26</v>
      </c>
      <c r="N13" s="1">
        <v>10.41</v>
      </c>
      <c r="O13" s="1">
        <v>0</v>
      </c>
      <c r="P13" s="1">
        <v>0</v>
      </c>
      <c r="Q13" s="1">
        <v>0</v>
      </c>
      <c r="R13" s="1">
        <v>0</v>
      </c>
      <c r="S13" s="1">
        <v>4.72</v>
      </c>
      <c r="T13" s="1">
        <v>0</v>
      </c>
      <c r="U13" s="11" cm="1">
        <f t="array" ref="U13">SUM(ABS(B13:T13))</f>
        <v>1184.0299999999997</v>
      </c>
    </row>
    <row r="14" spans="1:21" x14ac:dyDescent="0.3">
      <c r="A14" s="14">
        <v>45782.114583333336</v>
      </c>
      <c r="B14" s="1">
        <v>-547.37</v>
      </c>
      <c r="C14" s="1">
        <v>-55.22</v>
      </c>
      <c r="D14" s="1">
        <v>35.93</v>
      </c>
      <c r="E14" s="1">
        <v>0</v>
      </c>
      <c r="F14" s="1">
        <v>48.03</v>
      </c>
      <c r="G14" s="1">
        <v>-57.64</v>
      </c>
      <c r="H14" s="1">
        <v>12</v>
      </c>
      <c r="I14" s="1">
        <v>0</v>
      </c>
      <c r="J14" s="1">
        <v>272.55</v>
      </c>
      <c r="K14" s="1">
        <v>6.35</v>
      </c>
      <c r="L14" s="1">
        <v>-30.86</v>
      </c>
      <c r="M14" s="1">
        <v>54.24</v>
      </c>
      <c r="N14" s="1">
        <v>10.4</v>
      </c>
      <c r="O14" s="1">
        <v>0</v>
      </c>
      <c r="P14" s="1">
        <v>0</v>
      </c>
      <c r="Q14" s="1">
        <v>0</v>
      </c>
      <c r="R14" s="1">
        <v>0</v>
      </c>
      <c r="S14" s="1">
        <v>4.72</v>
      </c>
      <c r="T14" s="1">
        <v>0</v>
      </c>
      <c r="U14" s="11" cm="1">
        <f t="array" ref="U14">SUM(ABS(B14:T14))</f>
        <v>1135.31</v>
      </c>
    </row>
    <row r="15" spans="1:21" x14ac:dyDescent="0.3">
      <c r="A15" s="14">
        <v>45782.125</v>
      </c>
      <c r="B15" s="1">
        <v>-530.1</v>
      </c>
      <c r="C15" s="1">
        <v>-55.17</v>
      </c>
      <c r="D15" s="1">
        <v>35.9</v>
      </c>
      <c r="E15" s="1">
        <v>0</v>
      </c>
      <c r="F15" s="1">
        <v>47.93</v>
      </c>
      <c r="G15" s="1">
        <v>-56.76</v>
      </c>
      <c r="H15" s="1">
        <v>12</v>
      </c>
      <c r="I15" s="1">
        <v>0</v>
      </c>
      <c r="J15" s="1">
        <v>270.8</v>
      </c>
      <c r="K15" s="1">
        <v>2.86</v>
      </c>
      <c r="L15" s="1">
        <v>-30.86</v>
      </c>
      <c r="M15" s="1">
        <v>54.25</v>
      </c>
      <c r="N15" s="1">
        <v>10.4</v>
      </c>
      <c r="O15" s="1">
        <v>0</v>
      </c>
      <c r="P15" s="1">
        <v>0</v>
      </c>
      <c r="Q15" s="1">
        <v>0</v>
      </c>
      <c r="R15" s="1">
        <v>0</v>
      </c>
      <c r="S15" s="1">
        <v>4.72</v>
      </c>
      <c r="T15" s="1">
        <v>0</v>
      </c>
      <c r="U15" s="11" cm="1">
        <f t="array" ref="U15">SUM(ABS(B15:T15))</f>
        <v>1111.75</v>
      </c>
    </row>
    <row r="16" spans="1:21" x14ac:dyDescent="0.3">
      <c r="A16" s="14">
        <v>45782.135416666664</v>
      </c>
      <c r="B16" s="1">
        <v>-507.85</v>
      </c>
      <c r="C16" s="1">
        <v>-55.19</v>
      </c>
      <c r="D16" s="1">
        <v>35.909999999999997</v>
      </c>
      <c r="E16" s="1">
        <v>0</v>
      </c>
      <c r="F16" s="1">
        <v>47.88</v>
      </c>
      <c r="G16" s="1">
        <v>-56.57</v>
      </c>
      <c r="H16" s="1">
        <v>12</v>
      </c>
      <c r="I16" s="1">
        <v>0</v>
      </c>
      <c r="J16" s="1">
        <v>269.95999999999998</v>
      </c>
      <c r="K16" s="1">
        <v>0</v>
      </c>
      <c r="L16" s="1">
        <v>-30.84</v>
      </c>
      <c r="M16" s="1">
        <v>35</v>
      </c>
      <c r="N16" s="1">
        <v>10.4</v>
      </c>
      <c r="O16" s="1">
        <v>0</v>
      </c>
      <c r="P16" s="1">
        <v>0</v>
      </c>
      <c r="Q16" s="1">
        <v>0</v>
      </c>
      <c r="R16" s="1">
        <v>0</v>
      </c>
      <c r="S16" s="1">
        <v>4.72</v>
      </c>
      <c r="T16" s="1">
        <v>0</v>
      </c>
      <c r="U16" s="11" cm="1">
        <f t="array" ref="U16">SUM(ABS(B16:T16))</f>
        <v>1066.32</v>
      </c>
    </row>
    <row r="17" spans="1:21" x14ac:dyDescent="0.3">
      <c r="A17" s="14">
        <v>45782.145833333336</v>
      </c>
      <c r="B17" s="1">
        <v>-483.25</v>
      </c>
      <c r="C17" s="1">
        <v>-55.18</v>
      </c>
      <c r="D17" s="1">
        <v>35.92</v>
      </c>
      <c r="E17" s="1">
        <v>0</v>
      </c>
      <c r="F17" s="1">
        <v>47.84</v>
      </c>
      <c r="G17" s="1">
        <v>-56.51</v>
      </c>
      <c r="H17" s="1">
        <v>12</v>
      </c>
      <c r="I17" s="1">
        <v>0</v>
      </c>
      <c r="J17" s="1">
        <v>269.44</v>
      </c>
      <c r="K17" s="1">
        <v>0</v>
      </c>
      <c r="L17" s="1">
        <v>-30.86</v>
      </c>
      <c r="M17" s="1">
        <v>30.13</v>
      </c>
      <c r="N17" s="1">
        <v>10.4</v>
      </c>
      <c r="O17" s="1">
        <v>0</v>
      </c>
      <c r="P17" s="1">
        <v>0</v>
      </c>
      <c r="Q17" s="1">
        <v>0</v>
      </c>
      <c r="R17" s="1">
        <v>0</v>
      </c>
      <c r="S17" s="1">
        <v>4.72</v>
      </c>
      <c r="T17" s="1">
        <v>0</v>
      </c>
      <c r="U17" s="11" cm="1">
        <f t="array" ref="U17">SUM(ABS(B17:T17))</f>
        <v>1036.25</v>
      </c>
    </row>
    <row r="18" spans="1:21" x14ac:dyDescent="0.3">
      <c r="A18" s="14">
        <v>45782.15625</v>
      </c>
      <c r="B18" s="1">
        <v>-467.9</v>
      </c>
      <c r="C18" s="1">
        <v>-55.19</v>
      </c>
      <c r="D18" s="1">
        <v>35.92</v>
      </c>
      <c r="E18" s="1">
        <v>0</v>
      </c>
      <c r="F18" s="1">
        <v>47.95</v>
      </c>
      <c r="G18" s="1">
        <v>-56.6</v>
      </c>
      <c r="H18" s="1">
        <v>12</v>
      </c>
      <c r="I18" s="1">
        <v>0</v>
      </c>
      <c r="J18" s="1">
        <v>270.18</v>
      </c>
      <c r="K18" s="1">
        <v>0</v>
      </c>
      <c r="L18" s="1">
        <v>-30.85</v>
      </c>
      <c r="M18" s="1">
        <v>30.11</v>
      </c>
      <c r="N18" s="1">
        <v>10.4</v>
      </c>
      <c r="O18" s="1">
        <v>0</v>
      </c>
      <c r="P18" s="1">
        <v>0</v>
      </c>
      <c r="Q18" s="1">
        <v>0</v>
      </c>
      <c r="R18" s="1">
        <v>0</v>
      </c>
      <c r="S18" s="1">
        <v>4.72</v>
      </c>
      <c r="T18" s="1">
        <v>0</v>
      </c>
      <c r="U18" s="11" cm="1">
        <f t="array" ref="U18">SUM(ABS(B18:T18))</f>
        <v>1021.82</v>
      </c>
    </row>
    <row r="19" spans="1:21" x14ac:dyDescent="0.3">
      <c r="A19" s="14">
        <v>45782.166666666664</v>
      </c>
      <c r="B19" s="1">
        <v>-372.34</v>
      </c>
      <c r="C19" s="1">
        <v>-48.97</v>
      </c>
      <c r="D19" s="1">
        <v>35.93</v>
      </c>
      <c r="E19" s="1">
        <v>0</v>
      </c>
      <c r="F19" s="1">
        <v>47.94</v>
      </c>
      <c r="G19" s="1">
        <v>-56.71</v>
      </c>
      <c r="H19" s="1">
        <v>12</v>
      </c>
      <c r="I19" s="1">
        <v>0</v>
      </c>
      <c r="J19" s="1">
        <v>270.35000000000002</v>
      </c>
      <c r="K19" s="1">
        <v>0</v>
      </c>
      <c r="L19" s="1">
        <v>-30.84</v>
      </c>
      <c r="M19" s="1">
        <v>30.13</v>
      </c>
      <c r="N19" s="1">
        <v>10.4</v>
      </c>
      <c r="O19" s="1">
        <v>0</v>
      </c>
      <c r="P19" s="1">
        <v>0</v>
      </c>
      <c r="Q19" s="1">
        <v>0</v>
      </c>
      <c r="R19" s="1">
        <v>0</v>
      </c>
      <c r="S19" s="1">
        <v>4.72</v>
      </c>
      <c r="T19" s="1">
        <v>0</v>
      </c>
      <c r="U19" s="11" cm="1">
        <f t="array" ref="U19">SUM(ABS(B19:T19))</f>
        <v>920.33</v>
      </c>
    </row>
    <row r="20" spans="1:21" x14ac:dyDescent="0.3">
      <c r="A20" s="14">
        <v>45782.177083333336</v>
      </c>
      <c r="B20" s="1">
        <v>-317.81</v>
      </c>
      <c r="C20" s="1">
        <v>-47.25</v>
      </c>
      <c r="D20" s="1">
        <v>35.950000000000003</v>
      </c>
      <c r="E20" s="1">
        <v>0</v>
      </c>
      <c r="F20" s="1">
        <v>48.01</v>
      </c>
      <c r="G20" s="1">
        <v>-56.86</v>
      </c>
      <c r="H20" s="1">
        <v>12</v>
      </c>
      <c r="I20" s="1">
        <v>0</v>
      </c>
      <c r="J20" s="1">
        <v>270.8</v>
      </c>
      <c r="K20" s="1">
        <v>0</v>
      </c>
      <c r="L20" s="1">
        <v>-30.83</v>
      </c>
      <c r="M20" s="1">
        <v>30.14</v>
      </c>
      <c r="N20" s="1">
        <v>10.4</v>
      </c>
      <c r="O20" s="1">
        <v>0</v>
      </c>
      <c r="P20" s="1">
        <v>0</v>
      </c>
      <c r="Q20" s="1">
        <v>0</v>
      </c>
      <c r="R20" s="1">
        <v>0</v>
      </c>
      <c r="S20" s="1">
        <v>4.72</v>
      </c>
      <c r="T20" s="1">
        <v>0</v>
      </c>
      <c r="U20" s="11" cm="1">
        <f t="array" ref="U20">SUM(ABS(B20:T20))</f>
        <v>864.7700000000001</v>
      </c>
    </row>
    <row r="21" spans="1:21" x14ac:dyDescent="0.3">
      <c r="A21" s="14">
        <v>45782.1875</v>
      </c>
      <c r="B21" s="1">
        <v>-311.91000000000003</v>
      </c>
      <c r="C21" s="1">
        <v>-47.23</v>
      </c>
      <c r="D21" s="1">
        <v>35.96</v>
      </c>
      <c r="E21" s="1">
        <v>0</v>
      </c>
      <c r="F21" s="1">
        <v>48.05</v>
      </c>
      <c r="G21" s="1">
        <v>-57.46</v>
      </c>
      <c r="H21" s="1">
        <v>12</v>
      </c>
      <c r="I21" s="1">
        <v>0</v>
      </c>
      <c r="J21" s="1">
        <v>272.04000000000002</v>
      </c>
      <c r="K21" s="1">
        <v>0</v>
      </c>
      <c r="L21" s="1">
        <v>-30.84</v>
      </c>
      <c r="M21" s="1">
        <v>30.14</v>
      </c>
      <c r="N21" s="1">
        <v>10.4</v>
      </c>
      <c r="O21" s="1">
        <v>0</v>
      </c>
      <c r="P21" s="1">
        <v>0</v>
      </c>
      <c r="Q21" s="1">
        <v>0</v>
      </c>
      <c r="R21" s="1">
        <v>0</v>
      </c>
      <c r="S21" s="1">
        <v>4.72</v>
      </c>
      <c r="T21" s="1">
        <v>0</v>
      </c>
      <c r="U21" s="11" cm="1">
        <f t="array" ref="U21">SUM(ABS(B21:T21))</f>
        <v>860.75000000000011</v>
      </c>
    </row>
    <row r="22" spans="1:21" x14ac:dyDescent="0.3">
      <c r="A22" s="14">
        <v>45782.197916666664</v>
      </c>
      <c r="B22" s="1">
        <v>-244.99</v>
      </c>
      <c r="C22" s="1">
        <v>-54.47</v>
      </c>
      <c r="D22" s="1">
        <v>36</v>
      </c>
      <c r="E22" s="1">
        <v>0</v>
      </c>
      <c r="F22" s="1">
        <v>48.1</v>
      </c>
      <c r="G22" s="1">
        <v>-57.63</v>
      </c>
      <c r="H22" s="1">
        <v>12</v>
      </c>
      <c r="I22" s="1">
        <v>0</v>
      </c>
      <c r="J22" s="1">
        <v>272.45999999999998</v>
      </c>
      <c r="K22" s="1">
        <v>0</v>
      </c>
      <c r="L22" s="1">
        <v>-30.82</v>
      </c>
      <c r="M22" s="1">
        <v>30.13</v>
      </c>
      <c r="N22" s="1">
        <v>10.4</v>
      </c>
      <c r="O22" s="1">
        <v>0</v>
      </c>
      <c r="P22" s="1">
        <v>0</v>
      </c>
      <c r="Q22" s="1">
        <v>0</v>
      </c>
      <c r="R22" s="1">
        <v>0</v>
      </c>
      <c r="S22" s="1">
        <v>4.72</v>
      </c>
      <c r="T22" s="1">
        <v>0</v>
      </c>
      <c r="U22" s="11" cm="1">
        <f t="array" ref="U22">SUM(ABS(B22:T22))</f>
        <v>801.72000000000014</v>
      </c>
    </row>
    <row r="23" spans="1:21" x14ac:dyDescent="0.3">
      <c r="A23" s="14">
        <v>45782.208333333336</v>
      </c>
      <c r="B23" s="1">
        <v>-232.32</v>
      </c>
      <c r="C23" s="1">
        <v>-55.28</v>
      </c>
      <c r="D23" s="1">
        <v>36.01</v>
      </c>
      <c r="E23" s="1">
        <v>0</v>
      </c>
      <c r="F23" s="1">
        <v>48.12</v>
      </c>
      <c r="G23" s="1">
        <v>-57.9</v>
      </c>
      <c r="H23" s="1">
        <v>12</v>
      </c>
      <c r="I23" s="1">
        <v>0</v>
      </c>
      <c r="J23" s="1">
        <v>272.51</v>
      </c>
      <c r="K23" s="1">
        <v>0</v>
      </c>
      <c r="L23" s="1">
        <v>-30.82</v>
      </c>
      <c r="M23" s="1">
        <v>30.13</v>
      </c>
      <c r="N23" s="1">
        <v>10.4</v>
      </c>
      <c r="O23" s="1">
        <v>0</v>
      </c>
      <c r="P23" s="1">
        <v>0</v>
      </c>
      <c r="Q23" s="1">
        <v>0</v>
      </c>
      <c r="R23" s="1">
        <v>0</v>
      </c>
      <c r="S23" s="1">
        <v>4.72</v>
      </c>
      <c r="T23" s="1">
        <v>0</v>
      </c>
      <c r="U23" s="11" cm="1">
        <f t="array" ref="U23">SUM(ABS(B23:T23))</f>
        <v>790.21</v>
      </c>
    </row>
    <row r="24" spans="1:21" x14ac:dyDescent="0.3">
      <c r="A24" s="14">
        <v>45782.21875</v>
      </c>
      <c r="B24" s="1">
        <v>-231.23</v>
      </c>
      <c r="C24" s="1">
        <v>-55.31</v>
      </c>
      <c r="D24" s="1">
        <v>36.06</v>
      </c>
      <c r="E24" s="1">
        <v>0</v>
      </c>
      <c r="F24" s="1">
        <v>48.17</v>
      </c>
      <c r="G24" s="1">
        <v>-58.29</v>
      </c>
      <c r="H24" s="1">
        <v>12</v>
      </c>
      <c r="I24" s="1">
        <v>0</v>
      </c>
      <c r="J24" s="1">
        <v>272.62</v>
      </c>
      <c r="K24" s="1">
        <v>0</v>
      </c>
      <c r="L24" s="1">
        <v>-30.81</v>
      </c>
      <c r="M24" s="1">
        <v>30.13</v>
      </c>
      <c r="N24" s="1">
        <v>10.4</v>
      </c>
      <c r="O24" s="1">
        <v>0</v>
      </c>
      <c r="P24" s="1">
        <v>0</v>
      </c>
      <c r="Q24" s="1">
        <v>0</v>
      </c>
      <c r="R24" s="1">
        <v>0</v>
      </c>
      <c r="S24" s="1">
        <v>4.72</v>
      </c>
      <c r="T24" s="1">
        <v>0</v>
      </c>
      <c r="U24" s="11" cm="1">
        <f t="array" ref="U24">SUM(ABS(B24:T24))</f>
        <v>789.74</v>
      </c>
    </row>
    <row r="25" spans="1:21" x14ac:dyDescent="0.3">
      <c r="A25" s="14">
        <v>45782.229166666664</v>
      </c>
      <c r="B25" s="1">
        <v>-219.54</v>
      </c>
      <c r="C25" s="1">
        <v>-55.31</v>
      </c>
      <c r="D25" s="1">
        <v>36.07</v>
      </c>
      <c r="E25" s="1">
        <v>0</v>
      </c>
      <c r="F25" s="1">
        <v>48.14</v>
      </c>
      <c r="G25" s="1">
        <v>-57.46</v>
      </c>
      <c r="H25" s="1">
        <v>12</v>
      </c>
      <c r="I25" s="1">
        <v>0</v>
      </c>
      <c r="J25" s="1">
        <v>272.11</v>
      </c>
      <c r="K25" s="1">
        <v>0</v>
      </c>
      <c r="L25" s="1">
        <v>-30.8</v>
      </c>
      <c r="M25" s="1">
        <v>30.14</v>
      </c>
      <c r="N25" s="1">
        <v>10.4</v>
      </c>
      <c r="O25" s="1">
        <v>0</v>
      </c>
      <c r="P25" s="1">
        <v>0</v>
      </c>
      <c r="Q25" s="1">
        <v>0</v>
      </c>
      <c r="R25" s="1">
        <v>0</v>
      </c>
      <c r="S25" s="1">
        <v>4.72</v>
      </c>
      <c r="T25" s="1">
        <v>0</v>
      </c>
      <c r="U25" s="11" cm="1">
        <f t="array" ref="U25">SUM(ABS(B25:T25))</f>
        <v>776.68999999999994</v>
      </c>
    </row>
    <row r="26" spans="1:21" x14ac:dyDescent="0.3">
      <c r="A26" s="14">
        <v>45782.239583333336</v>
      </c>
      <c r="B26" s="1">
        <v>-276.49</v>
      </c>
      <c r="C26" s="1">
        <v>-55.29</v>
      </c>
      <c r="D26" s="1">
        <v>36.06</v>
      </c>
      <c r="E26" s="1">
        <v>0</v>
      </c>
      <c r="F26" s="1">
        <v>48.14</v>
      </c>
      <c r="G26" s="1">
        <v>-56.84</v>
      </c>
      <c r="H26" s="1">
        <v>12</v>
      </c>
      <c r="I26" s="1">
        <v>0</v>
      </c>
      <c r="J26" s="1">
        <v>271.23</v>
      </c>
      <c r="K26" s="1">
        <v>0</v>
      </c>
      <c r="L26" s="1">
        <v>-30.81</v>
      </c>
      <c r="M26" s="1">
        <v>39.340000000000003</v>
      </c>
      <c r="N26" s="1">
        <v>10.4</v>
      </c>
      <c r="O26" s="1">
        <v>0</v>
      </c>
      <c r="P26" s="1">
        <v>0</v>
      </c>
      <c r="Q26" s="1">
        <v>0</v>
      </c>
      <c r="R26" s="1">
        <v>0</v>
      </c>
      <c r="S26" s="1">
        <v>4.72</v>
      </c>
      <c r="T26" s="1">
        <v>0</v>
      </c>
      <c r="U26" s="11" cm="1">
        <f t="array" ref="U26">SUM(ABS(B26:T26))</f>
        <v>841.32</v>
      </c>
    </row>
    <row r="27" spans="1:21" x14ac:dyDescent="0.3">
      <c r="A27" s="14">
        <v>45782.25</v>
      </c>
      <c r="B27" s="1">
        <v>-293.58999999999997</v>
      </c>
      <c r="C27" s="1">
        <v>-55.27</v>
      </c>
      <c r="D27" s="1">
        <v>36.07</v>
      </c>
      <c r="E27" s="1">
        <v>0</v>
      </c>
      <c r="F27" s="1">
        <v>47.91</v>
      </c>
      <c r="G27" s="1">
        <v>-56.54</v>
      </c>
      <c r="H27" s="1">
        <v>12</v>
      </c>
      <c r="I27" s="1">
        <v>0</v>
      </c>
      <c r="J27" s="1">
        <v>269.87</v>
      </c>
      <c r="K27" s="1">
        <v>0</v>
      </c>
      <c r="L27" s="1">
        <v>-30.81</v>
      </c>
      <c r="M27" s="1">
        <v>54.24</v>
      </c>
      <c r="N27" s="1">
        <v>10.4</v>
      </c>
      <c r="O27" s="1">
        <v>0</v>
      </c>
      <c r="P27" s="1">
        <v>0</v>
      </c>
      <c r="Q27" s="1">
        <v>0</v>
      </c>
      <c r="R27" s="1">
        <v>0</v>
      </c>
      <c r="S27" s="1">
        <v>4.72</v>
      </c>
      <c r="T27" s="1">
        <v>0</v>
      </c>
      <c r="U27" s="11" cm="1">
        <f t="array" ref="U27">SUM(ABS(B27:T27))</f>
        <v>871.42</v>
      </c>
    </row>
    <row r="28" spans="1:21" x14ac:dyDescent="0.3">
      <c r="A28" s="14">
        <v>45782.260416666664</v>
      </c>
      <c r="B28" s="1">
        <v>-293.75</v>
      </c>
      <c r="C28" s="1">
        <v>-55.25</v>
      </c>
      <c r="D28" s="1">
        <v>36.08</v>
      </c>
      <c r="E28" s="1">
        <v>0</v>
      </c>
      <c r="F28" s="1">
        <v>48.16</v>
      </c>
      <c r="G28" s="1">
        <v>-56.54</v>
      </c>
      <c r="H28" s="1">
        <v>12</v>
      </c>
      <c r="I28" s="1">
        <v>0</v>
      </c>
      <c r="J28" s="1">
        <v>270.47000000000003</v>
      </c>
      <c r="K28" s="1">
        <v>0</v>
      </c>
      <c r="L28" s="1">
        <v>-30.79</v>
      </c>
      <c r="M28" s="1">
        <v>54.25</v>
      </c>
      <c r="N28" s="1">
        <v>10.39</v>
      </c>
      <c r="O28" s="1">
        <v>0</v>
      </c>
      <c r="P28" s="1">
        <v>0</v>
      </c>
      <c r="Q28" s="1">
        <v>0</v>
      </c>
      <c r="R28" s="1">
        <v>0</v>
      </c>
      <c r="S28" s="1">
        <v>4.72</v>
      </c>
      <c r="T28" s="1">
        <v>0</v>
      </c>
      <c r="U28" s="11" cm="1">
        <f t="array" ref="U28">SUM(ABS(B28:T28))</f>
        <v>872.4</v>
      </c>
    </row>
    <row r="29" spans="1:21" x14ac:dyDescent="0.3">
      <c r="A29" s="14">
        <v>45782.270833333336</v>
      </c>
      <c r="B29" s="1">
        <v>-307.64999999999998</v>
      </c>
      <c r="C29" s="1">
        <v>-55.28</v>
      </c>
      <c r="D29" s="1">
        <v>36.07</v>
      </c>
      <c r="E29" s="1">
        <v>0</v>
      </c>
      <c r="F29" s="1">
        <v>48.15</v>
      </c>
      <c r="G29" s="1">
        <v>-56.88</v>
      </c>
      <c r="H29" s="1">
        <v>12</v>
      </c>
      <c r="I29" s="1">
        <v>0</v>
      </c>
      <c r="J29" s="1">
        <v>271.56</v>
      </c>
      <c r="K29" s="1">
        <v>0</v>
      </c>
      <c r="L29" s="1">
        <v>-30.8</v>
      </c>
      <c r="M29" s="1">
        <v>54.23</v>
      </c>
      <c r="N29" s="1">
        <v>10.39</v>
      </c>
      <c r="O29" s="1">
        <v>0</v>
      </c>
      <c r="P29" s="1">
        <v>0</v>
      </c>
      <c r="Q29" s="1">
        <v>0</v>
      </c>
      <c r="R29" s="1">
        <v>0</v>
      </c>
      <c r="S29" s="1">
        <v>4.72</v>
      </c>
      <c r="T29" s="1">
        <v>0</v>
      </c>
      <c r="U29" s="11" cm="1">
        <f t="array" ref="U29">SUM(ABS(B29:T29))</f>
        <v>887.7299999999999</v>
      </c>
    </row>
    <row r="30" spans="1:21" x14ac:dyDescent="0.3">
      <c r="A30" s="14">
        <v>45782.28125</v>
      </c>
      <c r="B30" s="1">
        <v>-250.29</v>
      </c>
      <c r="C30" s="1">
        <v>-55.27</v>
      </c>
      <c r="D30" s="1">
        <v>36.08</v>
      </c>
      <c r="E30" s="1">
        <v>0</v>
      </c>
      <c r="F30" s="1">
        <v>48.14</v>
      </c>
      <c r="G30" s="1">
        <v>-56.58</v>
      </c>
      <c r="H30" s="1">
        <v>12</v>
      </c>
      <c r="I30" s="1">
        <v>0</v>
      </c>
      <c r="J30" s="1">
        <v>270.16000000000003</v>
      </c>
      <c r="K30" s="1">
        <v>0</v>
      </c>
      <c r="L30" s="1">
        <v>-30.78</v>
      </c>
      <c r="M30" s="1">
        <v>52.77</v>
      </c>
      <c r="N30" s="1">
        <v>10.4</v>
      </c>
      <c r="O30" s="1">
        <v>0</v>
      </c>
      <c r="P30" s="1">
        <v>0</v>
      </c>
      <c r="Q30" s="1">
        <v>0</v>
      </c>
      <c r="R30" s="1">
        <v>0</v>
      </c>
      <c r="S30" s="1">
        <v>4.72</v>
      </c>
      <c r="T30" s="1">
        <v>0</v>
      </c>
      <c r="U30" s="11" cm="1">
        <f t="array" ref="U30">SUM(ABS(B30:T30))</f>
        <v>827.18999999999994</v>
      </c>
    </row>
    <row r="31" spans="1:21" x14ac:dyDescent="0.3">
      <c r="A31" s="14">
        <v>45782.291666666664</v>
      </c>
      <c r="B31" s="1">
        <v>-257.08999999999997</v>
      </c>
      <c r="C31" s="1">
        <v>-55.3</v>
      </c>
      <c r="D31" s="1">
        <v>36.090000000000003</v>
      </c>
      <c r="E31" s="1">
        <v>0</v>
      </c>
      <c r="F31" s="1">
        <v>48.18</v>
      </c>
      <c r="G31" s="1">
        <v>-57.17</v>
      </c>
      <c r="H31" s="1">
        <v>12</v>
      </c>
      <c r="I31" s="1">
        <v>0</v>
      </c>
      <c r="J31" s="1">
        <v>272.01</v>
      </c>
      <c r="K31" s="1">
        <v>0</v>
      </c>
      <c r="L31" s="1">
        <v>-30.82</v>
      </c>
      <c r="M31" s="1">
        <v>30.08</v>
      </c>
      <c r="N31" s="1">
        <v>10.4</v>
      </c>
      <c r="O31" s="1">
        <v>0</v>
      </c>
      <c r="P31" s="1">
        <v>0</v>
      </c>
      <c r="Q31" s="1">
        <v>0</v>
      </c>
      <c r="R31" s="1">
        <v>0</v>
      </c>
      <c r="S31" s="1">
        <v>4.72</v>
      </c>
      <c r="T31" s="1">
        <v>0</v>
      </c>
      <c r="U31" s="11" cm="1">
        <f t="array" ref="U31">SUM(ABS(B31:T31))</f>
        <v>813.86000000000013</v>
      </c>
    </row>
    <row r="32" spans="1:21" x14ac:dyDescent="0.3">
      <c r="A32" s="14">
        <v>45782.302083333336</v>
      </c>
      <c r="B32" s="1">
        <v>-251.28</v>
      </c>
      <c r="C32" s="1">
        <v>-55.3</v>
      </c>
      <c r="D32" s="1">
        <v>36.1</v>
      </c>
      <c r="E32" s="1">
        <v>0</v>
      </c>
      <c r="F32" s="1">
        <v>48.19</v>
      </c>
      <c r="G32" s="1">
        <v>-56.88</v>
      </c>
      <c r="H32" s="1">
        <v>12</v>
      </c>
      <c r="I32" s="1">
        <v>0</v>
      </c>
      <c r="J32" s="1">
        <v>271.69</v>
      </c>
      <c r="K32" s="1">
        <v>0</v>
      </c>
      <c r="L32" s="1">
        <v>-30.79</v>
      </c>
      <c r="M32" s="1">
        <v>36.15</v>
      </c>
      <c r="N32" s="1">
        <v>10.39</v>
      </c>
      <c r="O32" s="1">
        <v>0</v>
      </c>
      <c r="P32" s="1">
        <v>0</v>
      </c>
      <c r="Q32" s="1">
        <v>0</v>
      </c>
      <c r="R32" s="1">
        <v>0</v>
      </c>
      <c r="S32" s="1">
        <v>4.72</v>
      </c>
      <c r="T32" s="1">
        <v>0</v>
      </c>
      <c r="U32" s="11" cm="1">
        <f t="array" ref="U32">SUM(ABS(B32:T32))</f>
        <v>813.49</v>
      </c>
    </row>
    <row r="33" spans="1:21" x14ac:dyDescent="0.3">
      <c r="A33" s="14">
        <v>45782.3125</v>
      </c>
      <c r="B33" s="1">
        <v>-221.26</v>
      </c>
      <c r="C33" s="1">
        <v>-41.2</v>
      </c>
      <c r="D33" s="1">
        <v>36.11</v>
      </c>
      <c r="E33" s="1">
        <v>0</v>
      </c>
      <c r="F33" s="1">
        <v>11.81</v>
      </c>
      <c r="G33" s="1">
        <v>-33.700000000000003</v>
      </c>
      <c r="H33" s="1">
        <v>12</v>
      </c>
      <c r="I33" s="1">
        <v>0</v>
      </c>
      <c r="J33" s="1">
        <v>218.43</v>
      </c>
      <c r="K33" s="1">
        <v>0</v>
      </c>
      <c r="L33" s="1">
        <v>-30.79</v>
      </c>
      <c r="M33" s="1">
        <v>21.21</v>
      </c>
      <c r="N33" s="1">
        <v>10.39</v>
      </c>
      <c r="O33" s="1">
        <v>0</v>
      </c>
      <c r="P33" s="1">
        <v>0</v>
      </c>
      <c r="Q33" s="1">
        <v>0</v>
      </c>
      <c r="R33" s="1">
        <v>0</v>
      </c>
      <c r="S33" s="1">
        <v>4.72</v>
      </c>
      <c r="T33" s="1">
        <v>0</v>
      </c>
      <c r="U33" s="11" cm="1">
        <f t="array" ref="U33">SUM(ABS(B33:T33))</f>
        <v>641.62</v>
      </c>
    </row>
    <row r="34" spans="1:21" x14ac:dyDescent="0.3">
      <c r="A34" s="14">
        <v>45782.322916666664</v>
      </c>
      <c r="B34" s="1">
        <v>-252.75</v>
      </c>
      <c r="C34" s="1">
        <v>-40.78</v>
      </c>
      <c r="D34" s="1">
        <v>36.090000000000003</v>
      </c>
      <c r="E34" s="1">
        <v>0</v>
      </c>
      <c r="F34" s="1">
        <v>0</v>
      </c>
      <c r="G34" s="1">
        <v>-23.91</v>
      </c>
      <c r="H34" s="1">
        <v>12</v>
      </c>
      <c r="I34" s="1">
        <v>0</v>
      </c>
      <c r="J34" s="1">
        <v>212.54</v>
      </c>
      <c r="K34" s="1">
        <v>0</v>
      </c>
      <c r="L34" s="1">
        <v>-30.8</v>
      </c>
      <c r="M34" s="1">
        <v>20.100000000000001</v>
      </c>
      <c r="N34" s="1">
        <v>10.39</v>
      </c>
      <c r="O34" s="1">
        <v>0</v>
      </c>
      <c r="P34" s="1">
        <v>0</v>
      </c>
      <c r="Q34" s="1">
        <v>0</v>
      </c>
      <c r="R34" s="1">
        <v>0</v>
      </c>
      <c r="S34" s="1">
        <v>4.72</v>
      </c>
      <c r="T34" s="1">
        <v>0</v>
      </c>
      <c r="U34" s="11" cm="1">
        <f t="array" ref="U34">SUM(ABS(B34:T34))</f>
        <v>644.08000000000004</v>
      </c>
    </row>
    <row r="35" spans="1:21" x14ac:dyDescent="0.3">
      <c r="A35" s="14">
        <v>45782.333333333336</v>
      </c>
      <c r="B35" s="1">
        <v>-268.52999999999997</v>
      </c>
      <c r="C35" s="1">
        <v>-40.79</v>
      </c>
      <c r="D35" s="1">
        <v>36.049999999999997</v>
      </c>
      <c r="E35" s="1">
        <v>0</v>
      </c>
      <c r="F35" s="1">
        <v>0</v>
      </c>
      <c r="G35" s="1">
        <v>-3.85</v>
      </c>
      <c r="H35" s="1">
        <v>12</v>
      </c>
      <c r="I35" s="1">
        <v>0</v>
      </c>
      <c r="J35" s="1">
        <v>215.27</v>
      </c>
      <c r="K35" s="1">
        <v>0</v>
      </c>
      <c r="L35" s="1">
        <v>-30.75</v>
      </c>
      <c r="M35" s="1">
        <v>20.100000000000001</v>
      </c>
      <c r="N35" s="1">
        <v>10.39</v>
      </c>
      <c r="O35" s="1">
        <v>0</v>
      </c>
      <c r="P35" s="1">
        <v>0</v>
      </c>
      <c r="Q35" s="1">
        <v>0</v>
      </c>
      <c r="R35" s="1">
        <v>0</v>
      </c>
      <c r="S35" s="1">
        <v>4.72</v>
      </c>
      <c r="T35" s="1">
        <v>0</v>
      </c>
      <c r="U35" s="11" cm="1">
        <f t="array" ref="U35">SUM(ABS(B35:T35))</f>
        <v>642.45000000000005</v>
      </c>
    </row>
    <row r="36" spans="1:21" x14ac:dyDescent="0.3">
      <c r="A36" s="14">
        <v>45782.34375</v>
      </c>
      <c r="B36" s="1">
        <v>-264.17</v>
      </c>
      <c r="C36" s="1">
        <v>-40.81</v>
      </c>
      <c r="D36" s="1">
        <v>36.01</v>
      </c>
      <c r="E36" s="1">
        <v>0</v>
      </c>
      <c r="F36" s="1">
        <v>0</v>
      </c>
      <c r="G36" s="1">
        <v>0</v>
      </c>
      <c r="H36" s="1">
        <v>12</v>
      </c>
      <c r="I36" s="1">
        <v>0</v>
      </c>
      <c r="J36" s="1">
        <v>214.57</v>
      </c>
      <c r="K36" s="1">
        <v>0</v>
      </c>
      <c r="L36" s="1">
        <v>-30.75</v>
      </c>
      <c r="M36" s="1">
        <v>20.11</v>
      </c>
      <c r="N36" s="1">
        <v>10.38</v>
      </c>
      <c r="O36" s="1">
        <v>0</v>
      </c>
      <c r="P36" s="1">
        <v>0</v>
      </c>
      <c r="Q36" s="1">
        <v>0</v>
      </c>
      <c r="R36" s="1">
        <v>0</v>
      </c>
      <c r="S36" s="1">
        <v>4.72</v>
      </c>
      <c r="T36" s="1">
        <v>0</v>
      </c>
      <c r="U36" s="11" cm="1">
        <f t="array" ref="U36">SUM(ABS(B36:T36))</f>
        <v>633.52</v>
      </c>
    </row>
    <row r="37" spans="1:21" x14ac:dyDescent="0.3">
      <c r="A37" s="14">
        <v>45782.354166666664</v>
      </c>
      <c r="B37" s="1">
        <v>-257.77</v>
      </c>
      <c r="C37" s="1">
        <v>-40.799999999999997</v>
      </c>
      <c r="D37" s="1">
        <v>35.979999999999997</v>
      </c>
      <c r="E37" s="1">
        <v>0</v>
      </c>
      <c r="F37" s="1">
        <v>0</v>
      </c>
      <c r="G37" s="1">
        <v>0</v>
      </c>
      <c r="H37" s="1">
        <v>12</v>
      </c>
      <c r="I37" s="1">
        <v>0</v>
      </c>
      <c r="J37" s="1">
        <v>215.23</v>
      </c>
      <c r="K37" s="1">
        <v>0</v>
      </c>
      <c r="L37" s="1">
        <v>-30.76</v>
      </c>
      <c r="M37" s="1">
        <v>20.11</v>
      </c>
      <c r="N37" s="1">
        <v>6.7</v>
      </c>
      <c r="O37" s="1">
        <v>0</v>
      </c>
      <c r="P37" s="1">
        <v>0</v>
      </c>
      <c r="Q37" s="1">
        <v>0</v>
      </c>
      <c r="R37" s="1">
        <v>0</v>
      </c>
      <c r="S37" s="1">
        <v>4.72</v>
      </c>
      <c r="T37" s="1">
        <v>0</v>
      </c>
      <c r="U37" s="11" cm="1">
        <f t="array" ref="U37">SUM(ABS(B37:T37))</f>
        <v>624.07000000000005</v>
      </c>
    </row>
    <row r="38" spans="1:21" x14ac:dyDescent="0.3">
      <c r="A38" s="14">
        <v>45782.364583333336</v>
      </c>
      <c r="B38" s="1">
        <v>-225.2</v>
      </c>
      <c r="C38" s="1">
        <v>-40.799999999999997</v>
      </c>
      <c r="D38" s="1">
        <v>35.93</v>
      </c>
      <c r="E38" s="1">
        <v>0</v>
      </c>
      <c r="F38" s="1">
        <v>0</v>
      </c>
      <c r="G38" s="1">
        <v>0</v>
      </c>
      <c r="H38" s="1">
        <v>12</v>
      </c>
      <c r="I38" s="1">
        <v>0</v>
      </c>
      <c r="J38" s="1">
        <v>212.21</v>
      </c>
      <c r="K38" s="1">
        <v>0</v>
      </c>
      <c r="L38" s="1">
        <v>-30.75</v>
      </c>
      <c r="M38" s="1">
        <v>20.11</v>
      </c>
      <c r="N38" s="1">
        <v>5.65</v>
      </c>
      <c r="O38" s="1">
        <v>0</v>
      </c>
      <c r="P38" s="1">
        <v>0</v>
      </c>
      <c r="Q38" s="1">
        <v>0</v>
      </c>
      <c r="R38" s="1">
        <v>0</v>
      </c>
      <c r="S38" s="1">
        <v>4.72</v>
      </c>
      <c r="T38" s="1">
        <v>0</v>
      </c>
      <c r="U38" s="11" cm="1">
        <f t="array" ref="U38">SUM(ABS(B38:T38))</f>
        <v>587.37</v>
      </c>
    </row>
    <row r="39" spans="1:21" x14ac:dyDescent="0.3">
      <c r="A39" s="14">
        <v>45782.375</v>
      </c>
      <c r="B39" s="1">
        <v>-196.85</v>
      </c>
      <c r="C39" s="1">
        <v>-40.78</v>
      </c>
      <c r="D39" s="1">
        <v>35.9</v>
      </c>
      <c r="E39" s="1">
        <v>0</v>
      </c>
      <c r="F39" s="1">
        <v>0</v>
      </c>
      <c r="G39" s="1">
        <v>0</v>
      </c>
      <c r="H39" s="1">
        <v>12</v>
      </c>
      <c r="I39" s="1">
        <v>0</v>
      </c>
      <c r="J39" s="1">
        <v>267.79000000000002</v>
      </c>
      <c r="K39" s="1">
        <v>0</v>
      </c>
      <c r="L39" s="1">
        <v>-30.75</v>
      </c>
      <c r="M39" s="1">
        <v>20.11</v>
      </c>
      <c r="N39" s="1">
        <v>5.64</v>
      </c>
      <c r="O39" s="1">
        <v>0</v>
      </c>
      <c r="P39" s="1">
        <v>0</v>
      </c>
      <c r="Q39" s="1">
        <v>0</v>
      </c>
      <c r="R39" s="1">
        <v>0</v>
      </c>
      <c r="S39" s="1">
        <v>4.72</v>
      </c>
      <c r="T39" s="1">
        <v>0</v>
      </c>
      <c r="U39" s="11" cm="1">
        <f t="array" ref="U39">SUM(ABS(B39:T39))</f>
        <v>614.54</v>
      </c>
    </row>
    <row r="40" spans="1:21" x14ac:dyDescent="0.3">
      <c r="A40" s="14">
        <v>45782.385416666664</v>
      </c>
      <c r="B40" s="1">
        <v>-174.18</v>
      </c>
      <c r="C40" s="1">
        <v>-40.72</v>
      </c>
      <c r="D40" s="1">
        <v>35.840000000000003</v>
      </c>
      <c r="E40" s="1">
        <v>0</v>
      </c>
      <c r="F40" s="1">
        <v>0</v>
      </c>
      <c r="G40" s="1">
        <v>0</v>
      </c>
      <c r="H40" s="1">
        <v>12</v>
      </c>
      <c r="I40" s="1">
        <v>0</v>
      </c>
      <c r="J40" s="1">
        <v>263.77999999999997</v>
      </c>
      <c r="K40" s="1">
        <v>0</v>
      </c>
      <c r="L40" s="1">
        <v>-30.74</v>
      </c>
      <c r="M40" s="1">
        <v>20.100000000000001</v>
      </c>
      <c r="N40" s="1">
        <v>5.63</v>
      </c>
      <c r="O40" s="1">
        <v>0</v>
      </c>
      <c r="P40" s="1">
        <v>0</v>
      </c>
      <c r="Q40" s="1">
        <v>0</v>
      </c>
      <c r="R40" s="1">
        <v>0</v>
      </c>
      <c r="S40" s="1">
        <v>4.72</v>
      </c>
      <c r="T40" s="1">
        <v>0</v>
      </c>
      <c r="U40" s="11" cm="1">
        <f t="array" ref="U40">SUM(ABS(B40:T40))</f>
        <v>587.71</v>
      </c>
    </row>
    <row r="41" spans="1:21" x14ac:dyDescent="0.3">
      <c r="A41" s="14">
        <v>45782.395833333336</v>
      </c>
      <c r="B41" s="1">
        <v>-216.98</v>
      </c>
      <c r="C41" s="1">
        <v>-40.770000000000003</v>
      </c>
      <c r="D41" s="1">
        <v>35.9</v>
      </c>
      <c r="E41" s="1">
        <v>0</v>
      </c>
      <c r="F41" s="1">
        <v>0</v>
      </c>
      <c r="G41" s="1">
        <v>0</v>
      </c>
      <c r="H41" s="1">
        <v>12</v>
      </c>
      <c r="I41" s="1">
        <v>0</v>
      </c>
      <c r="J41" s="1">
        <v>270.24</v>
      </c>
      <c r="K41" s="1">
        <v>0</v>
      </c>
      <c r="L41" s="1">
        <v>-30.77</v>
      </c>
      <c r="M41" s="1">
        <v>20.11</v>
      </c>
      <c r="N41" s="1">
        <v>5.63</v>
      </c>
      <c r="O41" s="1">
        <v>0</v>
      </c>
      <c r="P41" s="1">
        <v>0</v>
      </c>
      <c r="Q41" s="1">
        <v>0</v>
      </c>
      <c r="R41" s="1">
        <v>0</v>
      </c>
      <c r="S41" s="1">
        <v>4.72</v>
      </c>
      <c r="T41" s="1">
        <v>0</v>
      </c>
      <c r="U41" s="11" cm="1">
        <f t="array" ref="U41">SUM(ABS(B41:T41))</f>
        <v>637.12</v>
      </c>
    </row>
    <row r="42" spans="1:21" x14ac:dyDescent="0.3">
      <c r="A42" s="14">
        <v>45782.40625</v>
      </c>
      <c r="B42" s="1">
        <v>-368.02</v>
      </c>
      <c r="C42" s="1">
        <v>-40.76</v>
      </c>
      <c r="D42" s="1">
        <v>35.92</v>
      </c>
      <c r="E42" s="1">
        <v>0</v>
      </c>
      <c r="F42" s="1">
        <v>0</v>
      </c>
      <c r="G42" s="1">
        <v>0</v>
      </c>
      <c r="H42" s="1">
        <v>12</v>
      </c>
      <c r="I42" s="1">
        <v>0</v>
      </c>
      <c r="J42" s="1">
        <v>270.18</v>
      </c>
      <c r="K42" s="1">
        <v>0</v>
      </c>
      <c r="L42" s="1">
        <v>-30.75</v>
      </c>
      <c r="M42" s="1">
        <v>20.09</v>
      </c>
      <c r="N42" s="1">
        <v>5.63</v>
      </c>
      <c r="O42" s="1">
        <v>0</v>
      </c>
      <c r="P42" s="1">
        <v>0</v>
      </c>
      <c r="Q42" s="1">
        <v>0</v>
      </c>
      <c r="R42" s="1">
        <v>0</v>
      </c>
      <c r="S42" s="1">
        <v>4.72</v>
      </c>
      <c r="T42" s="1">
        <v>0</v>
      </c>
      <c r="U42" s="11" cm="1">
        <f t="array" ref="U42">SUM(ABS(B42:T42))</f>
        <v>788.07</v>
      </c>
    </row>
    <row r="43" spans="1:21" x14ac:dyDescent="0.3">
      <c r="A43" s="14">
        <v>45782.416666666664</v>
      </c>
      <c r="B43" s="1">
        <v>-250.38</v>
      </c>
      <c r="C43" s="1">
        <v>-40.76</v>
      </c>
      <c r="D43" s="1">
        <v>35.94</v>
      </c>
      <c r="E43" s="1">
        <v>0</v>
      </c>
      <c r="F43" s="1">
        <v>0</v>
      </c>
      <c r="G43" s="1">
        <v>0</v>
      </c>
      <c r="H43" s="1">
        <v>12</v>
      </c>
      <c r="I43" s="1">
        <v>0</v>
      </c>
      <c r="J43" s="1">
        <v>227.55</v>
      </c>
      <c r="K43" s="1">
        <v>0</v>
      </c>
      <c r="L43" s="1">
        <v>-30.78</v>
      </c>
      <c r="M43" s="1">
        <v>20.12</v>
      </c>
      <c r="N43" s="1">
        <v>5.64</v>
      </c>
      <c r="O43" s="1">
        <v>0</v>
      </c>
      <c r="P43" s="1">
        <v>0</v>
      </c>
      <c r="Q43" s="1">
        <v>0</v>
      </c>
      <c r="R43" s="1">
        <v>0</v>
      </c>
      <c r="S43" s="1">
        <v>4.72</v>
      </c>
      <c r="T43" s="1">
        <v>0</v>
      </c>
      <c r="U43" s="11" cm="1">
        <f t="array" ref="U43">SUM(ABS(B43:T43))</f>
        <v>627.89</v>
      </c>
    </row>
    <row r="44" spans="1:21" x14ac:dyDescent="0.3">
      <c r="A44" s="14">
        <v>45782.427083333336</v>
      </c>
      <c r="B44" s="1">
        <v>-349.4</v>
      </c>
      <c r="C44" s="1">
        <v>-40.76</v>
      </c>
      <c r="D44" s="1">
        <v>35.9</v>
      </c>
      <c r="E44" s="1">
        <v>0</v>
      </c>
      <c r="F44" s="1">
        <v>0</v>
      </c>
      <c r="G44" s="1">
        <v>0</v>
      </c>
      <c r="H44" s="1">
        <v>12</v>
      </c>
      <c r="I44" s="1">
        <v>0</v>
      </c>
      <c r="J44" s="1">
        <v>212.38</v>
      </c>
      <c r="K44" s="1">
        <v>0</v>
      </c>
      <c r="L44" s="1">
        <v>-30.77</v>
      </c>
      <c r="M44" s="1">
        <v>20.11</v>
      </c>
      <c r="N44" s="1">
        <v>5.63</v>
      </c>
      <c r="O44" s="1">
        <v>0</v>
      </c>
      <c r="P44" s="1">
        <v>0</v>
      </c>
      <c r="Q44" s="1">
        <v>0</v>
      </c>
      <c r="R44" s="1">
        <v>0</v>
      </c>
      <c r="S44" s="1">
        <v>4.72</v>
      </c>
      <c r="T44" s="1">
        <v>0</v>
      </c>
      <c r="U44" s="11" cm="1">
        <f t="array" ref="U44">SUM(ABS(B44:T44))</f>
        <v>711.67</v>
      </c>
    </row>
    <row r="45" spans="1:21" x14ac:dyDescent="0.3">
      <c r="A45" s="14">
        <v>45782.4375</v>
      </c>
      <c r="B45" s="1">
        <v>-321.04000000000002</v>
      </c>
      <c r="C45" s="1">
        <v>-40.79</v>
      </c>
      <c r="D45" s="1">
        <v>35.880000000000003</v>
      </c>
      <c r="E45" s="1">
        <v>0</v>
      </c>
      <c r="F45" s="1">
        <v>0</v>
      </c>
      <c r="G45" s="1">
        <v>0</v>
      </c>
      <c r="H45" s="1">
        <v>12</v>
      </c>
      <c r="I45" s="1">
        <v>0</v>
      </c>
      <c r="J45" s="1">
        <v>247.42</v>
      </c>
      <c r="K45" s="1">
        <v>0</v>
      </c>
      <c r="L45" s="1">
        <v>-30.78</v>
      </c>
      <c r="M45" s="1">
        <v>20.100000000000001</v>
      </c>
      <c r="N45" s="1">
        <v>5.63</v>
      </c>
      <c r="O45" s="1">
        <v>0</v>
      </c>
      <c r="P45" s="1">
        <v>0</v>
      </c>
      <c r="Q45" s="1">
        <v>0</v>
      </c>
      <c r="R45" s="1">
        <v>0</v>
      </c>
      <c r="S45" s="1">
        <v>4.72</v>
      </c>
      <c r="T45" s="1">
        <v>0</v>
      </c>
      <c r="U45" s="11" cm="1">
        <f t="array" ref="U45">SUM(ABS(B45:T45))</f>
        <v>718.36</v>
      </c>
    </row>
    <row r="46" spans="1:21" x14ac:dyDescent="0.3">
      <c r="A46" s="14">
        <v>45782.447916666664</v>
      </c>
      <c r="B46" s="1">
        <v>-306.93</v>
      </c>
      <c r="C46" s="1">
        <v>-22.03</v>
      </c>
      <c r="D46" s="1">
        <v>35.89</v>
      </c>
      <c r="E46" s="1">
        <v>0</v>
      </c>
      <c r="F46" s="1">
        <v>0</v>
      </c>
      <c r="G46" s="1">
        <v>0</v>
      </c>
      <c r="H46" s="1">
        <v>12</v>
      </c>
      <c r="I46" s="1">
        <v>0</v>
      </c>
      <c r="J46" s="1">
        <v>274.89999999999998</v>
      </c>
      <c r="K46" s="1">
        <v>9.34</v>
      </c>
      <c r="L46" s="1">
        <v>-30.8</v>
      </c>
      <c r="M46" s="1">
        <v>19.89</v>
      </c>
      <c r="N46" s="1">
        <v>5.63</v>
      </c>
      <c r="O46" s="1">
        <v>0</v>
      </c>
      <c r="P46" s="1">
        <v>0</v>
      </c>
      <c r="Q46" s="1">
        <v>0</v>
      </c>
      <c r="R46" s="1">
        <v>0</v>
      </c>
      <c r="S46" s="1">
        <v>4.72</v>
      </c>
      <c r="T46" s="1">
        <v>0</v>
      </c>
      <c r="U46" s="11" cm="1">
        <f t="array" ref="U46">SUM(ABS(B46:T46))</f>
        <v>722.13</v>
      </c>
    </row>
    <row r="47" spans="1:21" x14ac:dyDescent="0.3">
      <c r="A47" s="14">
        <v>45782.458333333336</v>
      </c>
      <c r="B47" s="1">
        <v>-298.08999999999997</v>
      </c>
      <c r="C47" s="1">
        <v>-20.5</v>
      </c>
      <c r="D47" s="1">
        <v>35.909999999999997</v>
      </c>
      <c r="E47" s="1">
        <v>0</v>
      </c>
      <c r="F47" s="1">
        <v>0</v>
      </c>
      <c r="G47" s="1">
        <v>0</v>
      </c>
      <c r="H47" s="1">
        <v>12</v>
      </c>
      <c r="I47" s="1">
        <v>0</v>
      </c>
      <c r="J47" s="1">
        <v>274.85000000000002</v>
      </c>
      <c r="K47" s="1">
        <v>12.69</v>
      </c>
      <c r="L47" s="1">
        <v>-30.82</v>
      </c>
      <c r="M47" s="1">
        <v>20.100000000000001</v>
      </c>
      <c r="N47" s="1">
        <v>5.63</v>
      </c>
      <c r="O47" s="1">
        <v>0</v>
      </c>
      <c r="P47" s="1">
        <v>0</v>
      </c>
      <c r="Q47" s="1">
        <v>0</v>
      </c>
      <c r="R47" s="1">
        <v>0</v>
      </c>
      <c r="S47" s="1">
        <v>4.72</v>
      </c>
      <c r="T47" s="1">
        <v>0</v>
      </c>
      <c r="U47" s="11" cm="1">
        <f t="array" ref="U47">SUM(ABS(B47:T47))</f>
        <v>715.31000000000017</v>
      </c>
    </row>
    <row r="48" spans="1:21" x14ac:dyDescent="0.3">
      <c r="A48" s="14">
        <v>45782.46875</v>
      </c>
      <c r="B48" s="1">
        <v>-137.91999999999999</v>
      </c>
      <c r="C48" s="1">
        <v>-20.51</v>
      </c>
      <c r="D48" s="1">
        <v>35.92</v>
      </c>
      <c r="E48" s="1">
        <v>0</v>
      </c>
      <c r="F48" s="1">
        <v>0</v>
      </c>
      <c r="G48" s="1">
        <v>0</v>
      </c>
      <c r="H48" s="1">
        <v>12</v>
      </c>
      <c r="I48" s="1">
        <v>0</v>
      </c>
      <c r="J48" s="1">
        <v>222.08</v>
      </c>
      <c r="K48" s="1">
        <v>12.68</v>
      </c>
      <c r="L48" s="1">
        <v>-30.8</v>
      </c>
      <c r="M48" s="1">
        <v>20.100000000000001</v>
      </c>
      <c r="N48" s="1">
        <v>5.63</v>
      </c>
      <c r="O48" s="1">
        <v>0</v>
      </c>
      <c r="P48" s="1">
        <v>0</v>
      </c>
      <c r="Q48" s="1">
        <v>0</v>
      </c>
      <c r="R48" s="1">
        <v>0</v>
      </c>
      <c r="S48" s="1">
        <v>4.72</v>
      </c>
      <c r="T48" s="1">
        <v>0</v>
      </c>
      <c r="U48" s="11" cm="1">
        <f t="array" ref="U48">SUM(ABS(B48:T48))</f>
        <v>502.36</v>
      </c>
    </row>
    <row r="49" spans="1:21" x14ac:dyDescent="0.3">
      <c r="A49" s="14">
        <v>45782.479166666664</v>
      </c>
      <c r="B49" s="1">
        <v>-129.96</v>
      </c>
      <c r="C49" s="1">
        <v>-20.49</v>
      </c>
      <c r="D49" s="1">
        <v>35.880000000000003</v>
      </c>
      <c r="E49" s="1">
        <v>0</v>
      </c>
      <c r="F49" s="1">
        <v>0</v>
      </c>
      <c r="G49" s="1">
        <v>0</v>
      </c>
      <c r="H49" s="1">
        <v>12</v>
      </c>
      <c r="I49" s="1">
        <v>0</v>
      </c>
      <c r="J49" s="1">
        <v>221.35</v>
      </c>
      <c r="K49" s="1">
        <v>12.67</v>
      </c>
      <c r="L49" s="1">
        <v>-30.79</v>
      </c>
      <c r="M49" s="1">
        <v>20.11</v>
      </c>
      <c r="N49" s="1">
        <v>5.63</v>
      </c>
      <c r="O49" s="1">
        <v>0</v>
      </c>
      <c r="P49" s="1">
        <v>0</v>
      </c>
      <c r="Q49" s="1">
        <v>0</v>
      </c>
      <c r="R49" s="1">
        <v>0</v>
      </c>
      <c r="S49" s="1">
        <v>3.56</v>
      </c>
      <c r="T49" s="1">
        <v>0</v>
      </c>
      <c r="U49" s="11" cm="1">
        <f t="array" ref="U49">SUM(ABS(B49:T49))</f>
        <v>492.44000000000005</v>
      </c>
    </row>
    <row r="50" spans="1:21" x14ac:dyDescent="0.3">
      <c r="A50" s="14">
        <v>45782.489583333336</v>
      </c>
      <c r="B50" s="1">
        <v>-131.57</v>
      </c>
      <c r="C50" s="1">
        <v>-20.5</v>
      </c>
      <c r="D50" s="1">
        <v>35.85</v>
      </c>
      <c r="E50" s="1">
        <v>0</v>
      </c>
      <c r="F50" s="1">
        <v>0</v>
      </c>
      <c r="G50" s="1">
        <v>0</v>
      </c>
      <c r="H50" s="1">
        <v>12</v>
      </c>
      <c r="I50" s="1">
        <v>0</v>
      </c>
      <c r="J50" s="1">
        <v>246.54</v>
      </c>
      <c r="K50" s="1">
        <v>12.67</v>
      </c>
      <c r="L50" s="1">
        <v>-30.78</v>
      </c>
      <c r="M50" s="1">
        <v>20.11</v>
      </c>
      <c r="N50" s="1">
        <v>5.62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1" cm="1">
        <f t="array" ref="U50">SUM(ABS(B50:T50))</f>
        <v>515.64</v>
      </c>
    </row>
    <row r="51" spans="1:21" x14ac:dyDescent="0.3">
      <c r="A51" s="14">
        <v>45782.5</v>
      </c>
      <c r="B51" s="1">
        <v>-124</v>
      </c>
      <c r="C51" s="1">
        <v>-20.48</v>
      </c>
      <c r="D51" s="1">
        <v>35.840000000000003</v>
      </c>
      <c r="E51" s="1">
        <v>0</v>
      </c>
      <c r="F51" s="1">
        <v>0</v>
      </c>
      <c r="G51" s="1">
        <v>0</v>
      </c>
      <c r="H51" s="1">
        <v>12</v>
      </c>
      <c r="I51" s="1">
        <v>0</v>
      </c>
      <c r="J51" s="1">
        <v>269.04000000000002</v>
      </c>
      <c r="K51" s="1">
        <v>12.66</v>
      </c>
      <c r="L51" s="1">
        <v>-30.79</v>
      </c>
      <c r="M51" s="1">
        <v>20.11</v>
      </c>
      <c r="N51" s="1">
        <v>5.63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1" cm="1">
        <f t="array" ref="U51">SUM(ABS(B51:T51))</f>
        <v>530.55000000000007</v>
      </c>
    </row>
    <row r="52" spans="1:21" x14ac:dyDescent="0.3">
      <c r="A52" s="14">
        <v>45782.510416666664</v>
      </c>
      <c r="B52" s="1">
        <v>-158.59</v>
      </c>
      <c r="C52" s="1">
        <v>-20.48</v>
      </c>
      <c r="D52" s="1">
        <v>35.840000000000003</v>
      </c>
      <c r="E52" s="1">
        <v>0</v>
      </c>
      <c r="F52" s="1">
        <v>0</v>
      </c>
      <c r="G52" s="1">
        <v>0</v>
      </c>
      <c r="H52" s="1">
        <v>12</v>
      </c>
      <c r="I52" s="1">
        <v>0</v>
      </c>
      <c r="J52" s="1">
        <v>273.77</v>
      </c>
      <c r="K52" s="1">
        <v>12.64</v>
      </c>
      <c r="L52" s="1">
        <v>-30.79</v>
      </c>
      <c r="M52" s="1">
        <v>20.100000000000001</v>
      </c>
      <c r="N52" s="1">
        <v>5.63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1" cm="1">
        <f t="array" ref="U52">SUM(ABS(B52:T52))</f>
        <v>569.83999999999992</v>
      </c>
    </row>
    <row r="53" spans="1:21" x14ac:dyDescent="0.3">
      <c r="A53" s="14">
        <v>45782.520833333336</v>
      </c>
      <c r="B53" s="1">
        <v>-146.18</v>
      </c>
      <c r="C53" s="1">
        <v>-20.48</v>
      </c>
      <c r="D53" s="1">
        <v>35.840000000000003</v>
      </c>
      <c r="E53" s="1">
        <v>0</v>
      </c>
      <c r="F53" s="1">
        <v>0</v>
      </c>
      <c r="G53" s="1">
        <v>0</v>
      </c>
      <c r="H53" s="1">
        <v>12</v>
      </c>
      <c r="I53" s="1">
        <v>0</v>
      </c>
      <c r="J53" s="1">
        <v>272.36</v>
      </c>
      <c r="K53" s="1">
        <v>12.64</v>
      </c>
      <c r="L53" s="1">
        <v>-30.76</v>
      </c>
      <c r="M53" s="1">
        <v>20.100000000000001</v>
      </c>
      <c r="N53" s="1">
        <v>5.62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1" cm="1">
        <f t="array" ref="U53">SUM(ABS(B53:T53))</f>
        <v>555.98</v>
      </c>
    </row>
    <row r="54" spans="1:21" x14ac:dyDescent="0.3">
      <c r="A54" s="14">
        <v>45782.53125</v>
      </c>
      <c r="B54" s="1">
        <v>-120.07</v>
      </c>
      <c r="C54" s="1">
        <v>-20.49</v>
      </c>
      <c r="D54" s="1">
        <v>35.840000000000003</v>
      </c>
      <c r="E54" s="1">
        <v>0</v>
      </c>
      <c r="F54" s="1">
        <v>0</v>
      </c>
      <c r="G54" s="1">
        <v>0</v>
      </c>
      <c r="H54" s="1">
        <v>12</v>
      </c>
      <c r="I54" s="1">
        <v>0</v>
      </c>
      <c r="J54" s="1">
        <v>268.77</v>
      </c>
      <c r="K54" s="1">
        <v>12.64</v>
      </c>
      <c r="L54" s="1">
        <v>-30.75</v>
      </c>
      <c r="M54" s="1">
        <v>20.100000000000001</v>
      </c>
      <c r="N54" s="1">
        <v>5.62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1" cm="1">
        <f t="array" ref="U54">SUM(ABS(B54:T54))</f>
        <v>526.28</v>
      </c>
    </row>
    <row r="55" spans="1:21" x14ac:dyDescent="0.3">
      <c r="A55" s="14">
        <v>45782.541666666664</v>
      </c>
      <c r="B55" s="1">
        <v>-122.35</v>
      </c>
      <c r="C55" s="1">
        <v>-20.67</v>
      </c>
      <c r="D55" s="1">
        <v>35.76</v>
      </c>
      <c r="E55" s="1">
        <v>0</v>
      </c>
      <c r="F55" s="1">
        <v>0</v>
      </c>
      <c r="G55" s="1">
        <v>0</v>
      </c>
      <c r="H55" s="1">
        <v>12</v>
      </c>
      <c r="I55" s="1">
        <v>0</v>
      </c>
      <c r="J55" s="1">
        <v>200.14</v>
      </c>
      <c r="K55" s="1">
        <v>12.63</v>
      </c>
      <c r="L55" s="1">
        <v>-30.78</v>
      </c>
      <c r="M55" s="1">
        <v>20.100000000000001</v>
      </c>
      <c r="N55" s="1">
        <v>5.62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1" cm="1">
        <f t="array" ref="U55">SUM(ABS(B55:T55))</f>
        <v>460.04999999999995</v>
      </c>
    </row>
    <row r="56" spans="1:21" x14ac:dyDescent="0.3">
      <c r="A56" s="14">
        <v>45782.552083333336</v>
      </c>
      <c r="B56" s="1">
        <v>-133.87</v>
      </c>
      <c r="C56" s="1">
        <v>-20.72</v>
      </c>
      <c r="D56" s="1">
        <v>35.770000000000003</v>
      </c>
      <c r="E56" s="1">
        <v>0</v>
      </c>
      <c r="F56" s="1">
        <v>0</v>
      </c>
      <c r="G56" s="1">
        <v>0</v>
      </c>
      <c r="H56" s="1">
        <v>12</v>
      </c>
      <c r="I56" s="1">
        <v>0</v>
      </c>
      <c r="J56" s="1">
        <v>180.96</v>
      </c>
      <c r="K56" s="1">
        <v>14.73</v>
      </c>
      <c r="L56" s="1">
        <v>-30.83</v>
      </c>
      <c r="M56" s="1">
        <v>20.11</v>
      </c>
      <c r="N56" s="1">
        <v>5.63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1" cm="1">
        <f t="array" ref="U56">SUM(ABS(B56:T56))</f>
        <v>454.62000000000006</v>
      </c>
    </row>
    <row r="57" spans="1:21" x14ac:dyDescent="0.3">
      <c r="A57" s="14">
        <v>45782.5625</v>
      </c>
      <c r="B57" s="1">
        <v>-553.82000000000005</v>
      </c>
      <c r="C57" s="1">
        <v>-20.7</v>
      </c>
      <c r="D57" s="1">
        <v>35.729999999999997</v>
      </c>
      <c r="E57" s="1">
        <v>0</v>
      </c>
      <c r="F57" s="1">
        <v>0</v>
      </c>
      <c r="G57" s="1">
        <v>0</v>
      </c>
      <c r="H57" s="1">
        <v>12</v>
      </c>
      <c r="I57" s="1">
        <v>0</v>
      </c>
      <c r="J57" s="1">
        <v>184.14</v>
      </c>
      <c r="K57" s="1">
        <v>19.059999999999999</v>
      </c>
      <c r="L57" s="1">
        <v>-30.83</v>
      </c>
      <c r="M57" s="1">
        <v>20.100000000000001</v>
      </c>
      <c r="N57" s="1">
        <v>5.63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1" cm="1">
        <f t="array" ref="U57">SUM(ABS(B57:T57))</f>
        <v>882.0100000000001</v>
      </c>
    </row>
    <row r="58" spans="1:21" x14ac:dyDescent="0.3">
      <c r="A58" s="14">
        <v>45782.572916666664</v>
      </c>
      <c r="B58" s="1">
        <v>-586.5</v>
      </c>
      <c r="C58" s="1">
        <v>-20.69</v>
      </c>
      <c r="D58" s="1">
        <v>35.65</v>
      </c>
      <c r="E58" s="1">
        <v>0</v>
      </c>
      <c r="F58" s="1">
        <v>0</v>
      </c>
      <c r="G58" s="1">
        <v>0</v>
      </c>
      <c r="H58" s="1">
        <v>12</v>
      </c>
      <c r="I58" s="1">
        <v>0</v>
      </c>
      <c r="J58" s="1">
        <v>192.16</v>
      </c>
      <c r="K58" s="1">
        <v>19.09</v>
      </c>
      <c r="L58" s="1">
        <v>-30.84</v>
      </c>
      <c r="M58" s="1">
        <v>30.85</v>
      </c>
      <c r="N58" s="1">
        <v>5.62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1" cm="1">
        <f t="array" ref="U58">SUM(ABS(B58:T58))</f>
        <v>933.40000000000009</v>
      </c>
    </row>
    <row r="59" spans="1:21" x14ac:dyDescent="0.3">
      <c r="A59" s="14">
        <v>45782.583333333336</v>
      </c>
      <c r="B59" s="1">
        <v>-560.79999999999995</v>
      </c>
      <c r="C59" s="1">
        <v>-24.31</v>
      </c>
      <c r="D59" s="1">
        <v>35.659999999999997</v>
      </c>
      <c r="E59" s="1">
        <v>0</v>
      </c>
      <c r="F59" s="1">
        <v>0</v>
      </c>
      <c r="G59" s="1">
        <v>-12.53</v>
      </c>
      <c r="H59" s="1">
        <v>12</v>
      </c>
      <c r="I59" s="1">
        <v>0</v>
      </c>
      <c r="J59" s="1">
        <v>243.3</v>
      </c>
      <c r="K59" s="1">
        <v>19.11</v>
      </c>
      <c r="L59" s="1">
        <v>-30.87</v>
      </c>
      <c r="M59" s="1">
        <v>36.17</v>
      </c>
      <c r="N59" s="1">
        <v>5.62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1" cm="1">
        <f t="array" ref="U59">SUM(ABS(B59:T59))</f>
        <v>980.36999999999989</v>
      </c>
    </row>
    <row r="60" spans="1:21" x14ac:dyDescent="0.3">
      <c r="A60" s="14">
        <v>45782.59375</v>
      </c>
      <c r="B60" s="1">
        <v>-616.04999999999995</v>
      </c>
      <c r="C60" s="1">
        <v>-29.31</v>
      </c>
      <c r="D60" s="1">
        <v>35.67</v>
      </c>
      <c r="E60" s="1">
        <v>0</v>
      </c>
      <c r="F60" s="1">
        <v>0</v>
      </c>
      <c r="G60" s="1">
        <v>-24.6</v>
      </c>
      <c r="H60" s="1">
        <v>12</v>
      </c>
      <c r="I60" s="1">
        <v>0</v>
      </c>
      <c r="J60" s="1">
        <v>245.53</v>
      </c>
      <c r="K60" s="1">
        <v>24.77</v>
      </c>
      <c r="L60" s="1">
        <v>-30.89</v>
      </c>
      <c r="M60" s="1">
        <v>36.17</v>
      </c>
      <c r="N60" s="1">
        <v>5.63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1" cm="1">
        <f t="array" ref="U60">SUM(ABS(B60:T60))</f>
        <v>1060.6199999999999</v>
      </c>
    </row>
    <row r="61" spans="1:21" x14ac:dyDescent="0.3">
      <c r="A61" s="14">
        <v>45782.604166666664</v>
      </c>
      <c r="B61" s="1">
        <v>-622.57000000000005</v>
      </c>
      <c r="C61" s="1">
        <v>-39.909999999999997</v>
      </c>
      <c r="D61" s="1">
        <v>35.67</v>
      </c>
      <c r="E61" s="1">
        <v>0</v>
      </c>
      <c r="F61" s="1">
        <v>0</v>
      </c>
      <c r="G61" s="1">
        <v>-24.62</v>
      </c>
      <c r="H61" s="1">
        <v>12</v>
      </c>
      <c r="I61" s="1">
        <v>0</v>
      </c>
      <c r="J61" s="1">
        <v>245.91</v>
      </c>
      <c r="K61" s="1">
        <v>25.31</v>
      </c>
      <c r="L61" s="1">
        <v>-30.88</v>
      </c>
      <c r="M61" s="1">
        <v>36.159999999999997</v>
      </c>
      <c r="N61" s="1">
        <v>5.64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1" cm="1">
        <f t="array" ref="U61">SUM(ABS(B61:T61))</f>
        <v>1078.67</v>
      </c>
    </row>
    <row r="62" spans="1:21" x14ac:dyDescent="0.3">
      <c r="A62" s="14">
        <v>45782.614583333336</v>
      </c>
      <c r="B62" s="1">
        <v>-620.26</v>
      </c>
      <c r="C62" s="1">
        <v>-49.42</v>
      </c>
      <c r="D62" s="1">
        <v>35.64</v>
      </c>
      <c r="E62" s="1">
        <v>0</v>
      </c>
      <c r="F62" s="1">
        <v>0</v>
      </c>
      <c r="G62" s="1">
        <v>-24.59</v>
      </c>
      <c r="H62" s="1">
        <v>12</v>
      </c>
      <c r="I62" s="1">
        <v>0</v>
      </c>
      <c r="J62" s="1">
        <v>245.6</v>
      </c>
      <c r="K62" s="1">
        <v>25.32</v>
      </c>
      <c r="L62" s="1">
        <v>-30.89</v>
      </c>
      <c r="M62" s="1">
        <v>36.159999999999997</v>
      </c>
      <c r="N62" s="1">
        <v>5.62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1" cm="1">
        <f t="array" ref="U62">SUM(ABS(B62:T62))</f>
        <v>1085.5</v>
      </c>
    </row>
    <row r="63" spans="1:21" x14ac:dyDescent="0.3">
      <c r="A63" s="14">
        <v>45782.625</v>
      </c>
      <c r="B63" s="1">
        <v>-620.62</v>
      </c>
      <c r="C63" s="1">
        <v>-49.46</v>
      </c>
      <c r="D63" s="1">
        <v>35.65</v>
      </c>
      <c r="E63" s="1">
        <v>0.25</v>
      </c>
      <c r="F63" s="1">
        <v>0</v>
      </c>
      <c r="G63" s="1">
        <v>-24.54</v>
      </c>
      <c r="H63" s="1">
        <v>12</v>
      </c>
      <c r="I63" s="1">
        <v>0</v>
      </c>
      <c r="J63" s="1">
        <v>245.99</v>
      </c>
      <c r="K63" s="1">
        <v>25.31</v>
      </c>
      <c r="L63" s="1">
        <v>-30.88</v>
      </c>
      <c r="M63" s="1">
        <v>36.17</v>
      </c>
      <c r="N63" s="1">
        <v>5.63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1" cm="1">
        <f t="array" ref="U63">SUM(ABS(B63:T63))</f>
        <v>1086.5000000000002</v>
      </c>
    </row>
    <row r="64" spans="1:21" x14ac:dyDescent="0.3">
      <c r="A64" s="14">
        <v>45782.635416666664</v>
      </c>
      <c r="B64" s="1">
        <v>-625.78</v>
      </c>
      <c r="C64" s="1">
        <v>-50.41</v>
      </c>
      <c r="D64" s="1">
        <v>35.65</v>
      </c>
      <c r="E64" s="1">
        <v>39.130000000000003</v>
      </c>
      <c r="F64" s="1">
        <v>0</v>
      </c>
      <c r="G64" s="1">
        <v>-24.66</v>
      </c>
      <c r="H64" s="1">
        <v>12</v>
      </c>
      <c r="I64" s="1">
        <v>0</v>
      </c>
      <c r="J64" s="1">
        <v>250.85</v>
      </c>
      <c r="K64" s="1">
        <v>25.33</v>
      </c>
      <c r="L64" s="1">
        <v>-30.89</v>
      </c>
      <c r="M64" s="1">
        <v>36.17</v>
      </c>
      <c r="N64" s="1">
        <v>5.62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1" cm="1">
        <f t="array" ref="U64">SUM(ABS(B64:T64))</f>
        <v>1136.4899999999998</v>
      </c>
    </row>
    <row r="65" spans="1:21" x14ac:dyDescent="0.3">
      <c r="A65" s="14">
        <v>45782.645833333336</v>
      </c>
      <c r="B65" s="1">
        <v>-614.77</v>
      </c>
      <c r="C65" s="1">
        <v>-55.25</v>
      </c>
      <c r="D65" s="1">
        <v>35.619999999999997</v>
      </c>
      <c r="E65" s="1">
        <v>64.97</v>
      </c>
      <c r="F65" s="1">
        <v>0</v>
      </c>
      <c r="G65" s="1">
        <v>-24.69</v>
      </c>
      <c r="H65" s="1">
        <v>12</v>
      </c>
      <c r="I65" s="1">
        <v>0</v>
      </c>
      <c r="J65" s="1">
        <v>274.13</v>
      </c>
      <c r="K65" s="1">
        <v>25.34</v>
      </c>
      <c r="L65" s="1">
        <v>-30.88</v>
      </c>
      <c r="M65" s="1">
        <v>36.159999999999997</v>
      </c>
      <c r="N65" s="1">
        <v>5.62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1" cm="1">
        <f t="array" ref="U65">SUM(ABS(B65:T65))</f>
        <v>1179.43</v>
      </c>
    </row>
    <row r="66" spans="1:21" x14ac:dyDescent="0.3">
      <c r="A66" s="14">
        <v>45782.65625</v>
      </c>
      <c r="B66" s="1">
        <v>-613.05999999999995</v>
      </c>
      <c r="C66" s="1">
        <v>-55.24</v>
      </c>
      <c r="D66" s="1">
        <v>35.630000000000003</v>
      </c>
      <c r="E66" s="1">
        <v>96.31</v>
      </c>
      <c r="F66" s="1">
        <v>0</v>
      </c>
      <c r="G66" s="1">
        <v>-24.55</v>
      </c>
      <c r="H66" s="1">
        <v>12</v>
      </c>
      <c r="I66" s="1">
        <v>0</v>
      </c>
      <c r="J66" s="1">
        <v>274.13</v>
      </c>
      <c r="K66" s="1">
        <v>25.29</v>
      </c>
      <c r="L66" s="1">
        <v>-30.88</v>
      </c>
      <c r="M66" s="1">
        <v>36.159999999999997</v>
      </c>
      <c r="N66" s="1">
        <v>5.63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1" cm="1">
        <f t="array" ref="U66">SUM(ABS(B66:T66))</f>
        <v>1208.8800000000003</v>
      </c>
    </row>
    <row r="67" spans="1:21" x14ac:dyDescent="0.3">
      <c r="A67" s="14">
        <v>45782.666666666664</v>
      </c>
      <c r="B67" s="1">
        <v>-450.7</v>
      </c>
      <c r="C67" s="1">
        <v>-55.24</v>
      </c>
      <c r="D67" s="1">
        <v>35.630000000000003</v>
      </c>
      <c r="E67" s="1">
        <v>96.48</v>
      </c>
      <c r="F67" s="1">
        <v>0</v>
      </c>
      <c r="G67" s="1">
        <v>-24.31</v>
      </c>
      <c r="H67" s="1">
        <v>12.01</v>
      </c>
      <c r="I67" s="1">
        <v>0</v>
      </c>
      <c r="J67" s="1">
        <v>237.06</v>
      </c>
      <c r="K67" s="1">
        <v>16.43</v>
      </c>
      <c r="L67" s="1">
        <v>-30.85</v>
      </c>
      <c r="M67" s="1">
        <v>36.159999999999997</v>
      </c>
      <c r="N67" s="1">
        <v>5.63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1" cm="1">
        <f t="array" ref="U67">SUM(ABS(B67:T67))</f>
        <v>1000.5</v>
      </c>
    </row>
    <row r="68" spans="1:21" x14ac:dyDescent="0.3">
      <c r="A68" s="14">
        <v>45782.677083333336</v>
      </c>
      <c r="B68" s="1">
        <v>-364.84</v>
      </c>
      <c r="C68" s="1">
        <v>-55.22</v>
      </c>
      <c r="D68" s="1">
        <v>35.61</v>
      </c>
      <c r="E68" s="1">
        <v>96.12</v>
      </c>
      <c r="F68" s="1">
        <v>0</v>
      </c>
      <c r="G68" s="1">
        <v>-24.26</v>
      </c>
      <c r="H68" s="1">
        <v>24</v>
      </c>
      <c r="I68" s="1">
        <v>0</v>
      </c>
      <c r="J68" s="1">
        <v>263.33999999999997</v>
      </c>
      <c r="K68" s="1">
        <v>12.75</v>
      </c>
      <c r="L68" s="1">
        <v>-30.82</v>
      </c>
      <c r="M68" s="1">
        <v>36.15</v>
      </c>
      <c r="N68" s="1">
        <v>5.63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1" cm="1">
        <f t="array" ref="U68">SUM(ABS(B68:T68))</f>
        <v>948.7399999999999</v>
      </c>
    </row>
    <row r="69" spans="1:21" x14ac:dyDescent="0.3">
      <c r="A69" s="14">
        <v>45782.6875</v>
      </c>
      <c r="B69" s="1">
        <v>-221.32</v>
      </c>
      <c r="C69" s="1">
        <v>-55.23</v>
      </c>
      <c r="D69" s="1">
        <v>35.619999999999997</v>
      </c>
      <c r="E69" s="1">
        <v>95.62</v>
      </c>
      <c r="F69" s="1">
        <v>0</v>
      </c>
      <c r="G69" s="1">
        <v>-24.1</v>
      </c>
      <c r="H69" s="1">
        <v>15.23</v>
      </c>
      <c r="I69" s="1">
        <v>0</v>
      </c>
      <c r="J69" s="1">
        <v>273.52999999999997</v>
      </c>
      <c r="K69" s="1">
        <v>12.72</v>
      </c>
      <c r="L69" s="1">
        <v>-30.83</v>
      </c>
      <c r="M69" s="1">
        <v>36.18</v>
      </c>
      <c r="N69" s="1">
        <v>5.62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1" cm="1">
        <f t="array" ref="U69">SUM(ABS(B69:T69))</f>
        <v>806.00000000000011</v>
      </c>
    </row>
    <row r="70" spans="1:21" x14ac:dyDescent="0.3">
      <c r="A70" s="14">
        <v>45782.697916666664</v>
      </c>
      <c r="B70" s="1">
        <v>-224.81</v>
      </c>
      <c r="C70" s="1">
        <v>-55.22</v>
      </c>
      <c r="D70" s="1">
        <v>35.630000000000003</v>
      </c>
      <c r="E70" s="1">
        <v>97.81</v>
      </c>
      <c r="F70" s="1">
        <v>0</v>
      </c>
      <c r="G70" s="1">
        <v>-24.46</v>
      </c>
      <c r="H70" s="1">
        <v>12</v>
      </c>
      <c r="I70" s="1">
        <v>0</v>
      </c>
      <c r="J70" s="1">
        <v>274.02</v>
      </c>
      <c r="K70" s="1">
        <v>12.71</v>
      </c>
      <c r="L70" s="1">
        <v>-30.82</v>
      </c>
      <c r="M70" s="1">
        <v>36.090000000000003</v>
      </c>
      <c r="N70" s="1">
        <v>5.62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1" cm="1">
        <f t="array" ref="U70">SUM(ABS(B70:T70))</f>
        <v>809.19</v>
      </c>
    </row>
    <row r="71" spans="1:21" x14ac:dyDescent="0.3">
      <c r="A71" s="14">
        <v>45782.708333333336</v>
      </c>
      <c r="B71" s="1">
        <v>-212.66</v>
      </c>
      <c r="C71" s="1">
        <v>-55.23</v>
      </c>
      <c r="D71" s="1">
        <v>35.61</v>
      </c>
      <c r="E71" s="1">
        <v>96.27</v>
      </c>
      <c r="F71" s="1">
        <v>0</v>
      </c>
      <c r="G71" s="1">
        <v>-24.3</v>
      </c>
      <c r="H71" s="1">
        <v>12</v>
      </c>
      <c r="I71" s="1">
        <v>0</v>
      </c>
      <c r="J71" s="1">
        <v>273.58999999999997</v>
      </c>
      <c r="K71" s="1">
        <v>12.64</v>
      </c>
      <c r="L71" s="1">
        <v>-30.83</v>
      </c>
      <c r="M71" s="1">
        <v>46.14</v>
      </c>
      <c r="N71" s="1">
        <v>5.62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1" cm="1">
        <f t="array" ref="U71">SUM(ABS(B71:T71))</f>
        <v>804.89</v>
      </c>
    </row>
    <row r="72" spans="1:21" x14ac:dyDescent="0.3">
      <c r="A72" s="14">
        <v>45782.71875</v>
      </c>
      <c r="B72" s="1">
        <v>-325.45</v>
      </c>
      <c r="C72" s="1">
        <v>-55.22</v>
      </c>
      <c r="D72" s="1">
        <v>35.6</v>
      </c>
      <c r="E72" s="1">
        <v>100.56</v>
      </c>
      <c r="F72" s="1">
        <v>0</v>
      </c>
      <c r="G72" s="1">
        <v>-24.19</v>
      </c>
      <c r="H72" s="1">
        <v>12</v>
      </c>
      <c r="I72" s="1">
        <v>0</v>
      </c>
      <c r="J72" s="1">
        <v>273.33999999999997</v>
      </c>
      <c r="K72" s="1">
        <v>12.65</v>
      </c>
      <c r="L72" s="1">
        <v>-30.82</v>
      </c>
      <c r="M72" s="1">
        <v>46.11</v>
      </c>
      <c r="N72" s="1">
        <v>5.61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1" cm="1">
        <f t="array" ref="U72">SUM(ABS(B72:T72))</f>
        <v>921.55</v>
      </c>
    </row>
    <row r="73" spans="1:21" x14ac:dyDescent="0.3">
      <c r="A73" s="14">
        <v>45782.729166666664</v>
      </c>
      <c r="B73" s="1">
        <v>-338.43</v>
      </c>
      <c r="C73" s="1">
        <v>-55.23</v>
      </c>
      <c r="D73" s="1">
        <v>35.630000000000003</v>
      </c>
      <c r="E73" s="1">
        <v>119.16</v>
      </c>
      <c r="F73" s="1">
        <v>0</v>
      </c>
      <c r="G73" s="1">
        <v>-23.7</v>
      </c>
      <c r="H73" s="1">
        <v>12</v>
      </c>
      <c r="I73" s="1">
        <v>0</v>
      </c>
      <c r="J73" s="1">
        <v>271.25</v>
      </c>
      <c r="K73" s="1">
        <v>12.63</v>
      </c>
      <c r="L73" s="1">
        <v>-30.84</v>
      </c>
      <c r="M73" s="1">
        <v>54.21</v>
      </c>
      <c r="N73" s="1">
        <v>5.61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1" cm="1">
        <f t="array" ref="U73">SUM(ABS(B73:T73))</f>
        <v>958.69000000000017</v>
      </c>
    </row>
    <row r="74" spans="1:21" x14ac:dyDescent="0.3">
      <c r="A74" s="14">
        <v>45782.739583333336</v>
      </c>
      <c r="B74" s="1">
        <v>-282.25</v>
      </c>
      <c r="C74" s="1">
        <v>-55.2</v>
      </c>
      <c r="D74" s="1">
        <v>35.61</v>
      </c>
      <c r="E74" s="1">
        <v>114.42</v>
      </c>
      <c r="F74" s="1">
        <v>0</v>
      </c>
      <c r="G74" s="1">
        <v>-24.41</v>
      </c>
      <c r="H74" s="1">
        <v>12</v>
      </c>
      <c r="I74" s="1">
        <v>0</v>
      </c>
      <c r="J74" s="1">
        <v>265.7</v>
      </c>
      <c r="K74" s="1">
        <v>12.62</v>
      </c>
      <c r="L74" s="1">
        <v>-30.81</v>
      </c>
      <c r="M74" s="1">
        <v>54.2</v>
      </c>
      <c r="N74" s="1">
        <v>5.07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1" cm="1">
        <f t="array" ref="U74">SUM(ABS(B74:T74))</f>
        <v>892.29000000000019</v>
      </c>
    </row>
    <row r="75" spans="1:21" x14ac:dyDescent="0.3">
      <c r="A75" s="14">
        <v>45782.75</v>
      </c>
      <c r="B75" s="1">
        <v>-172.36</v>
      </c>
      <c r="C75" s="1">
        <v>-55.16</v>
      </c>
      <c r="D75" s="1">
        <v>35.58</v>
      </c>
      <c r="E75" s="1">
        <v>109.95</v>
      </c>
      <c r="F75" s="1">
        <v>0</v>
      </c>
      <c r="G75" s="1">
        <v>-33.450000000000003</v>
      </c>
      <c r="H75" s="1">
        <v>12</v>
      </c>
      <c r="I75" s="1">
        <v>0</v>
      </c>
      <c r="J75" s="1">
        <v>253.8</v>
      </c>
      <c r="K75" s="1">
        <v>15.68</v>
      </c>
      <c r="L75" s="1">
        <v>-30.86</v>
      </c>
      <c r="M75" s="1">
        <v>54.23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1" cm="1">
        <f t="array" ref="U75">SUM(ABS(B75:T75))</f>
        <v>773.06999999999994</v>
      </c>
    </row>
    <row r="76" spans="1:21" x14ac:dyDescent="0.3">
      <c r="A76" s="14">
        <v>45782.760416666664</v>
      </c>
      <c r="B76" s="1">
        <v>-240.22</v>
      </c>
      <c r="C76" s="1">
        <v>-55.2</v>
      </c>
      <c r="D76" s="1">
        <v>35.590000000000003</v>
      </c>
      <c r="E76" s="1">
        <v>124.52</v>
      </c>
      <c r="F76" s="1">
        <v>14.33</v>
      </c>
      <c r="G76" s="1">
        <v>-54.44</v>
      </c>
      <c r="H76" s="1">
        <v>12</v>
      </c>
      <c r="I76" s="1">
        <v>0</v>
      </c>
      <c r="J76" s="1">
        <v>265.02999999999997</v>
      </c>
      <c r="K76" s="1">
        <v>19.02</v>
      </c>
      <c r="L76" s="1">
        <v>-30.84</v>
      </c>
      <c r="M76" s="1">
        <v>54.22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1" cm="1">
        <f t="array" ref="U76">SUM(ABS(B76:T76))</f>
        <v>905.41</v>
      </c>
    </row>
    <row r="77" spans="1:21" x14ac:dyDescent="0.3">
      <c r="A77" s="14">
        <v>45782.770833333336</v>
      </c>
      <c r="B77" s="1">
        <v>-370.56</v>
      </c>
      <c r="C77" s="1">
        <v>-55.18</v>
      </c>
      <c r="D77" s="1">
        <v>35.6</v>
      </c>
      <c r="E77" s="1">
        <v>133.87</v>
      </c>
      <c r="F77" s="1">
        <v>73.63</v>
      </c>
      <c r="G77" s="1">
        <v>-54.75</v>
      </c>
      <c r="H77" s="1">
        <v>37.83</v>
      </c>
      <c r="I77" s="1">
        <v>0</v>
      </c>
      <c r="J77" s="1">
        <v>259.7</v>
      </c>
      <c r="K77" s="1">
        <v>21.44</v>
      </c>
      <c r="L77" s="1">
        <v>-30.87</v>
      </c>
      <c r="M77" s="1">
        <v>54.22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1" cm="1">
        <f t="array" ref="U77">SUM(ABS(B77:T77))</f>
        <v>1127.6500000000001</v>
      </c>
    </row>
    <row r="78" spans="1:21" x14ac:dyDescent="0.3">
      <c r="A78" s="14">
        <v>45782.78125</v>
      </c>
      <c r="B78" s="1">
        <v>-559.94000000000005</v>
      </c>
      <c r="C78" s="1">
        <v>-55.2</v>
      </c>
      <c r="D78" s="1">
        <v>35.64</v>
      </c>
      <c r="E78" s="1">
        <v>172.31</v>
      </c>
      <c r="F78" s="1">
        <v>107.31</v>
      </c>
      <c r="G78" s="1">
        <v>-56.48</v>
      </c>
      <c r="H78" s="1">
        <v>63.8</v>
      </c>
      <c r="I78" s="1">
        <v>0</v>
      </c>
      <c r="J78" s="1">
        <v>267.66000000000003</v>
      </c>
      <c r="K78" s="1">
        <v>39.25</v>
      </c>
      <c r="L78" s="1">
        <v>-30.89</v>
      </c>
      <c r="M78" s="1">
        <v>54.22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1" cm="1">
        <f t="array" ref="U78">SUM(ABS(B78:T78))</f>
        <v>1442.7000000000003</v>
      </c>
    </row>
    <row r="79" spans="1:21" x14ac:dyDescent="0.3">
      <c r="A79" s="14">
        <v>45782.791666666664</v>
      </c>
      <c r="B79" s="1">
        <v>-537.38</v>
      </c>
      <c r="C79" s="1">
        <v>-55.17</v>
      </c>
      <c r="D79" s="1">
        <v>35.65</v>
      </c>
      <c r="E79" s="1">
        <v>183.9</v>
      </c>
      <c r="F79" s="1">
        <v>96.5</v>
      </c>
      <c r="G79" s="1">
        <v>-55.22</v>
      </c>
      <c r="H79" s="1">
        <v>67</v>
      </c>
      <c r="I79" s="1">
        <v>0</v>
      </c>
      <c r="J79" s="1">
        <v>261.88</v>
      </c>
      <c r="K79" s="1">
        <v>50.48</v>
      </c>
      <c r="L79" s="1">
        <v>-30.92</v>
      </c>
      <c r="M79" s="1">
        <v>54.23</v>
      </c>
      <c r="N79" s="1">
        <v>4.21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1" cm="1">
        <f t="array" ref="U79">SUM(ABS(B79:T79))</f>
        <v>1432.54</v>
      </c>
    </row>
    <row r="80" spans="1:21" x14ac:dyDescent="0.3">
      <c r="A80" s="14">
        <v>45782.802083333336</v>
      </c>
      <c r="B80" s="1">
        <v>-572.08000000000004</v>
      </c>
      <c r="C80" s="1">
        <v>-55.2</v>
      </c>
      <c r="D80" s="1">
        <v>35.799999999999997</v>
      </c>
      <c r="E80" s="1">
        <v>188.64</v>
      </c>
      <c r="F80" s="1">
        <v>90.39</v>
      </c>
      <c r="G80" s="1">
        <v>-56.59</v>
      </c>
      <c r="H80" s="1">
        <v>67</v>
      </c>
      <c r="I80" s="1">
        <v>0</v>
      </c>
      <c r="J80" s="1">
        <v>268.22000000000003</v>
      </c>
      <c r="K80" s="1">
        <v>50.63</v>
      </c>
      <c r="L80" s="1">
        <v>-30.93</v>
      </c>
      <c r="M80" s="1">
        <v>54.22</v>
      </c>
      <c r="N80" s="1">
        <v>5.12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1" cm="1">
        <f t="array" ref="U80">SUM(ABS(B80:T80))</f>
        <v>1474.8200000000002</v>
      </c>
    </row>
    <row r="81" spans="1:21" x14ac:dyDescent="0.3">
      <c r="A81" s="14">
        <v>45782.8125</v>
      </c>
      <c r="B81" s="1">
        <v>-575.70000000000005</v>
      </c>
      <c r="C81" s="1">
        <v>-55.21</v>
      </c>
      <c r="D81" s="1">
        <v>35.86</v>
      </c>
      <c r="E81" s="1">
        <v>192.39</v>
      </c>
      <c r="F81" s="1">
        <v>90.37</v>
      </c>
      <c r="G81" s="1">
        <v>-57.77</v>
      </c>
      <c r="H81" s="1">
        <v>67</v>
      </c>
      <c r="I81" s="1">
        <v>0</v>
      </c>
      <c r="J81" s="1">
        <v>272.66000000000003</v>
      </c>
      <c r="K81" s="1">
        <v>50.62</v>
      </c>
      <c r="L81" s="1">
        <v>-30.94</v>
      </c>
      <c r="M81" s="1">
        <v>54.23</v>
      </c>
      <c r="N81" s="1">
        <v>5.12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1" cm="1">
        <f t="array" ref="U81">SUM(ABS(B81:T81))</f>
        <v>1487.8700000000001</v>
      </c>
    </row>
    <row r="82" spans="1:21" x14ac:dyDescent="0.3">
      <c r="A82" s="14">
        <v>45782.822916666664</v>
      </c>
      <c r="B82" s="1">
        <v>-587.74</v>
      </c>
      <c r="C82" s="1">
        <v>-55.18</v>
      </c>
      <c r="D82" s="1">
        <v>35.880000000000003</v>
      </c>
      <c r="E82" s="1">
        <v>190.26</v>
      </c>
      <c r="F82" s="1">
        <v>90.3</v>
      </c>
      <c r="G82" s="1">
        <v>-56.98</v>
      </c>
      <c r="H82" s="1">
        <v>67</v>
      </c>
      <c r="I82" s="1">
        <v>0</v>
      </c>
      <c r="J82" s="1">
        <v>270.17</v>
      </c>
      <c r="K82" s="1">
        <v>50.65</v>
      </c>
      <c r="L82" s="1">
        <v>-30.93</v>
      </c>
      <c r="M82" s="1">
        <v>54.21</v>
      </c>
      <c r="N82" s="1">
        <v>5.12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1" cm="1">
        <f t="array" ref="U82">SUM(ABS(B82:T82))</f>
        <v>1494.42</v>
      </c>
    </row>
    <row r="83" spans="1:21" x14ac:dyDescent="0.3">
      <c r="A83" s="14">
        <v>45782.833333333336</v>
      </c>
      <c r="B83" s="1">
        <v>-545.58000000000004</v>
      </c>
      <c r="C83" s="1">
        <v>-55.17</v>
      </c>
      <c r="D83" s="1">
        <v>35.880000000000003</v>
      </c>
      <c r="E83" s="1">
        <v>188.8</v>
      </c>
      <c r="F83" s="1">
        <v>90.26</v>
      </c>
      <c r="G83" s="1">
        <v>-56.67</v>
      </c>
      <c r="H83" s="1">
        <v>67</v>
      </c>
      <c r="I83" s="1">
        <v>0</v>
      </c>
      <c r="J83" s="1">
        <v>268.58999999999997</v>
      </c>
      <c r="K83" s="1">
        <v>50.65</v>
      </c>
      <c r="L83" s="1">
        <v>-30.93</v>
      </c>
      <c r="M83" s="1">
        <v>54.23</v>
      </c>
      <c r="N83" s="1">
        <v>5.12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1" cm="1">
        <f t="array" ref="U83">SUM(ABS(B83:T83))</f>
        <v>1448.88</v>
      </c>
    </row>
    <row r="84" spans="1:21" x14ac:dyDescent="0.3">
      <c r="A84" s="14">
        <v>45782.84375</v>
      </c>
      <c r="B84" s="1">
        <v>-517.04999999999995</v>
      </c>
      <c r="C84" s="1">
        <v>-55.17</v>
      </c>
      <c r="D84" s="1">
        <v>35.869999999999997</v>
      </c>
      <c r="E84" s="1">
        <v>191.29</v>
      </c>
      <c r="F84" s="1">
        <v>90.26</v>
      </c>
      <c r="G84" s="1">
        <v>-57.36</v>
      </c>
      <c r="H84" s="1">
        <v>67</v>
      </c>
      <c r="I84" s="1">
        <v>0</v>
      </c>
      <c r="J84" s="1">
        <v>271.27999999999997</v>
      </c>
      <c r="K84" s="1">
        <v>50.64</v>
      </c>
      <c r="L84" s="1">
        <v>-30.93</v>
      </c>
      <c r="M84" s="1">
        <v>54.22</v>
      </c>
      <c r="N84" s="1">
        <v>5.12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1" cm="1">
        <f t="array" ref="U84">SUM(ABS(B84:T84))</f>
        <v>1426.1899999999998</v>
      </c>
    </row>
    <row r="85" spans="1:21" x14ac:dyDescent="0.3">
      <c r="A85" s="14">
        <v>45782.854166666664</v>
      </c>
      <c r="B85" s="1">
        <v>-585.39</v>
      </c>
      <c r="C85" s="1">
        <v>-55.18</v>
      </c>
      <c r="D85" s="1">
        <v>35.89</v>
      </c>
      <c r="E85" s="1">
        <v>192.9</v>
      </c>
      <c r="F85" s="1">
        <v>90.3</v>
      </c>
      <c r="G85" s="1">
        <v>-58.23</v>
      </c>
      <c r="H85" s="1">
        <v>67</v>
      </c>
      <c r="I85" s="1">
        <v>0</v>
      </c>
      <c r="J85" s="1">
        <v>272.54000000000002</v>
      </c>
      <c r="K85" s="1">
        <v>50.66</v>
      </c>
      <c r="L85" s="1">
        <v>-30.94</v>
      </c>
      <c r="M85" s="1">
        <v>54.22</v>
      </c>
      <c r="N85" s="1">
        <v>5.12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1" cm="1">
        <f t="array" ref="U85">SUM(ABS(B85:T85))</f>
        <v>1498.37</v>
      </c>
    </row>
    <row r="86" spans="1:21" x14ac:dyDescent="0.3">
      <c r="A86" s="14">
        <v>45782.864583333336</v>
      </c>
      <c r="B86" s="1">
        <v>-605.70000000000005</v>
      </c>
      <c r="C86" s="1">
        <v>-55.2</v>
      </c>
      <c r="D86" s="1">
        <v>35.880000000000003</v>
      </c>
      <c r="E86" s="1">
        <v>193.3</v>
      </c>
      <c r="F86" s="1">
        <v>90.27</v>
      </c>
      <c r="G86" s="1">
        <v>-58.59</v>
      </c>
      <c r="H86" s="1">
        <v>67</v>
      </c>
      <c r="I86" s="1">
        <v>0</v>
      </c>
      <c r="J86" s="1">
        <v>272.60000000000002</v>
      </c>
      <c r="K86" s="1">
        <v>50.67</v>
      </c>
      <c r="L86" s="1">
        <v>-30.94</v>
      </c>
      <c r="M86" s="1">
        <v>54.22</v>
      </c>
      <c r="N86" s="1">
        <v>5.12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1" cm="1">
        <f t="array" ref="U86">SUM(ABS(B86:T86))</f>
        <v>1519.49</v>
      </c>
    </row>
    <row r="87" spans="1:21" x14ac:dyDescent="0.3">
      <c r="A87" s="14">
        <v>45782.875</v>
      </c>
      <c r="B87" s="1">
        <v>-610.13</v>
      </c>
      <c r="C87" s="1">
        <v>-55.22</v>
      </c>
      <c r="D87" s="1">
        <v>35.880000000000003</v>
      </c>
      <c r="E87" s="1">
        <v>194.03</v>
      </c>
      <c r="F87" s="1">
        <v>90.24</v>
      </c>
      <c r="G87" s="1">
        <v>-58.45</v>
      </c>
      <c r="H87" s="1">
        <v>67</v>
      </c>
      <c r="I87" s="1">
        <v>0</v>
      </c>
      <c r="J87" s="1">
        <v>272.55</v>
      </c>
      <c r="K87" s="1">
        <v>50.71</v>
      </c>
      <c r="L87" s="1">
        <v>-30.94</v>
      </c>
      <c r="M87" s="1">
        <v>54.22</v>
      </c>
      <c r="N87" s="1">
        <v>5.2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1" cm="1">
        <f t="array" ref="U87">SUM(ABS(B87:T87))</f>
        <v>1524.5700000000002</v>
      </c>
    </row>
    <row r="88" spans="1:21" x14ac:dyDescent="0.3">
      <c r="A88" s="14">
        <v>45782.885416666664</v>
      </c>
      <c r="B88" s="1">
        <v>-592.03</v>
      </c>
      <c r="C88" s="1">
        <v>-55.18</v>
      </c>
      <c r="D88" s="1">
        <v>35.9</v>
      </c>
      <c r="E88" s="1">
        <v>190.99</v>
      </c>
      <c r="F88" s="1">
        <v>90.13</v>
      </c>
      <c r="G88" s="1">
        <v>-57.41</v>
      </c>
      <c r="H88" s="1">
        <v>67</v>
      </c>
      <c r="I88" s="1">
        <v>0</v>
      </c>
      <c r="J88" s="1">
        <v>271.98</v>
      </c>
      <c r="K88" s="1">
        <v>28.65</v>
      </c>
      <c r="L88" s="1">
        <v>-30.88</v>
      </c>
      <c r="M88" s="1">
        <v>54.23</v>
      </c>
      <c r="N88" s="1">
        <v>10.29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1" cm="1">
        <f t="array" ref="U88">SUM(ABS(B88:T88))</f>
        <v>1484.67</v>
      </c>
    </row>
    <row r="89" spans="1:21" x14ac:dyDescent="0.3">
      <c r="A89" s="14">
        <v>45782.895833333336</v>
      </c>
      <c r="B89" s="1">
        <v>-601.62</v>
      </c>
      <c r="C89" s="1">
        <v>-55.22</v>
      </c>
      <c r="D89" s="1">
        <v>35.92</v>
      </c>
      <c r="E89" s="1">
        <v>193.38</v>
      </c>
      <c r="F89" s="1">
        <v>102.23</v>
      </c>
      <c r="G89" s="1">
        <v>-58</v>
      </c>
      <c r="H89" s="1">
        <v>67</v>
      </c>
      <c r="I89" s="1">
        <v>0</v>
      </c>
      <c r="J89" s="1">
        <v>272.68</v>
      </c>
      <c r="K89" s="1">
        <v>25.77</v>
      </c>
      <c r="L89" s="1">
        <v>-30.9</v>
      </c>
      <c r="M89" s="1">
        <v>54.24</v>
      </c>
      <c r="N89" s="1">
        <v>10.3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1" cm="1">
        <f t="array" ref="U89">SUM(ABS(B89:T89))</f>
        <v>1507.26</v>
      </c>
    </row>
    <row r="90" spans="1:21" x14ac:dyDescent="0.3">
      <c r="A90" s="14">
        <v>45782.90625</v>
      </c>
      <c r="B90" s="1">
        <v>-601.22</v>
      </c>
      <c r="C90" s="1">
        <v>-55.16</v>
      </c>
      <c r="D90" s="1">
        <v>35.9</v>
      </c>
      <c r="E90" s="1">
        <v>193.13</v>
      </c>
      <c r="F90" s="1">
        <v>117.27</v>
      </c>
      <c r="G90" s="1">
        <v>-57.81</v>
      </c>
      <c r="H90" s="1">
        <v>67</v>
      </c>
      <c r="I90" s="1">
        <v>0</v>
      </c>
      <c r="J90" s="1">
        <v>272.69</v>
      </c>
      <c r="K90" s="1">
        <v>25.76</v>
      </c>
      <c r="L90" s="1">
        <v>-30.87</v>
      </c>
      <c r="M90" s="1">
        <v>54.22</v>
      </c>
      <c r="N90" s="1">
        <v>10.31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1" cm="1">
        <f t="array" ref="U90">SUM(ABS(B90:T90))</f>
        <v>1521.34</v>
      </c>
    </row>
    <row r="91" spans="1:21" x14ac:dyDescent="0.3">
      <c r="A91" s="14">
        <v>45782.916666666664</v>
      </c>
      <c r="B91" s="1">
        <v>-618.37</v>
      </c>
      <c r="C91" s="1">
        <v>-55.17</v>
      </c>
      <c r="D91" s="1">
        <v>35.94</v>
      </c>
      <c r="E91" s="1">
        <v>195.41</v>
      </c>
      <c r="F91" s="1">
        <v>117</v>
      </c>
      <c r="G91" s="1">
        <v>-58.57</v>
      </c>
      <c r="H91" s="1">
        <v>67</v>
      </c>
      <c r="I91" s="1">
        <v>0</v>
      </c>
      <c r="J91" s="1">
        <v>272.7</v>
      </c>
      <c r="K91" s="1">
        <v>35.659999999999997</v>
      </c>
      <c r="L91" s="1">
        <v>-30.94</v>
      </c>
      <c r="M91" s="1">
        <v>54.23</v>
      </c>
      <c r="N91" s="1">
        <v>10.31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1" cm="1">
        <f t="array" ref="U91">SUM(ABS(B91:T91))</f>
        <v>1551.3000000000002</v>
      </c>
    </row>
    <row r="92" spans="1:21" x14ac:dyDescent="0.3">
      <c r="A92" s="14">
        <v>45782.927083333336</v>
      </c>
      <c r="B92" s="1">
        <v>-689.49</v>
      </c>
      <c r="C92" s="1">
        <v>-55.13</v>
      </c>
      <c r="D92" s="1">
        <v>35.93</v>
      </c>
      <c r="E92" s="1">
        <v>190.27</v>
      </c>
      <c r="F92" s="1">
        <v>116.86</v>
      </c>
      <c r="G92" s="1">
        <v>-58.06</v>
      </c>
      <c r="H92" s="1">
        <v>67</v>
      </c>
      <c r="I92" s="1">
        <v>0</v>
      </c>
      <c r="J92" s="1">
        <v>272.77999999999997</v>
      </c>
      <c r="K92" s="1">
        <v>50.74</v>
      </c>
      <c r="L92" s="1">
        <v>-30.89</v>
      </c>
      <c r="M92" s="1">
        <v>54.21</v>
      </c>
      <c r="N92" s="1">
        <v>10.32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1" cm="1">
        <f t="array" ref="U92">SUM(ABS(B92:T92))</f>
        <v>1631.6799999999998</v>
      </c>
    </row>
    <row r="93" spans="1:21" x14ac:dyDescent="0.3">
      <c r="A93" s="14">
        <v>45782.9375</v>
      </c>
      <c r="B93" s="1">
        <v>-528.21</v>
      </c>
      <c r="C93" s="1">
        <v>-55.16</v>
      </c>
      <c r="D93" s="1">
        <v>35.950000000000003</v>
      </c>
      <c r="E93" s="1">
        <v>192.25</v>
      </c>
      <c r="F93" s="1">
        <v>116.77</v>
      </c>
      <c r="G93" s="1">
        <v>-58.07</v>
      </c>
      <c r="H93" s="1">
        <v>67</v>
      </c>
      <c r="I93" s="1">
        <v>0</v>
      </c>
      <c r="J93" s="1">
        <v>272.75</v>
      </c>
      <c r="K93" s="1">
        <v>50.69</v>
      </c>
      <c r="L93" s="1">
        <v>-30.91</v>
      </c>
      <c r="M93" s="1">
        <v>54.23</v>
      </c>
      <c r="N93" s="1">
        <v>10.3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1" cm="1">
        <f t="array" ref="U93">SUM(ABS(B93:T93))</f>
        <v>1472.2900000000002</v>
      </c>
    </row>
    <row r="94" spans="1:21" x14ac:dyDescent="0.3">
      <c r="A94" s="14">
        <v>45782.947916666664</v>
      </c>
      <c r="B94" s="1">
        <v>-408.61</v>
      </c>
      <c r="C94" s="1">
        <v>-55.18</v>
      </c>
      <c r="D94" s="1">
        <v>35.97</v>
      </c>
      <c r="E94" s="1">
        <v>194.22</v>
      </c>
      <c r="F94" s="1">
        <v>116.69</v>
      </c>
      <c r="G94" s="1">
        <v>-58.57</v>
      </c>
      <c r="H94" s="1">
        <v>67</v>
      </c>
      <c r="I94" s="1">
        <v>0</v>
      </c>
      <c r="J94" s="1">
        <v>272.43</v>
      </c>
      <c r="K94" s="1">
        <v>50.75</v>
      </c>
      <c r="L94" s="1">
        <v>-30.93</v>
      </c>
      <c r="M94" s="1">
        <v>54.22</v>
      </c>
      <c r="N94" s="1">
        <v>10.31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1" cm="1">
        <f t="array" ref="U94">SUM(ABS(B94:T94))</f>
        <v>1354.88</v>
      </c>
    </row>
    <row r="95" spans="1:21" x14ac:dyDescent="0.3">
      <c r="A95" s="14">
        <v>45782.958333333336</v>
      </c>
      <c r="B95" s="1">
        <v>-518.41999999999996</v>
      </c>
      <c r="C95" s="1">
        <v>-55.2</v>
      </c>
      <c r="D95" s="1">
        <v>35.979999999999997</v>
      </c>
      <c r="E95" s="1">
        <v>196.36</v>
      </c>
      <c r="F95" s="1">
        <v>116.65</v>
      </c>
      <c r="G95" s="1">
        <v>-58.59</v>
      </c>
      <c r="H95" s="1">
        <v>67</v>
      </c>
      <c r="I95" s="1">
        <v>0</v>
      </c>
      <c r="J95" s="1">
        <v>272.55</v>
      </c>
      <c r="K95" s="1">
        <v>50.75</v>
      </c>
      <c r="L95" s="1">
        <v>-30.95</v>
      </c>
      <c r="M95" s="1">
        <v>54.23</v>
      </c>
      <c r="N95" s="1">
        <v>10.3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1" cm="1">
        <f t="array" ref="U95">SUM(ABS(B95:T95))</f>
        <v>1466.98</v>
      </c>
    </row>
    <row r="96" spans="1:21" x14ac:dyDescent="0.3">
      <c r="A96" s="14">
        <v>45782.96875</v>
      </c>
      <c r="B96" s="1">
        <v>-675.96</v>
      </c>
      <c r="C96" s="1">
        <v>-55.19</v>
      </c>
      <c r="D96" s="1">
        <v>35.950000000000003</v>
      </c>
      <c r="E96" s="1">
        <v>194.72</v>
      </c>
      <c r="F96" s="1">
        <v>116.57</v>
      </c>
      <c r="G96" s="1">
        <v>-58.25</v>
      </c>
      <c r="H96" s="1">
        <v>67</v>
      </c>
      <c r="I96" s="1">
        <v>0</v>
      </c>
      <c r="J96" s="1">
        <v>272.60000000000002</v>
      </c>
      <c r="K96" s="1">
        <v>50.78</v>
      </c>
      <c r="L96" s="1">
        <v>-30.93</v>
      </c>
      <c r="M96" s="1">
        <v>54.23</v>
      </c>
      <c r="N96" s="1">
        <v>10.31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1" cm="1">
        <f t="array" ref="U96">SUM(ABS(B96:T96))</f>
        <v>1622.4900000000002</v>
      </c>
    </row>
    <row r="97" spans="1:21" x14ac:dyDescent="0.3">
      <c r="A97" s="14">
        <v>45782.979166666664</v>
      </c>
      <c r="B97" s="1">
        <v>-669.82</v>
      </c>
      <c r="C97" s="1">
        <v>-55.21</v>
      </c>
      <c r="D97" s="1">
        <v>35.950000000000003</v>
      </c>
      <c r="E97" s="1">
        <v>192.11</v>
      </c>
      <c r="F97" s="1">
        <v>116.43</v>
      </c>
      <c r="G97" s="1">
        <v>-57.5</v>
      </c>
      <c r="H97" s="1">
        <v>67</v>
      </c>
      <c r="I97" s="1">
        <v>0</v>
      </c>
      <c r="J97" s="1">
        <v>272.57</v>
      </c>
      <c r="K97" s="1">
        <v>34.31</v>
      </c>
      <c r="L97" s="1">
        <v>-30.96</v>
      </c>
      <c r="M97" s="1">
        <v>54.22</v>
      </c>
      <c r="N97" s="1">
        <v>10.29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1" cm="1">
        <f t="array" ref="U97">SUM(ABS(B97:T97))</f>
        <v>1596.3700000000001</v>
      </c>
    </row>
    <row r="98" spans="1:21" x14ac:dyDescent="0.3">
      <c r="A98" s="14">
        <v>45782.989583333336</v>
      </c>
      <c r="B98" s="1">
        <v>-714.21</v>
      </c>
      <c r="C98" s="1">
        <v>-55.21</v>
      </c>
      <c r="D98" s="1">
        <v>35.94</v>
      </c>
      <c r="E98" s="1">
        <v>190.89</v>
      </c>
      <c r="F98" s="1">
        <v>116.31</v>
      </c>
      <c r="G98" s="1">
        <v>-56.99</v>
      </c>
      <c r="H98" s="1">
        <v>67</v>
      </c>
      <c r="I98" s="1">
        <v>0</v>
      </c>
      <c r="J98" s="1">
        <v>272.62</v>
      </c>
      <c r="K98" s="1">
        <v>25.69</v>
      </c>
      <c r="L98" s="1">
        <v>-31.01</v>
      </c>
      <c r="M98" s="1">
        <v>54.23</v>
      </c>
      <c r="N98" s="1">
        <v>10.29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1" cm="1">
        <f t="array" ref="U98">SUM(ABS(B98:T98))</f>
        <v>1630.39</v>
      </c>
    </row>
    <row r="99" spans="1:21" x14ac:dyDescent="0.3">
      <c r="A99" s="14">
        <v>45813</v>
      </c>
      <c r="B99" s="1">
        <v>-733.97</v>
      </c>
      <c r="C99" s="1">
        <v>-55.21</v>
      </c>
      <c r="D99" s="1">
        <v>35.979999999999997</v>
      </c>
      <c r="E99" s="1">
        <v>192.57</v>
      </c>
      <c r="F99" s="1">
        <v>116.22</v>
      </c>
      <c r="G99" s="1">
        <v>-57.37</v>
      </c>
      <c r="H99" s="1">
        <v>65.06</v>
      </c>
      <c r="I99" s="1">
        <v>0</v>
      </c>
      <c r="J99" s="1">
        <v>272.77999999999997</v>
      </c>
      <c r="K99" s="1">
        <v>35.049999999999997</v>
      </c>
      <c r="L99" s="1">
        <v>-31.04</v>
      </c>
      <c r="M99" s="1">
        <v>54.23</v>
      </c>
      <c r="N99" s="1">
        <v>10.28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1" cm="1">
        <f t="array" ref="U99">SUM(ABS(B99:T99))</f>
        <v>1659.7599999999998</v>
      </c>
    </row>
    <row r="100" spans="1:21" x14ac:dyDescent="0.3">
      <c r="A100" s="14">
        <v>45813.010416666664</v>
      </c>
      <c r="B100" s="1">
        <v>-728.66</v>
      </c>
      <c r="C100" s="1">
        <v>-55.18</v>
      </c>
      <c r="D100" s="1">
        <v>35.96</v>
      </c>
      <c r="E100" s="1">
        <v>188.62</v>
      </c>
      <c r="F100" s="1">
        <v>116.07</v>
      </c>
      <c r="G100" s="1">
        <v>-56.77</v>
      </c>
      <c r="H100" s="1">
        <v>12</v>
      </c>
      <c r="I100" s="1">
        <v>0</v>
      </c>
      <c r="J100" s="1">
        <v>272.70999999999998</v>
      </c>
      <c r="K100" s="1">
        <v>38.130000000000003</v>
      </c>
      <c r="L100" s="1">
        <v>-31.04</v>
      </c>
      <c r="M100" s="1">
        <v>54.23</v>
      </c>
      <c r="N100" s="1">
        <v>10.28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1" cm="1">
        <f t="array" ref="U100">SUM(ABS(B100:T100))</f>
        <v>1599.65</v>
      </c>
    </row>
    <row r="101" spans="1:21" x14ac:dyDescent="0.3">
      <c r="A101" s="14">
        <v>45813.020833333336</v>
      </c>
      <c r="B101" s="1">
        <v>-733.65</v>
      </c>
      <c r="C101" s="1">
        <v>-55.19</v>
      </c>
      <c r="D101" s="1">
        <v>36</v>
      </c>
      <c r="E101" s="1">
        <v>189.65</v>
      </c>
      <c r="F101" s="1">
        <v>116.01</v>
      </c>
      <c r="G101" s="1">
        <v>-56.82</v>
      </c>
      <c r="H101" s="1">
        <v>12</v>
      </c>
      <c r="I101" s="1">
        <v>0</v>
      </c>
      <c r="J101" s="1">
        <v>272.85000000000002</v>
      </c>
      <c r="K101" s="1">
        <v>38.159999999999997</v>
      </c>
      <c r="L101" s="1">
        <v>-31.04</v>
      </c>
      <c r="M101" s="1">
        <v>54.23</v>
      </c>
      <c r="N101" s="1">
        <v>10.28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1" cm="1">
        <f t="array" ref="U101">SUM(ABS(B101:T101))</f>
        <v>1605.88</v>
      </c>
    </row>
    <row r="102" spans="1:21" x14ac:dyDescent="0.3">
      <c r="A102" s="14">
        <v>45813.03125</v>
      </c>
      <c r="B102" s="1">
        <v>-735.04</v>
      </c>
      <c r="C102" s="1">
        <v>-55.16</v>
      </c>
      <c r="D102" s="1">
        <v>36.03</v>
      </c>
      <c r="E102" s="1">
        <v>190.66</v>
      </c>
      <c r="F102" s="1">
        <v>115.92</v>
      </c>
      <c r="G102" s="1">
        <v>-56.91</v>
      </c>
      <c r="H102" s="1">
        <v>12</v>
      </c>
      <c r="I102" s="1">
        <v>0</v>
      </c>
      <c r="J102" s="1">
        <v>272.76</v>
      </c>
      <c r="K102" s="1">
        <v>35.07</v>
      </c>
      <c r="L102" s="1">
        <v>-31.03</v>
      </c>
      <c r="M102" s="1">
        <v>54.22</v>
      </c>
      <c r="N102" s="1">
        <v>10.3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1" cm="1">
        <f t="array" ref="U102">SUM(ABS(B102:T102))</f>
        <v>1605.1</v>
      </c>
    </row>
    <row r="103" spans="1:21" x14ac:dyDescent="0.3">
      <c r="A103" s="14">
        <v>45813.041666666664</v>
      </c>
      <c r="B103" s="1">
        <v>-731.89</v>
      </c>
      <c r="C103" s="1">
        <v>-55.14</v>
      </c>
      <c r="D103" s="1">
        <v>36.04</v>
      </c>
      <c r="E103" s="1">
        <v>189.21</v>
      </c>
      <c r="F103" s="1">
        <v>115.8</v>
      </c>
      <c r="G103" s="1">
        <v>-56.74</v>
      </c>
      <c r="H103" s="1">
        <v>12</v>
      </c>
      <c r="I103" s="1">
        <v>0</v>
      </c>
      <c r="J103" s="1">
        <v>272.62</v>
      </c>
      <c r="K103" s="1">
        <v>21.41</v>
      </c>
      <c r="L103" s="1">
        <v>-31.01</v>
      </c>
      <c r="M103" s="1">
        <v>54.22</v>
      </c>
      <c r="N103" s="1">
        <v>10.3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1" cm="1">
        <f t="array" ref="U103">SUM(ABS(B103:T103))</f>
        <v>1586.38</v>
      </c>
    </row>
    <row r="104" spans="1:21" x14ac:dyDescent="0.3">
      <c r="A104" s="14">
        <v>45813.052083333336</v>
      </c>
      <c r="B104" s="1">
        <v>-733.31</v>
      </c>
      <c r="C104" s="1">
        <v>-55.11</v>
      </c>
      <c r="D104" s="1">
        <v>36.04</v>
      </c>
      <c r="E104" s="1">
        <v>138.06</v>
      </c>
      <c r="F104" s="1">
        <v>103.23</v>
      </c>
      <c r="G104" s="1">
        <v>-56.64</v>
      </c>
      <c r="H104" s="1">
        <v>12</v>
      </c>
      <c r="I104" s="1">
        <v>0</v>
      </c>
      <c r="J104" s="1">
        <v>272.8</v>
      </c>
      <c r="K104" s="1">
        <v>19.170000000000002</v>
      </c>
      <c r="L104" s="1">
        <v>-31.02</v>
      </c>
      <c r="M104" s="1">
        <v>54.22</v>
      </c>
      <c r="N104" s="1">
        <v>10.3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1" cm="1">
        <f t="array" ref="U104">SUM(ABS(B104:T104))</f>
        <v>1521.9</v>
      </c>
    </row>
    <row r="105" spans="1:21" x14ac:dyDescent="0.3">
      <c r="A105" s="14">
        <v>45813.0625</v>
      </c>
      <c r="B105" s="1">
        <v>-734.53</v>
      </c>
      <c r="C105" s="1">
        <v>-55.14</v>
      </c>
      <c r="D105" s="1">
        <v>36.04</v>
      </c>
      <c r="E105" s="1">
        <v>78.81</v>
      </c>
      <c r="F105" s="1">
        <v>90.05</v>
      </c>
      <c r="G105" s="1">
        <v>-56.76</v>
      </c>
      <c r="H105" s="1">
        <v>12</v>
      </c>
      <c r="I105" s="1">
        <v>0</v>
      </c>
      <c r="J105" s="1">
        <v>272.77999999999997</v>
      </c>
      <c r="K105" s="1">
        <v>19.22</v>
      </c>
      <c r="L105" s="1">
        <v>-31.01</v>
      </c>
      <c r="M105" s="1">
        <v>54.22</v>
      </c>
      <c r="N105" s="1">
        <v>10.3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1" cm="1">
        <f t="array" ref="U105">SUM(ABS(B105:T105))</f>
        <v>1450.86</v>
      </c>
    </row>
    <row r="106" spans="1:21" x14ac:dyDescent="0.3">
      <c r="A106" s="14">
        <v>45813.072916666664</v>
      </c>
      <c r="B106" s="1">
        <v>-733.32</v>
      </c>
      <c r="C106" s="1">
        <v>-55.15</v>
      </c>
      <c r="D106" s="1">
        <v>36.04</v>
      </c>
      <c r="E106" s="1">
        <v>65.63</v>
      </c>
      <c r="F106" s="1">
        <v>90.97</v>
      </c>
      <c r="G106" s="1">
        <v>-56.55</v>
      </c>
      <c r="H106" s="1">
        <v>12</v>
      </c>
      <c r="I106" s="1">
        <v>0</v>
      </c>
      <c r="J106" s="1">
        <v>272.79000000000002</v>
      </c>
      <c r="K106" s="1">
        <v>19.21</v>
      </c>
      <c r="L106" s="1">
        <v>-31.01</v>
      </c>
      <c r="M106" s="1">
        <v>54.22</v>
      </c>
      <c r="N106" s="1">
        <v>10.3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1" cm="1">
        <f t="array" ref="U106">SUM(ABS(B106:T106))</f>
        <v>1437.19</v>
      </c>
    </row>
    <row r="107" spans="1:21" x14ac:dyDescent="0.3">
      <c r="A107" s="14">
        <v>45813.083333333336</v>
      </c>
      <c r="B107" s="1">
        <v>-736.61</v>
      </c>
      <c r="C107" s="1">
        <v>-55.16</v>
      </c>
      <c r="D107" s="1">
        <v>36.07</v>
      </c>
      <c r="E107" s="1">
        <v>44.92</v>
      </c>
      <c r="F107" s="1">
        <v>108.92</v>
      </c>
      <c r="G107" s="1">
        <v>-57.49</v>
      </c>
      <c r="H107" s="1">
        <v>12</v>
      </c>
      <c r="I107" s="1">
        <v>0</v>
      </c>
      <c r="J107" s="1">
        <v>272.89999999999998</v>
      </c>
      <c r="K107" s="1">
        <v>19.28</v>
      </c>
      <c r="L107" s="1">
        <v>-31.03</v>
      </c>
      <c r="M107" s="1">
        <v>54.23</v>
      </c>
      <c r="N107" s="1">
        <v>10.3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1" cm="1">
        <f t="array" ref="U107">SUM(ABS(B107:T107))</f>
        <v>1438.9099999999996</v>
      </c>
    </row>
    <row r="108" spans="1:21" x14ac:dyDescent="0.3">
      <c r="A108" s="14">
        <v>45813.09375</v>
      </c>
      <c r="B108" s="1">
        <v>-730.36</v>
      </c>
      <c r="C108" s="1">
        <v>-55.13</v>
      </c>
      <c r="D108" s="1">
        <v>36.04</v>
      </c>
      <c r="E108" s="1">
        <v>48.88</v>
      </c>
      <c r="F108" s="1">
        <v>47.28</v>
      </c>
      <c r="G108" s="1">
        <v>-56.74</v>
      </c>
      <c r="H108" s="1">
        <v>12</v>
      </c>
      <c r="I108" s="1">
        <v>0</v>
      </c>
      <c r="J108" s="1">
        <v>273.01</v>
      </c>
      <c r="K108" s="1">
        <v>16.75</v>
      </c>
      <c r="L108" s="1">
        <v>-30.99</v>
      </c>
      <c r="M108" s="1">
        <v>54.23</v>
      </c>
      <c r="N108" s="1">
        <v>10.3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1" cm="1">
        <f t="array" ref="U108">SUM(ABS(B108:T108))</f>
        <v>1371.71</v>
      </c>
    </row>
    <row r="109" spans="1:21" x14ac:dyDescent="0.3">
      <c r="A109" s="14">
        <v>45813.104166666664</v>
      </c>
      <c r="B109" s="1">
        <v>-683.07</v>
      </c>
      <c r="C109" s="1">
        <v>-55.12</v>
      </c>
      <c r="D109" s="1">
        <v>36.03</v>
      </c>
      <c r="E109" s="1">
        <v>2.1800000000000002</v>
      </c>
      <c r="F109" s="1">
        <v>0</v>
      </c>
      <c r="G109" s="1">
        <v>-56.66</v>
      </c>
      <c r="H109" s="1">
        <v>12</v>
      </c>
      <c r="I109" s="1">
        <v>0</v>
      </c>
      <c r="J109" s="1">
        <v>273.17</v>
      </c>
      <c r="K109" s="1">
        <v>12.87</v>
      </c>
      <c r="L109" s="1">
        <v>-30.99</v>
      </c>
      <c r="M109" s="1">
        <v>54.23</v>
      </c>
      <c r="N109" s="1">
        <v>10.3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1" cm="1">
        <f t="array" ref="U109">SUM(ABS(B109:T109))</f>
        <v>1226.6199999999999</v>
      </c>
    </row>
    <row r="110" spans="1:21" x14ac:dyDescent="0.3">
      <c r="A110" s="14">
        <v>45813.114583333336</v>
      </c>
      <c r="B110" s="1">
        <v>-662.27</v>
      </c>
      <c r="C110" s="1">
        <v>-55.13</v>
      </c>
      <c r="D110" s="1">
        <v>36.020000000000003</v>
      </c>
      <c r="E110" s="1">
        <v>0</v>
      </c>
      <c r="F110" s="1">
        <v>0</v>
      </c>
      <c r="G110" s="1">
        <v>-56.46</v>
      </c>
      <c r="H110" s="1">
        <v>12</v>
      </c>
      <c r="I110" s="1">
        <v>0</v>
      </c>
      <c r="J110" s="1">
        <v>273.08</v>
      </c>
      <c r="K110" s="1">
        <v>12.86</v>
      </c>
      <c r="L110" s="1">
        <v>-30.99</v>
      </c>
      <c r="M110" s="1">
        <v>54.22</v>
      </c>
      <c r="N110" s="1">
        <v>10.29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1" cm="1">
        <f t="array" ref="U110">SUM(ABS(B110:T110))</f>
        <v>1203.32</v>
      </c>
    </row>
    <row r="111" spans="1:21" x14ac:dyDescent="0.3">
      <c r="A111" s="14">
        <v>45813.125</v>
      </c>
      <c r="B111" s="1">
        <v>-662.56</v>
      </c>
      <c r="C111" s="1">
        <v>-55.08</v>
      </c>
      <c r="D111" s="1">
        <v>36.06</v>
      </c>
      <c r="E111" s="1">
        <v>0</v>
      </c>
      <c r="F111" s="1">
        <v>0</v>
      </c>
      <c r="G111" s="1">
        <v>-56.56</v>
      </c>
      <c r="H111" s="1">
        <v>12</v>
      </c>
      <c r="I111" s="1">
        <v>0</v>
      </c>
      <c r="J111" s="1">
        <v>273.18</v>
      </c>
      <c r="K111" s="1">
        <v>12.85</v>
      </c>
      <c r="L111" s="1">
        <v>-30.98</v>
      </c>
      <c r="M111" s="1">
        <v>54.23</v>
      </c>
      <c r="N111" s="1">
        <v>10.3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1" cm="1">
        <f t="array" ref="U111">SUM(ABS(B111:T111))</f>
        <v>1203.8</v>
      </c>
    </row>
    <row r="112" spans="1:21" x14ac:dyDescent="0.3">
      <c r="A112" s="14">
        <v>45813.135416666664</v>
      </c>
      <c r="B112" s="1">
        <v>-630.41999999999996</v>
      </c>
      <c r="C112" s="1">
        <v>-55.07</v>
      </c>
      <c r="D112" s="1">
        <v>36.06</v>
      </c>
      <c r="E112" s="1">
        <v>0</v>
      </c>
      <c r="F112" s="1">
        <v>0</v>
      </c>
      <c r="G112" s="1">
        <v>-56.34</v>
      </c>
      <c r="H112" s="1">
        <v>12</v>
      </c>
      <c r="I112" s="1">
        <v>0</v>
      </c>
      <c r="J112" s="1">
        <v>273.08999999999997</v>
      </c>
      <c r="K112" s="1">
        <v>12.84</v>
      </c>
      <c r="L112" s="1">
        <v>-30.97</v>
      </c>
      <c r="M112" s="1">
        <v>54.23</v>
      </c>
      <c r="N112" s="1">
        <v>10.29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1" cm="1">
        <f t="array" ref="U112">SUM(ABS(B112:T112))</f>
        <v>1171.31</v>
      </c>
    </row>
    <row r="113" spans="1:21" x14ac:dyDescent="0.3">
      <c r="A113" s="14">
        <v>45813.145833333336</v>
      </c>
      <c r="B113" s="1">
        <v>-585.15</v>
      </c>
      <c r="C113" s="1">
        <v>-55.11</v>
      </c>
      <c r="D113" s="1">
        <v>36.07</v>
      </c>
      <c r="E113" s="1">
        <v>0</v>
      </c>
      <c r="F113" s="1">
        <v>0</v>
      </c>
      <c r="G113" s="1">
        <v>-56.57</v>
      </c>
      <c r="H113" s="1">
        <v>12</v>
      </c>
      <c r="I113" s="1">
        <v>0</v>
      </c>
      <c r="J113" s="1">
        <v>273.19</v>
      </c>
      <c r="K113" s="1">
        <v>12.83</v>
      </c>
      <c r="L113" s="1">
        <v>-30.99</v>
      </c>
      <c r="M113" s="1">
        <v>54.23</v>
      </c>
      <c r="N113" s="1">
        <v>10.29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1" cm="1">
        <f t="array" ref="U113">SUM(ABS(B113:T113))</f>
        <v>1126.43</v>
      </c>
    </row>
    <row r="114" spans="1:21" x14ac:dyDescent="0.3">
      <c r="A114" s="14">
        <v>45813.15625</v>
      </c>
      <c r="B114" s="1">
        <v>-575.23</v>
      </c>
      <c r="C114" s="1">
        <v>-55.1</v>
      </c>
      <c r="D114" s="1">
        <v>36.06</v>
      </c>
      <c r="E114" s="1">
        <v>0</v>
      </c>
      <c r="F114" s="1">
        <v>0</v>
      </c>
      <c r="G114" s="1">
        <v>-56.49</v>
      </c>
      <c r="H114" s="1">
        <v>12</v>
      </c>
      <c r="I114" s="1">
        <v>0</v>
      </c>
      <c r="J114" s="1">
        <v>272.95</v>
      </c>
      <c r="K114" s="1">
        <v>12.82</v>
      </c>
      <c r="L114" s="1">
        <v>-30.98</v>
      </c>
      <c r="M114" s="1">
        <v>54.22</v>
      </c>
      <c r="N114" s="1">
        <v>10.29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1" cm="1">
        <f t="array" ref="U114">SUM(ABS(B114:T114))</f>
        <v>1116.1400000000001</v>
      </c>
    </row>
    <row r="115" spans="1:21" x14ac:dyDescent="0.3">
      <c r="A115" s="14">
        <v>45813.166666666664</v>
      </c>
      <c r="B115" s="1">
        <v>-583.51</v>
      </c>
      <c r="C115" s="1">
        <v>-55.1</v>
      </c>
      <c r="D115" s="1">
        <v>36.090000000000003</v>
      </c>
      <c r="E115" s="1">
        <v>0</v>
      </c>
      <c r="F115" s="1">
        <v>0</v>
      </c>
      <c r="G115" s="1">
        <v>-56.81</v>
      </c>
      <c r="H115" s="1">
        <v>12</v>
      </c>
      <c r="I115" s="1">
        <v>0</v>
      </c>
      <c r="J115" s="1">
        <v>272.73</v>
      </c>
      <c r="K115" s="1">
        <v>12.81</v>
      </c>
      <c r="L115" s="1">
        <v>-30.99</v>
      </c>
      <c r="M115" s="1">
        <v>54.24</v>
      </c>
      <c r="N115" s="1">
        <v>10.29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1" cm="1">
        <f t="array" ref="U115">SUM(ABS(B115:T115))</f>
        <v>1124.57</v>
      </c>
    </row>
    <row r="116" spans="1:21" x14ac:dyDescent="0.3">
      <c r="A116" s="14">
        <v>45813.177083333336</v>
      </c>
      <c r="B116" s="1">
        <v>-585.28</v>
      </c>
      <c r="C116" s="1">
        <v>-55.1</v>
      </c>
      <c r="D116" s="1">
        <v>36.090000000000003</v>
      </c>
      <c r="E116" s="1">
        <v>0</v>
      </c>
      <c r="F116" s="1">
        <v>0</v>
      </c>
      <c r="G116" s="1">
        <v>-56.67</v>
      </c>
      <c r="H116" s="1">
        <v>12</v>
      </c>
      <c r="I116" s="1">
        <v>0</v>
      </c>
      <c r="J116" s="1">
        <v>272.85000000000002</v>
      </c>
      <c r="K116" s="1">
        <v>12.8</v>
      </c>
      <c r="L116" s="1">
        <v>-30.97</v>
      </c>
      <c r="M116" s="1">
        <v>54.23</v>
      </c>
      <c r="N116" s="1">
        <v>10.29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1" cm="1">
        <f t="array" ref="U116">SUM(ABS(B116:T116))</f>
        <v>1126.28</v>
      </c>
    </row>
    <row r="117" spans="1:21" x14ac:dyDescent="0.3">
      <c r="A117" s="14">
        <v>45813.1875</v>
      </c>
      <c r="B117" s="1">
        <v>-562.07000000000005</v>
      </c>
      <c r="C117" s="1">
        <v>-55.1</v>
      </c>
      <c r="D117" s="1">
        <v>36.1</v>
      </c>
      <c r="E117" s="1">
        <v>0</v>
      </c>
      <c r="F117" s="1">
        <v>0</v>
      </c>
      <c r="G117" s="1">
        <v>-56.96</v>
      </c>
      <c r="H117" s="1">
        <v>12</v>
      </c>
      <c r="I117" s="1">
        <v>0</v>
      </c>
      <c r="J117" s="1">
        <v>272.82</v>
      </c>
      <c r="K117" s="1">
        <v>12.79</v>
      </c>
      <c r="L117" s="1">
        <v>-30.98</v>
      </c>
      <c r="M117" s="1">
        <v>54.23</v>
      </c>
      <c r="N117" s="1">
        <v>10.29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1" cm="1">
        <f t="array" ref="U117">SUM(ABS(B117:T117))</f>
        <v>1103.3400000000001</v>
      </c>
    </row>
    <row r="118" spans="1:21" x14ac:dyDescent="0.3">
      <c r="A118" s="14">
        <v>45813.197916666664</v>
      </c>
      <c r="B118" s="1">
        <v>-536.48</v>
      </c>
      <c r="C118" s="1">
        <v>-55.07</v>
      </c>
      <c r="D118" s="1">
        <v>36.1</v>
      </c>
      <c r="E118" s="1">
        <v>0</v>
      </c>
      <c r="F118" s="1">
        <v>0</v>
      </c>
      <c r="G118" s="1">
        <v>-57.12</v>
      </c>
      <c r="H118" s="1">
        <v>12</v>
      </c>
      <c r="I118" s="1">
        <v>0</v>
      </c>
      <c r="J118" s="1">
        <v>272.19</v>
      </c>
      <c r="K118" s="1">
        <v>12.78</v>
      </c>
      <c r="L118" s="1">
        <v>-30.96</v>
      </c>
      <c r="M118" s="1">
        <v>54.22</v>
      </c>
      <c r="N118" s="1">
        <v>10.28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1" cm="1">
        <f t="array" ref="U118">SUM(ABS(B118:T118))</f>
        <v>1077.2</v>
      </c>
    </row>
    <row r="119" spans="1:21" x14ac:dyDescent="0.3">
      <c r="A119" s="14">
        <v>45813.208333333336</v>
      </c>
      <c r="B119" s="1">
        <v>-520.97</v>
      </c>
      <c r="C119" s="1">
        <v>-55.05</v>
      </c>
      <c r="D119" s="1">
        <v>36.1</v>
      </c>
      <c r="E119" s="1">
        <v>0</v>
      </c>
      <c r="F119" s="1">
        <v>0</v>
      </c>
      <c r="G119" s="1">
        <v>-56.77</v>
      </c>
      <c r="H119" s="1">
        <v>12</v>
      </c>
      <c r="I119" s="1">
        <v>0</v>
      </c>
      <c r="J119" s="1">
        <v>270.83999999999997</v>
      </c>
      <c r="K119" s="1">
        <v>12.77</v>
      </c>
      <c r="L119" s="1">
        <v>-30.98</v>
      </c>
      <c r="M119" s="1">
        <v>54.23</v>
      </c>
      <c r="N119" s="1">
        <v>10.28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1" cm="1">
        <f t="array" ref="U119">SUM(ABS(B119:T119))</f>
        <v>1059.99</v>
      </c>
    </row>
    <row r="120" spans="1:21" x14ac:dyDescent="0.3">
      <c r="A120" s="14">
        <v>45813.21875</v>
      </c>
      <c r="B120" s="1">
        <v>-528.73</v>
      </c>
      <c r="C120" s="1">
        <v>-55.08</v>
      </c>
      <c r="D120" s="1">
        <v>36.130000000000003</v>
      </c>
      <c r="E120" s="1">
        <v>0</v>
      </c>
      <c r="F120" s="1">
        <v>0</v>
      </c>
      <c r="G120" s="1">
        <v>-57.2</v>
      </c>
      <c r="H120" s="1">
        <v>12</v>
      </c>
      <c r="I120" s="1">
        <v>0</v>
      </c>
      <c r="J120" s="1">
        <v>272.64999999999998</v>
      </c>
      <c r="K120" s="1">
        <v>12.78</v>
      </c>
      <c r="L120" s="1">
        <v>-30.97</v>
      </c>
      <c r="M120" s="1">
        <v>54.24</v>
      </c>
      <c r="N120" s="1">
        <v>10.28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1" cm="1">
        <f t="array" ref="U120">SUM(ABS(B120:T120))</f>
        <v>1070.06</v>
      </c>
    </row>
    <row r="121" spans="1:21" x14ac:dyDescent="0.3">
      <c r="A121" s="14">
        <v>45813.229166666664</v>
      </c>
      <c r="B121" s="1">
        <v>-540.35</v>
      </c>
      <c r="C121" s="1">
        <v>-55.1</v>
      </c>
      <c r="D121" s="1">
        <v>36.18</v>
      </c>
      <c r="E121" s="1">
        <v>0</v>
      </c>
      <c r="F121" s="1">
        <v>0</v>
      </c>
      <c r="G121" s="1">
        <v>-57.69</v>
      </c>
      <c r="H121" s="1">
        <v>12</v>
      </c>
      <c r="I121" s="1">
        <v>0</v>
      </c>
      <c r="J121" s="1">
        <v>272.83999999999997</v>
      </c>
      <c r="K121" s="1">
        <v>12.78</v>
      </c>
      <c r="L121" s="1">
        <v>-30.98</v>
      </c>
      <c r="M121" s="1">
        <v>54.23</v>
      </c>
      <c r="N121" s="1">
        <v>10.3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1" cm="1">
        <f t="array" ref="U121">SUM(ABS(B121:T121))</f>
        <v>1082.4499999999998</v>
      </c>
    </row>
    <row r="122" spans="1:21" x14ac:dyDescent="0.3">
      <c r="A122" s="14">
        <v>45813.239583333336</v>
      </c>
      <c r="B122" s="1">
        <v>-550.30999999999995</v>
      </c>
      <c r="C122" s="1">
        <v>-55.12</v>
      </c>
      <c r="D122" s="1">
        <v>36.21</v>
      </c>
      <c r="E122" s="1">
        <v>0</v>
      </c>
      <c r="F122" s="1">
        <v>0</v>
      </c>
      <c r="G122" s="1">
        <v>-57.87</v>
      </c>
      <c r="H122" s="1">
        <v>12</v>
      </c>
      <c r="I122" s="1">
        <v>0</v>
      </c>
      <c r="J122" s="1">
        <v>272.91000000000003</v>
      </c>
      <c r="K122" s="1">
        <v>12.79</v>
      </c>
      <c r="L122" s="1">
        <v>-30.95</v>
      </c>
      <c r="M122" s="1">
        <v>54.23</v>
      </c>
      <c r="N122" s="1">
        <v>10.3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1" cm="1">
        <f t="array" ref="U122">SUM(ABS(B122:T122))</f>
        <v>1092.69</v>
      </c>
    </row>
    <row r="123" spans="1:21" x14ac:dyDescent="0.3">
      <c r="A123" s="14">
        <v>45813.25</v>
      </c>
      <c r="B123" s="1">
        <v>-451.22</v>
      </c>
      <c r="C123" s="1">
        <v>-55.1</v>
      </c>
      <c r="D123" s="1">
        <v>36.21</v>
      </c>
      <c r="E123" s="1">
        <v>0</v>
      </c>
      <c r="F123" s="1">
        <v>0</v>
      </c>
      <c r="G123" s="1">
        <v>-57.65</v>
      </c>
      <c r="H123" s="1">
        <v>12</v>
      </c>
      <c r="I123" s="1">
        <v>0</v>
      </c>
      <c r="J123" s="1">
        <v>272.61</v>
      </c>
      <c r="K123" s="1">
        <v>12.78</v>
      </c>
      <c r="L123" s="1">
        <v>-30.96</v>
      </c>
      <c r="M123" s="1">
        <v>54.23</v>
      </c>
      <c r="N123" s="1">
        <v>10.3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1" cm="1">
        <f t="array" ref="U123">SUM(ABS(B123:T123))</f>
        <v>993.06000000000006</v>
      </c>
    </row>
    <row r="124" spans="1:21" x14ac:dyDescent="0.3">
      <c r="A124" s="14">
        <v>45813.260416666664</v>
      </c>
      <c r="B124" s="1">
        <v>-448.29</v>
      </c>
      <c r="C124" s="1">
        <v>-55.07</v>
      </c>
      <c r="D124" s="1">
        <v>36.22</v>
      </c>
      <c r="E124" s="1">
        <v>0</v>
      </c>
      <c r="F124" s="1">
        <v>0</v>
      </c>
      <c r="G124" s="1">
        <v>-57.51</v>
      </c>
      <c r="H124" s="1">
        <v>12</v>
      </c>
      <c r="I124" s="1">
        <v>0</v>
      </c>
      <c r="J124" s="1">
        <v>273.02</v>
      </c>
      <c r="K124" s="1">
        <v>12.78</v>
      </c>
      <c r="L124" s="1">
        <v>-30.93</v>
      </c>
      <c r="M124" s="1">
        <v>54.23</v>
      </c>
      <c r="N124" s="1">
        <v>10.29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1" cm="1">
        <f t="array" ref="U124">SUM(ABS(B124:T124))</f>
        <v>990.33999999999992</v>
      </c>
    </row>
    <row r="125" spans="1:21" x14ac:dyDescent="0.3">
      <c r="A125" s="14">
        <v>45813.270833333336</v>
      </c>
      <c r="B125" s="1">
        <v>-442.6</v>
      </c>
      <c r="C125" s="1">
        <v>-55.04</v>
      </c>
      <c r="D125" s="1">
        <v>36.200000000000003</v>
      </c>
      <c r="E125" s="1">
        <v>0</v>
      </c>
      <c r="F125" s="1">
        <v>0</v>
      </c>
      <c r="G125" s="1">
        <v>-57.39</v>
      </c>
      <c r="H125" s="1">
        <v>12</v>
      </c>
      <c r="I125" s="1">
        <v>0</v>
      </c>
      <c r="J125" s="1">
        <v>272.68</v>
      </c>
      <c r="K125" s="1">
        <v>12.78</v>
      </c>
      <c r="L125" s="1">
        <v>-30.95</v>
      </c>
      <c r="M125" s="1">
        <v>54.24</v>
      </c>
      <c r="N125" s="1">
        <v>10.28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1" cm="1">
        <f t="array" ref="U125">SUM(ABS(B125:T125))</f>
        <v>984.16000000000008</v>
      </c>
    </row>
    <row r="126" spans="1:21" x14ac:dyDescent="0.3">
      <c r="A126" s="14">
        <v>45813.28125</v>
      </c>
      <c r="B126" s="1">
        <v>-427.28</v>
      </c>
      <c r="C126" s="1">
        <v>-55.02</v>
      </c>
      <c r="D126" s="1">
        <v>36.200000000000003</v>
      </c>
      <c r="E126" s="1">
        <v>0</v>
      </c>
      <c r="F126" s="1">
        <v>0</v>
      </c>
      <c r="G126" s="1">
        <v>-57.3</v>
      </c>
      <c r="H126" s="1">
        <v>12</v>
      </c>
      <c r="I126" s="1">
        <v>0</v>
      </c>
      <c r="J126" s="1">
        <v>272.48</v>
      </c>
      <c r="K126" s="1">
        <v>12.78</v>
      </c>
      <c r="L126" s="1">
        <v>-30.94</v>
      </c>
      <c r="M126" s="1">
        <v>54.22</v>
      </c>
      <c r="N126" s="1">
        <v>10.28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1" cm="1">
        <f t="array" ref="U126">SUM(ABS(B126:T126))</f>
        <v>968.5</v>
      </c>
    </row>
    <row r="127" spans="1:21" x14ac:dyDescent="0.3">
      <c r="A127" s="14">
        <v>45813.291666666664</v>
      </c>
      <c r="B127" s="1">
        <v>-332.15</v>
      </c>
      <c r="C127" s="1">
        <v>-55.04</v>
      </c>
      <c r="D127" s="1">
        <v>36.24</v>
      </c>
      <c r="E127" s="1">
        <v>0</v>
      </c>
      <c r="F127" s="1">
        <v>0</v>
      </c>
      <c r="G127" s="1">
        <v>-57.44</v>
      </c>
      <c r="H127" s="1">
        <v>12</v>
      </c>
      <c r="I127" s="1">
        <v>0</v>
      </c>
      <c r="J127" s="1">
        <v>273.22000000000003</v>
      </c>
      <c r="K127" s="1">
        <v>12.8</v>
      </c>
      <c r="L127" s="1">
        <v>-30.95</v>
      </c>
      <c r="M127" s="1">
        <v>54.22</v>
      </c>
      <c r="N127" s="1">
        <v>10.28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1" cm="1">
        <f t="array" ref="U127">SUM(ABS(B127:T127))</f>
        <v>874.34</v>
      </c>
    </row>
    <row r="128" spans="1:21" x14ac:dyDescent="0.3">
      <c r="A128" s="14">
        <v>45813.302083333336</v>
      </c>
      <c r="B128" s="1">
        <v>-282.19</v>
      </c>
      <c r="C128" s="1">
        <v>-55.02</v>
      </c>
      <c r="D128" s="1">
        <v>36.24</v>
      </c>
      <c r="E128" s="1">
        <v>0</v>
      </c>
      <c r="F128" s="1">
        <v>0</v>
      </c>
      <c r="G128" s="1">
        <v>-56.8</v>
      </c>
      <c r="H128" s="1">
        <v>12</v>
      </c>
      <c r="I128" s="1">
        <v>0</v>
      </c>
      <c r="J128" s="1">
        <v>271.39</v>
      </c>
      <c r="K128" s="1">
        <v>12.79</v>
      </c>
      <c r="L128" s="1">
        <v>-30.94</v>
      </c>
      <c r="M128" s="1">
        <v>54.23</v>
      </c>
      <c r="N128" s="1">
        <v>10.28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1" cm="1">
        <f t="array" ref="U128">SUM(ABS(B128:T128))</f>
        <v>821.88</v>
      </c>
    </row>
    <row r="129" spans="1:21" x14ac:dyDescent="0.3">
      <c r="A129" s="14">
        <v>45813.3125</v>
      </c>
      <c r="B129" s="1">
        <v>-204.5</v>
      </c>
      <c r="C129" s="1">
        <v>-55.03</v>
      </c>
      <c r="D129" s="1">
        <v>36.22</v>
      </c>
      <c r="E129" s="1">
        <v>0</v>
      </c>
      <c r="F129" s="1">
        <v>0</v>
      </c>
      <c r="G129" s="1">
        <v>-56.98</v>
      </c>
      <c r="H129" s="1">
        <v>12</v>
      </c>
      <c r="I129" s="1">
        <v>0</v>
      </c>
      <c r="J129" s="1">
        <v>272.58999999999997</v>
      </c>
      <c r="K129" s="1">
        <v>6.27</v>
      </c>
      <c r="L129" s="1">
        <v>-30.92</v>
      </c>
      <c r="M129" s="1">
        <v>54.21</v>
      </c>
      <c r="N129" s="1">
        <v>10.28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1" cm="1">
        <f t="array" ref="U129">SUM(ABS(B129:T129))</f>
        <v>738.99999999999989</v>
      </c>
    </row>
    <row r="130" spans="1:21" x14ac:dyDescent="0.3">
      <c r="A130" s="14">
        <v>45813.322916666664</v>
      </c>
      <c r="B130" s="1">
        <v>-135.61000000000001</v>
      </c>
      <c r="C130" s="1">
        <v>-47.84</v>
      </c>
      <c r="D130" s="1">
        <v>36.24</v>
      </c>
      <c r="E130" s="1">
        <v>0</v>
      </c>
      <c r="F130" s="1">
        <v>0</v>
      </c>
      <c r="G130" s="1">
        <v>-40.96</v>
      </c>
      <c r="H130" s="1">
        <v>12</v>
      </c>
      <c r="I130" s="1">
        <v>0</v>
      </c>
      <c r="J130" s="1">
        <v>270.10000000000002</v>
      </c>
      <c r="K130" s="1">
        <v>0</v>
      </c>
      <c r="L130" s="1">
        <v>-30.93</v>
      </c>
      <c r="M130" s="1">
        <v>54.22</v>
      </c>
      <c r="N130" s="1">
        <v>10.28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1" cm="1">
        <f t="array" ref="U130">SUM(ABS(B130:T130))</f>
        <v>638.17999999999995</v>
      </c>
    </row>
    <row r="131" spans="1:21" x14ac:dyDescent="0.3">
      <c r="A131" s="14">
        <v>45813.333333333336</v>
      </c>
      <c r="B131" s="1">
        <v>-126.59</v>
      </c>
      <c r="C131" s="1">
        <v>-42.13</v>
      </c>
      <c r="D131" s="1">
        <v>36.28</v>
      </c>
      <c r="E131" s="1">
        <v>0</v>
      </c>
      <c r="F131" s="1">
        <v>0</v>
      </c>
      <c r="G131" s="1">
        <v>-24.15</v>
      </c>
      <c r="H131" s="1">
        <v>12</v>
      </c>
      <c r="I131" s="1">
        <v>0</v>
      </c>
      <c r="J131" s="1">
        <v>272.74</v>
      </c>
      <c r="K131" s="1">
        <v>0</v>
      </c>
      <c r="L131" s="1">
        <v>-30.95</v>
      </c>
      <c r="M131" s="1">
        <v>54.23</v>
      </c>
      <c r="N131" s="1">
        <v>10.28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1" cm="1">
        <f t="array" ref="U131">SUM(ABS(B131:T131))</f>
        <v>609.35</v>
      </c>
    </row>
    <row r="132" spans="1:21" x14ac:dyDescent="0.3">
      <c r="A132" s="14">
        <v>45813.34375</v>
      </c>
      <c r="B132" s="1">
        <v>-158.22</v>
      </c>
      <c r="C132" s="1">
        <v>-42.14</v>
      </c>
      <c r="D132" s="1">
        <v>36.31</v>
      </c>
      <c r="E132" s="1">
        <v>0</v>
      </c>
      <c r="F132" s="1">
        <v>0</v>
      </c>
      <c r="G132" s="1">
        <v>-24.46</v>
      </c>
      <c r="H132" s="1">
        <v>12</v>
      </c>
      <c r="I132" s="1">
        <v>0</v>
      </c>
      <c r="J132" s="1">
        <v>273.95</v>
      </c>
      <c r="K132" s="1">
        <v>0</v>
      </c>
      <c r="L132" s="1">
        <v>-30.94</v>
      </c>
      <c r="M132" s="1">
        <v>54.23</v>
      </c>
      <c r="N132" s="1">
        <v>10.27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1" cm="1">
        <f t="array" ref="U132">SUM(ABS(B132:T132))</f>
        <v>642.52</v>
      </c>
    </row>
    <row r="133" spans="1:21" x14ac:dyDescent="0.3">
      <c r="A133" s="14">
        <v>45813.354166666664</v>
      </c>
      <c r="B133" s="1">
        <v>-219.65</v>
      </c>
      <c r="C133" s="1">
        <v>-50.48</v>
      </c>
      <c r="D133" s="1">
        <v>36.32</v>
      </c>
      <c r="E133" s="1">
        <v>0</v>
      </c>
      <c r="F133" s="1">
        <v>0</v>
      </c>
      <c r="G133" s="1">
        <v>-24.53</v>
      </c>
      <c r="H133" s="1">
        <v>12</v>
      </c>
      <c r="I133" s="1">
        <v>0</v>
      </c>
      <c r="J133" s="1">
        <v>274.25</v>
      </c>
      <c r="K133" s="1">
        <v>0</v>
      </c>
      <c r="L133" s="1">
        <v>-30.95</v>
      </c>
      <c r="M133" s="1">
        <v>54.21</v>
      </c>
      <c r="N133" s="1">
        <v>10.27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1" cm="1">
        <f t="array" ref="U133">SUM(ABS(B133:T133))</f>
        <v>712.66000000000008</v>
      </c>
    </row>
    <row r="134" spans="1:21" x14ac:dyDescent="0.3">
      <c r="A134" s="14">
        <v>45813.364583333336</v>
      </c>
      <c r="B134" s="1">
        <v>-239.49</v>
      </c>
      <c r="C134" s="1">
        <v>-55.04</v>
      </c>
      <c r="D134" s="1">
        <v>36.270000000000003</v>
      </c>
      <c r="E134" s="1">
        <v>0</v>
      </c>
      <c r="F134" s="1">
        <v>0</v>
      </c>
      <c r="G134" s="1">
        <v>-24.38</v>
      </c>
      <c r="H134" s="1">
        <v>12</v>
      </c>
      <c r="I134" s="1">
        <v>0</v>
      </c>
      <c r="J134" s="1">
        <v>274.01</v>
      </c>
      <c r="K134" s="1">
        <v>0</v>
      </c>
      <c r="L134" s="1">
        <v>-30.95</v>
      </c>
      <c r="M134" s="1">
        <v>54.23</v>
      </c>
      <c r="N134" s="1">
        <v>10.27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1" cm="1">
        <f t="array" ref="U134">SUM(ABS(B134:T134))</f>
        <v>736.6400000000001</v>
      </c>
    </row>
    <row r="135" spans="1:21" x14ac:dyDescent="0.3">
      <c r="A135" s="14">
        <v>45813.375</v>
      </c>
      <c r="B135" s="1">
        <v>-155.49</v>
      </c>
      <c r="C135" s="1">
        <v>-55.02</v>
      </c>
      <c r="D135" s="1">
        <v>36.31</v>
      </c>
      <c r="E135" s="1">
        <v>0</v>
      </c>
      <c r="F135" s="1">
        <v>0</v>
      </c>
      <c r="G135" s="1">
        <v>-7.93</v>
      </c>
      <c r="H135" s="1">
        <v>12</v>
      </c>
      <c r="I135" s="1">
        <v>0</v>
      </c>
      <c r="J135" s="1">
        <v>273.47000000000003</v>
      </c>
      <c r="K135" s="1">
        <v>0</v>
      </c>
      <c r="L135" s="1">
        <v>-30.9</v>
      </c>
      <c r="M135" s="1">
        <v>54.22</v>
      </c>
      <c r="N135" s="1">
        <v>10.27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1" cm="1">
        <f t="array" ref="U135">SUM(ABS(B135:T135))</f>
        <v>635.61</v>
      </c>
    </row>
    <row r="136" spans="1:21" x14ac:dyDescent="0.3">
      <c r="A136" s="14">
        <v>45813.385416666664</v>
      </c>
      <c r="B136" s="1">
        <v>-139.44</v>
      </c>
      <c r="C136" s="1">
        <v>-49.79</v>
      </c>
      <c r="D136" s="1">
        <v>36.28</v>
      </c>
      <c r="E136" s="1">
        <v>0</v>
      </c>
      <c r="F136" s="1">
        <v>0</v>
      </c>
      <c r="G136" s="1">
        <v>0</v>
      </c>
      <c r="H136" s="1">
        <v>12</v>
      </c>
      <c r="I136" s="1">
        <v>0</v>
      </c>
      <c r="J136" s="1">
        <v>205.6</v>
      </c>
      <c r="K136" s="1">
        <v>0</v>
      </c>
      <c r="L136" s="1">
        <v>-30.82</v>
      </c>
      <c r="M136" s="1">
        <v>54.21</v>
      </c>
      <c r="N136" s="1">
        <v>10.26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1" cm="1">
        <f t="array" ref="U136">SUM(ABS(B136:T136))</f>
        <v>538.4</v>
      </c>
    </row>
    <row r="137" spans="1:21" x14ac:dyDescent="0.3">
      <c r="A137" s="14">
        <v>45813.395833333336</v>
      </c>
      <c r="B137" s="1">
        <v>-123.49</v>
      </c>
      <c r="C137" s="1">
        <v>-42.02</v>
      </c>
      <c r="D137" s="1">
        <v>36.25</v>
      </c>
      <c r="E137" s="1">
        <v>0</v>
      </c>
      <c r="F137" s="1">
        <v>0</v>
      </c>
      <c r="G137" s="1">
        <v>0</v>
      </c>
      <c r="H137" s="1">
        <v>12</v>
      </c>
      <c r="I137" s="1">
        <v>0</v>
      </c>
      <c r="J137" s="1">
        <v>126.39</v>
      </c>
      <c r="K137" s="1">
        <v>0</v>
      </c>
      <c r="L137" s="1">
        <v>-30.88</v>
      </c>
      <c r="M137" s="1">
        <v>46.16</v>
      </c>
      <c r="N137" s="1">
        <v>10.27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1" cm="1">
        <f t="array" ref="U137">SUM(ABS(B137:T137))</f>
        <v>427.45999999999992</v>
      </c>
    </row>
    <row r="138" spans="1:21" x14ac:dyDescent="0.3">
      <c r="A138" s="14">
        <v>45813.40625</v>
      </c>
      <c r="B138" s="1">
        <v>-226.35</v>
      </c>
      <c r="C138" s="1">
        <v>-42</v>
      </c>
      <c r="D138" s="1">
        <v>36.159999999999997</v>
      </c>
      <c r="E138" s="1">
        <v>0</v>
      </c>
      <c r="F138" s="1">
        <v>0</v>
      </c>
      <c r="G138" s="1">
        <v>0</v>
      </c>
      <c r="H138" s="1">
        <v>12</v>
      </c>
      <c r="I138" s="1">
        <v>0</v>
      </c>
      <c r="J138" s="1">
        <v>252.11</v>
      </c>
      <c r="K138" s="1">
        <v>0</v>
      </c>
      <c r="L138" s="1">
        <v>-30.88</v>
      </c>
      <c r="M138" s="1">
        <v>30.13</v>
      </c>
      <c r="N138" s="1">
        <v>10.27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1" cm="1">
        <f t="array" ref="U138">SUM(ABS(B138:T138))</f>
        <v>639.9</v>
      </c>
    </row>
    <row r="139" spans="1:21" x14ac:dyDescent="0.3">
      <c r="A139" s="14">
        <v>45813.416666666664</v>
      </c>
      <c r="B139" s="1">
        <v>-141.58000000000001</v>
      </c>
      <c r="C139" s="1">
        <v>-42.05</v>
      </c>
      <c r="D139" s="1">
        <v>36.17</v>
      </c>
      <c r="E139" s="1">
        <v>0</v>
      </c>
      <c r="F139" s="1">
        <v>0</v>
      </c>
      <c r="G139" s="1">
        <v>0</v>
      </c>
      <c r="H139" s="1">
        <v>12</v>
      </c>
      <c r="I139" s="1">
        <v>0</v>
      </c>
      <c r="J139" s="1">
        <v>237.76</v>
      </c>
      <c r="K139" s="1">
        <v>0</v>
      </c>
      <c r="L139" s="1">
        <v>-30.87</v>
      </c>
      <c r="M139" s="1">
        <v>30.14</v>
      </c>
      <c r="N139" s="1">
        <v>10.26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1" cm="1">
        <f t="array" ref="U139">SUM(ABS(B139:T139))</f>
        <v>540.83000000000004</v>
      </c>
    </row>
    <row r="140" spans="1:21" x14ac:dyDescent="0.3">
      <c r="A140" s="14">
        <v>45813.427083333336</v>
      </c>
      <c r="B140" s="1">
        <v>-120.22</v>
      </c>
      <c r="C140" s="1">
        <v>-42.01</v>
      </c>
      <c r="D140" s="1">
        <v>36.17</v>
      </c>
      <c r="E140" s="1">
        <v>0</v>
      </c>
      <c r="F140" s="1">
        <v>0</v>
      </c>
      <c r="G140" s="1">
        <v>0</v>
      </c>
      <c r="H140" s="1">
        <v>12</v>
      </c>
      <c r="I140" s="1">
        <v>0</v>
      </c>
      <c r="J140" s="1">
        <v>248.91</v>
      </c>
      <c r="K140" s="1">
        <v>0</v>
      </c>
      <c r="L140" s="1">
        <v>-30.85</v>
      </c>
      <c r="M140" s="1">
        <v>30.15</v>
      </c>
      <c r="N140" s="1">
        <v>10.26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1" cm="1">
        <f t="array" ref="U140">SUM(ABS(B140:T140))</f>
        <v>530.56999999999994</v>
      </c>
    </row>
    <row r="141" spans="1:21" x14ac:dyDescent="0.3">
      <c r="A141" s="14">
        <v>45813.4375</v>
      </c>
      <c r="B141" s="1">
        <v>-127.29</v>
      </c>
      <c r="C141" s="1">
        <v>-42.02</v>
      </c>
      <c r="D141" s="1">
        <v>36.159999999999997</v>
      </c>
      <c r="E141" s="1">
        <v>0</v>
      </c>
      <c r="F141" s="1">
        <v>0</v>
      </c>
      <c r="G141" s="1">
        <v>0</v>
      </c>
      <c r="H141" s="1">
        <v>12</v>
      </c>
      <c r="I141" s="1">
        <v>0</v>
      </c>
      <c r="J141" s="1">
        <v>184.61</v>
      </c>
      <c r="K141" s="1">
        <v>0</v>
      </c>
      <c r="L141" s="1">
        <v>-30.86</v>
      </c>
      <c r="M141" s="1">
        <v>30.12</v>
      </c>
      <c r="N141" s="1">
        <v>10.26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1" cm="1">
        <f t="array" ref="U141">SUM(ABS(B141:T141))</f>
        <v>473.32000000000005</v>
      </c>
    </row>
    <row r="142" spans="1:21" x14ac:dyDescent="0.3">
      <c r="A142" s="14">
        <v>45813.447916666664</v>
      </c>
      <c r="B142" s="1">
        <v>-121.05</v>
      </c>
      <c r="C142" s="1">
        <v>-41.97</v>
      </c>
      <c r="D142" s="1">
        <v>36.1</v>
      </c>
      <c r="E142" s="1">
        <v>0</v>
      </c>
      <c r="F142" s="1">
        <v>0</v>
      </c>
      <c r="G142" s="1">
        <v>0</v>
      </c>
      <c r="H142" s="1">
        <v>12</v>
      </c>
      <c r="I142" s="1">
        <v>0</v>
      </c>
      <c r="J142" s="1">
        <v>182.22</v>
      </c>
      <c r="K142" s="1">
        <v>0</v>
      </c>
      <c r="L142" s="1">
        <v>-30.85</v>
      </c>
      <c r="M142" s="1">
        <v>30.12</v>
      </c>
      <c r="N142" s="1">
        <v>10.27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1" cm="1">
        <f t="array" ref="U142">SUM(ABS(B142:T142))</f>
        <v>464.58</v>
      </c>
    </row>
    <row r="143" spans="1:21" x14ac:dyDescent="0.3">
      <c r="A143" s="14">
        <v>45813.458333333336</v>
      </c>
      <c r="B143" s="1">
        <v>-120.87</v>
      </c>
      <c r="C143" s="1">
        <v>-41.98</v>
      </c>
      <c r="D143" s="1">
        <v>36.049999999999997</v>
      </c>
      <c r="E143" s="1">
        <v>0</v>
      </c>
      <c r="F143" s="1">
        <v>0</v>
      </c>
      <c r="G143" s="1">
        <v>0</v>
      </c>
      <c r="H143" s="1">
        <v>12</v>
      </c>
      <c r="I143" s="1">
        <v>0</v>
      </c>
      <c r="J143" s="1">
        <v>141.49</v>
      </c>
      <c r="K143" s="1">
        <v>0</v>
      </c>
      <c r="L143" s="1">
        <v>-30.86</v>
      </c>
      <c r="M143" s="1">
        <v>30.13</v>
      </c>
      <c r="N143" s="1">
        <v>10.26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1" cm="1">
        <f t="array" ref="U143">SUM(ABS(B143:T143))</f>
        <v>423.64</v>
      </c>
    </row>
    <row r="144" spans="1:21" x14ac:dyDescent="0.3">
      <c r="A144" s="14">
        <v>45813.46875</v>
      </c>
      <c r="B144" s="1">
        <v>-127.48</v>
      </c>
      <c r="C144" s="1">
        <v>-41.96</v>
      </c>
      <c r="D144" s="1">
        <v>35.96</v>
      </c>
      <c r="E144" s="1">
        <v>0</v>
      </c>
      <c r="F144" s="1">
        <v>0</v>
      </c>
      <c r="G144" s="1">
        <v>0</v>
      </c>
      <c r="H144" s="1">
        <v>12</v>
      </c>
      <c r="I144" s="1">
        <v>0</v>
      </c>
      <c r="J144" s="1">
        <v>126.63</v>
      </c>
      <c r="K144" s="1">
        <v>0</v>
      </c>
      <c r="L144" s="1">
        <v>-30.86</v>
      </c>
      <c r="M144" s="1">
        <v>30.13</v>
      </c>
      <c r="N144" s="1">
        <v>10.26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1" cm="1">
        <f t="array" ref="U144">SUM(ABS(B144:T144))</f>
        <v>415.28</v>
      </c>
    </row>
    <row r="145" spans="1:21" x14ac:dyDescent="0.3">
      <c r="A145" s="14">
        <v>45813.479166666664</v>
      </c>
      <c r="B145" s="1">
        <v>-138.06</v>
      </c>
      <c r="C145" s="1">
        <v>-41.97</v>
      </c>
      <c r="D145" s="1">
        <v>35.880000000000003</v>
      </c>
      <c r="E145" s="1">
        <v>0</v>
      </c>
      <c r="F145" s="1">
        <v>0</v>
      </c>
      <c r="G145" s="1">
        <v>0</v>
      </c>
      <c r="H145" s="1">
        <v>12</v>
      </c>
      <c r="I145" s="1">
        <v>0</v>
      </c>
      <c r="J145" s="1">
        <v>130.97</v>
      </c>
      <c r="K145" s="1">
        <v>0</v>
      </c>
      <c r="L145" s="1">
        <v>-30.89</v>
      </c>
      <c r="M145" s="1">
        <v>30.13</v>
      </c>
      <c r="N145" s="1">
        <v>10.26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1" cm="1">
        <f t="array" ref="U145">SUM(ABS(B145:T145))</f>
        <v>430.15999999999997</v>
      </c>
    </row>
    <row r="146" spans="1:21" x14ac:dyDescent="0.3">
      <c r="A146" s="14">
        <v>45813.489583333336</v>
      </c>
      <c r="B146" s="1">
        <v>-137.47999999999999</v>
      </c>
      <c r="C146" s="1">
        <v>-46.54</v>
      </c>
      <c r="D146" s="1">
        <v>35.81</v>
      </c>
      <c r="E146" s="1">
        <v>0</v>
      </c>
      <c r="F146" s="1">
        <v>0</v>
      </c>
      <c r="G146" s="1">
        <v>0</v>
      </c>
      <c r="H146" s="1">
        <v>12</v>
      </c>
      <c r="I146" s="1">
        <v>0</v>
      </c>
      <c r="J146" s="1">
        <v>233.31</v>
      </c>
      <c r="K146" s="1">
        <v>0</v>
      </c>
      <c r="L146" s="1">
        <v>-30.83</v>
      </c>
      <c r="M146" s="1">
        <v>30.12</v>
      </c>
      <c r="N146" s="1">
        <v>10.26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1" cm="1">
        <f t="array" ref="U146">SUM(ABS(B146:T146))</f>
        <v>536.34999999999991</v>
      </c>
    </row>
    <row r="147" spans="1:21" x14ac:dyDescent="0.3">
      <c r="A147" s="14">
        <v>45813.5</v>
      </c>
      <c r="B147" s="1">
        <v>-128.59</v>
      </c>
      <c r="C147" s="1">
        <v>-42.02</v>
      </c>
      <c r="D147" s="1">
        <v>35.74</v>
      </c>
      <c r="E147" s="1">
        <v>0</v>
      </c>
      <c r="F147" s="1">
        <v>0</v>
      </c>
      <c r="G147" s="1">
        <v>0</v>
      </c>
      <c r="H147" s="1">
        <v>12</v>
      </c>
      <c r="I147" s="1">
        <v>0</v>
      </c>
      <c r="J147" s="1">
        <v>137.5</v>
      </c>
      <c r="K147" s="1">
        <v>0</v>
      </c>
      <c r="L147" s="1">
        <v>-30.87</v>
      </c>
      <c r="M147" s="1">
        <v>30.13</v>
      </c>
      <c r="N147" s="1">
        <v>10.26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1" cm="1">
        <f t="array" ref="U147">SUM(ABS(B147:T147))</f>
        <v>427.11</v>
      </c>
    </row>
    <row r="148" spans="1:21" x14ac:dyDescent="0.3">
      <c r="A148" s="14">
        <v>45813.510416666664</v>
      </c>
      <c r="B148" s="1">
        <v>-141.32</v>
      </c>
      <c r="C148" s="1">
        <v>-47.52</v>
      </c>
      <c r="D148" s="1">
        <v>35.72</v>
      </c>
      <c r="E148" s="1">
        <v>0</v>
      </c>
      <c r="F148" s="1">
        <v>0</v>
      </c>
      <c r="G148" s="1">
        <v>0</v>
      </c>
      <c r="H148" s="1">
        <v>12</v>
      </c>
      <c r="I148" s="1">
        <v>0</v>
      </c>
      <c r="J148" s="1">
        <v>240.99</v>
      </c>
      <c r="K148" s="1">
        <v>0</v>
      </c>
      <c r="L148" s="1">
        <v>-30.83</v>
      </c>
      <c r="M148" s="1">
        <v>30.12</v>
      </c>
      <c r="N148" s="1">
        <v>6.51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1" cm="1">
        <f t="array" ref="U148">SUM(ABS(B148:T148))</f>
        <v>545.01</v>
      </c>
    </row>
    <row r="149" spans="1:21" x14ac:dyDescent="0.3">
      <c r="A149" s="14">
        <v>45813.520833333336</v>
      </c>
      <c r="B149" s="1">
        <v>-130.63</v>
      </c>
      <c r="C149" s="1">
        <v>-55.02</v>
      </c>
      <c r="D149" s="1">
        <v>35.67</v>
      </c>
      <c r="E149" s="1">
        <v>25.91</v>
      </c>
      <c r="F149" s="1">
        <v>0</v>
      </c>
      <c r="G149" s="1">
        <v>0</v>
      </c>
      <c r="H149" s="1">
        <v>12</v>
      </c>
      <c r="I149" s="1">
        <v>0</v>
      </c>
      <c r="J149" s="1">
        <v>230.78</v>
      </c>
      <c r="K149" s="1">
        <v>0</v>
      </c>
      <c r="L149" s="1">
        <v>-30.82</v>
      </c>
      <c r="M149" s="1">
        <v>30.13</v>
      </c>
      <c r="N149" s="1">
        <v>5.55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1" cm="1">
        <f t="array" ref="U149">SUM(ABS(B149:T149))</f>
        <v>556.51</v>
      </c>
    </row>
    <row r="150" spans="1:21" x14ac:dyDescent="0.3">
      <c r="A150" s="14">
        <v>45813.53125</v>
      </c>
      <c r="B150" s="1">
        <v>-120.57</v>
      </c>
      <c r="C150" s="1">
        <v>-45.28</v>
      </c>
      <c r="D150" s="1">
        <v>35.590000000000003</v>
      </c>
      <c r="E150" s="1">
        <v>31.81</v>
      </c>
      <c r="F150" s="1">
        <v>0</v>
      </c>
      <c r="G150" s="1">
        <v>0</v>
      </c>
      <c r="H150" s="1">
        <v>12</v>
      </c>
      <c r="I150" s="1">
        <v>0</v>
      </c>
      <c r="J150" s="1">
        <v>119.78</v>
      </c>
      <c r="K150" s="1">
        <v>0</v>
      </c>
      <c r="L150" s="1">
        <v>-30.78</v>
      </c>
      <c r="M150" s="1">
        <v>30.13</v>
      </c>
      <c r="N150" s="1">
        <v>5.55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1" cm="1">
        <f t="array" ref="U150">SUM(ABS(B150:T150))</f>
        <v>431.48999999999995</v>
      </c>
    </row>
    <row r="151" spans="1:21" x14ac:dyDescent="0.3">
      <c r="A151" s="14">
        <v>45813.541666666664</v>
      </c>
      <c r="B151" s="1">
        <v>-121.1</v>
      </c>
      <c r="C151" s="1">
        <v>-41.93</v>
      </c>
      <c r="D151" s="1">
        <v>35.46</v>
      </c>
      <c r="E151" s="1">
        <v>22.42</v>
      </c>
      <c r="F151" s="1">
        <v>0</v>
      </c>
      <c r="G151" s="1">
        <v>0</v>
      </c>
      <c r="H151" s="1">
        <v>12</v>
      </c>
      <c r="I151" s="1">
        <v>0</v>
      </c>
      <c r="J151" s="1">
        <v>126.09</v>
      </c>
      <c r="K151" s="1">
        <v>0</v>
      </c>
      <c r="L151" s="1">
        <v>-30.83</v>
      </c>
      <c r="M151" s="1">
        <v>30.13</v>
      </c>
      <c r="N151" s="1">
        <v>5.54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1" cm="1">
        <f t="array" ref="U151">SUM(ABS(B151:T151))</f>
        <v>425.5</v>
      </c>
    </row>
    <row r="152" spans="1:21" x14ac:dyDescent="0.3">
      <c r="A152" s="14">
        <v>45813.552083333336</v>
      </c>
      <c r="B152" s="1">
        <v>-258.17</v>
      </c>
      <c r="C152" s="1">
        <v>-49.39</v>
      </c>
      <c r="D152" s="1">
        <v>35.409999999999997</v>
      </c>
      <c r="E152" s="1">
        <v>38.68</v>
      </c>
      <c r="F152" s="1">
        <v>0</v>
      </c>
      <c r="G152" s="1">
        <v>0</v>
      </c>
      <c r="H152" s="1">
        <v>12</v>
      </c>
      <c r="I152" s="1">
        <v>0</v>
      </c>
      <c r="J152" s="1">
        <v>221.39</v>
      </c>
      <c r="K152" s="1">
        <v>0</v>
      </c>
      <c r="L152" s="1">
        <v>-30.88</v>
      </c>
      <c r="M152" s="1">
        <v>41.43</v>
      </c>
      <c r="N152" s="1">
        <v>5.55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1" cm="1">
        <f t="array" ref="U152">SUM(ABS(B152:T152))</f>
        <v>692.89999999999986</v>
      </c>
    </row>
    <row r="153" spans="1:21" x14ac:dyDescent="0.3">
      <c r="A153" s="14">
        <v>45813.5625</v>
      </c>
      <c r="B153" s="1">
        <v>-365.94</v>
      </c>
      <c r="C153" s="1">
        <v>-55.08</v>
      </c>
      <c r="D153" s="1">
        <v>35.46</v>
      </c>
      <c r="E153" s="1">
        <v>49.79</v>
      </c>
      <c r="F153" s="1">
        <v>0</v>
      </c>
      <c r="G153" s="1">
        <v>0</v>
      </c>
      <c r="H153" s="1">
        <v>12</v>
      </c>
      <c r="I153" s="1">
        <v>0</v>
      </c>
      <c r="J153" s="1">
        <v>274.56</v>
      </c>
      <c r="K153" s="1">
        <v>0</v>
      </c>
      <c r="L153" s="1">
        <v>-30.89</v>
      </c>
      <c r="M153" s="1">
        <v>54.25</v>
      </c>
      <c r="N153" s="1">
        <v>5.55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1" cm="1">
        <f t="array" ref="U153">SUM(ABS(B153:T153))</f>
        <v>883.51999999999987</v>
      </c>
    </row>
    <row r="154" spans="1:21" x14ac:dyDescent="0.3">
      <c r="A154" s="14">
        <v>45813.572916666664</v>
      </c>
      <c r="B154" s="1">
        <v>-324.13</v>
      </c>
      <c r="C154" s="1">
        <v>-55.08</v>
      </c>
      <c r="D154" s="1">
        <v>35.49</v>
      </c>
      <c r="E154" s="1">
        <v>49.53</v>
      </c>
      <c r="F154" s="1">
        <v>0</v>
      </c>
      <c r="G154" s="1">
        <v>0</v>
      </c>
      <c r="H154" s="1">
        <v>12</v>
      </c>
      <c r="I154" s="1">
        <v>0</v>
      </c>
      <c r="J154" s="1">
        <v>274.41000000000003</v>
      </c>
      <c r="K154" s="1">
        <v>0</v>
      </c>
      <c r="L154" s="1">
        <v>-30.84</v>
      </c>
      <c r="M154" s="1">
        <v>54.24</v>
      </c>
      <c r="N154" s="1">
        <v>5.56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1" cm="1">
        <f t="array" ref="U154">SUM(ABS(B154:T154))</f>
        <v>841.28000000000009</v>
      </c>
    </row>
    <row r="155" spans="1:21" x14ac:dyDescent="0.3">
      <c r="A155" s="14">
        <v>45813.583333333336</v>
      </c>
      <c r="B155" s="1">
        <v>-238.88</v>
      </c>
      <c r="C155" s="1">
        <v>-55.09</v>
      </c>
      <c r="D155" s="1">
        <v>35.520000000000003</v>
      </c>
      <c r="E155" s="1">
        <v>49.3</v>
      </c>
      <c r="F155" s="1">
        <v>0</v>
      </c>
      <c r="G155" s="1">
        <v>0</v>
      </c>
      <c r="H155" s="1">
        <v>12</v>
      </c>
      <c r="I155" s="1">
        <v>0</v>
      </c>
      <c r="J155" s="1">
        <v>274.18</v>
      </c>
      <c r="K155" s="1">
        <v>0</v>
      </c>
      <c r="L155" s="1">
        <v>-30.86</v>
      </c>
      <c r="M155" s="1">
        <v>54.26</v>
      </c>
      <c r="N155" s="1">
        <v>5.55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1" cm="1">
        <f t="array" ref="U155">SUM(ABS(B155:T155))</f>
        <v>755.64</v>
      </c>
    </row>
    <row r="156" spans="1:21" x14ac:dyDescent="0.3">
      <c r="A156" s="14">
        <v>45813.59375</v>
      </c>
      <c r="B156" s="1">
        <v>-307.19</v>
      </c>
      <c r="C156" s="1">
        <v>-55.08</v>
      </c>
      <c r="D156" s="1">
        <v>35.51</v>
      </c>
      <c r="E156" s="1">
        <v>47.76</v>
      </c>
      <c r="F156" s="1">
        <v>0</v>
      </c>
      <c r="G156" s="1">
        <v>0</v>
      </c>
      <c r="H156" s="1">
        <v>12</v>
      </c>
      <c r="I156" s="1">
        <v>0</v>
      </c>
      <c r="J156" s="1">
        <v>273.08999999999997</v>
      </c>
      <c r="K156" s="1">
        <v>0</v>
      </c>
      <c r="L156" s="1">
        <v>-30.82</v>
      </c>
      <c r="M156" s="1">
        <v>54.25</v>
      </c>
      <c r="N156" s="1">
        <v>5.55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1" cm="1">
        <f t="array" ref="U156">SUM(ABS(B156:T156))</f>
        <v>821.24999999999989</v>
      </c>
    </row>
    <row r="157" spans="1:21" x14ac:dyDescent="0.3">
      <c r="A157" s="14">
        <v>45813.604166666664</v>
      </c>
      <c r="B157" s="1">
        <v>-485.84</v>
      </c>
      <c r="C157" s="1">
        <v>-55.06</v>
      </c>
      <c r="D157" s="1">
        <v>35.53</v>
      </c>
      <c r="E157" s="1">
        <v>59.92</v>
      </c>
      <c r="F157" s="1">
        <v>0</v>
      </c>
      <c r="G157" s="1">
        <v>0</v>
      </c>
      <c r="H157" s="1">
        <v>12</v>
      </c>
      <c r="I157" s="1">
        <v>0</v>
      </c>
      <c r="J157" s="1">
        <v>271.64999999999998</v>
      </c>
      <c r="K157" s="1">
        <v>0</v>
      </c>
      <c r="L157" s="1">
        <v>-30.83</v>
      </c>
      <c r="M157" s="1">
        <v>54.26</v>
      </c>
      <c r="N157" s="1">
        <v>5.55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1" cm="1">
        <f t="array" ref="U157">SUM(ABS(B157:T157))</f>
        <v>1010.6399999999999</v>
      </c>
    </row>
    <row r="158" spans="1:21" x14ac:dyDescent="0.3">
      <c r="A158" s="14">
        <v>45813.614583333336</v>
      </c>
      <c r="B158" s="1">
        <v>-695.32</v>
      </c>
      <c r="C158" s="1">
        <v>-55.07</v>
      </c>
      <c r="D158" s="1">
        <v>35.51</v>
      </c>
      <c r="E158" s="1">
        <v>94.47</v>
      </c>
      <c r="F158" s="1">
        <v>0</v>
      </c>
      <c r="G158" s="1">
        <v>0</v>
      </c>
      <c r="H158" s="1">
        <v>12</v>
      </c>
      <c r="I158" s="1">
        <v>0</v>
      </c>
      <c r="J158" s="1">
        <v>272.45</v>
      </c>
      <c r="K158" s="1">
        <v>0</v>
      </c>
      <c r="L158" s="1">
        <v>-30.85</v>
      </c>
      <c r="M158" s="1">
        <v>54.25</v>
      </c>
      <c r="N158" s="1">
        <v>5.55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1" cm="1">
        <f t="array" ref="U158">SUM(ABS(B158:T158))</f>
        <v>1255.47</v>
      </c>
    </row>
    <row r="159" spans="1:21" x14ac:dyDescent="0.3">
      <c r="A159" s="14">
        <v>45813.625</v>
      </c>
      <c r="B159" s="1">
        <v>-558.94000000000005</v>
      </c>
      <c r="C159" s="1">
        <v>-54.98</v>
      </c>
      <c r="D159" s="1">
        <v>35.5</v>
      </c>
      <c r="E159" s="1">
        <v>87.32</v>
      </c>
      <c r="F159" s="1">
        <v>0</v>
      </c>
      <c r="G159" s="1">
        <v>0</v>
      </c>
      <c r="H159" s="1">
        <v>12</v>
      </c>
      <c r="I159" s="1">
        <v>0</v>
      </c>
      <c r="J159" s="1">
        <v>255.67</v>
      </c>
      <c r="K159" s="1">
        <v>0</v>
      </c>
      <c r="L159" s="1">
        <v>-30.82</v>
      </c>
      <c r="M159" s="1">
        <v>54.25</v>
      </c>
      <c r="N159" s="1">
        <v>5.54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1" cm="1">
        <f t="array" ref="U159">SUM(ABS(B159:T159))</f>
        <v>1095.02</v>
      </c>
    </row>
    <row r="160" spans="1:21" x14ac:dyDescent="0.3">
      <c r="A160" s="14">
        <v>45813.635416666664</v>
      </c>
      <c r="B160" s="1">
        <v>-655.99</v>
      </c>
      <c r="C160" s="1">
        <v>-54.99</v>
      </c>
      <c r="D160" s="1">
        <v>35.51</v>
      </c>
      <c r="E160" s="1">
        <v>92.87</v>
      </c>
      <c r="F160" s="1">
        <v>0</v>
      </c>
      <c r="G160" s="1">
        <v>0</v>
      </c>
      <c r="H160" s="1">
        <v>12</v>
      </c>
      <c r="I160" s="1">
        <v>0</v>
      </c>
      <c r="J160" s="1">
        <v>265.98</v>
      </c>
      <c r="K160" s="1">
        <v>0</v>
      </c>
      <c r="L160" s="1">
        <v>-30.86</v>
      </c>
      <c r="M160" s="1">
        <v>54.26</v>
      </c>
      <c r="N160" s="1">
        <v>5.54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1" cm="1">
        <f t="array" ref="U160">SUM(ABS(B160:T160))</f>
        <v>1208</v>
      </c>
    </row>
    <row r="161" spans="1:21" x14ac:dyDescent="0.3">
      <c r="A161" s="14">
        <v>45813.645833333336</v>
      </c>
      <c r="B161" s="1">
        <v>-719.96</v>
      </c>
      <c r="C161" s="1">
        <v>-55.01</v>
      </c>
      <c r="D161" s="1">
        <v>35.520000000000003</v>
      </c>
      <c r="E161" s="1">
        <v>94.37</v>
      </c>
      <c r="F161" s="1">
        <v>0</v>
      </c>
      <c r="G161" s="1">
        <v>0</v>
      </c>
      <c r="H161" s="1">
        <v>12</v>
      </c>
      <c r="I161" s="1">
        <v>0</v>
      </c>
      <c r="J161" s="1">
        <v>269.14</v>
      </c>
      <c r="K161" s="1">
        <v>0</v>
      </c>
      <c r="L161" s="1">
        <v>-30.87</v>
      </c>
      <c r="M161" s="1">
        <v>54.26</v>
      </c>
      <c r="N161" s="1">
        <v>5.55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1" cm="1">
        <f t="array" ref="U161">SUM(ABS(B161:T161))</f>
        <v>1276.6799999999998</v>
      </c>
    </row>
    <row r="162" spans="1:21" x14ac:dyDescent="0.3">
      <c r="A162" s="14">
        <v>45813.65625</v>
      </c>
      <c r="B162" s="1">
        <v>-718.56</v>
      </c>
      <c r="C162" s="1">
        <v>-55.02</v>
      </c>
      <c r="D162" s="1">
        <v>35.54</v>
      </c>
      <c r="E162" s="1">
        <v>99.19</v>
      </c>
      <c r="F162" s="1">
        <v>0</v>
      </c>
      <c r="G162" s="1">
        <v>0</v>
      </c>
      <c r="H162" s="1">
        <v>12</v>
      </c>
      <c r="I162" s="1">
        <v>0</v>
      </c>
      <c r="J162" s="1">
        <v>268.83999999999997</v>
      </c>
      <c r="K162" s="1">
        <v>0</v>
      </c>
      <c r="L162" s="1">
        <v>-30.86</v>
      </c>
      <c r="M162" s="1">
        <v>54.26</v>
      </c>
      <c r="N162" s="1">
        <v>5.54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1" cm="1">
        <f t="array" ref="U162">SUM(ABS(B162:T162))</f>
        <v>1279.8099999999997</v>
      </c>
    </row>
    <row r="163" spans="1:21" x14ac:dyDescent="0.3">
      <c r="A163" s="14">
        <v>45813.666666666664</v>
      </c>
      <c r="B163" s="1">
        <v>-607.32000000000005</v>
      </c>
      <c r="C163" s="1">
        <v>-55.01</v>
      </c>
      <c r="D163" s="1">
        <v>35.549999999999997</v>
      </c>
      <c r="E163" s="1">
        <v>122.15</v>
      </c>
      <c r="F163" s="1">
        <v>0</v>
      </c>
      <c r="G163" s="1">
        <v>0</v>
      </c>
      <c r="H163" s="1">
        <v>12</v>
      </c>
      <c r="I163" s="1">
        <v>0</v>
      </c>
      <c r="J163" s="1">
        <v>271.77999999999997</v>
      </c>
      <c r="K163" s="1">
        <v>0</v>
      </c>
      <c r="L163" s="1">
        <v>-30.87</v>
      </c>
      <c r="M163" s="1">
        <v>54.25</v>
      </c>
      <c r="N163" s="1">
        <v>5.54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1" cm="1">
        <f t="array" ref="U163">SUM(ABS(B163:T163))</f>
        <v>1194.4699999999998</v>
      </c>
    </row>
    <row r="164" spans="1:21" x14ac:dyDescent="0.3">
      <c r="A164" s="14">
        <v>45813.677083333336</v>
      </c>
      <c r="B164" s="1">
        <v>-601.12</v>
      </c>
      <c r="C164" s="1">
        <v>-54.98</v>
      </c>
      <c r="D164" s="1">
        <v>35.590000000000003</v>
      </c>
      <c r="E164" s="1">
        <v>124.57</v>
      </c>
      <c r="F164" s="1">
        <v>0</v>
      </c>
      <c r="G164" s="1">
        <v>0</v>
      </c>
      <c r="H164" s="1">
        <v>12</v>
      </c>
      <c r="I164" s="1">
        <v>0</v>
      </c>
      <c r="J164" s="1">
        <v>273.86</v>
      </c>
      <c r="K164" s="1">
        <v>0</v>
      </c>
      <c r="L164" s="1">
        <v>-30.79</v>
      </c>
      <c r="M164" s="1">
        <v>54.25</v>
      </c>
      <c r="N164" s="1">
        <v>5.55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1" cm="1">
        <f t="array" ref="U164">SUM(ABS(B164:T164))</f>
        <v>1192.7099999999998</v>
      </c>
    </row>
    <row r="165" spans="1:21" x14ac:dyDescent="0.3">
      <c r="A165" s="14">
        <v>45813.6875</v>
      </c>
      <c r="B165" s="1">
        <v>-668.07</v>
      </c>
      <c r="C165" s="1">
        <v>-54.97</v>
      </c>
      <c r="D165" s="1">
        <v>35.590000000000003</v>
      </c>
      <c r="E165" s="1">
        <v>122.06</v>
      </c>
      <c r="F165" s="1">
        <v>0</v>
      </c>
      <c r="G165" s="1">
        <v>0</v>
      </c>
      <c r="H165" s="1">
        <v>12</v>
      </c>
      <c r="I165" s="1">
        <v>0</v>
      </c>
      <c r="J165" s="1">
        <v>272.41000000000003</v>
      </c>
      <c r="K165" s="1">
        <v>0</v>
      </c>
      <c r="L165" s="1">
        <v>-30.8</v>
      </c>
      <c r="M165" s="1">
        <v>54.25</v>
      </c>
      <c r="N165" s="1">
        <v>5.54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1" cm="1">
        <f t="array" ref="U165">SUM(ABS(B165:T165))</f>
        <v>1255.69</v>
      </c>
    </row>
    <row r="166" spans="1:21" x14ac:dyDescent="0.3">
      <c r="A166" s="14">
        <v>45813.697916666664</v>
      </c>
      <c r="B166" s="1">
        <v>-712.6</v>
      </c>
      <c r="C166" s="1">
        <v>-54.98</v>
      </c>
      <c r="D166" s="1">
        <v>35.61</v>
      </c>
      <c r="E166" s="1">
        <v>125.74</v>
      </c>
      <c r="F166" s="1">
        <v>0</v>
      </c>
      <c r="G166" s="1">
        <v>-3.31</v>
      </c>
      <c r="H166" s="1">
        <v>12</v>
      </c>
      <c r="I166" s="1">
        <v>0</v>
      </c>
      <c r="J166" s="1">
        <v>273.87</v>
      </c>
      <c r="K166" s="1">
        <v>0</v>
      </c>
      <c r="L166" s="1">
        <v>-30.83</v>
      </c>
      <c r="M166" s="1">
        <v>54.26</v>
      </c>
      <c r="N166" s="1">
        <v>5.55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1" cm="1">
        <f t="array" ref="U166">SUM(ABS(B166:T166))</f>
        <v>1308.75</v>
      </c>
    </row>
    <row r="167" spans="1:21" x14ac:dyDescent="0.3">
      <c r="A167" s="14">
        <v>45813.708333333336</v>
      </c>
      <c r="B167" s="1">
        <v>-668.79</v>
      </c>
      <c r="C167" s="1">
        <v>-55.01</v>
      </c>
      <c r="D167" s="1">
        <v>35.61</v>
      </c>
      <c r="E167" s="1">
        <v>121.23</v>
      </c>
      <c r="F167" s="1">
        <v>0</v>
      </c>
      <c r="G167" s="1">
        <v>-24.64</v>
      </c>
      <c r="H167" s="1">
        <v>12</v>
      </c>
      <c r="I167" s="1">
        <v>0</v>
      </c>
      <c r="J167" s="1">
        <v>273.55</v>
      </c>
      <c r="K167" s="1">
        <v>0</v>
      </c>
      <c r="L167" s="1">
        <v>-30.87</v>
      </c>
      <c r="M167" s="1">
        <v>54.24</v>
      </c>
      <c r="N167" s="1">
        <v>5.54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1" cm="1">
        <f t="array" ref="U167">SUM(ABS(B167:T167))</f>
        <v>1281.4799999999998</v>
      </c>
    </row>
    <row r="168" spans="1:21" x14ac:dyDescent="0.3">
      <c r="A168" s="14">
        <v>45813.71875</v>
      </c>
      <c r="B168" s="1">
        <v>-591.32000000000005</v>
      </c>
      <c r="C168" s="1">
        <v>-55.06</v>
      </c>
      <c r="D168" s="1">
        <v>35.6</v>
      </c>
      <c r="E168" s="1">
        <v>122.82</v>
      </c>
      <c r="F168" s="1">
        <v>0</v>
      </c>
      <c r="G168" s="1">
        <v>-39.67</v>
      </c>
      <c r="H168" s="1">
        <v>12</v>
      </c>
      <c r="I168" s="1">
        <v>0</v>
      </c>
      <c r="J168" s="1">
        <v>273.88</v>
      </c>
      <c r="K168" s="1">
        <v>0</v>
      </c>
      <c r="L168" s="1">
        <v>-30.9</v>
      </c>
      <c r="M168" s="1">
        <v>54.25</v>
      </c>
      <c r="N168" s="1">
        <v>5.54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1" cm="1">
        <f t="array" ref="U168">SUM(ABS(B168:T168))</f>
        <v>1221.0400000000002</v>
      </c>
    </row>
    <row r="169" spans="1:21" x14ac:dyDescent="0.3">
      <c r="A169" s="14">
        <v>45813.729166666664</v>
      </c>
      <c r="B169" s="1">
        <v>-637.21</v>
      </c>
      <c r="C169" s="1">
        <v>-55.06</v>
      </c>
      <c r="D169" s="1">
        <v>35.6</v>
      </c>
      <c r="E169" s="1">
        <v>124.55</v>
      </c>
      <c r="F169" s="1">
        <v>0</v>
      </c>
      <c r="G169" s="1">
        <v>-51.82</v>
      </c>
      <c r="H169" s="1">
        <v>12</v>
      </c>
      <c r="I169" s="1">
        <v>0</v>
      </c>
      <c r="J169" s="1">
        <v>273.35000000000002</v>
      </c>
      <c r="K169" s="1">
        <v>0</v>
      </c>
      <c r="L169" s="1">
        <v>-30.91</v>
      </c>
      <c r="M169" s="1">
        <v>54.26</v>
      </c>
      <c r="N169" s="1">
        <v>8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1" cm="1">
        <f t="array" ref="U169">SUM(ABS(B169:T169))</f>
        <v>1282.7600000000002</v>
      </c>
    </row>
    <row r="170" spans="1:21" x14ac:dyDescent="0.3">
      <c r="A170" s="14">
        <v>45813.739583333336</v>
      </c>
      <c r="B170" s="1">
        <v>-686.05</v>
      </c>
      <c r="C170" s="1">
        <v>-55.06</v>
      </c>
      <c r="D170" s="1">
        <v>35.700000000000003</v>
      </c>
      <c r="E170" s="1">
        <v>131.21</v>
      </c>
      <c r="F170" s="1">
        <v>0</v>
      </c>
      <c r="G170" s="1">
        <v>-58.47</v>
      </c>
      <c r="H170" s="1">
        <v>12.2</v>
      </c>
      <c r="I170" s="1">
        <v>0</v>
      </c>
      <c r="J170" s="1">
        <v>273.24</v>
      </c>
      <c r="K170" s="1">
        <v>1.04</v>
      </c>
      <c r="L170" s="1">
        <v>-30.89</v>
      </c>
      <c r="M170" s="1">
        <v>54.25</v>
      </c>
      <c r="N170" s="1">
        <v>10.220000000000001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1" cm="1">
        <f t="array" ref="U170">SUM(ABS(B170:T170))</f>
        <v>1348.3300000000002</v>
      </c>
    </row>
    <row r="171" spans="1:21" x14ac:dyDescent="0.3">
      <c r="A171" s="14">
        <v>45813.75</v>
      </c>
      <c r="B171" s="1">
        <v>-368.49</v>
      </c>
      <c r="C171" s="1">
        <v>-55.04</v>
      </c>
      <c r="D171" s="1">
        <v>35.64</v>
      </c>
      <c r="E171" s="1">
        <v>139.24</v>
      </c>
      <c r="F171" s="1">
        <v>0</v>
      </c>
      <c r="G171" s="1">
        <v>-57.48</v>
      </c>
      <c r="H171" s="1">
        <v>29.37</v>
      </c>
      <c r="I171" s="1">
        <v>0</v>
      </c>
      <c r="J171" s="1">
        <v>272.3</v>
      </c>
      <c r="K171" s="1">
        <v>7.24</v>
      </c>
      <c r="L171" s="1">
        <v>-30.92</v>
      </c>
      <c r="M171" s="1">
        <v>54.26</v>
      </c>
      <c r="N171" s="1">
        <v>10.210000000000001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1" cm="1">
        <f t="array" ref="U171">SUM(ABS(B171:T171))</f>
        <v>1060.1900000000003</v>
      </c>
    </row>
    <row r="172" spans="1:21" x14ac:dyDescent="0.3">
      <c r="A172" s="14">
        <v>45813.760416666664</v>
      </c>
      <c r="B172" s="1">
        <v>-293.05</v>
      </c>
      <c r="C172" s="1">
        <v>-55.04</v>
      </c>
      <c r="D172" s="1">
        <v>35.659999999999997</v>
      </c>
      <c r="E172" s="1">
        <v>147.26</v>
      </c>
      <c r="F172" s="1">
        <v>0.28999999999999998</v>
      </c>
      <c r="G172" s="1">
        <v>-57.61</v>
      </c>
      <c r="H172" s="1">
        <v>38.659999999999997</v>
      </c>
      <c r="I172" s="1">
        <v>0</v>
      </c>
      <c r="J172" s="1">
        <v>273.27999999999997</v>
      </c>
      <c r="K172" s="1">
        <v>17.420000000000002</v>
      </c>
      <c r="L172" s="1">
        <v>-30.91</v>
      </c>
      <c r="M172" s="1">
        <v>54.24</v>
      </c>
      <c r="N172" s="1">
        <v>10.210000000000001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1" cm="1">
        <f t="array" ref="U172">SUM(ABS(B172:T172))</f>
        <v>1013.6299999999999</v>
      </c>
    </row>
    <row r="173" spans="1:21" x14ac:dyDescent="0.3">
      <c r="A173" s="14">
        <v>45813.770833333336</v>
      </c>
      <c r="B173" s="1">
        <v>-463.55</v>
      </c>
      <c r="C173" s="1">
        <v>-55.03</v>
      </c>
      <c r="D173" s="1">
        <v>35.71</v>
      </c>
      <c r="E173" s="1">
        <v>145</v>
      </c>
      <c r="F173" s="1">
        <v>55.88</v>
      </c>
      <c r="G173" s="1">
        <v>-57.37</v>
      </c>
      <c r="H173" s="1">
        <v>43.96</v>
      </c>
      <c r="I173" s="1">
        <v>0</v>
      </c>
      <c r="J173" s="1">
        <v>272.86</v>
      </c>
      <c r="K173" s="1">
        <v>42.5</v>
      </c>
      <c r="L173" s="1">
        <v>-30.98</v>
      </c>
      <c r="M173" s="1">
        <v>54.24</v>
      </c>
      <c r="N173" s="1">
        <v>10.220000000000001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1" cm="1">
        <f t="array" ref="U173">SUM(ABS(B173:T173))</f>
        <v>1267.3000000000002</v>
      </c>
    </row>
    <row r="174" spans="1:21" x14ac:dyDescent="0.3">
      <c r="A174" s="14">
        <v>45813.78125</v>
      </c>
      <c r="B174" s="1">
        <v>-599.09</v>
      </c>
      <c r="C174" s="1">
        <v>-55.03</v>
      </c>
      <c r="D174" s="1">
        <v>35.770000000000003</v>
      </c>
      <c r="E174" s="1">
        <v>157.29</v>
      </c>
      <c r="F174" s="1">
        <v>96.49</v>
      </c>
      <c r="G174" s="1">
        <v>-57.21</v>
      </c>
      <c r="H174" s="1">
        <v>48.62</v>
      </c>
      <c r="I174" s="1">
        <v>0</v>
      </c>
      <c r="J174" s="1">
        <v>272.29000000000002</v>
      </c>
      <c r="K174" s="1">
        <v>50.66</v>
      </c>
      <c r="L174" s="1">
        <v>-30.97</v>
      </c>
      <c r="M174" s="1">
        <v>54.22</v>
      </c>
      <c r="N174" s="1">
        <v>10.24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1" cm="1">
        <f t="array" ref="U174">SUM(ABS(B174:T174))</f>
        <v>1467.88</v>
      </c>
    </row>
    <row r="175" spans="1:21" x14ac:dyDescent="0.3">
      <c r="A175" s="14">
        <v>45813.791666666664</v>
      </c>
      <c r="B175" s="1">
        <v>-624.52</v>
      </c>
      <c r="C175" s="1">
        <v>-54.99</v>
      </c>
      <c r="D175" s="1">
        <v>35.83</v>
      </c>
      <c r="E175" s="1">
        <v>188.42</v>
      </c>
      <c r="F175" s="1">
        <v>97.51</v>
      </c>
      <c r="G175" s="1">
        <v>-56.97</v>
      </c>
      <c r="H175" s="1">
        <v>48.62</v>
      </c>
      <c r="I175" s="1">
        <v>0</v>
      </c>
      <c r="J175" s="1">
        <v>272.14999999999998</v>
      </c>
      <c r="K175" s="1">
        <v>50.69</v>
      </c>
      <c r="L175" s="1">
        <v>-30.96</v>
      </c>
      <c r="M175" s="1">
        <v>54.22</v>
      </c>
      <c r="N175" s="1">
        <v>10.24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1" cm="1">
        <f t="array" ref="U175">SUM(ABS(B175:T175))</f>
        <v>1525.12</v>
      </c>
    </row>
    <row r="176" spans="1:21" x14ac:dyDescent="0.3">
      <c r="A176" s="14">
        <v>45813.802083333336</v>
      </c>
      <c r="B176" s="1">
        <v>-637.98</v>
      </c>
      <c r="C176" s="1">
        <v>-55</v>
      </c>
      <c r="D176" s="1">
        <v>35.869999999999997</v>
      </c>
      <c r="E176" s="1">
        <v>188.71</v>
      </c>
      <c r="F176" s="1">
        <v>97.43</v>
      </c>
      <c r="G176" s="1">
        <v>-56.86</v>
      </c>
      <c r="H176" s="1">
        <v>48.59</v>
      </c>
      <c r="I176" s="1">
        <v>0</v>
      </c>
      <c r="J176" s="1">
        <v>272.10000000000002</v>
      </c>
      <c r="K176" s="1">
        <v>50.72</v>
      </c>
      <c r="L176" s="1">
        <v>-30.97</v>
      </c>
      <c r="M176" s="1">
        <v>54.21</v>
      </c>
      <c r="N176" s="1">
        <v>10.24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1" cm="1">
        <f t="array" ref="U176">SUM(ABS(B176:T176))</f>
        <v>1538.68</v>
      </c>
    </row>
    <row r="177" spans="1:21" x14ac:dyDescent="0.3">
      <c r="A177" s="14">
        <v>45813.8125</v>
      </c>
      <c r="B177" s="1">
        <v>-711.84</v>
      </c>
      <c r="C177" s="1">
        <v>-54.99</v>
      </c>
      <c r="D177" s="1">
        <v>35.880000000000003</v>
      </c>
      <c r="E177" s="1">
        <v>188.53</v>
      </c>
      <c r="F177" s="1">
        <v>97.34</v>
      </c>
      <c r="G177" s="1">
        <v>-56.84</v>
      </c>
      <c r="H177" s="1">
        <v>48.6</v>
      </c>
      <c r="I177" s="1">
        <v>0</v>
      </c>
      <c r="J177" s="1">
        <v>271.89999999999998</v>
      </c>
      <c r="K177" s="1">
        <v>50.72</v>
      </c>
      <c r="L177" s="1">
        <v>-30.98</v>
      </c>
      <c r="M177" s="1">
        <v>54.22</v>
      </c>
      <c r="N177" s="1">
        <v>10.24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1" cm="1">
        <f t="array" ref="U177">SUM(ABS(B177:T177))</f>
        <v>1612.0799999999997</v>
      </c>
    </row>
    <row r="178" spans="1:21" x14ac:dyDescent="0.3">
      <c r="A178" s="14">
        <v>45813.822916666664</v>
      </c>
      <c r="B178" s="1">
        <v>-708.14</v>
      </c>
      <c r="C178" s="1">
        <v>-54.99</v>
      </c>
      <c r="D178" s="1">
        <v>35.89</v>
      </c>
      <c r="E178" s="1">
        <v>188.59</v>
      </c>
      <c r="F178" s="1">
        <v>97.29</v>
      </c>
      <c r="G178" s="1">
        <v>-56.87</v>
      </c>
      <c r="H178" s="1">
        <v>48.59</v>
      </c>
      <c r="I178" s="1">
        <v>0</v>
      </c>
      <c r="J178" s="1">
        <v>271.39999999999998</v>
      </c>
      <c r="K178" s="1">
        <v>50.71</v>
      </c>
      <c r="L178" s="1">
        <v>-30.97</v>
      </c>
      <c r="M178" s="1">
        <v>54.22</v>
      </c>
      <c r="N178" s="1">
        <v>10.23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1" cm="1">
        <f t="array" ref="U178">SUM(ABS(B178:T178))</f>
        <v>1607.8899999999999</v>
      </c>
    </row>
    <row r="179" spans="1:21" x14ac:dyDescent="0.3">
      <c r="A179" s="14">
        <v>45813.833333333336</v>
      </c>
      <c r="B179" s="1">
        <v>-691.16</v>
      </c>
      <c r="C179" s="1">
        <v>-54.97</v>
      </c>
      <c r="D179" s="1">
        <v>35.909999999999997</v>
      </c>
      <c r="E179" s="1">
        <v>187.27</v>
      </c>
      <c r="F179" s="1">
        <v>97.19</v>
      </c>
      <c r="G179" s="1">
        <v>-56.82</v>
      </c>
      <c r="H179" s="1">
        <v>48.59</v>
      </c>
      <c r="I179" s="1">
        <v>0</v>
      </c>
      <c r="J179" s="1">
        <v>269.72000000000003</v>
      </c>
      <c r="K179" s="1">
        <v>50.7</v>
      </c>
      <c r="L179" s="1">
        <v>-30.97</v>
      </c>
      <c r="M179" s="1">
        <v>54.22</v>
      </c>
      <c r="N179" s="1">
        <v>10.23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1" cm="1">
        <f t="array" ref="U179">SUM(ABS(B179:T179))</f>
        <v>1587.75</v>
      </c>
    </row>
    <row r="180" spans="1:21" x14ac:dyDescent="0.3">
      <c r="A180" s="14">
        <v>45813.84375</v>
      </c>
      <c r="B180" s="1">
        <v>-664.37</v>
      </c>
      <c r="C180" s="1">
        <v>-54.98</v>
      </c>
      <c r="D180" s="1">
        <v>35.96</v>
      </c>
      <c r="E180" s="1">
        <v>190.08</v>
      </c>
      <c r="F180" s="1">
        <v>97.21</v>
      </c>
      <c r="G180" s="1">
        <v>-57.51</v>
      </c>
      <c r="H180" s="1">
        <v>48.61</v>
      </c>
      <c r="I180" s="1">
        <v>0</v>
      </c>
      <c r="J180" s="1">
        <v>272.77</v>
      </c>
      <c r="K180" s="1">
        <v>50.71</v>
      </c>
      <c r="L180" s="1">
        <v>-30.98</v>
      </c>
      <c r="M180" s="1">
        <v>54.22</v>
      </c>
      <c r="N180" s="1">
        <v>10.23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1" cm="1">
        <f t="array" ref="U180">SUM(ABS(B180:T180))</f>
        <v>1567.63</v>
      </c>
    </row>
    <row r="181" spans="1:21" x14ac:dyDescent="0.3">
      <c r="A181" s="14">
        <v>45813.854166666664</v>
      </c>
      <c r="B181" s="1">
        <v>-719.77</v>
      </c>
      <c r="C181" s="1">
        <v>-55</v>
      </c>
      <c r="D181" s="1">
        <v>35.99</v>
      </c>
      <c r="E181" s="1">
        <v>192.72</v>
      </c>
      <c r="F181" s="1">
        <v>97.23</v>
      </c>
      <c r="G181" s="1">
        <v>-58.23</v>
      </c>
      <c r="H181" s="1">
        <v>63.21</v>
      </c>
      <c r="I181" s="1">
        <v>0</v>
      </c>
      <c r="J181" s="1">
        <v>272.64999999999998</v>
      </c>
      <c r="K181" s="1">
        <v>50.74</v>
      </c>
      <c r="L181" s="1">
        <v>-30.99</v>
      </c>
      <c r="M181" s="1">
        <v>54.23</v>
      </c>
      <c r="N181" s="1">
        <v>10.23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1" cm="1">
        <f t="array" ref="U181">SUM(ABS(B181:T181))</f>
        <v>1640.9900000000002</v>
      </c>
    </row>
    <row r="182" spans="1:21" x14ac:dyDescent="0.3">
      <c r="A182" s="14">
        <v>45813.864583333336</v>
      </c>
      <c r="B182" s="1">
        <v>-735.12</v>
      </c>
      <c r="C182" s="1">
        <v>-55</v>
      </c>
      <c r="D182" s="1">
        <v>35.99</v>
      </c>
      <c r="E182" s="1">
        <v>190.35</v>
      </c>
      <c r="F182" s="1">
        <v>109.93</v>
      </c>
      <c r="G182" s="1">
        <v>-58.07</v>
      </c>
      <c r="H182" s="1">
        <v>66.400000000000006</v>
      </c>
      <c r="I182" s="1">
        <v>0</v>
      </c>
      <c r="J182" s="1">
        <v>272.72000000000003</v>
      </c>
      <c r="K182" s="1">
        <v>50.73</v>
      </c>
      <c r="L182" s="1">
        <v>-30.98</v>
      </c>
      <c r="M182" s="1">
        <v>54.22</v>
      </c>
      <c r="N182" s="1">
        <v>10.23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1" cm="1">
        <f t="array" ref="U182">SUM(ABS(B182:T182))</f>
        <v>1669.7400000000002</v>
      </c>
    </row>
    <row r="183" spans="1:21" x14ac:dyDescent="0.3">
      <c r="A183" s="14">
        <v>45813.875</v>
      </c>
      <c r="B183" s="1">
        <v>-735.72</v>
      </c>
      <c r="C183" s="1">
        <v>-55.02</v>
      </c>
      <c r="D183" s="1">
        <v>36.020000000000003</v>
      </c>
      <c r="E183" s="1">
        <v>191.28</v>
      </c>
      <c r="F183" s="1">
        <v>112.83</v>
      </c>
      <c r="G183" s="1">
        <v>-58.18</v>
      </c>
      <c r="H183" s="1">
        <v>66.37</v>
      </c>
      <c r="I183" s="1">
        <v>0</v>
      </c>
      <c r="J183" s="1">
        <v>272.57</v>
      </c>
      <c r="K183" s="1">
        <v>50.74</v>
      </c>
      <c r="L183" s="1">
        <v>-31</v>
      </c>
      <c r="M183" s="1">
        <v>54.22</v>
      </c>
      <c r="N183" s="1">
        <v>10.23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1" cm="1">
        <f t="array" ref="U183">SUM(ABS(B183:T183))</f>
        <v>1674.18</v>
      </c>
    </row>
    <row r="184" spans="1:21" x14ac:dyDescent="0.3">
      <c r="A184" s="14">
        <v>45813.885416666664</v>
      </c>
      <c r="B184" s="1">
        <v>-730.2</v>
      </c>
      <c r="C184" s="1">
        <v>-54.99</v>
      </c>
      <c r="D184" s="1">
        <v>36.020000000000003</v>
      </c>
      <c r="E184" s="1">
        <v>186.23</v>
      </c>
      <c r="F184" s="1">
        <v>112.74</v>
      </c>
      <c r="G184" s="1">
        <v>-57.61</v>
      </c>
      <c r="H184" s="1">
        <v>66.37</v>
      </c>
      <c r="I184" s="1">
        <v>0</v>
      </c>
      <c r="J184" s="1">
        <v>272.22000000000003</v>
      </c>
      <c r="K184" s="1">
        <v>44.42</v>
      </c>
      <c r="L184" s="1">
        <v>-30.94</v>
      </c>
      <c r="M184" s="1">
        <v>54.22</v>
      </c>
      <c r="N184" s="1">
        <v>10.220000000000001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1" cm="1">
        <f t="array" ref="U184">SUM(ABS(B184:T184))</f>
        <v>1656.18</v>
      </c>
    </row>
    <row r="185" spans="1:21" x14ac:dyDescent="0.3">
      <c r="A185" s="14">
        <v>45813.895833333336</v>
      </c>
      <c r="B185" s="1">
        <v>-735.98</v>
      </c>
      <c r="C185" s="1">
        <v>-54.96</v>
      </c>
      <c r="D185" s="1">
        <v>36.04</v>
      </c>
      <c r="E185" s="1">
        <v>186.21</v>
      </c>
      <c r="F185" s="1">
        <v>112.6</v>
      </c>
      <c r="G185" s="1">
        <v>-57.42</v>
      </c>
      <c r="H185" s="1">
        <v>66.34</v>
      </c>
      <c r="I185" s="1">
        <v>0</v>
      </c>
      <c r="J185" s="1">
        <v>271.79000000000002</v>
      </c>
      <c r="K185" s="1">
        <v>40.17</v>
      </c>
      <c r="L185" s="1">
        <v>-30.96</v>
      </c>
      <c r="M185" s="1">
        <v>54.22</v>
      </c>
      <c r="N185" s="1">
        <v>10.24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1" cm="1">
        <f t="array" ref="U185">SUM(ABS(B185:T185))</f>
        <v>1656.93</v>
      </c>
    </row>
    <row r="186" spans="1:21" x14ac:dyDescent="0.3">
      <c r="A186" s="14">
        <v>45813.90625</v>
      </c>
      <c r="B186" s="1">
        <v>-731.7</v>
      </c>
      <c r="C186" s="1">
        <v>-54.94</v>
      </c>
      <c r="D186" s="1">
        <v>36.06</v>
      </c>
      <c r="E186" s="1">
        <v>186.4</v>
      </c>
      <c r="F186" s="1">
        <v>112.57</v>
      </c>
      <c r="G186" s="1">
        <v>-57.29</v>
      </c>
      <c r="H186" s="1">
        <v>66.34</v>
      </c>
      <c r="I186" s="1">
        <v>0</v>
      </c>
      <c r="J186" s="1">
        <v>271.14999999999998</v>
      </c>
      <c r="K186" s="1">
        <v>45.84</v>
      </c>
      <c r="L186" s="1">
        <v>-30.96</v>
      </c>
      <c r="M186" s="1">
        <v>54.21</v>
      </c>
      <c r="N186" s="1">
        <v>10.23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1" cm="1">
        <f t="array" ref="U186">SUM(ABS(B186:T186))</f>
        <v>1657.6899999999998</v>
      </c>
    </row>
    <row r="187" spans="1:21" x14ac:dyDescent="0.3">
      <c r="A187" s="14">
        <v>45813.916666666664</v>
      </c>
      <c r="B187" s="1">
        <v>-733.52</v>
      </c>
      <c r="C187" s="1">
        <v>-54.95</v>
      </c>
      <c r="D187" s="1">
        <v>36.07</v>
      </c>
      <c r="E187" s="1">
        <v>193.91</v>
      </c>
      <c r="F187" s="1">
        <v>112.47</v>
      </c>
      <c r="G187" s="1">
        <v>-57.38</v>
      </c>
      <c r="H187" s="1">
        <v>66.349999999999994</v>
      </c>
      <c r="I187" s="1">
        <v>0</v>
      </c>
      <c r="J187" s="1">
        <v>271.18</v>
      </c>
      <c r="K187" s="1">
        <v>50.57</v>
      </c>
      <c r="L187" s="1">
        <v>-30.98</v>
      </c>
      <c r="M187" s="1">
        <v>54.21</v>
      </c>
      <c r="N187" s="1">
        <v>10.23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1" cm="1">
        <f t="array" ref="U187">SUM(ABS(B187:T187))</f>
        <v>1671.8200000000002</v>
      </c>
    </row>
    <row r="188" spans="1:21" x14ac:dyDescent="0.3">
      <c r="A188" s="14">
        <v>45813.927083333336</v>
      </c>
      <c r="B188" s="1">
        <v>-733.44</v>
      </c>
      <c r="C188" s="1">
        <v>-54.91</v>
      </c>
      <c r="D188" s="1">
        <v>36.08</v>
      </c>
      <c r="E188" s="1">
        <v>194.29</v>
      </c>
      <c r="F188" s="1">
        <v>112.42</v>
      </c>
      <c r="G188" s="1">
        <v>-57.46</v>
      </c>
      <c r="H188" s="1">
        <v>66.349999999999994</v>
      </c>
      <c r="I188" s="1">
        <v>0</v>
      </c>
      <c r="J188" s="1">
        <v>271.91000000000003</v>
      </c>
      <c r="K188" s="1">
        <v>50.63</v>
      </c>
      <c r="L188" s="1">
        <v>-30.96</v>
      </c>
      <c r="M188" s="1">
        <v>54.21</v>
      </c>
      <c r="N188" s="1">
        <v>10.220000000000001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1" cm="1">
        <f t="array" ref="U188">SUM(ABS(B188:T188))</f>
        <v>1672.8800000000003</v>
      </c>
    </row>
    <row r="189" spans="1:21" x14ac:dyDescent="0.3">
      <c r="A189" s="14">
        <v>45813.9375</v>
      </c>
      <c r="B189" s="1">
        <v>-735.1</v>
      </c>
      <c r="C189" s="1">
        <v>-54.95</v>
      </c>
      <c r="D189" s="1">
        <v>36.1</v>
      </c>
      <c r="E189" s="1">
        <v>194.08</v>
      </c>
      <c r="F189" s="1">
        <v>102.45</v>
      </c>
      <c r="G189" s="1">
        <v>-57.64</v>
      </c>
      <c r="H189" s="1">
        <v>66.36</v>
      </c>
      <c r="I189" s="1">
        <v>0</v>
      </c>
      <c r="J189" s="1">
        <v>272.61</v>
      </c>
      <c r="K189" s="1">
        <v>43.8</v>
      </c>
      <c r="L189" s="1">
        <v>-30.97</v>
      </c>
      <c r="M189" s="1">
        <v>54.22</v>
      </c>
      <c r="N189" s="1">
        <v>10.220000000000001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1" cm="1">
        <f t="array" ref="U189">SUM(ABS(B189:T189))</f>
        <v>1658.5</v>
      </c>
    </row>
    <row r="190" spans="1:21" x14ac:dyDescent="0.3">
      <c r="A190" s="14">
        <v>45813.947916666664</v>
      </c>
      <c r="B190" s="1">
        <v>-732.41</v>
      </c>
      <c r="C190" s="1">
        <v>-54.97</v>
      </c>
      <c r="D190" s="1">
        <v>36.06</v>
      </c>
      <c r="E190" s="1">
        <v>193.53</v>
      </c>
      <c r="F190" s="1">
        <v>91.54</v>
      </c>
      <c r="G190" s="1">
        <v>-57.48</v>
      </c>
      <c r="H190" s="1">
        <v>66.349999999999994</v>
      </c>
      <c r="I190" s="1">
        <v>0</v>
      </c>
      <c r="J190" s="1">
        <v>272.08</v>
      </c>
      <c r="K190" s="1">
        <v>38.61</v>
      </c>
      <c r="L190" s="1">
        <v>-30.97</v>
      </c>
      <c r="M190" s="1">
        <v>54.21</v>
      </c>
      <c r="N190" s="1">
        <v>10.220000000000001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1" cm="1">
        <f t="array" ref="U190">SUM(ABS(B190:T190))</f>
        <v>1638.4299999999998</v>
      </c>
    </row>
    <row r="191" spans="1:21" x14ac:dyDescent="0.3">
      <c r="A191" s="14">
        <v>45813.958333333336</v>
      </c>
      <c r="B191" s="1">
        <v>-690.56</v>
      </c>
      <c r="C191" s="1">
        <v>-55.02</v>
      </c>
      <c r="D191" s="1">
        <v>36.08</v>
      </c>
      <c r="E191" s="1">
        <v>193.21</v>
      </c>
      <c r="F191" s="1">
        <v>91.66</v>
      </c>
      <c r="G191" s="1">
        <v>-57.44</v>
      </c>
      <c r="H191" s="1">
        <v>66.349999999999994</v>
      </c>
      <c r="I191" s="1">
        <v>0</v>
      </c>
      <c r="J191" s="1">
        <v>272.05</v>
      </c>
      <c r="K191" s="1">
        <v>28.77</v>
      </c>
      <c r="L191" s="1">
        <v>-30.96</v>
      </c>
      <c r="M191" s="1">
        <v>54.21</v>
      </c>
      <c r="N191" s="1">
        <v>10.210000000000001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1" cm="1">
        <f t="array" ref="U191">SUM(ABS(B191:T191))</f>
        <v>1586.52</v>
      </c>
    </row>
    <row r="192" spans="1:21" x14ac:dyDescent="0.3">
      <c r="A192" s="14">
        <v>45813.96875</v>
      </c>
      <c r="B192" s="1">
        <v>-664.11</v>
      </c>
      <c r="C192" s="1">
        <v>-55</v>
      </c>
      <c r="D192" s="1">
        <v>36.06</v>
      </c>
      <c r="E192" s="1">
        <v>193.02</v>
      </c>
      <c r="F192" s="1">
        <v>91.63</v>
      </c>
      <c r="G192" s="1">
        <v>-57.49</v>
      </c>
      <c r="H192" s="1">
        <v>66.349999999999994</v>
      </c>
      <c r="I192" s="1">
        <v>0</v>
      </c>
      <c r="J192" s="1">
        <v>272.10000000000002</v>
      </c>
      <c r="K192" s="1">
        <v>25.79</v>
      </c>
      <c r="L192" s="1">
        <v>-30.94</v>
      </c>
      <c r="M192" s="1">
        <v>54.21</v>
      </c>
      <c r="N192" s="1">
        <v>10.210000000000001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1" cm="1">
        <f t="array" ref="U192">SUM(ABS(B192:T192))</f>
        <v>1556.9100000000003</v>
      </c>
    </row>
    <row r="193" spans="1:21" x14ac:dyDescent="0.3">
      <c r="A193" s="14">
        <v>45813.979166666664</v>
      </c>
      <c r="B193" s="1">
        <v>-715.75</v>
      </c>
      <c r="C193" s="1">
        <v>-54.97</v>
      </c>
      <c r="D193" s="1">
        <v>36.11</v>
      </c>
      <c r="E193" s="1">
        <v>193.28</v>
      </c>
      <c r="F193" s="1">
        <v>91.59</v>
      </c>
      <c r="G193" s="1">
        <v>-57.42</v>
      </c>
      <c r="H193" s="1">
        <v>66.349999999999994</v>
      </c>
      <c r="I193" s="1">
        <v>0</v>
      </c>
      <c r="J193" s="1">
        <v>271.85000000000002</v>
      </c>
      <c r="K193" s="1">
        <v>25.79</v>
      </c>
      <c r="L193" s="1">
        <v>-30.94</v>
      </c>
      <c r="M193" s="1">
        <v>54.21</v>
      </c>
      <c r="N193" s="1">
        <v>10.220000000000001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1" cm="1">
        <f t="array" ref="U193">SUM(ABS(B193:T193))</f>
        <v>1608.4800000000002</v>
      </c>
    </row>
    <row r="194" spans="1:21" x14ac:dyDescent="0.3">
      <c r="A194" s="14">
        <v>45813.989583333336</v>
      </c>
      <c r="B194" s="1">
        <v>-730</v>
      </c>
      <c r="C194" s="1">
        <v>-54.92</v>
      </c>
      <c r="D194" s="1">
        <v>36.14</v>
      </c>
      <c r="E194" s="1">
        <v>193.47</v>
      </c>
      <c r="F194" s="1">
        <v>91.52</v>
      </c>
      <c r="G194" s="1">
        <v>-57.44</v>
      </c>
      <c r="H194" s="1">
        <v>66.349999999999994</v>
      </c>
      <c r="I194" s="1">
        <v>0</v>
      </c>
      <c r="J194" s="1">
        <v>271.82</v>
      </c>
      <c r="K194" s="1">
        <v>25.79</v>
      </c>
      <c r="L194" s="1">
        <v>-30.96</v>
      </c>
      <c r="M194" s="1">
        <v>54.22</v>
      </c>
      <c r="N194" s="1">
        <v>10.220000000000001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1" cm="1">
        <f t="array" ref="U194">SUM(ABS(B194:T194))</f>
        <v>1622.85</v>
      </c>
    </row>
    <row r="195" spans="1:21" x14ac:dyDescent="0.3">
      <c r="A195" s="14">
        <v>45843</v>
      </c>
      <c r="B195" s="1">
        <v>-733.11</v>
      </c>
      <c r="C195" s="1">
        <v>-54.96</v>
      </c>
      <c r="D195" s="1">
        <v>36.130000000000003</v>
      </c>
      <c r="E195" s="1">
        <v>194.02</v>
      </c>
      <c r="F195" s="1">
        <v>91.56</v>
      </c>
      <c r="G195" s="1">
        <v>-58.1</v>
      </c>
      <c r="H195" s="1">
        <v>55.21</v>
      </c>
      <c r="I195" s="1">
        <v>0</v>
      </c>
      <c r="J195" s="1">
        <v>272.39</v>
      </c>
      <c r="K195" s="1">
        <v>25.83</v>
      </c>
      <c r="L195" s="1">
        <v>-30.95</v>
      </c>
      <c r="M195" s="1">
        <v>54.21</v>
      </c>
      <c r="N195" s="1">
        <v>10.220000000000001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1" cm="1">
        <f t="array" ref="U195">SUM(ABS(B195:T195))</f>
        <v>1616.69</v>
      </c>
    </row>
    <row r="196" spans="1:21" x14ac:dyDescent="0.3">
      <c r="A196" s="14">
        <v>45843.010416666664</v>
      </c>
      <c r="B196" s="1">
        <v>-731.47</v>
      </c>
      <c r="C196" s="1">
        <v>-54.95</v>
      </c>
      <c r="D196" s="1">
        <v>36.11</v>
      </c>
      <c r="E196" s="1">
        <v>189.87</v>
      </c>
      <c r="F196" s="1">
        <v>62.14</v>
      </c>
      <c r="G196" s="1">
        <v>-57.61</v>
      </c>
      <c r="H196" s="1">
        <v>27.04</v>
      </c>
      <c r="I196" s="1">
        <v>0</v>
      </c>
      <c r="J196" s="1">
        <v>271.87</v>
      </c>
      <c r="K196" s="1">
        <v>25.83</v>
      </c>
      <c r="L196" s="1">
        <v>-30.97</v>
      </c>
      <c r="M196" s="1">
        <v>54.23</v>
      </c>
      <c r="N196" s="1">
        <v>10.210000000000001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1" cm="1">
        <f t="array" ref="U196">SUM(ABS(B196:T196))</f>
        <v>1552.3</v>
      </c>
    </row>
    <row r="197" spans="1:21" x14ac:dyDescent="0.3">
      <c r="A197" s="14">
        <v>45843.020833333336</v>
      </c>
      <c r="B197" s="1">
        <v>-734.9</v>
      </c>
      <c r="C197" s="1">
        <v>-54.97</v>
      </c>
      <c r="D197" s="1">
        <v>36.159999999999997</v>
      </c>
      <c r="E197" s="1">
        <v>193.02</v>
      </c>
      <c r="F197" s="1">
        <v>47.56</v>
      </c>
      <c r="G197" s="1">
        <v>-58.16</v>
      </c>
      <c r="H197" s="1">
        <v>24</v>
      </c>
      <c r="I197" s="1">
        <v>0</v>
      </c>
      <c r="J197" s="1">
        <v>272.62</v>
      </c>
      <c r="K197" s="1">
        <v>25.87</v>
      </c>
      <c r="L197" s="1">
        <v>-30.97</v>
      </c>
      <c r="M197" s="1">
        <v>54.22</v>
      </c>
      <c r="N197" s="1">
        <v>10.210000000000001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1" cm="1">
        <f t="array" ref="U197">SUM(ABS(B197:T197))</f>
        <v>1542.6599999999999</v>
      </c>
    </row>
    <row r="198" spans="1:21" x14ac:dyDescent="0.3">
      <c r="A198" s="14">
        <v>45843.03125</v>
      </c>
      <c r="B198" s="1">
        <v>-734.68</v>
      </c>
      <c r="C198" s="1">
        <v>-54.97</v>
      </c>
      <c r="D198" s="1">
        <v>36.17</v>
      </c>
      <c r="E198" s="1">
        <v>193.4</v>
      </c>
      <c r="F198" s="1">
        <v>47.75</v>
      </c>
      <c r="G198" s="1">
        <v>-58.14</v>
      </c>
      <c r="H198" s="1">
        <v>24</v>
      </c>
      <c r="I198" s="1">
        <v>0</v>
      </c>
      <c r="J198" s="1">
        <v>272.57</v>
      </c>
      <c r="K198" s="1">
        <v>25.78</v>
      </c>
      <c r="L198" s="1">
        <v>-30.95</v>
      </c>
      <c r="M198" s="1">
        <v>54.22</v>
      </c>
      <c r="N198" s="1">
        <v>10.210000000000001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1" cm="1">
        <f t="array" ref="U198">SUM(ABS(B198:T198))</f>
        <v>1542.84</v>
      </c>
    </row>
    <row r="199" spans="1:21" x14ac:dyDescent="0.3">
      <c r="A199" s="14">
        <v>45843.041666666664</v>
      </c>
      <c r="B199" s="1">
        <v>-728.05</v>
      </c>
      <c r="C199" s="1">
        <v>-54.97</v>
      </c>
      <c r="D199" s="1">
        <v>36.17</v>
      </c>
      <c r="E199" s="1">
        <v>160.97999999999999</v>
      </c>
      <c r="F199" s="1">
        <v>47.62</v>
      </c>
      <c r="G199" s="1">
        <v>-57.93</v>
      </c>
      <c r="H199" s="1">
        <v>13.47</v>
      </c>
      <c r="I199" s="1">
        <v>0</v>
      </c>
      <c r="J199" s="1">
        <v>272.62</v>
      </c>
      <c r="K199" s="1">
        <v>25.77</v>
      </c>
      <c r="L199" s="1">
        <v>-30.97</v>
      </c>
      <c r="M199" s="1">
        <v>54.22</v>
      </c>
      <c r="N199" s="1">
        <v>10.199999999999999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1" cm="1">
        <f t="array" ref="U199">SUM(ABS(B199:T199))</f>
        <v>1492.97</v>
      </c>
    </row>
    <row r="200" spans="1:21" x14ac:dyDescent="0.3">
      <c r="A200" s="14">
        <v>45843.052083333336</v>
      </c>
      <c r="B200" s="1">
        <v>-725.25</v>
      </c>
      <c r="C200" s="1">
        <v>-54.95</v>
      </c>
      <c r="D200" s="1">
        <v>36.18</v>
      </c>
      <c r="E200" s="1">
        <v>147.88</v>
      </c>
      <c r="F200" s="1">
        <v>23.18</v>
      </c>
      <c r="G200" s="1">
        <v>-57.82</v>
      </c>
      <c r="H200" s="1">
        <v>12</v>
      </c>
      <c r="I200" s="1">
        <v>0</v>
      </c>
      <c r="J200" s="1">
        <v>272.52999999999997</v>
      </c>
      <c r="K200" s="1">
        <v>25.76</v>
      </c>
      <c r="L200" s="1">
        <v>-30.97</v>
      </c>
      <c r="M200" s="1">
        <v>54.23</v>
      </c>
      <c r="N200" s="1">
        <v>10.199999999999999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1" cm="1">
        <f t="array" ref="U200">SUM(ABS(B200:T200))</f>
        <v>1450.95</v>
      </c>
    </row>
    <row r="201" spans="1:21" x14ac:dyDescent="0.3">
      <c r="A201" s="14">
        <v>45843.0625</v>
      </c>
      <c r="B201" s="1">
        <v>-727.16</v>
      </c>
      <c r="C201" s="1">
        <v>-54.94</v>
      </c>
      <c r="D201" s="1">
        <v>36.18</v>
      </c>
      <c r="E201" s="1">
        <v>132.83000000000001</v>
      </c>
      <c r="F201" s="1">
        <v>0</v>
      </c>
      <c r="G201" s="1">
        <v>-57.78</v>
      </c>
      <c r="H201" s="1">
        <v>12</v>
      </c>
      <c r="I201" s="1">
        <v>0</v>
      </c>
      <c r="J201" s="1">
        <v>272.72000000000003</v>
      </c>
      <c r="K201" s="1">
        <v>25.77</v>
      </c>
      <c r="L201" s="1">
        <v>-30.96</v>
      </c>
      <c r="M201" s="1">
        <v>54.23</v>
      </c>
      <c r="N201" s="1">
        <v>10.199999999999999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1" cm="1">
        <f t="array" ref="U201">SUM(ABS(B201:T201))</f>
        <v>1414.77</v>
      </c>
    </row>
    <row r="202" spans="1:21" x14ac:dyDescent="0.3">
      <c r="A202" s="14">
        <v>45843.072916666664</v>
      </c>
      <c r="B202" s="1">
        <v>-726.74</v>
      </c>
      <c r="C202" s="1">
        <v>-54.94</v>
      </c>
      <c r="D202" s="1">
        <v>36.21</v>
      </c>
      <c r="E202" s="1">
        <v>103.5</v>
      </c>
      <c r="F202" s="1">
        <v>0</v>
      </c>
      <c r="G202" s="1">
        <v>-57.73</v>
      </c>
      <c r="H202" s="1">
        <v>12</v>
      </c>
      <c r="I202" s="1">
        <v>0</v>
      </c>
      <c r="J202" s="1">
        <v>272.58</v>
      </c>
      <c r="K202" s="1">
        <v>20.440000000000001</v>
      </c>
      <c r="L202" s="1">
        <v>-30.97</v>
      </c>
      <c r="M202" s="1">
        <v>54.22</v>
      </c>
      <c r="N202" s="1">
        <v>10.199999999999999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1" cm="1">
        <f t="array" ref="U202">SUM(ABS(B202:T202))</f>
        <v>1379.5300000000002</v>
      </c>
    </row>
    <row r="203" spans="1:21" x14ac:dyDescent="0.3">
      <c r="A203" s="14">
        <v>45843.083333333336</v>
      </c>
      <c r="B203" s="1">
        <v>-730.89</v>
      </c>
      <c r="C203" s="1">
        <v>-54.94</v>
      </c>
      <c r="D203" s="1">
        <v>36.21</v>
      </c>
      <c r="E203" s="1">
        <v>98.11</v>
      </c>
      <c r="F203" s="1">
        <v>0</v>
      </c>
      <c r="G203" s="1">
        <v>-57.76</v>
      </c>
      <c r="H203" s="1">
        <v>12</v>
      </c>
      <c r="I203" s="1">
        <v>0</v>
      </c>
      <c r="J203" s="1">
        <v>272.66000000000003</v>
      </c>
      <c r="K203" s="1">
        <v>19.149999999999999</v>
      </c>
      <c r="L203" s="1">
        <v>-30.98</v>
      </c>
      <c r="M203" s="1">
        <v>54.23</v>
      </c>
      <c r="N203" s="1">
        <v>10.199999999999999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1" cm="1">
        <f t="array" ref="U203">SUM(ABS(B203:T203))</f>
        <v>1377.13</v>
      </c>
    </row>
    <row r="204" spans="1:21" x14ac:dyDescent="0.3">
      <c r="A204" s="14">
        <v>45843.09375</v>
      </c>
      <c r="B204" s="1">
        <v>-731.8</v>
      </c>
      <c r="C204" s="1">
        <v>-54.91</v>
      </c>
      <c r="D204" s="1">
        <v>36.229999999999997</v>
      </c>
      <c r="E204" s="1">
        <v>48.6</v>
      </c>
      <c r="F204" s="1">
        <v>0</v>
      </c>
      <c r="G204" s="1">
        <v>-57.97</v>
      </c>
      <c r="H204" s="1">
        <v>12</v>
      </c>
      <c r="I204" s="1">
        <v>0</v>
      </c>
      <c r="J204" s="1">
        <v>272.62</v>
      </c>
      <c r="K204" s="1">
        <v>16.91</v>
      </c>
      <c r="L204" s="1">
        <v>-30.96</v>
      </c>
      <c r="M204" s="1">
        <v>54.22</v>
      </c>
      <c r="N204" s="1">
        <v>10.19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1" cm="1">
        <f t="array" ref="U204">SUM(ABS(B204:T204))</f>
        <v>1326.4100000000003</v>
      </c>
    </row>
    <row r="205" spans="1:21" x14ac:dyDescent="0.3">
      <c r="A205" s="14">
        <v>45843.104166666664</v>
      </c>
      <c r="B205" s="1">
        <v>-730.07</v>
      </c>
      <c r="C205" s="1">
        <v>-54.93</v>
      </c>
      <c r="D205" s="1">
        <v>36.25</v>
      </c>
      <c r="E205" s="1">
        <v>12.23</v>
      </c>
      <c r="F205" s="1">
        <v>0</v>
      </c>
      <c r="G205" s="1">
        <v>-58.19</v>
      </c>
      <c r="H205" s="1">
        <v>12</v>
      </c>
      <c r="I205" s="1">
        <v>0</v>
      </c>
      <c r="J205" s="1">
        <v>272.67</v>
      </c>
      <c r="K205" s="1">
        <v>12.83</v>
      </c>
      <c r="L205" s="1">
        <v>-30.97</v>
      </c>
      <c r="M205" s="1">
        <v>54.23</v>
      </c>
      <c r="N205" s="1">
        <v>10.19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1" cm="1">
        <f t="array" ref="U205">SUM(ABS(B205:T205))</f>
        <v>1284.5600000000002</v>
      </c>
    </row>
    <row r="206" spans="1:21" x14ac:dyDescent="0.3">
      <c r="A206" s="14">
        <v>45843.114583333336</v>
      </c>
      <c r="B206" s="1">
        <v>-684.17</v>
      </c>
      <c r="C206" s="1">
        <v>-54.9</v>
      </c>
      <c r="D206" s="1">
        <v>36.26</v>
      </c>
      <c r="E206" s="1">
        <v>0</v>
      </c>
      <c r="F206" s="1">
        <v>0</v>
      </c>
      <c r="G206" s="1">
        <v>-57.71</v>
      </c>
      <c r="H206" s="1">
        <v>12</v>
      </c>
      <c r="I206" s="1">
        <v>0</v>
      </c>
      <c r="J206" s="1">
        <v>272.75</v>
      </c>
      <c r="K206" s="1">
        <v>12.83</v>
      </c>
      <c r="L206" s="1">
        <v>-30.96</v>
      </c>
      <c r="M206" s="1">
        <v>54.23</v>
      </c>
      <c r="N206" s="1">
        <v>10.19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1" cm="1">
        <f t="array" ref="U206">SUM(ABS(B206:T206))</f>
        <v>1226</v>
      </c>
    </row>
    <row r="207" spans="1:21" x14ac:dyDescent="0.3">
      <c r="A207" s="14">
        <v>45843.125</v>
      </c>
      <c r="B207" s="1">
        <v>-689.7</v>
      </c>
      <c r="C207" s="1">
        <v>-54.92</v>
      </c>
      <c r="D207" s="1">
        <v>36.28</v>
      </c>
      <c r="E207" s="1">
        <v>0</v>
      </c>
      <c r="F207" s="1">
        <v>0</v>
      </c>
      <c r="G207" s="1">
        <v>-58.05</v>
      </c>
      <c r="H207" s="1">
        <v>12</v>
      </c>
      <c r="I207" s="1">
        <v>0</v>
      </c>
      <c r="J207" s="1">
        <v>273</v>
      </c>
      <c r="K207" s="1">
        <v>12.82</v>
      </c>
      <c r="L207" s="1">
        <v>-30.97</v>
      </c>
      <c r="M207" s="1">
        <v>54.23</v>
      </c>
      <c r="N207" s="1">
        <v>10.19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1" cm="1">
        <f t="array" ref="U207">SUM(ABS(B207:T207))</f>
        <v>1232.1599999999999</v>
      </c>
    </row>
    <row r="208" spans="1:21" x14ac:dyDescent="0.3">
      <c r="A208" s="14">
        <v>45843.135416666664</v>
      </c>
      <c r="B208" s="1">
        <v>-670.53</v>
      </c>
      <c r="C208" s="1">
        <v>-54.87</v>
      </c>
      <c r="D208" s="1">
        <v>36.29</v>
      </c>
      <c r="E208" s="1">
        <v>0</v>
      </c>
      <c r="F208" s="1">
        <v>0</v>
      </c>
      <c r="G208" s="1">
        <v>-57.7</v>
      </c>
      <c r="H208" s="1">
        <v>12</v>
      </c>
      <c r="I208" s="1">
        <v>0</v>
      </c>
      <c r="J208" s="1">
        <v>272.7</v>
      </c>
      <c r="K208" s="1">
        <v>12.82</v>
      </c>
      <c r="L208" s="1">
        <v>-30.96</v>
      </c>
      <c r="M208" s="1">
        <v>35.96</v>
      </c>
      <c r="N208" s="1">
        <v>10.19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1" cm="1">
        <f t="array" ref="U208">SUM(ABS(B208:T208))</f>
        <v>1194.02</v>
      </c>
    </row>
    <row r="209" spans="1:21" x14ac:dyDescent="0.3">
      <c r="A209" s="14">
        <v>45843.145833333336</v>
      </c>
      <c r="B209" s="1">
        <v>-645.88</v>
      </c>
      <c r="C209" s="1">
        <v>-54.87</v>
      </c>
      <c r="D209" s="1">
        <v>36.28</v>
      </c>
      <c r="E209" s="1">
        <v>0</v>
      </c>
      <c r="F209" s="1">
        <v>0</v>
      </c>
      <c r="G209" s="1">
        <v>-57.69</v>
      </c>
      <c r="H209" s="1">
        <v>12</v>
      </c>
      <c r="I209" s="1">
        <v>0</v>
      </c>
      <c r="J209" s="1">
        <v>272.73</v>
      </c>
      <c r="K209" s="1">
        <v>12.84</v>
      </c>
      <c r="L209" s="1">
        <v>-30.96</v>
      </c>
      <c r="M209" s="1">
        <v>30.12</v>
      </c>
      <c r="N209" s="1">
        <v>10.19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1" cm="1">
        <f t="array" ref="U209">SUM(ABS(B209:T209))</f>
        <v>1163.56</v>
      </c>
    </row>
    <row r="210" spans="1:21" x14ac:dyDescent="0.3">
      <c r="A210" s="14">
        <v>45843.15625</v>
      </c>
      <c r="B210" s="1">
        <v>-595.44000000000005</v>
      </c>
      <c r="C210" s="1">
        <v>-54.83</v>
      </c>
      <c r="D210" s="1">
        <v>36.29</v>
      </c>
      <c r="E210" s="1">
        <v>0</v>
      </c>
      <c r="F210" s="1">
        <v>0</v>
      </c>
      <c r="G210" s="1">
        <v>-57.58</v>
      </c>
      <c r="H210" s="1">
        <v>12</v>
      </c>
      <c r="I210" s="1">
        <v>0</v>
      </c>
      <c r="J210" s="1">
        <v>272.69</v>
      </c>
      <c r="K210" s="1">
        <v>12.82</v>
      </c>
      <c r="L210" s="1">
        <v>-30.96</v>
      </c>
      <c r="M210" s="1">
        <v>30.12</v>
      </c>
      <c r="N210" s="1">
        <v>10.19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1" cm="1">
        <f t="array" ref="U210">SUM(ABS(B210:T210))</f>
        <v>1112.92</v>
      </c>
    </row>
    <row r="211" spans="1:21" x14ac:dyDescent="0.3">
      <c r="A211" s="14">
        <v>45843.166666666664</v>
      </c>
      <c r="B211" s="1">
        <v>-591.91999999999996</v>
      </c>
      <c r="C211" s="1">
        <v>-54.85</v>
      </c>
      <c r="D211" s="1">
        <v>36.31</v>
      </c>
      <c r="E211" s="1">
        <v>0</v>
      </c>
      <c r="F211" s="1">
        <v>0</v>
      </c>
      <c r="G211" s="1">
        <v>-57.86</v>
      </c>
      <c r="H211" s="1">
        <v>12</v>
      </c>
      <c r="I211" s="1">
        <v>0</v>
      </c>
      <c r="J211" s="1">
        <v>272.64999999999998</v>
      </c>
      <c r="K211" s="1">
        <v>12.79</v>
      </c>
      <c r="L211" s="1">
        <v>-30.96</v>
      </c>
      <c r="M211" s="1">
        <v>30.13</v>
      </c>
      <c r="N211" s="1">
        <v>10.199999999999999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1" cm="1">
        <f t="array" ref="U211">SUM(ABS(B211:T211))</f>
        <v>1109.67</v>
      </c>
    </row>
    <row r="212" spans="1:21" x14ac:dyDescent="0.3">
      <c r="A212" s="14">
        <v>45843.177083333336</v>
      </c>
      <c r="B212" s="1">
        <v>-574.34</v>
      </c>
      <c r="C212" s="1">
        <v>-54.85</v>
      </c>
      <c r="D212" s="1">
        <v>36.31</v>
      </c>
      <c r="E212" s="1">
        <v>0</v>
      </c>
      <c r="F212" s="1">
        <v>0</v>
      </c>
      <c r="G212" s="1">
        <v>-57.86</v>
      </c>
      <c r="H212" s="1">
        <v>12</v>
      </c>
      <c r="I212" s="1">
        <v>0</v>
      </c>
      <c r="J212" s="1">
        <v>272.62</v>
      </c>
      <c r="K212" s="1">
        <v>12.78</v>
      </c>
      <c r="L212" s="1">
        <v>-30.94</v>
      </c>
      <c r="M212" s="1">
        <v>30.1</v>
      </c>
      <c r="N212" s="1">
        <v>10.19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1" cm="1">
        <f t="array" ref="U212">SUM(ABS(B212:T212))</f>
        <v>1091.99</v>
      </c>
    </row>
    <row r="213" spans="1:21" x14ac:dyDescent="0.3">
      <c r="A213" s="14">
        <v>45843.1875</v>
      </c>
      <c r="B213" s="1">
        <v>-568.46</v>
      </c>
      <c r="C213" s="1">
        <v>-54.88</v>
      </c>
      <c r="D213" s="1">
        <v>36.35</v>
      </c>
      <c r="E213" s="1">
        <v>0</v>
      </c>
      <c r="F213" s="1">
        <v>0</v>
      </c>
      <c r="G213" s="1">
        <v>-57.89</v>
      </c>
      <c r="H213" s="1">
        <v>12</v>
      </c>
      <c r="I213" s="1">
        <v>0</v>
      </c>
      <c r="J213" s="1">
        <v>272.20999999999998</v>
      </c>
      <c r="K213" s="1">
        <v>12.78</v>
      </c>
      <c r="L213" s="1">
        <v>-30.96</v>
      </c>
      <c r="M213" s="1">
        <v>30.11</v>
      </c>
      <c r="N213" s="1">
        <v>10.19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1" cm="1">
        <f t="array" ref="U213">SUM(ABS(B213:T213))</f>
        <v>1085.83</v>
      </c>
    </row>
    <row r="214" spans="1:21" x14ac:dyDescent="0.3">
      <c r="A214" s="14">
        <v>45843.197916666664</v>
      </c>
      <c r="B214" s="1">
        <v>-551.84</v>
      </c>
      <c r="C214" s="1">
        <v>-54.88</v>
      </c>
      <c r="D214" s="1">
        <v>36.33</v>
      </c>
      <c r="E214" s="1">
        <v>0</v>
      </c>
      <c r="F214" s="1">
        <v>0</v>
      </c>
      <c r="G214" s="1">
        <v>-57.99</v>
      </c>
      <c r="H214" s="1">
        <v>12</v>
      </c>
      <c r="I214" s="1">
        <v>0</v>
      </c>
      <c r="J214" s="1">
        <v>272.49</v>
      </c>
      <c r="K214" s="1">
        <v>12.78</v>
      </c>
      <c r="L214" s="1">
        <v>-30.93</v>
      </c>
      <c r="M214" s="1">
        <v>30.11</v>
      </c>
      <c r="N214" s="1">
        <v>10.199999999999999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1" cm="1">
        <f t="array" ref="U214">SUM(ABS(B214:T214))</f>
        <v>1069.55</v>
      </c>
    </row>
    <row r="215" spans="1:21" x14ac:dyDescent="0.3">
      <c r="A215" s="14">
        <v>45843.208333333336</v>
      </c>
      <c r="B215" s="1">
        <v>-540.6</v>
      </c>
      <c r="C215" s="1">
        <v>-54.86</v>
      </c>
      <c r="D215" s="1">
        <v>36.35</v>
      </c>
      <c r="E215" s="1">
        <v>0</v>
      </c>
      <c r="F215" s="1">
        <v>0</v>
      </c>
      <c r="G215" s="1">
        <v>-57.67</v>
      </c>
      <c r="H215" s="1">
        <v>12</v>
      </c>
      <c r="I215" s="1">
        <v>0</v>
      </c>
      <c r="J215" s="1">
        <v>272.62</v>
      </c>
      <c r="K215" s="1">
        <v>12.77</v>
      </c>
      <c r="L215" s="1">
        <v>-30.94</v>
      </c>
      <c r="M215" s="1">
        <v>30.12</v>
      </c>
      <c r="N215" s="1">
        <v>10.19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1" cm="1">
        <f t="array" ref="U215">SUM(ABS(B215:T215))</f>
        <v>1058.1200000000001</v>
      </c>
    </row>
    <row r="216" spans="1:21" x14ac:dyDescent="0.3">
      <c r="A216" s="14">
        <v>45843.21875</v>
      </c>
      <c r="B216" s="1">
        <v>-546.28</v>
      </c>
      <c r="C216" s="1">
        <v>-54.89</v>
      </c>
      <c r="D216" s="1">
        <v>36.369999999999997</v>
      </c>
      <c r="E216" s="1">
        <v>0</v>
      </c>
      <c r="F216" s="1">
        <v>0</v>
      </c>
      <c r="G216" s="1">
        <v>-57.83</v>
      </c>
      <c r="H216" s="1">
        <v>12</v>
      </c>
      <c r="I216" s="1">
        <v>0</v>
      </c>
      <c r="J216" s="1">
        <v>272.39999999999998</v>
      </c>
      <c r="K216" s="1">
        <v>12.78</v>
      </c>
      <c r="L216" s="1">
        <v>-30.93</v>
      </c>
      <c r="M216" s="1">
        <v>30.12</v>
      </c>
      <c r="N216" s="1">
        <v>10.18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1" cm="1">
        <f t="array" ref="U216">SUM(ABS(B216:T216))</f>
        <v>1063.78</v>
      </c>
    </row>
    <row r="217" spans="1:21" x14ac:dyDescent="0.3">
      <c r="A217" s="14">
        <v>45843.229166666664</v>
      </c>
      <c r="B217" s="1">
        <v>-567.55999999999995</v>
      </c>
      <c r="C217" s="1">
        <v>-54.93</v>
      </c>
      <c r="D217" s="1">
        <v>36.42</v>
      </c>
      <c r="E217" s="1">
        <v>0</v>
      </c>
      <c r="F217" s="1">
        <v>0</v>
      </c>
      <c r="G217" s="1">
        <v>-58.3</v>
      </c>
      <c r="H217" s="1">
        <v>12</v>
      </c>
      <c r="I217" s="1">
        <v>0</v>
      </c>
      <c r="J217" s="1">
        <v>272.56</v>
      </c>
      <c r="K217" s="1">
        <v>12.77</v>
      </c>
      <c r="L217" s="1">
        <v>-30.95</v>
      </c>
      <c r="M217" s="1">
        <v>30.13</v>
      </c>
      <c r="N217" s="1">
        <v>10.19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1" cm="1">
        <f t="array" ref="U217">SUM(ABS(B217:T217))</f>
        <v>1085.81</v>
      </c>
    </row>
    <row r="218" spans="1:21" x14ac:dyDescent="0.3">
      <c r="A218" s="14">
        <v>45843.239583333336</v>
      </c>
      <c r="B218" s="1">
        <v>-578.54</v>
      </c>
      <c r="C218" s="1">
        <v>-54.91</v>
      </c>
      <c r="D218" s="1">
        <v>36.450000000000003</v>
      </c>
      <c r="E218" s="1">
        <v>0</v>
      </c>
      <c r="F218" s="1">
        <v>0</v>
      </c>
      <c r="G218" s="1">
        <v>-58.52</v>
      </c>
      <c r="H218" s="1">
        <v>12</v>
      </c>
      <c r="I218" s="1">
        <v>0</v>
      </c>
      <c r="J218" s="1">
        <v>272.67</v>
      </c>
      <c r="K218" s="1">
        <v>12.78</v>
      </c>
      <c r="L218" s="1">
        <v>-30.9</v>
      </c>
      <c r="M218" s="1">
        <v>30.11</v>
      </c>
      <c r="N218" s="1">
        <v>10.19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1" cm="1">
        <f t="array" ref="U218">SUM(ABS(B218:T218))</f>
        <v>1097.07</v>
      </c>
    </row>
    <row r="219" spans="1:21" x14ac:dyDescent="0.3">
      <c r="A219" s="14">
        <v>45843.25</v>
      </c>
      <c r="B219" s="1">
        <v>-537.87</v>
      </c>
      <c r="C219" s="1">
        <v>-54.89</v>
      </c>
      <c r="D219" s="1">
        <v>36.43</v>
      </c>
      <c r="E219" s="1">
        <v>0</v>
      </c>
      <c r="F219" s="1">
        <v>0</v>
      </c>
      <c r="G219" s="1">
        <v>-57.77</v>
      </c>
      <c r="H219" s="1">
        <v>12</v>
      </c>
      <c r="I219" s="1">
        <v>0</v>
      </c>
      <c r="J219" s="1">
        <v>271.52999999999997</v>
      </c>
      <c r="K219" s="1">
        <v>12.8</v>
      </c>
      <c r="L219" s="1">
        <v>-30.93</v>
      </c>
      <c r="M219" s="1">
        <v>30.11</v>
      </c>
      <c r="N219" s="1">
        <v>10.18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1" cm="1">
        <f t="array" ref="U219">SUM(ABS(B219:T219))</f>
        <v>1054.5099999999998</v>
      </c>
    </row>
    <row r="220" spans="1:21" x14ac:dyDescent="0.3">
      <c r="A220" s="14">
        <v>45843.260416666664</v>
      </c>
      <c r="B220" s="1">
        <v>-531.82000000000005</v>
      </c>
      <c r="C220" s="1">
        <v>-54.86</v>
      </c>
      <c r="D220" s="1">
        <v>36.47</v>
      </c>
      <c r="E220" s="1">
        <v>0</v>
      </c>
      <c r="F220" s="1">
        <v>0</v>
      </c>
      <c r="G220" s="1">
        <v>-57.82</v>
      </c>
      <c r="H220" s="1">
        <v>12</v>
      </c>
      <c r="I220" s="1">
        <v>0</v>
      </c>
      <c r="J220" s="1">
        <v>272.79000000000002</v>
      </c>
      <c r="K220" s="1">
        <v>12.8</v>
      </c>
      <c r="L220" s="1">
        <v>-30.9</v>
      </c>
      <c r="M220" s="1">
        <v>30.12</v>
      </c>
      <c r="N220" s="1">
        <v>10.18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1" cm="1">
        <f t="array" ref="U220">SUM(ABS(B220:T220))</f>
        <v>1049.7600000000002</v>
      </c>
    </row>
    <row r="221" spans="1:21" x14ac:dyDescent="0.3">
      <c r="A221" s="14">
        <v>45843.270833333336</v>
      </c>
      <c r="B221" s="1">
        <v>-574.25</v>
      </c>
      <c r="C221" s="1">
        <v>-54.87</v>
      </c>
      <c r="D221" s="1">
        <v>36.44</v>
      </c>
      <c r="E221" s="1">
        <v>0</v>
      </c>
      <c r="F221" s="1">
        <v>0</v>
      </c>
      <c r="G221" s="1">
        <v>-57.7</v>
      </c>
      <c r="H221" s="1">
        <v>12</v>
      </c>
      <c r="I221" s="1">
        <v>0</v>
      </c>
      <c r="J221" s="1">
        <v>272.73</v>
      </c>
      <c r="K221" s="1">
        <v>12.82</v>
      </c>
      <c r="L221" s="1">
        <v>-30.94</v>
      </c>
      <c r="M221" s="1">
        <v>30.11</v>
      </c>
      <c r="N221" s="1">
        <v>10.18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1" cm="1">
        <f t="array" ref="U221">SUM(ABS(B221:T221))</f>
        <v>1092.04</v>
      </c>
    </row>
    <row r="222" spans="1:21" x14ac:dyDescent="0.3">
      <c r="A222" s="14">
        <v>45843.28125</v>
      </c>
      <c r="B222" s="1">
        <v>-543.13</v>
      </c>
      <c r="C222" s="1">
        <v>-54.89</v>
      </c>
      <c r="D222" s="1">
        <v>36.47</v>
      </c>
      <c r="E222" s="1">
        <v>0</v>
      </c>
      <c r="F222" s="1">
        <v>0</v>
      </c>
      <c r="G222" s="1">
        <v>-19.559999999999999</v>
      </c>
      <c r="H222" s="1">
        <v>12</v>
      </c>
      <c r="I222" s="1">
        <v>0</v>
      </c>
      <c r="J222" s="1">
        <v>272.74</v>
      </c>
      <c r="K222" s="1">
        <v>12.81</v>
      </c>
      <c r="L222" s="1">
        <v>-30.9</v>
      </c>
      <c r="M222" s="1">
        <v>30.13</v>
      </c>
      <c r="N222" s="1">
        <v>10.18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1" cm="1">
        <f t="array" ref="U222">SUM(ABS(B222:T222))</f>
        <v>1022.8099999999998</v>
      </c>
    </row>
    <row r="223" spans="1:21" x14ac:dyDescent="0.3">
      <c r="A223" s="14">
        <v>45843.291666666664</v>
      </c>
      <c r="B223" s="1">
        <v>-374.2</v>
      </c>
      <c r="C223" s="1">
        <v>-54.88</v>
      </c>
      <c r="D223" s="1">
        <v>36.49</v>
      </c>
      <c r="E223" s="1">
        <v>0</v>
      </c>
      <c r="F223" s="1">
        <v>0</v>
      </c>
      <c r="G223" s="1">
        <v>0</v>
      </c>
      <c r="H223" s="1">
        <v>12</v>
      </c>
      <c r="I223" s="1">
        <v>0</v>
      </c>
      <c r="J223" s="1">
        <v>273.05</v>
      </c>
      <c r="K223" s="1">
        <v>12.82</v>
      </c>
      <c r="L223" s="1">
        <v>-30.86</v>
      </c>
      <c r="M223" s="1">
        <v>30.11</v>
      </c>
      <c r="N223" s="1">
        <v>10.16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1" cm="1">
        <f t="array" ref="U223">SUM(ABS(B223:T223))</f>
        <v>834.57</v>
      </c>
    </row>
    <row r="224" spans="1:21" x14ac:dyDescent="0.3">
      <c r="A224" s="14">
        <v>45843.302083333336</v>
      </c>
      <c r="B224" s="1">
        <v>-309.45</v>
      </c>
      <c r="C224" s="1">
        <v>-54.97</v>
      </c>
      <c r="D224" s="1">
        <v>36.51</v>
      </c>
      <c r="E224" s="1">
        <v>0</v>
      </c>
      <c r="F224" s="1">
        <v>0</v>
      </c>
      <c r="G224" s="1">
        <v>0</v>
      </c>
      <c r="H224" s="1">
        <v>12</v>
      </c>
      <c r="I224" s="1">
        <v>0</v>
      </c>
      <c r="J224" s="1">
        <v>273.10000000000002</v>
      </c>
      <c r="K224" s="1">
        <v>12.9</v>
      </c>
      <c r="L224" s="1">
        <v>-30.86</v>
      </c>
      <c r="M224" s="1">
        <v>30.1</v>
      </c>
      <c r="N224" s="1">
        <v>10.15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1" cm="1">
        <f t="array" ref="U224">SUM(ABS(B224:T224))</f>
        <v>770.04</v>
      </c>
    </row>
    <row r="225" spans="1:21" x14ac:dyDescent="0.3">
      <c r="A225" s="14">
        <v>45843.3125</v>
      </c>
      <c r="B225" s="1">
        <v>-251.7</v>
      </c>
      <c r="C225" s="1">
        <v>-55.01</v>
      </c>
      <c r="D225" s="1">
        <v>36.520000000000003</v>
      </c>
      <c r="E225" s="1">
        <v>0</v>
      </c>
      <c r="F225" s="1">
        <v>0</v>
      </c>
      <c r="G225" s="1">
        <v>0</v>
      </c>
      <c r="H225" s="1">
        <v>12</v>
      </c>
      <c r="I225" s="1">
        <v>0</v>
      </c>
      <c r="J225" s="1">
        <v>273.2</v>
      </c>
      <c r="K225" s="1">
        <v>12.89</v>
      </c>
      <c r="L225" s="1">
        <v>-30.88</v>
      </c>
      <c r="M225" s="1">
        <v>30.11</v>
      </c>
      <c r="N225" s="1">
        <v>10.15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1" cm="1">
        <f t="array" ref="U225">SUM(ABS(B225:T225))</f>
        <v>712.45999999999992</v>
      </c>
    </row>
    <row r="226" spans="1:21" x14ac:dyDescent="0.3">
      <c r="A226" s="14">
        <v>45843.322916666664</v>
      </c>
      <c r="B226" s="1">
        <v>-161.25</v>
      </c>
      <c r="C226" s="1">
        <v>-55</v>
      </c>
      <c r="D226" s="1">
        <v>36.520000000000003</v>
      </c>
      <c r="E226" s="1">
        <v>0</v>
      </c>
      <c r="F226" s="1">
        <v>0</v>
      </c>
      <c r="G226" s="1">
        <v>0</v>
      </c>
      <c r="H226" s="1">
        <v>12</v>
      </c>
      <c r="I226" s="1">
        <v>0</v>
      </c>
      <c r="J226" s="1">
        <v>273.2</v>
      </c>
      <c r="K226" s="1">
        <v>12.9</v>
      </c>
      <c r="L226" s="1">
        <v>-30.87</v>
      </c>
      <c r="M226" s="1">
        <v>30.11</v>
      </c>
      <c r="N226" s="1">
        <v>10.15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1" cm="1">
        <f t="array" ref="U226">SUM(ABS(B226:T226))</f>
        <v>622</v>
      </c>
    </row>
    <row r="227" spans="1:21" x14ac:dyDescent="0.3">
      <c r="A227" s="14">
        <v>45843.333333333336</v>
      </c>
      <c r="B227" s="1">
        <v>-138.74</v>
      </c>
      <c r="C227" s="1">
        <v>-54.97</v>
      </c>
      <c r="D227" s="1">
        <v>36.53</v>
      </c>
      <c r="E227" s="1">
        <v>0</v>
      </c>
      <c r="F227" s="1">
        <v>0</v>
      </c>
      <c r="G227" s="1">
        <v>0</v>
      </c>
      <c r="H227" s="1">
        <v>12</v>
      </c>
      <c r="I227" s="1">
        <v>0</v>
      </c>
      <c r="J227" s="1">
        <v>273.01</v>
      </c>
      <c r="K227" s="1">
        <v>12.92</v>
      </c>
      <c r="L227" s="1">
        <v>-30.87</v>
      </c>
      <c r="M227" s="1">
        <v>30.12</v>
      </c>
      <c r="N227" s="1">
        <v>10.15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1" cm="1">
        <f t="array" ref="U227">SUM(ABS(B227:T227))</f>
        <v>599.30999999999995</v>
      </c>
    </row>
    <row r="228" spans="1:21" x14ac:dyDescent="0.3">
      <c r="A228" s="14">
        <v>45843.34375</v>
      </c>
      <c r="B228" s="1">
        <v>-120.78</v>
      </c>
      <c r="C228" s="1">
        <v>-35.57</v>
      </c>
      <c r="D228" s="1">
        <v>36.54</v>
      </c>
      <c r="E228" s="1">
        <v>0</v>
      </c>
      <c r="F228" s="1">
        <v>0</v>
      </c>
      <c r="G228" s="1">
        <v>0</v>
      </c>
      <c r="H228" s="1">
        <v>12</v>
      </c>
      <c r="I228" s="1">
        <v>0</v>
      </c>
      <c r="J228" s="1">
        <v>232.29</v>
      </c>
      <c r="K228" s="1">
        <v>12.84</v>
      </c>
      <c r="L228" s="1">
        <v>-30.87</v>
      </c>
      <c r="M228" s="1">
        <v>30.12</v>
      </c>
      <c r="N228" s="1">
        <v>10.15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1" cm="1">
        <f t="array" ref="U228">SUM(ABS(B228:T228))</f>
        <v>521.16</v>
      </c>
    </row>
    <row r="229" spans="1:21" x14ac:dyDescent="0.3">
      <c r="A229" s="14">
        <v>45843.354166666664</v>
      </c>
      <c r="B229" s="1">
        <v>-109.58</v>
      </c>
      <c r="C229" s="1">
        <v>-20.27</v>
      </c>
      <c r="D229" s="1">
        <v>36.49</v>
      </c>
      <c r="E229" s="1">
        <v>0</v>
      </c>
      <c r="F229" s="1">
        <v>0</v>
      </c>
      <c r="G229" s="1">
        <v>0</v>
      </c>
      <c r="H229" s="1">
        <v>12</v>
      </c>
      <c r="I229" s="1">
        <v>0</v>
      </c>
      <c r="J229" s="1">
        <v>214.68</v>
      </c>
      <c r="K229" s="1">
        <v>12.83</v>
      </c>
      <c r="L229" s="1">
        <v>-19.75</v>
      </c>
      <c r="M229" s="1">
        <v>30.11</v>
      </c>
      <c r="N229" s="1">
        <v>6.94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1" cm="1">
        <f t="array" ref="U229">SUM(ABS(B229:T229))</f>
        <v>462.65</v>
      </c>
    </row>
    <row r="230" spans="1:21" x14ac:dyDescent="0.3">
      <c r="A230" s="14">
        <v>45843.364583333336</v>
      </c>
      <c r="B230" s="1">
        <v>-101.23</v>
      </c>
      <c r="C230" s="1">
        <v>-20.22</v>
      </c>
      <c r="D230" s="1">
        <v>36.450000000000003</v>
      </c>
      <c r="E230" s="1">
        <v>0</v>
      </c>
      <c r="F230" s="1">
        <v>0</v>
      </c>
      <c r="G230" s="1">
        <v>0</v>
      </c>
      <c r="H230" s="1">
        <v>12</v>
      </c>
      <c r="I230" s="1">
        <v>0</v>
      </c>
      <c r="J230" s="1">
        <v>213.98</v>
      </c>
      <c r="K230" s="1">
        <v>9.2799999999999994</v>
      </c>
      <c r="L230" s="1">
        <v>-15.64</v>
      </c>
      <c r="M230" s="1">
        <v>30.12</v>
      </c>
      <c r="N230" s="1">
        <v>5.48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1" cm="1">
        <f t="array" ref="U230">SUM(ABS(B230:T230))</f>
        <v>444.4</v>
      </c>
    </row>
    <row r="231" spans="1:21" x14ac:dyDescent="0.3">
      <c r="A231" s="14">
        <v>45843.375</v>
      </c>
      <c r="B231" s="1">
        <v>-270.89</v>
      </c>
      <c r="C231" s="1">
        <v>-20.29</v>
      </c>
      <c r="D231" s="1">
        <v>36.44</v>
      </c>
      <c r="E231" s="1">
        <v>0</v>
      </c>
      <c r="F231" s="1">
        <v>0</v>
      </c>
      <c r="G231" s="1">
        <v>0</v>
      </c>
      <c r="H231" s="1">
        <v>12</v>
      </c>
      <c r="I231" s="1">
        <v>0</v>
      </c>
      <c r="J231" s="1">
        <v>262.14</v>
      </c>
      <c r="K231" s="1">
        <v>6.32</v>
      </c>
      <c r="L231" s="1">
        <v>-15.66</v>
      </c>
      <c r="M231" s="1">
        <v>26.3</v>
      </c>
      <c r="N231" s="1">
        <v>5.48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1" cm="1">
        <f t="array" ref="U231">SUM(ABS(B231:T231))</f>
        <v>655.52</v>
      </c>
    </row>
    <row r="232" spans="1:21" x14ac:dyDescent="0.3">
      <c r="A232" s="14">
        <v>45843.385416666664</v>
      </c>
      <c r="B232" s="1">
        <v>-379.27</v>
      </c>
      <c r="C232" s="1">
        <v>-20.260000000000002</v>
      </c>
      <c r="D232" s="1">
        <v>36.450000000000003</v>
      </c>
      <c r="E232" s="1">
        <v>0</v>
      </c>
      <c r="F232" s="1">
        <v>0</v>
      </c>
      <c r="G232" s="1">
        <v>0</v>
      </c>
      <c r="H232" s="1">
        <v>12</v>
      </c>
      <c r="I232" s="1">
        <v>0</v>
      </c>
      <c r="J232" s="1">
        <v>232.26</v>
      </c>
      <c r="K232" s="1">
        <v>6.33</v>
      </c>
      <c r="L232" s="1">
        <v>-15.67</v>
      </c>
      <c r="M232" s="1">
        <v>20.059999999999999</v>
      </c>
      <c r="N232" s="1">
        <v>5.48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1" cm="1">
        <f t="array" ref="U232">SUM(ABS(B232:T232))</f>
        <v>727.78</v>
      </c>
    </row>
    <row r="233" spans="1:21" x14ac:dyDescent="0.3">
      <c r="A233" s="14">
        <v>45843.395833333336</v>
      </c>
      <c r="B233" s="1">
        <v>-355.34</v>
      </c>
      <c r="C233" s="1">
        <v>-20.260000000000002</v>
      </c>
      <c r="D233" s="1">
        <v>36.42</v>
      </c>
      <c r="E233" s="1">
        <v>0</v>
      </c>
      <c r="F233" s="1">
        <v>0</v>
      </c>
      <c r="G233" s="1">
        <v>0</v>
      </c>
      <c r="H233" s="1">
        <v>12</v>
      </c>
      <c r="I233" s="1">
        <v>0</v>
      </c>
      <c r="J233" s="1">
        <v>215.88</v>
      </c>
      <c r="K233" s="1">
        <v>6.34</v>
      </c>
      <c r="L233" s="1">
        <v>-15.66</v>
      </c>
      <c r="M233" s="1">
        <v>20.07</v>
      </c>
      <c r="N233" s="1">
        <v>5.48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1" cm="1">
        <f t="array" ref="U233">SUM(ABS(B233:T233))</f>
        <v>687.45</v>
      </c>
    </row>
    <row r="234" spans="1:21" x14ac:dyDescent="0.3">
      <c r="A234" s="14">
        <v>45843.40625</v>
      </c>
      <c r="B234" s="1">
        <v>-341.11</v>
      </c>
      <c r="C234" s="1">
        <v>-20.25</v>
      </c>
      <c r="D234" s="1">
        <v>36.380000000000003</v>
      </c>
      <c r="E234" s="1">
        <v>0</v>
      </c>
      <c r="F234" s="1">
        <v>0</v>
      </c>
      <c r="G234" s="1">
        <v>0</v>
      </c>
      <c r="H234" s="1">
        <v>12</v>
      </c>
      <c r="I234" s="1">
        <v>0</v>
      </c>
      <c r="J234" s="1">
        <v>215.19</v>
      </c>
      <c r="K234" s="1">
        <v>6.34</v>
      </c>
      <c r="L234" s="1">
        <v>-15.54</v>
      </c>
      <c r="M234" s="1">
        <v>20.059999999999999</v>
      </c>
      <c r="N234" s="1">
        <v>5.48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1" cm="1">
        <f t="array" ref="U234">SUM(ABS(B234:T234))</f>
        <v>672.35</v>
      </c>
    </row>
    <row r="235" spans="1:21" x14ac:dyDescent="0.3">
      <c r="A235" s="14">
        <v>45843.416666666664</v>
      </c>
      <c r="B235" s="1">
        <v>-335.67</v>
      </c>
      <c r="C235" s="1">
        <v>-20.23</v>
      </c>
      <c r="D235" s="1">
        <v>36.39</v>
      </c>
      <c r="E235" s="1">
        <v>0</v>
      </c>
      <c r="F235" s="1">
        <v>0</v>
      </c>
      <c r="G235" s="1">
        <v>0</v>
      </c>
      <c r="H235" s="1">
        <v>12</v>
      </c>
      <c r="I235" s="1">
        <v>0</v>
      </c>
      <c r="J235" s="1">
        <v>214.78</v>
      </c>
      <c r="K235" s="1">
        <v>6.33</v>
      </c>
      <c r="L235" s="1">
        <v>-5.44</v>
      </c>
      <c r="M235" s="1">
        <v>20.07</v>
      </c>
      <c r="N235" s="1">
        <v>5.48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1" cm="1">
        <f t="array" ref="U235">SUM(ABS(B235:T235))</f>
        <v>656.39000000000021</v>
      </c>
    </row>
    <row r="236" spans="1:21" x14ac:dyDescent="0.3">
      <c r="A236" s="14">
        <v>45843.427083333336</v>
      </c>
      <c r="B236" s="1">
        <v>-331.78</v>
      </c>
      <c r="C236" s="1">
        <v>-20.239999999999998</v>
      </c>
      <c r="D236" s="1">
        <v>36.340000000000003</v>
      </c>
      <c r="E236" s="1">
        <v>0</v>
      </c>
      <c r="F236" s="1">
        <v>0</v>
      </c>
      <c r="G236" s="1">
        <v>0</v>
      </c>
      <c r="H236" s="1">
        <v>12</v>
      </c>
      <c r="I236" s="1">
        <v>0</v>
      </c>
      <c r="J236" s="1">
        <v>222.07</v>
      </c>
      <c r="K236" s="1">
        <v>6.37</v>
      </c>
      <c r="L236" s="1">
        <v>0.14000000000000001</v>
      </c>
      <c r="M236" s="1">
        <v>20.059999999999999</v>
      </c>
      <c r="N236" s="1">
        <v>5.47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1" cm="1">
        <f t="array" ref="U236">SUM(ABS(B236:T236))</f>
        <v>654.47</v>
      </c>
    </row>
    <row r="237" spans="1:21" x14ac:dyDescent="0.3">
      <c r="A237" s="14">
        <v>45843.4375</v>
      </c>
      <c r="B237" s="1">
        <v>-304.7</v>
      </c>
      <c r="C237" s="1">
        <v>-20.25</v>
      </c>
      <c r="D237" s="1">
        <v>36.33</v>
      </c>
      <c r="E237" s="1">
        <v>0</v>
      </c>
      <c r="F237" s="1">
        <v>0</v>
      </c>
      <c r="G237" s="1">
        <v>0</v>
      </c>
      <c r="H237" s="1">
        <v>12</v>
      </c>
      <c r="I237" s="1">
        <v>0</v>
      </c>
      <c r="J237" s="1">
        <v>273.52999999999997</v>
      </c>
      <c r="K237" s="1">
        <v>6.37</v>
      </c>
      <c r="L237" s="1">
        <v>0.12</v>
      </c>
      <c r="M237" s="1">
        <v>20.07</v>
      </c>
      <c r="N237" s="1">
        <v>5.48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1" cm="1">
        <f t="array" ref="U237">SUM(ABS(B237:T237))</f>
        <v>678.85</v>
      </c>
    </row>
    <row r="238" spans="1:21" x14ac:dyDescent="0.3">
      <c r="A238" s="14">
        <v>45843.447916666664</v>
      </c>
      <c r="B238" s="1">
        <v>-293.7</v>
      </c>
      <c r="C238" s="1">
        <v>-20.23</v>
      </c>
      <c r="D238" s="1">
        <v>36.32</v>
      </c>
      <c r="E238" s="1">
        <v>0</v>
      </c>
      <c r="F238" s="1">
        <v>0</v>
      </c>
      <c r="G238" s="1">
        <v>0</v>
      </c>
      <c r="H238" s="1">
        <v>12</v>
      </c>
      <c r="I238" s="1">
        <v>0</v>
      </c>
      <c r="J238" s="1">
        <v>273.85000000000002</v>
      </c>
      <c r="K238" s="1">
        <v>6.38</v>
      </c>
      <c r="L238" s="1">
        <v>0.12</v>
      </c>
      <c r="M238" s="1">
        <v>20.059999999999999</v>
      </c>
      <c r="N238" s="1">
        <v>5.47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1" cm="1">
        <f t="array" ref="U238">SUM(ABS(B238:T238))</f>
        <v>668.13</v>
      </c>
    </row>
    <row r="239" spans="1:21" x14ac:dyDescent="0.3">
      <c r="A239" s="14">
        <v>45843.458333333336</v>
      </c>
      <c r="B239" s="1">
        <v>-245.38</v>
      </c>
      <c r="C239" s="1">
        <v>-20.23</v>
      </c>
      <c r="D239" s="1">
        <v>36.33</v>
      </c>
      <c r="E239" s="1">
        <v>0</v>
      </c>
      <c r="F239" s="1">
        <v>0</v>
      </c>
      <c r="G239" s="1">
        <v>0</v>
      </c>
      <c r="H239" s="1">
        <v>12</v>
      </c>
      <c r="I239" s="1">
        <v>0</v>
      </c>
      <c r="J239" s="1">
        <v>272</v>
      </c>
      <c r="K239" s="1">
        <v>6.38</v>
      </c>
      <c r="L239" s="1">
        <v>0.12</v>
      </c>
      <c r="M239" s="1">
        <v>20.059999999999999</v>
      </c>
      <c r="N239" s="1">
        <v>5.48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1" cm="1">
        <f t="array" ref="U239">SUM(ABS(B239:T239))</f>
        <v>617.98</v>
      </c>
    </row>
    <row r="240" spans="1:21" x14ac:dyDescent="0.3">
      <c r="A240" s="14">
        <v>45843.46875</v>
      </c>
      <c r="B240" s="1">
        <v>-230.33</v>
      </c>
      <c r="C240" s="1">
        <v>-20.23</v>
      </c>
      <c r="D240" s="1">
        <v>36.35</v>
      </c>
      <c r="E240" s="1">
        <v>0</v>
      </c>
      <c r="F240" s="1">
        <v>0</v>
      </c>
      <c r="G240" s="1">
        <v>0</v>
      </c>
      <c r="H240" s="1">
        <v>12</v>
      </c>
      <c r="I240" s="1">
        <v>0</v>
      </c>
      <c r="J240" s="1">
        <v>274.05</v>
      </c>
      <c r="K240" s="1">
        <v>6.38</v>
      </c>
      <c r="L240" s="1">
        <v>0.13</v>
      </c>
      <c r="M240" s="1">
        <v>20.059999999999999</v>
      </c>
      <c r="N240" s="1">
        <v>5.47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1" cm="1">
        <f t="array" ref="U240">SUM(ABS(B240:T240))</f>
        <v>605</v>
      </c>
    </row>
    <row r="241" spans="1:21" x14ac:dyDescent="0.3">
      <c r="A241" s="14">
        <v>45843.479166666664</v>
      </c>
      <c r="B241" s="1">
        <v>-229.79</v>
      </c>
      <c r="C241" s="1">
        <v>-20.239999999999998</v>
      </c>
      <c r="D241" s="1">
        <v>36.340000000000003</v>
      </c>
      <c r="E241" s="1">
        <v>0</v>
      </c>
      <c r="F241" s="1">
        <v>0</v>
      </c>
      <c r="G241" s="1">
        <v>0</v>
      </c>
      <c r="H241" s="1">
        <v>12</v>
      </c>
      <c r="I241" s="1">
        <v>0</v>
      </c>
      <c r="J241" s="1">
        <v>273.39</v>
      </c>
      <c r="K241" s="1">
        <v>6.41</v>
      </c>
      <c r="L241" s="1">
        <v>0.14000000000000001</v>
      </c>
      <c r="M241" s="1">
        <v>20.07</v>
      </c>
      <c r="N241" s="1">
        <v>5.47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1" cm="1">
        <f t="array" ref="U241">SUM(ABS(B241:T241))</f>
        <v>603.85</v>
      </c>
    </row>
    <row r="242" spans="1:21" x14ac:dyDescent="0.3">
      <c r="A242" s="14">
        <v>45843.489583333336</v>
      </c>
      <c r="B242" s="1">
        <v>-229.79</v>
      </c>
      <c r="C242" s="1">
        <v>-20.25</v>
      </c>
      <c r="D242" s="1">
        <v>36.35</v>
      </c>
      <c r="E242" s="1">
        <v>0</v>
      </c>
      <c r="F242" s="1">
        <v>0</v>
      </c>
      <c r="G242" s="1">
        <v>0</v>
      </c>
      <c r="H242" s="1">
        <v>12</v>
      </c>
      <c r="I242" s="1">
        <v>0</v>
      </c>
      <c r="J242" s="1">
        <v>273.23</v>
      </c>
      <c r="K242" s="1">
        <v>6.41</v>
      </c>
      <c r="L242" s="1">
        <v>0.14000000000000001</v>
      </c>
      <c r="M242" s="1">
        <v>20.05</v>
      </c>
      <c r="N242" s="1">
        <v>5.47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1" cm="1">
        <f t="array" ref="U242">SUM(ABS(B242:T242))</f>
        <v>603.68999999999994</v>
      </c>
    </row>
    <row r="243" spans="1:21" x14ac:dyDescent="0.3">
      <c r="A243" s="14">
        <v>45843.5</v>
      </c>
      <c r="B243" s="1">
        <v>-163.62</v>
      </c>
      <c r="C243" s="1">
        <v>-20.21</v>
      </c>
      <c r="D243" s="1">
        <v>36.35</v>
      </c>
      <c r="E243" s="1">
        <v>0</v>
      </c>
      <c r="F243" s="1">
        <v>0</v>
      </c>
      <c r="G243" s="1">
        <v>0</v>
      </c>
      <c r="H243" s="1">
        <v>12</v>
      </c>
      <c r="I243" s="1">
        <v>0</v>
      </c>
      <c r="J243" s="1">
        <v>269.48</v>
      </c>
      <c r="K243" s="1">
        <v>6.4</v>
      </c>
      <c r="L243" s="1">
        <v>0.15</v>
      </c>
      <c r="M243" s="1">
        <v>20.059999999999999</v>
      </c>
      <c r="N243" s="1">
        <v>5.47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1" cm="1">
        <f t="array" ref="U243">SUM(ABS(B243:T243))</f>
        <v>533.74</v>
      </c>
    </row>
    <row r="244" spans="1:21" x14ac:dyDescent="0.3">
      <c r="A244" s="14">
        <v>45843.510416666664</v>
      </c>
      <c r="B244" s="1">
        <v>-117.72</v>
      </c>
      <c r="C244" s="1">
        <v>-20.23</v>
      </c>
      <c r="D244" s="1">
        <v>36.369999999999997</v>
      </c>
      <c r="E244" s="1">
        <v>0</v>
      </c>
      <c r="F244" s="1">
        <v>0</v>
      </c>
      <c r="G244" s="1">
        <v>0</v>
      </c>
      <c r="H244" s="1">
        <v>12</v>
      </c>
      <c r="I244" s="1">
        <v>0</v>
      </c>
      <c r="J244" s="1">
        <v>272.8</v>
      </c>
      <c r="K244" s="1">
        <v>6.4</v>
      </c>
      <c r="L244" s="1">
        <v>0.15</v>
      </c>
      <c r="M244" s="1">
        <v>20.059999999999999</v>
      </c>
      <c r="N244" s="1">
        <v>5.47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1" cm="1">
        <f t="array" ref="U244">SUM(ABS(B244:T244))</f>
        <v>491.2</v>
      </c>
    </row>
    <row r="245" spans="1:21" x14ac:dyDescent="0.3">
      <c r="A245" s="14">
        <v>45843.520833333336</v>
      </c>
      <c r="B245" s="1">
        <v>-163.54</v>
      </c>
      <c r="C245" s="1">
        <v>-20.260000000000002</v>
      </c>
      <c r="D245" s="1">
        <v>36.43</v>
      </c>
      <c r="E245" s="1">
        <v>0</v>
      </c>
      <c r="F245" s="1">
        <v>0</v>
      </c>
      <c r="G245" s="1">
        <v>0</v>
      </c>
      <c r="H245" s="1">
        <v>12.52</v>
      </c>
      <c r="I245" s="1">
        <v>0</v>
      </c>
      <c r="J245" s="1">
        <v>273.17</v>
      </c>
      <c r="K245" s="1">
        <v>6.42</v>
      </c>
      <c r="L245" s="1">
        <v>0.15</v>
      </c>
      <c r="M245" s="1">
        <v>20.059999999999999</v>
      </c>
      <c r="N245" s="1">
        <v>5.47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1" cm="1">
        <f t="array" ref="U245">SUM(ABS(B245:T245))</f>
        <v>538.02</v>
      </c>
    </row>
    <row r="246" spans="1:21" x14ac:dyDescent="0.3">
      <c r="A246" s="14">
        <v>45843.53125</v>
      </c>
      <c r="B246" s="1">
        <v>-165.52</v>
      </c>
      <c r="C246" s="1">
        <v>-20.239999999999998</v>
      </c>
      <c r="D246" s="1">
        <v>36.42</v>
      </c>
      <c r="E246" s="1">
        <v>0</v>
      </c>
      <c r="F246" s="1">
        <v>0</v>
      </c>
      <c r="G246" s="1">
        <v>0</v>
      </c>
      <c r="H246" s="1">
        <v>15.24</v>
      </c>
      <c r="I246" s="1">
        <v>0</v>
      </c>
      <c r="J246" s="1">
        <v>273.62</v>
      </c>
      <c r="K246" s="1">
        <v>6.32</v>
      </c>
      <c r="L246" s="1">
        <v>0.14000000000000001</v>
      </c>
      <c r="M246" s="1">
        <v>20.059999999999999</v>
      </c>
      <c r="N246" s="1">
        <v>5.47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1" cm="1">
        <f t="array" ref="U246">SUM(ABS(B246:T246))</f>
        <v>543.03</v>
      </c>
    </row>
    <row r="247" spans="1:21" x14ac:dyDescent="0.3">
      <c r="A247" s="14">
        <v>45843.541666666664</v>
      </c>
      <c r="B247" s="1">
        <v>-179.46</v>
      </c>
      <c r="C247" s="1">
        <v>-20.16</v>
      </c>
      <c r="D247" s="1">
        <v>36.35</v>
      </c>
      <c r="E247" s="1">
        <v>0</v>
      </c>
      <c r="F247" s="1">
        <v>0</v>
      </c>
      <c r="G247" s="1">
        <v>0</v>
      </c>
      <c r="H247" s="1">
        <v>12</v>
      </c>
      <c r="I247" s="1">
        <v>0</v>
      </c>
      <c r="J247" s="1">
        <v>266.05</v>
      </c>
      <c r="K247" s="1">
        <v>6.32</v>
      </c>
      <c r="L247" s="1">
        <v>0.14000000000000001</v>
      </c>
      <c r="M247" s="1">
        <v>20.059999999999999</v>
      </c>
      <c r="N247" s="1">
        <v>5.47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1" cm="1">
        <f t="array" ref="U247">SUM(ABS(B247:T247))</f>
        <v>546.01</v>
      </c>
    </row>
    <row r="248" spans="1:21" x14ac:dyDescent="0.3">
      <c r="A248" s="14">
        <v>45843.552083333336</v>
      </c>
      <c r="B248" s="1">
        <v>-259.87</v>
      </c>
      <c r="C248" s="1">
        <v>-20.18</v>
      </c>
      <c r="D248" s="1">
        <v>36.36</v>
      </c>
      <c r="E248" s="1">
        <v>0</v>
      </c>
      <c r="F248" s="1">
        <v>0</v>
      </c>
      <c r="G248" s="1">
        <v>0</v>
      </c>
      <c r="H248" s="1">
        <v>12</v>
      </c>
      <c r="I248" s="1">
        <v>0</v>
      </c>
      <c r="J248" s="1">
        <v>271.83</v>
      </c>
      <c r="K248" s="1">
        <v>6.31</v>
      </c>
      <c r="L248" s="1">
        <v>0.11</v>
      </c>
      <c r="M248" s="1">
        <v>20.059999999999999</v>
      </c>
      <c r="N248" s="1">
        <v>5.47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1" cm="1">
        <f t="array" ref="U248">SUM(ABS(B248:T248))</f>
        <v>632.18999999999994</v>
      </c>
    </row>
    <row r="249" spans="1:21" x14ac:dyDescent="0.3">
      <c r="A249" s="14">
        <v>45843.5625</v>
      </c>
      <c r="B249" s="1">
        <v>-268.56</v>
      </c>
      <c r="C249" s="1">
        <v>-20.2</v>
      </c>
      <c r="D249" s="1">
        <v>36.4</v>
      </c>
      <c r="E249" s="1">
        <v>0</v>
      </c>
      <c r="F249" s="1">
        <v>0</v>
      </c>
      <c r="G249" s="1">
        <v>0</v>
      </c>
      <c r="H249" s="1">
        <v>12</v>
      </c>
      <c r="I249" s="1">
        <v>0</v>
      </c>
      <c r="J249" s="1">
        <v>273.58999999999997</v>
      </c>
      <c r="K249" s="1">
        <v>6.3</v>
      </c>
      <c r="L249" s="1">
        <v>0.11</v>
      </c>
      <c r="M249" s="1">
        <v>20.07</v>
      </c>
      <c r="N249" s="1">
        <v>5.47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1" cm="1">
        <f t="array" ref="U249">SUM(ABS(B249:T249))</f>
        <v>642.70000000000005</v>
      </c>
    </row>
    <row r="250" spans="1:21" x14ac:dyDescent="0.3">
      <c r="A250" s="14">
        <v>45843.572916666664</v>
      </c>
      <c r="B250" s="1">
        <v>-291.76</v>
      </c>
      <c r="C250" s="1">
        <v>-20.2</v>
      </c>
      <c r="D250" s="1">
        <v>36.369999999999997</v>
      </c>
      <c r="E250" s="1">
        <v>0</v>
      </c>
      <c r="F250" s="1">
        <v>0</v>
      </c>
      <c r="G250" s="1">
        <v>0</v>
      </c>
      <c r="H250" s="1">
        <v>12.01</v>
      </c>
      <c r="I250" s="1">
        <v>0</v>
      </c>
      <c r="J250" s="1">
        <v>274.01</v>
      </c>
      <c r="K250" s="1">
        <v>6.3</v>
      </c>
      <c r="L250" s="1">
        <v>0.11</v>
      </c>
      <c r="M250" s="1">
        <v>20.059999999999999</v>
      </c>
      <c r="N250" s="1">
        <v>5.47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1" cm="1">
        <f t="array" ref="U250">SUM(ABS(B250:T250))</f>
        <v>666.28999999999985</v>
      </c>
    </row>
    <row r="251" spans="1:21" x14ac:dyDescent="0.3">
      <c r="A251" s="14">
        <v>45843.583333333336</v>
      </c>
      <c r="B251" s="1">
        <v>-417.55</v>
      </c>
      <c r="C251" s="1">
        <v>-20.22</v>
      </c>
      <c r="D251" s="1">
        <v>36.39</v>
      </c>
      <c r="E251" s="1">
        <v>0</v>
      </c>
      <c r="F251" s="1">
        <v>0</v>
      </c>
      <c r="G251" s="1">
        <v>0</v>
      </c>
      <c r="H251" s="1">
        <v>12</v>
      </c>
      <c r="I251" s="1">
        <v>0</v>
      </c>
      <c r="J251" s="1">
        <v>273.79000000000002</v>
      </c>
      <c r="K251" s="1">
        <v>6.31</v>
      </c>
      <c r="L251" s="1">
        <v>0.11</v>
      </c>
      <c r="M251" s="1">
        <v>20.059999999999999</v>
      </c>
      <c r="N251" s="1">
        <v>5.47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1" cm="1">
        <f t="array" ref="U251">SUM(ABS(B251:T251))</f>
        <v>791.9</v>
      </c>
    </row>
    <row r="252" spans="1:21" x14ac:dyDescent="0.3">
      <c r="A252" s="14">
        <v>45843.59375</v>
      </c>
      <c r="B252" s="1">
        <v>-495.39</v>
      </c>
      <c r="C252" s="1">
        <v>-24.83</v>
      </c>
      <c r="D252" s="1">
        <v>36.42</v>
      </c>
      <c r="E252" s="1">
        <v>0</v>
      </c>
      <c r="F252" s="1">
        <v>0</v>
      </c>
      <c r="G252" s="1">
        <v>0</v>
      </c>
      <c r="H252" s="1">
        <v>12</v>
      </c>
      <c r="I252" s="1">
        <v>0</v>
      </c>
      <c r="J252" s="1">
        <v>273.33</v>
      </c>
      <c r="K252" s="1">
        <v>6.39</v>
      </c>
      <c r="L252" s="1">
        <v>0.09</v>
      </c>
      <c r="M252" s="1">
        <v>25.35</v>
      </c>
      <c r="N252" s="1">
        <v>5.47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1" cm="1">
        <f t="array" ref="U252">SUM(ABS(B252:T252))</f>
        <v>879.2700000000001</v>
      </c>
    </row>
    <row r="253" spans="1:21" x14ac:dyDescent="0.3">
      <c r="A253" s="14">
        <v>45843.604166666664</v>
      </c>
      <c r="B253" s="1">
        <v>-599.08000000000004</v>
      </c>
      <c r="C253" s="1">
        <v>-30.28</v>
      </c>
      <c r="D253" s="1">
        <v>36.43</v>
      </c>
      <c r="E253" s="1">
        <v>13.25</v>
      </c>
      <c r="F253" s="1">
        <v>0</v>
      </c>
      <c r="G253" s="1">
        <v>0</v>
      </c>
      <c r="H253" s="1">
        <v>12.68</v>
      </c>
      <c r="I253" s="1">
        <v>0</v>
      </c>
      <c r="J253" s="1">
        <v>272.42</v>
      </c>
      <c r="K253" s="1">
        <v>11</v>
      </c>
      <c r="L253" s="1">
        <v>7.0000000000000007E-2</v>
      </c>
      <c r="M253" s="1">
        <v>36.119999999999997</v>
      </c>
      <c r="N253" s="1">
        <v>5.46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1" cm="1">
        <f t="array" ref="U253">SUM(ABS(B253:T253))</f>
        <v>1016.79</v>
      </c>
    </row>
    <row r="254" spans="1:21" x14ac:dyDescent="0.3">
      <c r="A254" s="14">
        <v>45843.614583333336</v>
      </c>
      <c r="B254" s="1">
        <v>-622.94000000000005</v>
      </c>
      <c r="C254" s="1">
        <v>-30.29</v>
      </c>
      <c r="D254" s="1">
        <v>36.44</v>
      </c>
      <c r="E254" s="1">
        <v>48.38</v>
      </c>
      <c r="F254" s="1">
        <v>0</v>
      </c>
      <c r="G254" s="1">
        <v>0</v>
      </c>
      <c r="H254" s="1">
        <v>24</v>
      </c>
      <c r="I254" s="1">
        <v>0</v>
      </c>
      <c r="J254" s="1">
        <v>273.38</v>
      </c>
      <c r="K254" s="1">
        <v>19.03</v>
      </c>
      <c r="L254" s="1">
        <v>0.05</v>
      </c>
      <c r="M254" s="1">
        <v>36.130000000000003</v>
      </c>
      <c r="N254" s="1">
        <v>5.47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1" cm="1">
        <f t="array" ref="U254">SUM(ABS(B254:T254))</f>
        <v>1096.1100000000001</v>
      </c>
    </row>
    <row r="255" spans="1:21" x14ac:dyDescent="0.3">
      <c r="A255" s="14">
        <v>45843.625</v>
      </c>
      <c r="B255" s="1">
        <v>-619.34</v>
      </c>
      <c r="C255" s="1">
        <v>-37.119999999999997</v>
      </c>
      <c r="D255" s="1">
        <v>36.78</v>
      </c>
      <c r="E255" s="1">
        <v>48.66</v>
      </c>
      <c r="F255" s="1">
        <v>0</v>
      </c>
      <c r="G255" s="1">
        <v>0</v>
      </c>
      <c r="H255" s="1">
        <v>24</v>
      </c>
      <c r="I255" s="1">
        <v>0</v>
      </c>
      <c r="J255" s="1">
        <v>273.70999999999998</v>
      </c>
      <c r="K255" s="1">
        <v>29.42</v>
      </c>
      <c r="L255" s="1">
        <v>0.03</v>
      </c>
      <c r="M255" s="1">
        <v>36.130000000000003</v>
      </c>
      <c r="N255" s="1">
        <v>5.47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1" cm="1">
        <f t="array" ref="U255">SUM(ABS(B255:T255))</f>
        <v>1110.6600000000001</v>
      </c>
    </row>
    <row r="256" spans="1:21" x14ac:dyDescent="0.3">
      <c r="A256" s="14">
        <v>45843.635416666664</v>
      </c>
      <c r="B256" s="1">
        <v>-616.24</v>
      </c>
      <c r="C256" s="1">
        <v>-54.9</v>
      </c>
      <c r="D256" s="1">
        <v>36.75</v>
      </c>
      <c r="E256" s="1">
        <v>48.17</v>
      </c>
      <c r="F256" s="1">
        <v>5.18</v>
      </c>
      <c r="G256" s="1">
        <v>0</v>
      </c>
      <c r="H256" s="1">
        <v>24</v>
      </c>
      <c r="I256" s="1">
        <v>0</v>
      </c>
      <c r="J256" s="1">
        <v>272.95999999999998</v>
      </c>
      <c r="K256" s="1">
        <v>37.979999999999997</v>
      </c>
      <c r="L256" s="1">
        <v>0.08</v>
      </c>
      <c r="M256" s="1">
        <v>36.119999999999997</v>
      </c>
      <c r="N256" s="1">
        <v>5.47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1" cm="1">
        <f t="array" ref="U256">SUM(ABS(B256:T256))</f>
        <v>1137.8499999999997</v>
      </c>
    </row>
    <row r="257" spans="1:21" x14ac:dyDescent="0.3">
      <c r="A257" s="14">
        <v>45843.645833333336</v>
      </c>
      <c r="B257" s="1">
        <v>-688.33</v>
      </c>
      <c r="C257" s="1">
        <v>-54.96</v>
      </c>
      <c r="D257" s="1">
        <v>36.74</v>
      </c>
      <c r="E257" s="1">
        <v>64.42</v>
      </c>
      <c r="F257" s="1">
        <v>55.33</v>
      </c>
      <c r="G257" s="1">
        <v>-22.5</v>
      </c>
      <c r="H257" s="1">
        <v>24</v>
      </c>
      <c r="I257" s="1">
        <v>0</v>
      </c>
      <c r="J257" s="1">
        <v>269.24</v>
      </c>
      <c r="K257" s="1">
        <v>37.97</v>
      </c>
      <c r="L257" s="1">
        <v>0</v>
      </c>
      <c r="M257" s="1">
        <v>36.119999999999997</v>
      </c>
      <c r="N257" s="1">
        <v>5.46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1" cm="1">
        <f t="array" ref="U257">SUM(ABS(B257:T257))</f>
        <v>1295.07</v>
      </c>
    </row>
    <row r="258" spans="1:21" x14ac:dyDescent="0.3">
      <c r="A258" s="14">
        <v>45843.65625</v>
      </c>
      <c r="B258" s="1">
        <v>-688.29</v>
      </c>
      <c r="C258" s="1">
        <v>-54.92</v>
      </c>
      <c r="D258" s="1">
        <v>36.659999999999997</v>
      </c>
      <c r="E258" s="1">
        <v>90.54</v>
      </c>
      <c r="F258" s="1">
        <v>55.35</v>
      </c>
      <c r="G258" s="1">
        <v>-22.7</v>
      </c>
      <c r="H258" s="1">
        <v>24</v>
      </c>
      <c r="I258" s="1">
        <v>0</v>
      </c>
      <c r="J258" s="1">
        <v>259.51</v>
      </c>
      <c r="K258" s="1">
        <v>37.950000000000003</v>
      </c>
      <c r="L258" s="1">
        <v>-13.63</v>
      </c>
      <c r="M258" s="1">
        <v>36.119999999999997</v>
      </c>
      <c r="N258" s="1">
        <v>5.46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1" cm="1">
        <f t="array" ref="U258">SUM(ABS(B258:T258))</f>
        <v>1325.1299999999999</v>
      </c>
    </row>
    <row r="259" spans="1:21" x14ac:dyDescent="0.3">
      <c r="A259" s="14">
        <v>45843.666666666664</v>
      </c>
      <c r="B259" s="1">
        <v>-367.08</v>
      </c>
      <c r="C259" s="1">
        <v>-44.25</v>
      </c>
      <c r="D259" s="1">
        <v>36.67</v>
      </c>
      <c r="E259" s="1">
        <v>80.25</v>
      </c>
      <c r="F259" s="1">
        <v>47.8</v>
      </c>
      <c r="G259" s="1">
        <v>-24.47</v>
      </c>
      <c r="H259" s="1">
        <v>24</v>
      </c>
      <c r="I259" s="1">
        <v>0</v>
      </c>
      <c r="J259" s="1">
        <v>264.25</v>
      </c>
      <c r="K259" s="1">
        <v>33.51</v>
      </c>
      <c r="L259" s="1">
        <v>-15.53</v>
      </c>
      <c r="M259" s="1">
        <v>36.15</v>
      </c>
      <c r="N259" s="1">
        <v>5.46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1" cm="1">
        <f t="array" ref="U259">SUM(ABS(B259:T259))</f>
        <v>979.42</v>
      </c>
    </row>
    <row r="260" spans="1:21" x14ac:dyDescent="0.3">
      <c r="A260" s="14">
        <v>45843.677083333336</v>
      </c>
      <c r="B260" s="1">
        <v>-574.54999999999995</v>
      </c>
      <c r="C260" s="1">
        <v>-40.32</v>
      </c>
      <c r="D260" s="1">
        <v>36.700000000000003</v>
      </c>
      <c r="E260" s="1">
        <v>80.55</v>
      </c>
      <c r="F260" s="1">
        <v>46.26</v>
      </c>
      <c r="G260" s="1">
        <v>-24.71</v>
      </c>
      <c r="H260" s="1">
        <v>24</v>
      </c>
      <c r="I260" s="1">
        <v>0</v>
      </c>
      <c r="J260" s="1">
        <v>272.36</v>
      </c>
      <c r="K260" s="1">
        <v>25.25</v>
      </c>
      <c r="L260" s="1">
        <v>-15.65</v>
      </c>
      <c r="M260" s="1">
        <v>36.14</v>
      </c>
      <c r="N260" s="1">
        <v>5.47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1" cm="1">
        <f t="array" ref="U260">SUM(ABS(B260:T260))</f>
        <v>1181.9600000000003</v>
      </c>
    </row>
    <row r="261" spans="1:21" x14ac:dyDescent="0.3">
      <c r="A261" s="14">
        <v>45843.6875</v>
      </c>
      <c r="B261" s="1">
        <v>-456.35</v>
      </c>
      <c r="C261" s="1">
        <v>-40.32</v>
      </c>
      <c r="D261" s="1">
        <v>36.74</v>
      </c>
      <c r="E261" s="1">
        <v>81.680000000000007</v>
      </c>
      <c r="F261" s="1">
        <v>46.23</v>
      </c>
      <c r="G261" s="1">
        <v>-24.72</v>
      </c>
      <c r="H261" s="1">
        <v>24</v>
      </c>
      <c r="I261" s="1">
        <v>0</v>
      </c>
      <c r="J261" s="1">
        <v>272.82</v>
      </c>
      <c r="K261" s="1">
        <v>25.34</v>
      </c>
      <c r="L261" s="1">
        <v>-15.63</v>
      </c>
      <c r="M261" s="1">
        <v>36.130000000000003</v>
      </c>
      <c r="N261" s="1">
        <v>5.47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1" cm="1">
        <f t="array" ref="U261">SUM(ABS(B261:T261))</f>
        <v>1065.43</v>
      </c>
    </row>
    <row r="262" spans="1:21" x14ac:dyDescent="0.3">
      <c r="A262" s="14">
        <v>45843.697916666664</v>
      </c>
      <c r="B262" s="1">
        <v>-404.6</v>
      </c>
      <c r="C262" s="1">
        <v>-40.29</v>
      </c>
      <c r="D262" s="1">
        <v>36.72</v>
      </c>
      <c r="E262" s="1">
        <v>94.41</v>
      </c>
      <c r="F262" s="1">
        <v>46.21</v>
      </c>
      <c r="G262" s="1">
        <v>-24.7</v>
      </c>
      <c r="H262" s="1">
        <v>24</v>
      </c>
      <c r="I262" s="1">
        <v>0</v>
      </c>
      <c r="J262" s="1">
        <v>272.60000000000002</v>
      </c>
      <c r="K262" s="1">
        <v>31.48</v>
      </c>
      <c r="L262" s="1">
        <v>-15.64</v>
      </c>
      <c r="M262" s="1">
        <v>36.130000000000003</v>
      </c>
      <c r="N262" s="1">
        <v>5.46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1" cm="1">
        <f t="array" ref="U262">SUM(ABS(B262:T262))</f>
        <v>1032.2400000000002</v>
      </c>
    </row>
    <row r="263" spans="1:21" x14ac:dyDescent="0.3">
      <c r="A263" s="14">
        <v>45843.708333333336</v>
      </c>
      <c r="B263" s="1">
        <v>-392.4</v>
      </c>
      <c r="C263" s="1">
        <v>-40.299999999999997</v>
      </c>
      <c r="D263" s="1">
        <v>36.729999999999997</v>
      </c>
      <c r="E263" s="1">
        <v>99.1</v>
      </c>
      <c r="F263" s="1">
        <v>46.16</v>
      </c>
      <c r="G263" s="1">
        <v>-24.54</v>
      </c>
      <c r="H263" s="1">
        <v>21.61</v>
      </c>
      <c r="I263" s="1">
        <v>0</v>
      </c>
      <c r="J263" s="1">
        <v>231.05</v>
      </c>
      <c r="K263" s="1">
        <v>31.69</v>
      </c>
      <c r="L263" s="1">
        <v>-15.65</v>
      </c>
      <c r="M263" s="1">
        <v>36.14</v>
      </c>
      <c r="N263" s="1">
        <v>5.46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1" cm="1">
        <f t="array" ref="U263">SUM(ABS(B263:T263))</f>
        <v>980.82999999999993</v>
      </c>
    </row>
    <row r="264" spans="1:21" x14ac:dyDescent="0.3">
      <c r="A264" s="14">
        <v>45843.71875</v>
      </c>
      <c r="B264" s="1">
        <v>-441.18</v>
      </c>
      <c r="C264" s="1">
        <v>-40.299999999999997</v>
      </c>
      <c r="D264" s="1">
        <v>36.92</v>
      </c>
      <c r="E264" s="1">
        <v>101.56</v>
      </c>
      <c r="F264" s="1">
        <v>46.17</v>
      </c>
      <c r="G264" s="1">
        <v>-24.38</v>
      </c>
      <c r="H264" s="1">
        <v>12</v>
      </c>
      <c r="I264" s="1">
        <v>0</v>
      </c>
      <c r="J264" s="1">
        <v>182.28</v>
      </c>
      <c r="K264" s="1">
        <v>33.26</v>
      </c>
      <c r="L264" s="1">
        <v>-15.64</v>
      </c>
      <c r="M264" s="1">
        <v>36.130000000000003</v>
      </c>
      <c r="N264" s="1">
        <v>5.46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1" cm="1">
        <f t="array" ref="U264">SUM(ABS(B264:T264))</f>
        <v>975.28</v>
      </c>
    </row>
    <row r="265" spans="1:21" x14ac:dyDescent="0.3">
      <c r="A265" s="14">
        <v>45843.729166666664</v>
      </c>
      <c r="B265" s="1">
        <v>-590.29999999999995</v>
      </c>
      <c r="C265" s="1">
        <v>-40.28</v>
      </c>
      <c r="D265" s="1">
        <v>36.96</v>
      </c>
      <c r="E265" s="1">
        <v>99.54</v>
      </c>
      <c r="F265" s="1">
        <v>46.16</v>
      </c>
      <c r="G265" s="1">
        <v>-24.65</v>
      </c>
      <c r="H265" s="1">
        <v>12</v>
      </c>
      <c r="I265" s="1">
        <v>0</v>
      </c>
      <c r="J265" s="1">
        <v>180.02</v>
      </c>
      <c r="K265" s="1">
        <v>29.82</v>
      </c>
      <c r="L265" s="1">
        <v>-15.68</v>
      </c>
      <c r="M265" s="1">
        <v>36.14</v>
      </c>
      <c r="N265" s="1">
        <v>7.95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1" cm="1">
        <f t="array" ref="U265">SUM(ABS(B265:T265))</f>
        <v>1119.5</v>
      </c>
    </row>
    <row r="266" spans="1:21" x14ac:dyDescent="0.3">
      <c r="A266" s="14">
        <v>45843.739583333336</v>
      </c>
      <c r="B266" s="1">
        <v>-595.72</v>
      </c>
      <c r="C266" s="1">
        <v>-40.299999999999997</v>
      </c>
      <c r="D266" s="1">
        <v>36.909999999999997</v>
      </c>
      <c r="E266" s="1">
        <v>100.75</v>
      </c>
      <c r="F266" s="1">
        <v>46.14</v>
      </c>
      <c r="G266" s="1">
        <v>-35.24</v>
      </c>
      <c r="H266" s="1">
        <v>12</v>
      </c>
      <c r="I266" s="1">
        <v>0</v>
      </c>
      <c r="J266" s="1">
        <v>181.71</v>
      </c>
      <c r="K266" s="1">
        <v>38.51</v>
      </c>
      <c r="L266" s="1">
        <v>-15.61</v>
      </c>
      <c r="M266" s="1">
        <v>35.83</v>
      </c>
      <c r="N266" s="1">
        <v>10.09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1" cm="1">
        <f t="array" ref="U266">SUM(ABS(B266:T266))</f>
        <v>1148.8099999999997</v>
      </c>
    </row>
    <row r="267" spans="1:21" x14ac:dyDescent="0.3">
      <c r="A267" s="14">
        <v>45843.75</v>
      </c>
      <c r="B267" s="1">
        <v>-346.18</v>
      </c>
      <c r="C267" s="1">
        <v>-40.36</v>
      </c>
      <c r="D267" s="1">
        <v>36.5</v>
      </c>
      <c r="E267" s="1">
        <v>100.95</v>
      </c>
      <c r="F267" s="1">
        <v>46.16</v>
      </c>
      <c r="G267" s="1">
        <v>-55.37</v>
      </c>
      <c r="H267" s="1">
        <v>12.01</v>
      </c>
      <c r="I267" s="1">
        <v>0</v>
      </c>
      <c r="J267" s="1">
        <v>178.97</v>
      </c>
      <c r="K267" s="1">
        <v>48.49</v>
      </c>
      <c r="L267" s="1">
        <v>-20.100000000000001</v>
      </c>
      <c r="M267" s="1">
        <v>36.67</v>
      </c>
      <c r="N267" s="1">
        <v>10.09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1" cm="1">
        <f t="array" ref="U267">SUM(ABS(B267:T267))</f>
        <v>931.85</v>
      </c>
    </row>
    <row r="268" spans="1:21" x14ac:dyDescent="0.3">
      <c r="A268" s="14">
        <v>45843.760416666664</v>
      </c>
      <c r="B268" s="1">
        <v>-315.39</v>
      </c>
      <c r="C268" s="1">
        <v>-40.79</v>
      </c>
      <c r="D268" s="1">
        <v>36.450000000000003</v>
      </c>
      <c r="E268" s="1">
        <v>113.08</v>
      </c>
      <c r="F268" s="1">
        <v>52.47</v>
      </c>
      <c r="G268" s="1">
        <v>-58.09</v>
      </c>
      <c r="H268" s="1">
        <v>29.19</v>
      </c>
      <c r="I268" s="1">
        <v>0</v>
      </c>
      <c r="J268" s="1">
        <v>180.76</v>
      </c>
      <c r="K268" s="1">
        <v>50.47</v>
      </c>
      <c r="L268" s="1">
        <v>-30.92</v>
      </c>
      <c r="M268" s="1">
        <v>52.64</v>
      </c>
      <c r="N268" s="1">
        <v>10.08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1" cm="1">
        <f t="array" ref="U268">SUM(ABS(B268:T268))</f>
        <v>970.33</v>
      </c>
    </row>
    <row r="269" spans="1:21" x14ac:dyDescent="0.3">
      <c r="A269" s="14">
        <v>45843.770833333336</v>
      </c>
      <c r="B269" s="1">
        <v>-450.09</v>
      </c>
      <c r="C269" s="1">
        <v>-44.91</v>
      </c>
      <c r="D269" s="1">
        <v>36.36</v>
      </c>
      <c r="E269" s="1">
        <v>110.27</v>
      </c>
      <c r="F269" s="1">
        <v>96.44</v>
      </c>
      <c r="G269" s="1">
        <v>-57.82</v>
      </c>
      <c r="H269" s="1">
        <v>48.61</v>
      </c>
      <c r="I269" s="1">
        <v>0</v>
      </c>
      <c r="J269" s="1">
        <v>192.41</v>
      </c>
      <c r="K269" s="1">
        <v>50.46</v>
      </c>
      <c r="L269" s="1">
        <v>-30.92</v>
      </c>
      <c r="M269" s="1">
        <v>54.25</v>
      </c>
      <c r="N269" s="1">
        <v>10.09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1" cm="1">
        <f t="array" ref="U269">SUM(ABS(B269:T269))</f>
        <v>1182.6300000000001</v>
      </c>
    </row>
    <row r="270" spans="1:21" x14ac:dyDescent="0.3">
      <c r="A270" s="14">
        <v>45843.78125</v>
      </c>
      <c r="B270" s="1">
        <v>-642.83000000000004</v>
      </c>
      <c r="C270" s="1">
        <v>-54.97</v>
      </c>
      <c r="D270" s="1">
        <v>36.35</v>
      </c>
      <c r="E270" s="1">
        <v>138.84</v>
      </c>
      <c r="F270" s="1">
        <v>97.34</v>
      </c>
      <c r="G270" s="1">
        <v>-58.05</v>
      </c>
      <c r="H270" s="1">
        <v>48.62</v>
      </c>
      <c r="I270" s="1">
        <v>0</v>
      </c>
      <c r="J270" s="1">
        <v>271.07</v>
      </c>
      <c r="K270" s="1">
        <v>50.47</v>
      </c>
      <c r="L270" s="1">
        <v>-30.94</v>
      </c>
      <c r="M270" s="1">
        <v>54.25</v>
      </c>
      <c r="N270" s="1">
        <v>10.1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1" cm="1">
        <f t="array" ref="U270">SUM(ABS(B270:T270))</f>
        <v>1493.83</v>
      </c>
    </row>
    <row r="271" spans="1:21" x14ac:dyDescent="0.3">
      <c r="A271" s="14">
        <v>45843.791666666664</v>
      </c>
      <c r="B271" s="1">
        <v>-657.49</v>
      </c>
      <c r="C271" s="1">
        <v>-55</v>
      </c>
      <c r="D271" s="1">
        <v>36.39</v>
      </c>
      <c r="E271" s="1">
        <v>141.35</v>
      </c>
      <c r="F271" s="1">
        <v>97.35</v>
      </c>
      <c r="G271" s="1">
        <v>-58.51</v>
      </c>
      <c r="H271" s="1">
        <v>48.64</v>
      </c>
      <c r="I271" s="1">
        <v>0</v>
      </c>
      <c r="J271" s="1">
        <v>272.61</v>
      </c>
      <c r="K271" s="1">
        <v>50.55</v>
      </c>
      <c r="L271" s="1">
        <v>-30.93</v>
      </c>
      <c r="M271" s="1">
        <v>54.25</v>
      </c>
      <c r="N271" s="1">
        <v>10.1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1" cm="1">
        <f t="array" ref="U271">SUM(ABS(B271:T271))</f>
        <v>1513.17</v>
      </c>
    </row>
    <row r="272" spans="1:21" x14ac:dyDescent="0.3">
      <c r="A272" s="14">
        <v>45843.802083333336</v>
      </c>
      <c r="B272" s="1">
        <v>-722.21</v>
      </c>
      <c r="C272" s="1">
        <v>-55</v>
      </c>
      <c r="D272" s="1">
        <v>36.39</v>
      </c>
      <c r="E272" s="1">
        <v>142.07</v>
      </c>
      <c r="F272" s="1">
        <v>109.23</v>
      </c>
      <c r="G272" s="1">
        <v>-54.8</v>
      </c>
      <c r="H272" s="1">
        <v>48.62</v>
      </c>
      <c r="I272" s="1">
        <v>0</v>
      </c>
      <c r="J272" s="1">
        <v>272.58999999999997</v>
      </c>
      <c r="K272" s="1">
        <v>50.66</v>
      </c>
      <c r="L272" s="1">
        <v>-30.89</v>
      </c>
      <c r="M272" s="1">
        <v>54.23</v>
      </c>
      <c r="N272" s="1">
        <v>10.1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1" cm="1">
        <f t="array" ref="U272">SUM(ABS(B272:T272))</f>
        <v>1586.79</v>
      </c>
    </row>
    <row r="273" spans="1:21" x14ac:dyDescent="0.3">
      <c r="A273" s="14">
        <v>45843.8125</v>
      </c>
      <c r="B273" s="1">
        <v>-715.34</v>
      </c>
      <c r="C273" s="1">
        <v>-54.98</v>
      </c>
      <c r="D273" s="1">
        <v>36.4</v>
      </c>
      <c r="E273" s="1">
        <v>139.27000000000001</v>
      </c>
      <c r="F273" s="1">
        <v>112.98</v>
      </c>
      <c r="G273" s="1">
        <v>-57.55</v>
      </c>
      <c r="H273" s="1">
        <v>48.6</v>
      </c>
      <c r="I273" s="1">
        <v>0</v>
      </c>
      <c r="J273" s="1">
        <v>271.99</v>
      </c>
      <c r="K273" s="1">
        <v>50.64</v>
      </c>
      <c r="L273" s="1">
        <v>-30.93</v>
      </c>
      <c r="M273" s="1">
        <v>54.25</v>
      </c>
      <c r="N273" s="1">
        <v>10.08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1" cm="1">
        <f t="array" ref="U273">SUM(ABS(B273:T273))</f>
        <v>1583.01</v>
      </c>
    </row>
    <row r="274" spans="1:21" x14ac:dyDescent="0.3">
      <c r="A274" s="14">
        <v>45843.822916666664</v>
      </c>
      <c r="B274" s="1">
        <v>-722.05</v>
      </c>
      <c r="C274" s="1">
        <v>-54.97</v>
      </c>
      <c r="D274" s="1">
        <v>36.39</v>
      </c>
      <c r="E274" s="1">
        <v>138.44</v>
      </c>
      <c r="F274" s="1">
        <v>112.94</v>
      </c>
      <c r="G274" s="1">
        <v>-57.91</v>
      </c>
      <c r="H274" s="1">
        <v>48.58</v>
      </c>
      <c r="I274" s="1">
        <v>0</v>
      </c>
      <c r="J274" s="1">
        <v>270.02</v>
      </c>
      <c r="K274" s="1">
        <v>50.64</v>
      </c>
      <c r="L274" s="1">
        <v>-30.91</v>
      </c>
      <c r="M274" s="1">
        <v>54.23</v>
      </c>
      <c r="N274" s="1">
        <v>10.09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1" cm="1">
        <f t="array" ref="U274">SUM(ABS(B274:T274))</f>
        <v>1587.17</v>
      </c>
    </row>
    <row r="275" spans="1:21" x14ac:dyDescent="0.3">
      <c r="A275" s="14">
        <v>45843.833333333336</v>
      </c>
      <c r="B275" s="1">
        <v>-564.84</v>
      </c>
      <c r="C275" s="1">
        <v>-54.99</v>
      </c>
      <c r="D275" s="1">
        <v>36.39</v>
      </c>
      <c r="E275" s="1">
        <v>139.38</v>
      </c>
      <c r="F275" s="1">
        <v>112.91</v>
      </c>
      <c r="G275" s="1">
        <v>-57.95</v>
      </c>
      <c r="H275" s="1">
        <v>48.59</v>
      </c>
      <c r="I275" s="1">
        <v>0</v>
      </c>
      <c r="J275" s="1">
        <v>270.37</v>
      </c>
      <c r="K275" s="1">
        <v>50.6</v>
      </c>
      <c r="L275" s="1">
        <v>-30.93</v>
      </c>
      <c r="M275" s="1">
        <v>54.24</v>
      </c>
      <c r="N275" s="1">
        <v>10.09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1" cm="1">
        <f t="array" ref="U275">SUM(ABS(B275:T275))</f>
        <v>1431.28</v>
      </c>
    </row>
    <row r="276" spans="1:21" x14ac:dyDescent="0.3">
      <c r="A276" s="14">
        <v>45843.84375</v>
      </c>
      <c r="B276" s="1">
        <v>-596.77</v>
      </c>
      <c r="C276" s="1">
        <v>-54.97</v>
      </c>
      <c r="D276" s="1">
        <v>36.4</v>
      </c>
      <c r="E276" s="1">
        <v>142.08000000000001</v>
      </c>
      <c r="F276" s="1">
        <v>112.84</v>
      </c>
      <c r="G276" s="1">
        <v>-58.36</v>
      </c>
      <c r="H276" s="1">
        <v>48.59</v>
      </c>
      <c r="I276" s="1">
        <v>0</v>
      </c>
      <c r="J276" s="1">
        <v>272.14999999999998</v>
      </c>
      <c r="K276" s="1">
        <v>50.63</v>
      </c>
      <c r="L276" s="1">
        <v>-30.89</v>
      </c>
      <c r="M276" s="1">
        <v>54.24</v>
      </c>
      <c r="N276" s="1">
        <v>10.09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1" cm="1">
        <f t="array" ref="U276">SUM(ABS(B276:T276))</f>
        <v>1468.01</v>
      </c>
    </row>
    <row r="277" spans="1:21" x14ac:dyDescent="0.3">
      <c r="A277" s="14">
        <v>45843.854166666664</v>
      </c>
      <c r="B277" s="1">
        <v>-708.83</v>
      </c>
      <c r="C277" s="1">
        <v>-54.98</v>
      </c>
      <c r="D277" s="1">
        <v>36.43</v>
      </c>
      <c r="E277" s="1">
        <v>143.57</v>
      </c>
      <c r="F277" s="1">
        <v>112.77</v>
      </c>
      <c r="G277" s="1">
        <v>-58.58</v>
      </c>
      <c r="H277" s="1">
        <v>48.6</v>
      </c>
      <c r="I277" s="1">
        <v>0</v>
      </c>
      <c r="J277" s="1">
        <v>272.52</v>
      </c>
      <c r="K277" s="1">
        <v>50.67</v>
      </c>
      <c r="L277" s="1">
        <v>-30.95</v>
      </c>
      <c r="M277" s="1">
        <v>54.24</v>
      </c>
      <c r="N277" s="1">
        <v>10.09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1" cm="1">
        <f t="array" ref="U277">SUM(ABS(B277:T277))</f>
        <v>1582.2299999999998</v>
      </c>
    </row>
    <row r="278" spans="1:21" x14ac:dyDescent="0.3">
      <c r="A278" s="14">
        <v>45843.864583333336</v>
      </c>
      <c r="B278" s="1">
        <v>-719.95</v>
      </c>
      <c r="C278" s="1">
        <v>-54.98</v>
      </c>
      <c r="D278" s="1">
        <v>36.43</v>
      </c>
      <c r="E278" s="1">
        <v>142.5</v>
      </c>
      <c r="F278" s="1">
        <v>112.7</v>
      </c>
      <c r="G278" s="1">
        <v>-58.56</v>
      </c>
      <c r="H278" s="1">
        <v>48.59</v>
      </c>
      <c r="I278" s="1">
        <v>0</v>
      </c>
      <c r="J278" s="1">
        <v>272.47000000000003</v>
      </c>
      <c r="K278" s="1">
        <v>50.67</v>
      </c>
      <c r="L278" s="1">
        <v>-30.91</v>
      </c>
      <c r="M278" s="1">
        <v>54.23</v>
      </c>
      <c r="N278" s="1">
        <v>10.09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1" cm="1">
        <f t="array" ref="U278">SUM(ABS(B278:T278))</f>
        <v>1592.08</v>
      </c>
    </row>
    <row r="279" spans="1:21" x14ac:dyDescent="0.3">
      <c r="A279" s="14">
        <v>45843.875</v>
      </c>
      <c r="B279" s="1">
        <v>-709.11</v>
      </c>
      <c r="C279" s="1">
        <v>-54.99</v>
      </c>
      <c r="D279" s="1">
        <v>36.4</v>
      </c>
      <c r="E279" s="1">
        <v>141.28</v>
      </c>
      <c r="F279" s="1">
        <v>112.65</v>
      </c>
      <c r="G279" s="1">
        <v>-58.33</v>
      </c>
      <c r="H279" s="1">
        <v>48.62</v>
      </c>
      <c r="I279" s="1">
        <v>0</v>
      </c>
      <c r="J279" s="1">
        <v>271.82</v>
      </c>
      <c r="K279" s="1">
        <v>50.69</v>
      </c>
      <c r="L279" s="1">
        <v>-30.93</v>
      </c>
      <c r="M279" s="1">
        <v>54.23</v>
      </c>
      <c r="N279" s="1">
        <v>10.1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1" cm="1">
        <f t="array" ref="U279">SUM(ABS(B279:T279))</f>
        <v>1579.1499999999999</v>
      </c>
    </row>
    <row r="280" spans="1:21" x14ac:dyDescent="0.3">
      <c r="A280" s="14">
        <v>45843.885416666664</v>
      </c>
      <c r="B280" s="1">
        <v>-702.44</v>
      </c>
      <c r="C280" s="1">
        <v>-54.97</v>
      </c>
      <c r="D280" s="1">
        <v>36.369999999999997</v>
      </c>
      <c r="E280" s="1">
        <v>140.25</v>
      </c>
      <c r="F280" s="1">
        <v>112.53</v>
      </c>
      <c r="G280" s="1">
        <v>-58.16</v>
      </c>
      <c r="H280" s="1">
        <v>48.6</v>
      </c>
      <c r="I280" s="1">
        <v>0</v>
      </c>
      <c r="J280" s="1">
        <v>272.60000000000002</v>
      </c>
      <c r="K280" s="1">
        <v>50.68</v>
      </c>
      <c r="L280" s="1">
        <v>-30.9</v>
      </c>
      <c r="M280" s="1">
        <v>54.23</v>
      </c>
      <c r="N280" s="1">
        <v>10.07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1" cm="1">
        <f t="array" ref="U280">SUM(ABS(B280:T280))</f>
        <v>1571.8000000000002</v>
      </c>
    </row>
    <row r="281" spans="1:21" x14ac:dyDescent="0.3">
      <c r="A281" s="14">
        <v>45843.895833333336</v>
      </c>
      <c r="B281" s="1">
        <v>-666.45</v>
      </c>
      <c r="C281" s="1">
        <v>-54.95</v>
      </c>
      <c r="D281" s="1">
        <v>36.380000000000003</v>
      </c>
      <c r="E281" s="1">
        <v>140.84</v>
      </c>
      <c r="F281" s="1">
        <v>112.5</v>
      </c>
      <c r="G281" s="1">
        <v>-57.88</v>
      </c>
      <c r="H281" s="1">
        <v>48.6</v>
      </c>
      <c r="I281" s="1">
        <v>0</v>
      </c>
      <c r="J281" s="1">
        <v>272.83999999999997</v>
      </c>
      <c r="K281" s="1">
        <v>50.67</v>
      </c>
      <c r="L281" s="1">
        <v>-30.92</v>
      </c>
      <c r="M281" s="1">
        <v>54.24</v>
      </c>
      <c r="N281" s="1">
        <v>10.07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1" cm="1">
        <f t="array" ref="U281">SUM(ABS(B281:T281))</f>
        <v>1536.3400000000001</v>
      </c>
    </row>
    <row r="282" spans="1:21" x14ac:dyDescent="0.3">
      <c r="A282" s="14">
        <v>45843.90625</v>
      </c>
      <c r="B282" s="1">
        <v>-693.6</v>
      </c>
      <c r="C282" s="1">
        <v>-54.94</v>
      </c>
      <c r="D282" s="1">
        <v>36.380000000000003</v>
      </c>
      <c r="E282" s="1">
        <v>140.02000000000001</v>
      </c>
      <c r="F282" s="1">
        <v>112.41</v>
      </c>
      <c r="G282" s="1">
        <v>-57.57</v>
      </c>
      <c r="H282" s="1">
        <v>48.58</v>
      </c>
      <c r="I282" s="1">
        <v>0</v>
      </c>
      <c r="J282" s="1">
        <v>272.43</v>
      </c>
      <c r="K282" s="1">
        <v>50.7</v>
      </c>
      <c r="L282" s="1">
        <v>-30.9</v>
      </c>
      <c r="M282" s="1">
        <v>54.22</v>
      </c>
      <c r="N282" s="1">
        <v>10.07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1" cm="1">
        <f t="array" ref="U282">SUM(ABS(B282:T282))</f>
        <v>1561.82</v>
      </c>
    </row>
    <row r="283" spans="1:21" x14ac:dyDescent="0.3">
      <c r="A283" s="14">
        <v>45843.916666666664</v>
      </c>
      <c r="B283" s="1">
        <v>-682.63</v>
      </c>
      <c r="C283" s="1">
        <v>-54.97</v>
      </c>
      <c r="D283" s="1">
        <v>36.42</v>
      </c>
      <c r="E283" s="1">
        <v>142.31</v>
      </c>
      <c r="F283" s="1">
        <v>112.35</v>
      </c>
      <c r="G283" s="1">
        <v>-58.08</v>
      </c>
      <c r="H283" s="1">
        <v>48.62</v>
      </c>
      <c r="I283" s="1">
        <v>0</v>
      </c>
      <c r="J283" s="1">
        <v>272.3</v>
      </c>
      <c r="K283" s="1">
        <v>50.67</v>
      </c>
      <c r="L283" s="1">
        <v>-30.82</v>
      </c>
      <c r="M283" s="1">
        <v>54.22</v>
      </c>
      <c r="N283" s="1">
        <v>10.08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1" cm="1">
        <f t="array" ref="U283">SUM(ABS(B283:T283))</f>
        <v>1553.4699999999996</v>
      </c>
    </row>
    <row r="284" spans="1:21" x14ac:dyDescent="0.3">
      <c r="A284" s="14">
        <v>45843.927083333336</v>
      </c>
      <c r="B284" s="1">
        <v>-573.96</v>
      </c>
      <c r="C284" s="1">
        <v>-54.94</v>
      </c>
      <c r="D284" s="1">
        <v>36.42</v>
      </c>
      <c r="E284" s="1">
        <v>99.51</v>
      </c>
      <c r="F284" s="1">
        <v>112.27</v>
      </c>
      <c r="G284" s="1">
        <v>-57.65</v>
      </c>
      <c r="H284" s="1">
        <v>48.58</v>
      </c>
      <c r="I284" s="1">
        <v>0</v>
      </c>
      <c r="J284" s="1">
        <v>263.61</v>
      </c>
      <c r="K284" s="1">
        <v>50.67</v>
      </c>
      <c r="L284" s="1">
        <v>-30.79</v>
      </c>
      <c r="M284" s="1">
        <v>54.19</v>
      </c>
      <c r="N284" s="1">
        <v>10.08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1" cm="1">
        <f t="array" ref="U284">SUM(ABS(B284:T284))</f>
        <v>1392.67</v>
      </c>
    </row>
    <row r="285" spans="1:21" x14ac:dyDescent="0.3">
      <c r="A285" s="14">
        <v>45843.9375</v>
      </c>
      <c r="B285" s="1">
        <v>-231.31</v>
      </c>
      <c r="C285" s="1">
        <v>-54.94</v>
      </c>
      <c r="D285" s="1">
        <v>36.36</v>
      </c>
      <c r="E285" s="1">
        <v>0</v>
      </c>
      <c r="F285" s="1">
        <v>112.15</v>
      </c>
      <c r="G285" s="1">
        <v>-57.54</v>
      </c>
      <c r="H285" s="1">
        <v>48.56</v>
      </c>
      <c r="I285" s="1">
        <v>0</v>
      </c>
      <c r="J285" s="1">
        <v>131.33000000000001</v>
      </c>
      <c r="K285" s="1">
        <v>50.62</v>
      </c>
      <c r="L285" s="1">
        <v>-30.81</v>
      </c>
      <c r="M285" s="1">
        <v>53.96</v>
      </c>
      <c r="N285" s="1">
        <v>10.06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1" cm="1">
        <f t="array" ref="U285">SUM(ABS(B285:T285))</f>
        <v>817.64</v>
      </c>
    </row>
    <row r="286" spans="1:21" x14ac:dyDescent="0.3">
      <c r="A286" s="14">
        <v>45843.947916666664</v>
      </c>
      <c r="B286" s="1">
        <v>-231.4</v>
      </c>
      <c r="C286" s="1">
        <v>-53.07</v>
      </c>
      <c r="D286" s="1">
        <v>36.270000000000003</v>
      </c>
      <c r="E286" s="1">
        <v>0</v>
      </c>
      <c r="F286" s="1">
        <v>112.11</v>
      </c>
      <c r="G286" s="1">
        <v>-57.49</v>
      </c>
      <c r="H286" s="1">
        <v>48.58</v>
      </c>
      <c r="I286" s="1">
        <v>0</v>
      </c>
      <c r="J286" s="1">
        <v>131.19999999999999</v>
      </c>
      <c r="K286" s="1">
        <v>50.28</v>
      </c>
      <c r="L286" s="1">
        <v>-30.8</v>
      </c>
      <c r="M286" s="1">
        <v>31.05</v>
      </c>
      <c r="N286" s="1">
        <v>10.07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1" cm="1">
        <f t="array" ref="U286">SUM(ABS(B286:T286))</f>
        <v>792.32</v>
      </c>
    </row>
    <row r="287" spans="1:21" x14ac:dyDescent="0.3">
      <c r="A287" s="14">
        <v>45843.958333333336</v>
      </c>
      <c r="B287" s="1">
        <v>-202.76</v>
      </c>
      <c r="C287" s="1">
        <v>-41.25</v>
      </c>
      <c r="D287" s="1">
        <v>36.200000000000003</v>
      </c>
      <c r="E287" s="1">
        <v>0</v>
      </c>
      <c r="F287" s="1">
        <v>95.94</v>
      </c>
      <c r="G287" s="1">
        <v>-57.64</v>
      </c>
      <c r="H287" s="1">
        <v>48.59</v>
      </c>
      <c r="I287" s="1">
        <v>0</v>
      </c>
      <c r="J287" s="1">
        <v>131.41</v>
      </c>
      <c r="K287" s="1">
        <v>25.68</v>
      </c>
      <c r="L287" s="1">
        <v>-30.77</v>
      </c>
      <c r="M287" s="1">
        <v>30.11</v>
      </c>
      <c r="N287" s="1">
        <v>10.06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1" cm="1">
        <f t="array" ref="U287">SUM(ABS(B287:T287))</f>
        <v>710.40999999999985</v>
      </c>
    </row>
    <row r="288" spans="1:21" x14ac:dyDescent="0.3">
      <c r="A288" s="14">
        <v>45843.96875</v>
      </c>
      <c r="B288" s="1">
        <v>-200.03</v>
      </c>
      <c r="C288" s="1">
        <v>-41.36</v>
      </c>
      <c r="D288" s="1">
        <v>36.14</v>
      </c>
      <c r="E288" s="1">
        <v>18.010000000000002</v>
      </c>
      <c r="F288" s="1">
        <v>89.89</v>
      </c>
      <c r="G288" s="1">
        <v>-57.71</v>
      </c>
      <c r="H288" s="1">
        <v>48.58</v>
      </c>
      <c r="I288" s="1">
        <v>0</v>
      </c>
      <c r="J288" s="1">
        <v>131.72999999999999</v>
      </c>
      <c r="K288" s="1">
        <v>25.8</v>
      </c>
      <c r="L288" s="1">
        <v>-30.78</v>
      </c>
      <c r="M288" s="1">
        <v>30.12</v>
      </c>
      <c r="N288" s="1">
        <v>10.06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1" cm="1">
        <f t="array" ref="U288">SUM(ABS(B288:T288))</f>
        <v>720.20999999999981</v>
      </c>
    </row>
    <row r="289" spans="1:21" x14ac:dyDescent="0.3">
      <c r="A289" s="14">
        <v>45843.979166666664</v>
      </c>
      <c r="B289" s="1">
        <v>-350.19</v>
      </c>
      <c r="C289" s="1">
        <v>-41.38</v>
      </c>
      <c r="D289" s="1">
        <v>36.1</v>
      </c>
      <c r="E289" s="1">
        <v>50.47</v>
      </c>
      <c r="F289" s="1">
        <v>89.91</v>
      </c>
      <c r="G289" s="1">
        <v>-58.32</v>
      </c>
      <c r="H289" s="1">
        <v>48.59</v>
      </c>
      <c r="I289" s="1">
        <v>0</v>
      </c>
      <c r="J289" s="1">
        <v>212.85</v>
      </c>
      <c r="K289" s="1">
        <v>25.88</v>
      </c>
      <c r="L289" s="1">
        <v>-30.79</v>
      </c>
      <c r="M289" s="1">
        <v>30.12</v>
      </c>
      <c r="N289" s="1">
        <v>10.050000000000001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1" cm="1">
        <f t="array" ref="U289">SUM(ABS(B289:T289))</f>
        <v>984.65</v>
      </c>
    </row>
    <row r="290" spans="1:21" x14ac:dyDescent="0.3">
      <c r="A290" s="14">
        <v>45843.989583333336</v>
      </c>
      <c r="B290" s="1">
        <v>-655.71</v>
      </c>
      <c r="C290" s="1">
        <v>-46.73</v>
      </c>
      <c r="D290" s="1">
        <v>36.090000000000003</v>
      </c>
      <c r="E290" s="1">
        <v>69.44</v>
      </c>
      <c r="F290" s="1">
        <v>109.15</v>
      </c>
      <c r="G290" s="1">
        <v>-57.93</v>
      </c>
      <c r="H290" s="1">
        <v>48.97</v>
      </c>
      <c r="I290" s="1">
        <v>0</v>
      </c>
      <c r="J290" s="1">
        <v>272.3</v>
      </c>
      <c r="K290" s="1">
        <v>37.31</v>
      </c>
      <c r="L290" s="1">
        <v>-30.81</v>
      </c>
      <c r="M290" s="1">
        <v>40.89</v>
      </c>
      <c r="N290" s="1">
        <v>10.050000000000001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1" cm="1">
        <f t="array" ref="U290">SUM(ABS(B290:T290))</f>
        <v>1415.3799999999999</v>
      </c>
    </row>
    <row r="291" spans="1:21" x14ac:dyDescent="0.3">
      <c r="A291" s="14">
        <v>45874</v>
      </c>
      <c r="B291" s="1">
        <v>-731.87</v>
      </c>
      <c r="C291" s="1">
        <v>-54.93</v>
      </c>
      <c r="D291" s="1">
        <v>36.090000000000003</v>
      </c>
      <c r="E291" s="1">
        <v>69.47</v>
      </c>
      <c r="F291" s="1">
        <v>116.24</v>
      </c>
      <c r="G291" s="1">
        <v>-57.97</v>
      </c>
      <c r="H291" s="1">
        <v>64.23</v>
      </c>
      <c r="I291" s="1">
        <v>0</v>
      </c>
      <c r="J291" s="1">
        <v>272.39999999999998</v>
      </c>
      <c r="K291" s="1">
        <v>50.68</v>
      </c>
      <c r="L291" s="1">
        <v>-30.87</v>
      </c>
      <c r="M291" s="1">
        <v>54.21</v>
      </c>
      <c r="N291" s="1">
        <v>10.07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1" cm="1">
        <f t="array" ref="U291">SUM(ABS(B291:T291))</f>
        <v>1549.0299999999997</v>
      </c>
    </row>
    <row r="292" spans="1:21" x14ac:dyDescent="0.3">
      <c r="A292" s="14">
        <v>45874.010416666664</v>
      </c>
      <c r="B292" s="1">
        <v>-730.09</v>
      </c>
      <c r="C292" s="1">
        <v>-54.91</v>
      </c>
      <c r="D292" s="1">
        <v>36.06</v>
      </c>
      <c r="E292" s="1">
        <v>82.91</v>
      </c>
      <c r="F292" s="1">
        <v>116.13</v>
      </c>
      <c r="G292" s="1">
        <v>-57.55</v>
      </c>
      <c r="H292" s="1">
        <v>66.349999999999994</v>
      </c>
      <c r="I292" s="1">
        <v>0</v>
      </c>
      <c r="J292" s="1">
        <v>272.12</v>
      </c>
      <c r="K292" s="1">
        <v>50.62</v>
      </c>
      <c r="L292" s="1">
        <v>-30.87</v>
      </c>
      <c r="M292" s="1">
        <v>54.22</v>
      </c>
      <c r="N292" s="1">
        <v>10.06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1" cm="1">
        <f t="array" ref="U292">SUM(ABS(B292:T292))</f>
        <v>1561.8899999999996</v>
      </c>
    </row>
    <row r="293" spans="1:21" x14ac:dyDescent="0.3">
      <c r="A293" s="14">
        <v>45874.020833333336</v>
      </c>
      <c r="B293" s="1">
        <v>-644.55999999999995</v>
      </c>
      <c r="C293" s="1">
        <v>-54.93</v>
      </c>
      <c r="D293" s="1">
        <v>36.08</v>
      </c>
      <c r="E293" s="1">
        <v>116.23</v>
      </c>
      <c r="F293" s="1">
        <v>116.04</v>
      </c>
      <c r="G293" s="1">
        <v>-57.56</v>
      </c>
      <c r="H293" s="1">
        <v>66.349999999999994</v>
      </c>
      <c r="I293" s="1">
        <v>0</v>
      </c>
      <c r="J293" s="1">
        <v>272.3</v>
      </c>
      <c r="K293" s="1">
        <v>50.62</v>
      </c>
      <c r="L293" s="1">
        <v>-30.87</v>
      </c>
      <c r="M293" s="1">
        <v>54.22</v>
      </c>
      <c r="N293" s="1">
        <v>10.06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1" cm="1">
        <f t="array" ref="U293">SUM(ABS(B293:T293))</f>
        <v>1509.8199999999995</v>
      </c>
    </row>
    <row r="294" spans="1:21" x14ac:dyDescent="0.3">
      <c r="A294" s="14">
        <v>45874.03125</v>
      </c>
      <c r="B294" s="1">
        <v>-636.63</v>
      </c>
      <c r="C294" s="1">
        <v>-54.93</v>
      </c>
      <c r="D294" s="1">
        <v>36.08</v>
      </c>
      <c r="E294" s="1">
        <v>115.74</v>
      </c>
      <c r="F294" s="1">
        <v>115.95</v>
      </c>
      <c r="G294" s="1">
        <v>-57.49</v>
      </c>
      <c r="H294" s="1">
        <v>31.77</v>
      </c>
      <c r="I294" s="1">
        <v>0</v>
      </c>
      <c r="J294" s="1">
        <v>272.01</v>
      </c>
      <c r="K294" s="1">
        <v>50.68</v>
      </c>
      <c r="L294" s="1">
        <v>-30.86</v>
      </c>
      <c r="M294" s="1">
        <v>54.2</v>
      </c>
      <c r="N294" s="1">
        <v>10.06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1" cm="1">
        <f t="array" ref="U294">SUM(ABS(B294:T294))</f>
        <v>1466.4</v>
      </c>
    </row>
    <row r="295" spans="1:21" x14ac:dyDescent="0.3">
      <c r="A295" s="14">
        <v>45874.041666666664</v>
      </c>
      <c r="B295" s="1">
        <v>-711.09</v>
      </c>
      <c r="C295" s="1">
        <v>-54.93</v>
      </c>
      <c r="D295" s="1">
        <v>36.11</v>
      </c>
      <c r="E295" s="1">
        <v>116.09</v>
      </c>
      <c r="F295" s="1">
        <v>67.94</v>
      </c>
      <c r="G295" s="1">
        <v>-57.59</v>
      </c>
      <c r="H295" s="1">
        <v>12</v>
      </c>
      <c r="I295" s="1">
        <v>0</v>
      </c>
      <c r="J295" s="1">
        <v>272.04000000000002</v>
      </c>
      <c r="K295" s="1">
        <v>50.67</v>
      </c>
      <c r="L295" s="1">
        <v>-30.88</v>
      </c>
      <c r="M295" s="1">
        <v>54.22</v>
      </c>
      <c r="N295" s="1">
        <v>10.06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1" cm="1">
        <f t="array" ref="U295">SUM(ABS(B295:T295))</f>
        <v>1473.6200000000001</v>
      </c>
    </row>
    <row r="296" spans="1:21" x14ac:dyDescent="0.3">
      <c r="A296" s="14">
        <v>45874.052083333336</v>
      </c>
      <c r="B296" s="1">
        <v>-736.47</v>
      </c>
      <c r="C296" s="1">
        <v>-54.95</v>
      </c>
      <c r="D296" s="1">
        <v>36.14</v>
      </c>
      <c r="E296" s="1">
        <v>117.86</v>
      </c>
      <c r="F296" s="1">
        <v>44.22</v>
      </c>
      <c r="G296" s="1">
        <v>-57.93</v>
      </c>
      <c r="H296" s="1">
        <v>12</v>
      </c>
      <c r="I296" s="1">
        <v>0</v>
      </c>
      <c r="J296" s="1">
        <v>272.88</v>
      </c>
      <c r="K296" s="1">
        <v>50.65</v>
      </c>
      <c r="L296" s="1">
        <v>-30.87</v>
      </c>
      <c r="M296" s="1">
        <v>54.22</v>
      </c>
      <c r="N296" s="1">
        <v>10.06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1" cm="1">
        <f t="array" ref="U296">SUM(ABS(B296:T296))</f>
        <v>1478.2500000000002</v>
      </c>
    </row>
    <row r="297" spans="1:21" x14ac:dyDescent="0.3">
      <c r="A297" s="14">
        <v>45874.0625</v>
      </c>
      <c r="B297" s="1">
        <v>-637.98</v>
      </c>
      <c r="C297" s="1">
        <v>-54.92</v>
      </c>
      <c r="D297" s="1">
        <v>36.130000000000003</v>
      </c>
      <c r="E297" s="1">
        <v>117.22</v>
      </c>
      <c r="F297" s="1">
        <v>16.14</v>
      </c>
      <c r="G297" s="1">
        <v>-57.82</v>
      </c>
      <c r="H297" s="1">
        <v>12</v>
      </c>
      <c r="I297" s="1">
        <v>0</v>
      </c>
      <c r="J297" s="1">
        <v>272.91000000000003</v>
      </c>
      <c r="K297" s="1">
        <v>50.65</v>
      </c>
      <c r="L297" s="1">
        <v>-30.87</v>
      </c>
      <c r="M297" s="1">
        <v>54.22</v>
      </c>
      <c r="N297" s="1">
        <v>10.050000000000001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1" cm="1">
        <f t="array" ref="U297">SUM(ABS(B297:T297))</f>
        <v>1350.91</v>
      </c>
    </row>
    <row r="298" spans="1:21" x14ac:dyDescent="0.3">
      <c r="A298" s="14">
        <v>45874.072916666664</v>
      </c>
      <c r="B298" s="1">
        <v>-646.91999999999996</v>
      </c>
      <c r="C298" s="1">
        <v>-54.91</v>
      </c>
      <c r="D298" s="1">
        <v>36.15</v>
      </c>
      <c r="E298" s="1">
        <v>124.09</v>
      </c>
      <c r="F298" s="1">
        <v>0</v>
      </c>
      <c r="G298" s="1">
        <v>-57.83</v>
      </c>
      <c r="H298" s="1">
        <v>12</v>
      </c>
      <c r="I298" s="1">
        <v>0</v>
      </c>
      <c r="J298" s="1">
        <v>272.58</v>
      </c>
      <c r="K298" s="1">
        <v>50.65</v>
      </c>
      <c r="L298" s="1">
        <v>-30.86</v>
      </c>
      <c r="M298" s="1">
        <v>54.22</v>
      </c>
      <c r="N298" s="1">
        <v>10.050000000000001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1" cm="1">
        <f t="array" ref="U298">SUM(ABS(B298:T298))</f>
        <v>1350.26</v>
      </c>
    </row>
    <row r="299" spans="1:21" x14ac:dyDescent="0.3">
      <c r="A299" s="14">
        <v>45874.083333333336</v>
      </c>
      <c r="B299" s="1">
        <v>-641.51</v>
      </c>
      <c r="C299" s="1">
        <v>-54.91</v>
      </c>
      <c r="D299" s="1">
        <v>36.15</v>
      </c>
      <c r="E299" s="1">
        <v>133.21</v>
      </c>
      <c r="F299" s="1">
        <v>0</v>
      </c>
      <c r="G299" s="1">
        <v>-57.58</v>
      </c>
      <c r="H299" s="1">
        <v>12</v>
      </c>
      <c r="I299" s="1">
        <v>0</v>
      </c>
      <c r="J299" s="1">
        <v>272.08</v>
      </c>
      <c r="K299" s="1">
        <v>50.6</v>
      </c>
      <c r="L299" s="1">
        <v>-30.86</v>
      </c>
      <c r="M299" s="1">
        <v>54.23</v>
      </c>
      <c r="N299" s="1">
        <v>10.08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1" cm="1">
        <f t="array" ref="U299">SUM(ABS(B299:T299))</f>
        <v>1353.2099999999998</v>
      </c>
    </row>
    <row r="300" spans="1:21" x14ac:dyDescent="0.3">
      <c r="A300" s="14">
        <v>45874.09375</v>
      </c>
      <c r="B300" s="1">
        <v>-687.9</v>
      </c>
      <c r="C300" s="1">
        <v>-54.89</v>
      </c>
      <c r="D300" s="1">
        <v>36.17</v>
      </c>
      <c r="E300" s="1">
        <v>96.48</v>
      </c>
      <c r="F300" s="1">
        <v>0</v>
      </c>
      <c r="G300" s="1">
        <v>-57.56</v>
      </c>
      <c r="H300" s="1">
        <v>12</v>
      </c>
      <c r="I300" s="1">
        <v>0</v>
      </c>
      <c r="J300" s="1">
        <v>271.76</v>
      </c>
      <c r="K300" s="1">
        <v>50.58</v>
      </c>
      <c r="L300" s="1">
        <v>-30.87</v>
      </c>
      <c r="M300" s="1">
        <v>54.24</v>
      </c>
      <c r="N300" s="1">
        <v>10.08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1" cm="1">
        <f t="array" ref="U300">SUM(ABS(B300:T300))</f>
        <v>1362.5299999999997</v>
      </c>
    </row>
    <row r="301" spans="1:21" x14ac:dyDescent="0.3">
      <c r="A301" s="14">
        <v>45874.104166666664</v>
      </c>
      <c r="B301" s="1">
        <v>-724.33</v>
      </c>
      <c r="C301" s="1">
        <v>-54.9</v>
      </c>
      <c r="D301" s="1">
        <v>36.200000000000003</v>
      </c>
      <c r="E301" s="1">
        <v>69.150000000000006</v>
      </c>
      <c r="F301" s="1">
        <v>0</v>
      </c>
      <c r="G301" s="1">
        <v>-57.93</v>
      </c>
      <c r="H301" s="1">
        <v>12</v>
      </c>
      <c r="I301" s="1">
        <v>0</v>
      </c>
      <c r="J301" s="1">
        <v>272.58</v>
      </c>
      <c r="K301" s="1">
        <v>50.59</v>
      </c>
      <c r="L301" s="1">
        <v>-30.88</v>
      </c>
      <c r="M301" s="1">
        <v>54.24</v>
      </c>
      <c r="N301" s="1">
        <v>10.08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1" cm="1">
        <f t="array" ref="U301">SUM(ABS(B301:T301))</f>
        <v>1372.8799999999999</v>
      </c>
    </row>
    <row r="302" spans="1:21" x14ac:dyDescent="0.3">
      <c r="A302" s="14">
        <v>45874.114583333336</v>
      </c>
      <c r="B302" s="1">
        <v>-735.34</v>
      </c>
      <c r="C302" s="1">
        <v>-54.9</v>
      </c>
      <c r="D302" s="1">
        <v>36.21</v>
      </c>
      <c r="E302" s="1">
        <v>72.22</v>
      </c>
      <c r="F302" s="1">
        <v>0</v>
      </c>
      <c r="G302" s="1">
        <v>-58.08</v>
      </c>
      <c r="H302" s="1">
        <v>12</v>
      </c>
      <c r="I302" s="1">
        <v>0</v>
      </c>
      <c r="J302" s="1">
        <v>273</v>
      </c>
      <c r="K302" s="1">
        <v>50.62</v>
      </c>
      <c r="L302" s="1">
        <v>-30.87</v>
      </c>
      <c r="M302" s="1">
        <v>54.22</v>
      </c>
      <c r="N302" s="1">
        <v>10.07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1" cm="1">
        <f t="array" ref="U302">SUM(ABS(B302:T302))</f>
        <v>1387.5299999999997</v>
      </c>
    </row>
    <row r="303" spans="1:21" x14ac:dyDescent="0.3">
      <c r="A303" s="14">
        <v>45874.125</v>
      </c>
      <c r="B303" s="1">
        <v>-736.19</v>
      </c>
      <c r="C303" s="1">
        <v>-54.9</v>
      </c>
      <c r="D303" s="1">
        <v>36.229999999999997</v>
      </c>
      <c r="E303" s="1">
        <v>71.7</v>
      </c>
      <c r="F303" s="1">
        <v>0</v>
      </c>
      <c r="G303" s="1">
        <v>-58.05</v>
      </c>
      <c r="H303" s="1">
        <v>12</v>
      </c>
      <c r="I303" s="1">
        <v>0</v>
      </c>
      <c r="J303" s="1">
        <v>272.95999999999998</v>
      </c>
      <c r="K303" s="1">
        <v>50.61</v>
      </c>
      <c r="L303" s="1">
        <v>-30.87</v>
      </c>
      <c r="M303" s="1">
        <v>54.23</v>
      </c>
      <c r="N303" s="1">
        <v>10.07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1" cm="1">
        <f t="array" ref="U303">SUM(ABS(B303:T303))</f>
        <v>1387.8099999999997</v>
      </c>
    </row>
    <row r="304" spans="1:21" x14ac:dyDescent="0.3">
      <c r="A304" s="14">
        <v>45874.135416666664</v>
      </c>
      <c r="B304" s="1">
        <v>-737.57</v>
      </c>
      <c r="C304" s="1">
        <v>-54.87</v>
      </c>
      <c r="D304" s="1">
        <v>36.229999999999997</v>
      </c>
      <c r="E304" s="1">
        <v>71.95</v>
      </c>
      <c r="F304" s="1">
        <v>0</v>
      </c>
      <c r="G304" s="1">
        <v>-58.06</v>
      </c>
      <c r="H304" s="1">
        <v>12</v>
      </c>
      <c r="I304" s="1">
        <v>0</v>
      </c>
      <c r="J304" s="1">
        <v>272.92</v>
      </c>
      <c r="K304" s="1">
        <v>50.61</v>
      </c>
      <c r="L304" s="1">
        <v>-30.87</v>
      </c>
      <c r="M304" s="1">
        <v>54.23</v>
      </c>
      <c r="N304" s="1">
        <v>10.07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1" cm="1">
        <f t="array" ref="U304">SUM(ABS(B304:T304))</f>
        <v>1389.3799999999999</v>
      </c>
    </row>
    <row r="305" spans="1:21" x14ac:dyDescent="0.3">
      <c r="A305" s="14">
        <v>45874.145833333336</v>
      </c>
      <c r="B305" s="1">
        <v>-678.09</v>
      </c>
      <c r="C305" s="1">
        <v>-54.88</v>
      </c>
      <c r="D305" s="1">
        <v>36.25</v>
      </c>
      <c r="E305" s="1">
        <v>7.34</v>
      </c>
      <c r="F305" s="1">
        <v>0</v>
      </c>
      <c r="G305" s="1">
        <v>-58.2</v>
      </c>
      <c r="H305" s="1">
        <v>12</v>
      </c>
      <c r="I305" s="1">
        <v>0</v>
      </c>
      <c r="J305" s="1">
        <v>272.85000000000002</v>
      </c>
      <c r="K305" s="1">
        <v>33.159999999999997</v>
      </c>
      <c r="L305" s="1">
        <v>-30.84</v>
      </c>
      <c r="M305" s="1">
        <v>54.23</v>
      </c>
      <c r="N305" s="1">
        <v>10.07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1" cm="1">
        <f t="array" ref="U305">SUM(ABS(B305:T305))</f>
        <v>1247.9100000000001</v>
      </c>
    </row>
    <row r="306" spans="1:21" x14ac:dyDescent="0.3">
      <c r="A306" s="14">
        <v>45874.15625</v>
      </c>
      <c r="B306" s="1">
        <v>-684.06</v>
      </c>
      <c r="C306" s="1">
        <v>-54.88</v>
      </c>
      <c r="D306" s="1">
        <v>36.26</v>
      </c>
      <c r="E306" s="1">
        <v>0</v>
      </c>
      <c r="F306" s="1">
        <v>0</v>
      </c>
      <c r="G306" s="1">
        <v>-58.11</v>
      </c>
      <c r="H306" s="1">
        <v>12</v>
      </c>
      <c r="I306" s="1">
        <v>0</v>
      </c>
      <c r="J306" s="1">
        <v>272.77</v>
      </c>
      <c r="K306" s="1">
        <v>12.74</v>
      </c>
      <c r="L306" s="1">
        <v>-30.8</v>
      </c>
      <c r="M306" s="1">
        <v>54.23</v>
      </c>
      <c r="N306" s="1">
        <v>10.06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1" cm="1">
        <f t="array" ref="U306">SUM(ABS(B306:T306))</f>
        <v>1225.9099999999999</v>
      </c>
    </row>
    <row r="307" spans="1:21" x14ac:dyDescent="0.3">
      <c r="A307" s="14">
        <v>45874.166666666664</v>
      </c>
      <c r="B307" s="1">
        <v>-715.11</v>
      </c>
      <c r="C307" s="1">
        <v>-54.88</v>
      </c>
      <c r="D307" s="1">
        <v>36.29</v>
      </c>
      <c r="E307" s="1">
        <v>0</v>
      </c>
      <c r="F307" s="1">
        <v>0</v>
      </c>
      <c r="G307" s="1">
        <v>-58.02</v>
      </c>
      <c r="H307" s="1">
        <v>12</v>
      </c>
      <c r="I307" s="1">
        <v>0</v>
      </c>
      <c r="J307" s="1">
        <v>272.82</v>
      </c>
      <c r="K307" s="1">
        <v>12.77</v>
      </c>
      <c r="L307" s="1">
        <v>-30.81</v>
      </c>
      <c r="M307" s="1">
        <v>54.24</v>
      </c>
      <c r="N307" s="1">
        <v>10.06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1" cm="1">
        <f t="array" ref="U307">SUM(ABS(B307:T307))</f>
        <v>1256.9999999999998</v>
      </c>
    </row>
    <row r="308" spans="1:21" x14ac:dyDescent="0.3">
      <c r="A308" s="14">
        <v>45874.177083333336</v>
      </c>
      <c r="B308" s="1">
        <v>-734.49</v>
      </c>
      <c r="C308" s="1">
        <v>-54.87</v>
      </c>
      <c r="D308" s="1">
        <v>36.299999999999997</v>
      </c>
      <c r="E308" s="1">
        <v>0</v>
      </c>
      <c r="F308" s="1">
        <v>0</v>
      </c>
      <c r="G308" s="1">
        <v>-58.13</v>
      </c>
      <c r="H308" s="1">
        <v>12</v>
      </c>
      <c r="I308" s="1">
        <v>0</v>
      </c>
      <c r="J308" s="1">
        <v>272.91000000000003</v>
      </c>
      <c r="K308" s="1">
        <v>12.83</v>
      </c>
      <c r="L308" s="1">
        <v>-30.79</v>
      </c>
      <c r="M308" s="1">
        <v>54.23</v>
      </c>
      <c r="N308" s="1">
        <v>10.07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1" cm="1">
        <f t="array" ref="U308">SUM(ABS(B308:T308))</f>
        <v>1276.6199999999999</v>
      </c>
    </row>
    <row r="309" spans="1:21" x14ac:dyDescent="0.3">
      <c r="A309" s="14">
        <v>45874.1875</v>
      </c>
      <c r="B309" s="1">
        <v>-736.92</v>
      </c>
      <c r="C309" s="1">
        <v>-54.86</v>
      </c>
      <c r="D309" s="1">
        <v>36.31</v>
      </c>
      <c r="E309" s="1">
        <v>0</v>
      </c>
      <c r="F309" s="1">
        <v>0</v>
      </c>
      <c r="G309" s="1">
        <v>-58.31</v>
      </c>
      <c r="H309" s="1">
        <v>12</v>
      </c>
      <c r="I309" s="1">
        <v>0</v>
      </c>
      <c r="J309" s="1">
        <v>272.43</v>
      </c>
      <c r="K309" s="1">
        <v>12.84</v>
      </c>
      <c r="L309" s="1">
        <v>-30.83</v>
      </c>
      <c r="M309" s="1">
        <v>54.24</v>
      </c>
      <c r="N309" s="1">
        <v>10.06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1" cm="1">
        <f t="array" ref="U309">SUM(ABS(B309:T309))</f>
        <v>1278.7999999999997</v>
      </c>
    </row>
    <row r="310" spans="1:21" x14ac:dyDescent="0.3">
      <c r="A310" s="14">
        <v>45874.197916666664</v>
      </c>
      <c r="B310" s="1">
        <v>-734.7</v>
      </c>
      <c r="C310" s="1">
        <v>-54.85</v>
      </c>
      <c r="D310" s="1">
        <v>36.32</v>
      </c>
      <c r="E310" s="1">
        <v>0</v>
      </c>
      <c r="F310" s="1">
        <v>0</v>
      </c>
      <c r="G310" s="1">
        <v>-58.34</v>
      </c>
      <c r="H310" s="1">
        <v>12</v>
      </c>
      <c r="I310" s="1">
        <v>0</v>
      </c>
      <c r="J310" s="1">
        <v>272.63</v>
      </c>
      <c r="K310" s="1">
        <v>12.8</v>
      </c>
      <c r="L310" s="1">
        <v>-30.77</v>
      </c>
      <c r="M310" s="1">
        <v>54.23</v>
      </c>
      <c r="N310" s="1">
        <v>10.06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1" cm="1">
        <f t="array" ref="U310">SUM(ABS(B310:T310))</f>
        <v>1276.7</v>
      </c>
    </row>
    <row r="311" spans="1:21" x14ac:dyDescent="0.3">
      <c r="A311" s="14">
        <v>45874.208333333336</v>
      </c>
      <c r="B311" s="1">
        <v>-728.48</v>
      </c>
      <c r="C311" s="1">
        <v>-54.84</v>
      </c>
      <c r="D311" s="1">
        <v>36.35</v>
      </c>
      <c r="E311" s="1">
        <v>0</v>
      </c>
      <c r="F311" s="1">
        <v>0</v>
      </c>
      <c r="G311" s="1">
        <v>-57.98</v>
      </c>
      <c r="H311" s="1">
        <v>12</v>
      </c>
      <c r="I311" s="1">
        <v>0</v>
      </c>
      <c r="J311" s="1">
        <v>272.94</v>
      </c>
      <c r="K311" s="1">
        <v>12.83</v>
      </c>
      <c r="L311" s="1">
        <v>-30.81</v>
      </c>
      <c r="M311" s="1">
        <v>54.24</v>
      </c>
      <c r="N311" s="1">
        <v>10.07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1" cm="1">
        <f t="array" ref="U311">SUM(ABS(B311:T311))</f>
        <v>1270.54</v>
      </c>
    </row>
    <row r="312" spans="1:21" x14ac:dyDescent="0.3">
      <c r="A312" s="14">
        <v>45874.21875</v>
      </c>
      <c r="B312" s="1">
        <v>-715.19</v>
      </c>
      <c r="C312" s="1">
        <v>-54.84</v>
      </c>
      <c r="D312" s="1">
        <v>36.369999999999997</v>
      </c>
      <c r="E312" s="1">
        <v>0</v>
      </c>
      <c r="F312" s="1">
        <v>0</v>
      </c>
      <c r="G312" s="1">
        <v>-57.85</v>
      </c>
      <c r="H312" s="1">
        <v>12</v>
      </c>
      <c r="I312" s="1">
        <v>0</v>
      </c>
      <c r="J312" s="1">
        <v>272.93</v>
      </c>
      <c r="K312" s="1">
        <v>12.85</v>
      </c>
      <c r="L312" s="1">
        <v>-30.79</v>
      </c>
      <c r="M312" s="1">
        <v>54.24</v>
      </c>
      <c r="N312" s="1">
        <v>10.07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1" cm="1">
        <f t="array" ref="U312">SUM(ABS(B312:T312))</f>
        <v>1257.1299999999999</v>
      </c>
    </row>
    <row r="313" spans="1:21" x14ac:dyDescent="0.3">
      <c r="A313" s="14">
        <v>45874.229166666664</v>
      </c>
      <c r="B313" s="1">
        <v>-680.43</v>
      </c>
      <c r="C313" s="1">
        <v>-54.85</v>
      </c>
      <c r="D313" s="1">
        <v>36.4</v>
      </c>
      <c r="E313" s="1">
        <v>0</v>
      </c>
      <c r="F313" s="1">
        <v>0</v>
      </c>
      <c r="G313" s="1">
        <v>-57.5</v>
      </c>
      <c r="H313" s="1">
        <v>12</v>
      </c>
      <c r="I313" s="1">
        <v>0</v>
      </c>
      <c r="J313" s="1">
        <v>271.41000000000003</v>
      </c>
      <c r="K313" s="1">
        <v>12.84</v>
      </c>
      <c r="L313" s="1">
        <v>-30.78</v>
      </c>
      <c r="M313" s="1">
        <v>54.23</v>
      </c>
      <c r="N313" s="1">
        <v>10.06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1" cm="1">
        <f t="array" ref="U313">SUM(ABS(B313:T313))</f>
        <v>1220.4999999999998</v>
      </c>
    </row>
    <row r="314" spans="1:21" x14ac:dyDescent="0.3">
      <c r="A314" s="14">
        <v>45874.239583333336</v>
      </c>
      <c r="B314" s="1">
        <v>-689.14</v>
      </c>
      <c r="C314" s="1">
        <v>-54.85</v>
      </c>
      <c r="D314" s="1">
        <v>36.409999999999997</v>
      </c>
      <c r="E314" s="1">
        <v>0</v>
      </c>
      <c r="F314" s="1">
        <v>0</v>
      </c>
      <c r="G314" s="1">
        <v>-43.12</v>
      </c>
      <c r="H314" s="1">
        <v>12</v>
      </c>
      <c r="I314" s="1">
        <v>0</v>
      </c>
      <c r="J314" s="1">
        <v>271.55</v>
      </c>
      <c r="K314" s="1">
        <v>12.86</v>
      </c>
      <c r="L314" s="1">
        <v>-30.79</v>
      </c>
      <c r="M314" s="1">
        <v>54.23</v>
      </c>
      <c r="N314" s="1">
        <v>10.06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1" cm="1">
        <f t="array" ref="U314">SUM(ABS(B314:T314))</f>
        <v>1215.0099999999998</v>
      </c>
    </row>
    <row r="315" spans="1:21" x14ac:dyDescent="0.3">
      <c r="A315" s="14">
        <v>45874.25</v>
      </c>
      <c r="B315" s="1">
        <v>-640.52</v>
      </c>
      <c r="C315" s="1">
        <v>-54.86</v>
      </c>
      <c r="D315" s="1">
        <v>36.44</v>
      </c>
      <c r="E315" s="1">
        <v>0</v>
      </c>
      <c r="F315" s="1">
        <v>0</v>
      </c>
      <c r="G315" s="1">
        <v>-24.45</v>
      </c>
      <c r="H315" s="1">
        <v>12</v>
      </c>
      <c r="I315" s="1">
        <v>0</v>
      </c>
      <c r="J315" s="1">
        <v>270.81</v>
      </c>
      <c r="K315" s="1">
        <v>12.88</v>
      </c>
      <c r="L315" s="1">
        <v>-30.79</v>
      </c>
      <c r="M315" s="1">
        <v>54.23</v>
      </c>
      <c r="N315" s="1">
        <v>10.06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1" cm="1">
        <f t="array" ref="U315">SUM(ABS(B315:T315))</f>
        <v>1147.04</v>
      </c>
    </row>
    <row r="316" spans="1:21" x14ac:dyDescent="0.3">
      <c r="A316" s="14">
        <v>45874.260416666664</v>
      </c>
      <c r="B316" s="1">
        <v>-669.29</v>
      </c>
      <c r="C316" s="1">
        <v>-54.84</v>
      </c>
      <c r="D316" s="1">
        <v>36.44</v>
      </c>
      <c r="E316" s="1">
        <v>0</v>
      </c>
      <c r="F316" s="1">
        <v>0</v>
      </c>
      <c r="G316" s="1">
        <v>-24.47</v>
      </c>
      <c r="H316" s="1">
        <v>12</v>
      </c>
      <c r="I316" s="1">
        <v>0</v>
      </c>
      <c r="J316" s="1">
        <v>272.39999999999998</v>
      </c>
      <c r="K316" s="1">
        <v>12.88</v>
      </c>
      <c r="L316" s="1">
        <v>-30.77</v>
      </c>
      <c r="M316" s="1">
        <v>54.22</v>
      </c>
      <c r="N316" s="1">
        <v>10.06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1" cm="1">
        <f t="array" ref="U316">SUM(ABS(B316:T316))</f>
        <v>1177.3700000000001</v>
      </c>
    </row>
    <row r="317" spans="1:21" x14ac:dyDescent="0.3">
      <c r="A317" s="14">
        <v>45874.270833333336</v>
      </c>
      <c r="B317" s="1">
        <v>-728</v>
      </c>
      <c r="C317" s="1">
        <v>-54.85</v>
      </c>
      <c r="D317" s="1">
        <v>36.450000000000003</v>
      </c>
      <c r="E317" s="1">
        <v>0</v>
      </c>
      <c r="F317" s="1">
        <v>0</v>
      </c>
      <c r="G317" s="1">
        <v>-24.49</v>
      </c>
      <c r="H317" s="1">
        <v>12</v>
      </c>
      <c r="I317" s="1">
        <v>0</v>
      </c>
      <c r="J317" s="1">
        <v>272.91000000000003</v>
      </c>
      <c r="K317" s="1">
        <v>12.87</v>
      </c>
      <c r="L317" s="1">
        <v>-30.79</v>
      </c>
      <c r="M317" s="1">
        <v>54.22</v>
      </c>
      <c r="N317" s="1">
        <v>10.07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1" cm="1">
        <f t="array" ref="U317">SUM(ABS(B317:T317))</f>
        <v>1236.6499999999999</v>
      </c>
    </row>
    <row r="318" spans="1:21" x14ac:dyDescent="0.3">
      <c r="A318" s="14">
        <v>45874.28125</v>
      </c>
      <c r="B318" s="1">
        <v>-691.59</v>
      </c>
      <c r="C318" s="1">
        <v>-54.85</v>
      </c>
      <c r="D318" s="1">
        <v>36.46</v>
      </c>
      <c r="E318" s="1">
        <v>0</v>
      </c>
      <c r="F318" s="1">
        <v>0</v>
      </c>
      <c r="G318" s="1">
        <v>-24.48</v>
      </c>
      <c r="H318" s="1">
        <v>12</v>
      </c>
      <c r="I318" s="1">
        <v>0</v>
      </c>
      <c r="J318" s="1">
        <v>272.89</v>
      </c>
      <c r="K318" s="1">
        <v>12.88</v>
      </c>
      <c r="L318" s="1">
        <v>-30.78</v>
      </c>
      <c r="M318" s="1">
        <v>51.21</v>
      </c>
      <c r="N318" s="1">
        <v>10.07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1" cm="1">
        <f t="array" ref="U318">SUM(ABS(B318:T318))</f>
        <v>1197.21</v>
      </c>
    </row>
    <row r="319" spans="1:21" x14ac:dyDescent="0.3">
      <c r="A319" s="14">
        <v>45874.291666666664</v>
      </c>
      <c r="B319" s="1">
        <v>-603.33000000000004</v>
      </c>
      <c r="C319" s="1">
        <v>-54.83</v>
      </c>
      <c r="D319" s="1">
        <v>36.450000000000003</v>
      </c>
      <c r="E319" s="1">
        <v>0</v>
      </c>
      <c r="F319" s="1">
        <v>0</v>
      </c>
      <c r="G319" s="1">
        <v>-24.46</v>
      </c>
      <c r="H319" s="1">
        <v>12</v>
      </c>
      <c r="I319" s="1">
        <v>0</v>
      </c>
      <c r="J319" s="1">
        <v>273.07</v>
      </c>
      <c r="K319" s="1">
        <v>12.88</v>
      </c>
      <c r="L319" s="1">
        <v>-30.77</v>
      </c>
      <c r="M319" s="1">
        <v>46.2</v>
      </c>
      <c r="N319" s="1">
        <v>10.06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1" cm="1">
        <f t="array" ref="U319">SUM(ABS(B319:T319))</f>
        <v>1104.0500000000002</v>
      </c>
    </row>
    <row r="320" spans="1:21" x14ac:dyDescent="0.3">
      <c r="A320" s="14">
        <v>45874.302083333336</v>
      </c>
      <c r="B320" s="1">
        <v>-306.12</v>
      </c>
      <c r="C320" s="1">
        <v>-54.84</v>
      </c>
      <c r="D320" s="1">
        <v>36.47</v>
      </c>
      <c r="E320" s="1">
        <v>0</v>
      </c>
      <c r="F320" s="1">
        <v>0</v>
      </c>
      <c r="G320" s="1">
        <v>-24.46</v>
      </c>
      <c r="H320" s="1">
        <v>12</v>
      </c>
      <c r="I320" s="1">
        <v>0</v>
      </c>
      <c r="J320" s="1">
        <v>272.48</v>
      </c>
      <c r="K320" s="1">
        <v>12.89</v>
      </c>
      <c r="L320" s="1">
        <v>-30.75</v>
      </c>
      <c r="M320" s="1">
        <v>46.19</v>
      </c>
      <c r="N320" s="1">
        <v>10.06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1" cm="1">
        <f t="array" ref="U320">SUM(ABS(B320:T320))</f>
        <v>806.26</v>
      </c>
    </row>
    <row r="321" spans="1:21" x14ac:dyDescent="0.3">
      <c r="A321" s="14">
        <v>45874.3125</v>
      </c>
      <c r="B321" s="1">
        <v>-336.07</v>
      </c>
      <c r="C321" s="1">
        <v>-54.83</v>
      </c>
      <c r="D321" s="1">
        <v>36.49</v>
      </c>
      <c r="E321" s="1">
        <v>0</v>
      </c>
      <c r="F321" s="1">
        <v>0</v>
      </c>
      <c r="G321" s="1">
        <v>-24.48</v>
      </c>
      <c r="H321" s="1">
        <v>12</v>
      </c>
      <c r="I321" s="1">
        <v>0</v>
      </c>
      <c r="J321" s="1">
        <v>272.83</v>
      </c>
      <c r="K321" s="1">
        <v>12.88</v>
      </c>
      <c r="L321" s="1">
        <v>-30.74</v>
      </c>
      <c r="M321" s="1">
        <v>46.2</v>
      </c>
      <c r="N321" s="1">
        <v>10.06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1" cm="1">
        <f t="array" ref="U321">SUM(ABS(B321:T321))</f>
        <v>836.58</v>
      </c>
    </row>
    <row r="322" spans="1:21" x14ac:dyDescent="0.3">
      <c r="A322" s="14">
        <v>45874.322916666664</v>
      </c>
      <c r="B322" s="1">
        <v>-243.1</v>
      </c>
      <c r="C322" s="1">
        <v>-54.83</v>
      </c>
      <c r="D322" s="1">
        <v>36.479999999999997</v>
      </c>
      <c r="E322" s="1">
        <v>0</v>
      </c>
      <c r="F322" s="1">
        <v>0</v>
      </c>
      <c r="G322" s="1">
        <v>-7.99</v>
      </c>
      <c r="H322" s="1">
        <v>12</v>
      </c>
      <c r="I322" s="1">
        <v>0</v>
      </c>
      <c r="J322" s="1">
        <v>222.65</v>
      </c>
      <c r="K322" s="1">
        <v>12.88</v>
      </c>
      <c r="L322" s="1">
        <v>-24.9</v>
      </c>
      <c r="M322" s="1">
        <v>46.18</v>
      </c>
      <c r="N322" s="1">
        <v>10.050000000000001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1" cm="1">
        <f t="array" ref="U322">SUM(ABS(B322:T322))</f>
        <v>671.06</v>
      </c>
    </row>
    <row r="323" spans="1:21" x14ac:dyDescent="0.3">
      <c r="A323" s="14">
        <v>45874.333333333336</v>
      </c>
      <c r="B323" s="1">
        <v>-315.68</v>
      </c>
      <c r="C323" s="1">
        <v>-54.83</v>
      </c>
      <c r="D323" s="1">
        <v>36.47</v>
      </c>
      <c r="E323" s="1">
        <v>0</v>
      </c>
      <c r="F323" s="1">
        <v>0</v>
      </c>
      <c r="G323" s="1">
        <v>0</v>
      </c>
      <c r="H323" s="1">
        <v>12</v>
      </c>
      <c r="I323" s="1">
        <v>0</v>
      </c>
      <c r="J323" s="1">
        <v>210.89</v>
      </c>
      <c r="K323" s="1">
        <v>12.86</v>
      </c>
      <c r="L323" s="1">
        <v>-15.27</v>
      </c>
      <c r="M323" s="1">
        <v>46.2</v>
      </c>
      <c r="N323" s="1">
        <v>10.06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1" cm="1">
        <f t="array" ref="U323">SUM(ABS(B323:T323))</f>
        <v>714.26</v>
      </c>
    </row>
    <row r="324" spans="1:21" x14ac:dyDescent="0.3">
      <c r="A324" s="14">
        <v>45874.34375</v>
      </c>
      <c r="B324" s="1">
        <v>-327.43</v>
      </c>
      <c r="C324" s="1">
        <v>-54.81</v>
      </c>
      <c r="D324" s="1">
        <v>36.44</v>
      </c>
      <c r="E324" s="1">
        <v>0</v>
      </c>
      <c r="F324" s="1">
        <v>0</v>
      </c>
      <c r="G324" s="1">
        <v>0</v>
      </c>
      <c r="H324" s="1">
        <v>12</v>
      </c>
      <c r="I324" s="1">
        <v>0</v>
      </c>
      <c r="J324" s="1">
        <v>211.01</v>
      </c>
      <c r="K324" s="1">
        <v>12.84</v>
      </c>
      <c r="L324" s="1">
        <v>-15.26</v>
      </c>
      <c r="M324" s="1">
        <v>46.2</v>
      </c>
      <c r="N324" s="1">
        <v>10.06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1" cm="1">
        <f t="array" ref="U324">SUM(ABS(B324:T324))</f>
        <v>726.05000000000007</v>
      </c>
    </row>
    <row r="325" spans="1:21" x14ac:dyDescent="0.3">
      <c r="A325" s="14">
        <v>45874.354166666664</v>
      </c>
      <c r="B325" s="1">
        <v>-281.75</v>
      </c>
      <c r="C325" s="1">
        <v>-49.75</v>
      </c>
      <c r="D325" s="1">
        <v>36.44</v>
      </c>
      <c r="E325" s="1">
        <v>0</v>
      </c>
      <c r="F325" s="1">
        <v>0</v>
      </c>
      <c r="G325" s="1">
        <v>0</v>
      </c>
      <c r="H325" s="1">
        <v>12</v>
      </c>
      <c r="I325" s="1">
        <v>0</v>
      </c>
      <c r="J325" s="1">
        <v>214.34</v>
      </c>
      <c r="K325" s="1">
        <v>11.68</v>
      </c>
      <c r="L325" s="1">
        <v>-8.09</v>
      </c>
      <c r="M325" s="1">
        <v>39.78</v>
      </c>
      <c r="N325" s="1">
        <v>7.62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1" cm="1">
        <f t="array" ref="U325">SUM(ABS(B325:T325))</f>
        <v>661.44999999999993</v>
      </c>
    </row>
    <row r="326" spans="1:21" x14ac:dyDescent="0.3">
      <c r="A326" s="14">
        <v>45874.364583333336</v>
      </c>
      <c r="B326" s="1">
        <v>-243.95</v>
      </c>
      <c r="C326" s="1">
        <v>-42.49</v>
      </c>
      <c r="D326" s="1">
        <v>36.409999999999997</v>
      </c>
      <c r="E326" s="1">
        <v>0</v>
      </c>
      <c r="F326" s="1">
        <v>0</v>
      </c>
      <c r="G326" s="1">
        <v>0</v>
      </c>
      <c r="H326" s="1">
        <v>12</v>
      </c>
      <c r="I326" s="1">
        <v>0</v>
      </c>
      <c r="J326" s="1">
        <v>211.46</v>
      </c>
      <c r="K326" s="1">
        <v>6.4</v>
      </c>
      <c r="L326" s="1">
        <v>0.19</v>
      </c>
      <c r="M326" s="1">
        <v>20.16</v>
      </c>
      <c r="N326" s="1">
        <v>5.42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1" cm="1">
        <f t="array" ref="U326">SUM(ABS(B326:T326))</f>
        <v>578.48</v>
      </c>
    </row>
    <row r="327" spans="1:21" x14ac:dyDescent="0.3">
      <c r="A327" s="14">
        <v>45874.375</v>
      </c>
      <c r="B327" s="1">
        <v>-247.27</v>
      </c>
      <c r="C327" s="1">
        <v>-41.76</v>
      </c>
      <c r="D327" s="1">
        <v>36.450000000000003</v>
      </c>
      <c r="E327" s="1">
        <v>0</v>
      </c>
      <c r="F327" s="1">
        <v>0</v>
      </c>
      <c r="G327" s="1">
        <v>0</v>
      </c>
      <c r="H327" s="1">
        <v>12</v>
      </c>
      <c r="I327" s="1">
        <v>0</v>
      </c>
      <c r="J327" s="1">
        <v>242.18</v>
      </c>
      <c r="K327" s="1">
        <v>6.37</v>
      </c>
      <c r="L327" s="1">
        <v>0.11</v>
      </c>
      <c r="M327" s="1">
        <v>20.07</v>
      </c>
      <c r="N327" s="1">
        <v>5.43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1" cm="1">
        <f t="array" ref="U327">SUM(ABS(B327:T327))</f>
        <v>611.6400000000001</v>
      </c>
    </row>
    <row r="328" spans="1:21" x14ac:dyDescent="0.3">
      <c r="A328" s="14">
        <v>45874.385416666664</v>
      </c>
      <c r="B328" s="1">
        <v>-364.15</v>
      </c>
      <c r="C328" s="1">
        <v>-41.6</v>
      </c>
      <c r="D328" s="1">
        <v>36.43</v>
      </c>
      <c r="E328" s="1">
        <v>0</v>
      </c>
      <c r="F328" s="1">
        <v>0</v>
      </c>
      <c r="G328" s="1">
        <v>0</v>
      </c>
      <c r="H328" s="1">
        <v>12</v>
      </c>
      <c r="I328" s="1">
        <v>0</v>
      </c>
      <c r="J328" s="1">
        <v>273.08999999999997</v>
      </c>
      <c r="K328" s="1">
        <v>6.37</v>
      </c>
      <c r="L328" s="1">
        <v>0.08</v>
      </c>
      <c r="M328" s="1">
        <v>20.059999999999999</v>
      </c>
      <c r="N328" s="1">
        <v>5.43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1" cm="1">
        <f t="array" ref="U328">SUM(ABS(B328:T328))</f>
        <v>759.20999999999992</v>
      </c>
    </row>
    <row r="329" spans="1:21" x14ac:dyDescent="0.3">
      <c r="A329" s="14">
        <v>45874.395833333336</v>
      </c>
      <c r="B329" s="1">
        <v>-366.98</v>
      </c>
      <c r="C329" s="1">
        <v>-26.39</v>
      </c>
      <c r="D329" s="1">
        <v>36.450000000000003</v>
      </c>
      <c r="E329" s="1">
        <v>0</v>
      </c>
      <c r="F329" s="1">
        <v>0</v>
      </c>
      <c r="G329" s="1">
        <v>0</v>
      </c>
      <c r="H329" s="1">
        <v>12</v>
      </c>
      <c r="I329" s="1">
        <v>0</v>
      </c>
      <c r="J329" s="1">
        <v>273.64999999999998</v>
      </c>
      <c r="K329" s="1">
        <v>6.36</v>
      </c>
      <c r="L329" s="1">
        <v>0.09</v>
      </c>
      <c r="M329" s="1">
        <v>20.07</v>
      </c>
      <c r="N329" s="1">
        <v>5.43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1" cm="1">
        <f t="array" ref="U329">SUM(ABS(B329:T329))</f>
        <v>747.42000000000007</v>
      </c>
    </row>
    <row r="330" spans="1:21" x14ac:dyDescent="0.3">
      <c r="A330" s="14">
        <v>45874.40625</v>
      </c>
      <c r="B330" s="1">
        <v>-333.91</v>
      </c>
      <c r="C330" s="1">
        <v>-20.62</v>
      </c>
      <c r="D330" s="1">
        <v>36.44</v>
      </c>
      <c r="E330" s="1">
        <v>0</v>
      </c>
      <c r="F330" s="1">
        <v>0</v>
      </c>
      <c r="G330" s="1">
        <v>0</v>
      </c>
      <c r="H330" s="1">
        <v>12</v>
      </c>
      <c r="I330" s="1">
        <v>0</v>
      </c>
      <c r="J330" s="1">
        <v>272.24</v>
      </c>
      <c r="K330" s="1">
        <v>6.35</v>
      </c>
      <c r="L330" s="1">
        <v>0.1</v>
      </c>
      <c r="M330" s="1">
        <v>20.07</v>
      </c>
      <c r="N330" s="1">
        <v>5.43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1" cm="1">
        <f t="array" ref="U330">SUM(ABS(B330:T330))</f>
        <v>707.16000000000008</v>
      </c>
    </row>
    <row r="331" spans="1:21" x14ac:dyDescent="0.3">
      <c r="A331" s="14">
        <v>45874.416666666664</v>
      </c>
      <c r="B331" s="1">
        <v>-344.6</v>
      </c>
      <c r="C331" s="1">
        <v>-20.67</v>
      </c>
      <c r="D331" s="1">
        <v>36.47</v>
      </c>
      <c r="E331" s="1">
        <v>0</v>
      </c>
      <c r="F331" s="1">
        <v>0</v>
      </c>
      <c r="G331" s="1">
        <v>0</v>
      </c>
      <c r="H331" s="1">
        <v>12</v>
      </c>
      <c r="I331" s="1">
        <v>0</v>
      </c>
      <c r="J331" s="1">
        <v>230.05</v>
      </c>
      <c r="K331" s="1">
        <v>6.34</v>
      </c>
      <c r="L331" s="1">
        <v>0.09</v>
      </c>
      <c r="M331" s="1">
        <v>20.07</v>
      </c>
      <c r="N331" s="1">
        <v>5.43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1" cm="1">
        <f t="array" ref="U331">SUM(ABS(B331:T331))</f>
        <v>675.72</v>
      </c>
    </row>
    <row r="332" spans="1:21" x14ac:dyDescent="0.3">
      <c r="A332" s="14">
        <v>45874.427083333336</v>
      </c>
      <c r="B332" s="1">
        <v>-366.64</v>
      </c>
      <c r="C332" s="1">
        <v>-20.69</v>
      </c>
      <c r="D332" s="1">
        <v>36.46</v>
      </c>
      <c r="E332" s="1">
        <v>0</v>
      </c>
      <c r="F332" s="1">
        <v>0</v>
      </c>
      <c r="G332" s="1">
        <v>0</v>
      </c>
      <c r="H332" s="1">
        <v>12</v>
      </c>
      <c r="I332" s="1">
        <v>0</v>
      </c>
      <c r="J332" s="1">
        <v>242.75</v>
      </c>
      <c r="K332" s="1">
        <v>6.34</v>
      </c>
      <c r="L332" s="1">
        <v>0.09</v>
      </c>
      <c r="M332" s="1">
        <v>20.07</v>
      </c>
      <c r="N332" s="1">
        <v>5.43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1" cm="1">
        <f t="array" ref="U332">SUM(ABS(B332:T332))</f>
        <v>710.47</v>
      </c>
    </row>
    <row r="333" spans="1:21" x14ac:dyDescent="0.3">
      <c r="A333" s="14">
        <v>45874.4375</v>
      </c>
      <c r="B333" s="1">
        <v>-441.36</v>
      </c>
      <c r="C333" s="1">
        <v>-20.69</v>
      </c>
      <c r="D333" s="1">
        <v>36.450000000000003</v>
      </c>
      <c r="E333" s="1">
        <v>0</v>
      </c>
      <c r="F333" s="1">
        <v>0</v>
      </c>
      <c r="G333" s="1">
        <v>0</v>
      </c>
      <c r="H333" s="1">
        <v>12</v>
      </c>
      <c r="I333" s="1">
        <v>0</v>
      </c>
      <c r="J333" s="1">
        <v>191.42</v>
      </c>
      <c r="K333" s="1">
        <v>6.34</v>
      </c>
      <c r="L333" s="1">
        <v>0.08</v>
      </c>
      <c r="M333" s="1">
        <v>20.09</v>
      </c>
      <c r="N333" s="1">
        <v>5.43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1" cm="1">
        <f t="array" ref="U333">SUM(ABS(B333:T333))</f>
        <v>733.86</v>
      </c>
    </row>
    <row r="334" spans="1:21" x14ac:dyDescent="0.3">
      <c r="A334" s="14">
        <v>45874.447916666664</v>
      </c>
      <c r="B334" s="1">
        <v>-414.48</v>
      </c>
      <c r="C334" s="1">
        <v>-20.65</v>
      </c>
      <c r="D334" s="1">
        <v>36.369999999999997</v>
      </c>
      <c r="E334" s="1">
        <v>0</v>
      </c>
      <c r="F334" s="1">
        <v>0</v>
      </c>
      <c r="G334" s="1">
        <v>0</v>
      </c>
      <c r="H334" s="1">
        <v>12</v>
      </c>
      <c r="I334" s="1">
        <v>0</v>
      </c>
      <c r="J334" s="1">
        <v>181.81</v>
      </c>
      <c r="K334" s="1">
        <v>6.34</v>
      </c>
      <c r="L334" s="1">
        <v>0.09</v>
      </c>
      <c r="M334" s="1">
        <v>20.079999999999998</v>
      </c>
      <c r="N334" s="1">
        <v>5.43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1" cm="1">
        <f t="array" ref="U334">SUM(ABS(B334:T334))</f>
        <v>697.25</v>
      </c>
    </row>
    <row r="335" spans="1:21" x14ac:dyDescent="0.3">
      <c r="A335" s="14">
        <v>45874.458333333336</v>
      </c>
      <c r="B335" s="1">
        <v>-249.73</v>
      </c>
      <c r="C335" s="1">
        <v>-20.64</v>
      </c>
      <c r="D335" s="1">
        <v>36.33</v>
      </c>
      <c r="E335" s="1">
        <v>0</v>
      </c>
      <c r="F335" s="1">
        <v>0</v>
      </c>
      <c r="G335" s="1">
        <v>0</v>
      </c>
      <c r="H335" s="1">
        <v>12</v>
      </c>
      <c r="I335" s="1">
        <v>0</v>
      </c>
      <c r="J335" s="1">
        <v>176.33</v>
      </c>
      <c r="K335" s="1">
        <v>6.34</v>
      </c>
      <c r="L335" s="1">
        <v>0.11</v>
      </c>
      <c r="M335" s="1">
        <v>20.079999999999998</v>
      </c>
      <c r="N335" s="1">
        <v>5.43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1" cm="1">
        <f t="array" ref="U335">SUM(ABS(B335:T335))</f>
        <v>526.9899999999999</v>
      </c>
    </row>
    <row r="336" spans="1:21" x14ac:dyDescent="0.3">
      <c r="A336" s="14">
        <v>45874.46875</v>
      </c>
      <c r="B336" s="1">
        <v>-223.34</v>
      </c>
      <c r="C336" s="1">
        <v>-20.63</v>
      </c>
      <c r="D336" s="1">
        <v>36.28</v>
      </c>
      <c r="E336" s="1">
        <v>0</v>
      </c>
      <c r="F336" s="1">
        <v>0</v>
      </c>
      <c r="G336" s="1">
        <v>0</v>
      </c>
      <c r="H336" s="1">
        <v>12</v>
      </c>
      <c r="I336" s="1">
        <v>0</v>
      </c>
      <c r="J336" s="1">
        <v>184.47</v>
      </c>
      <c r="K336" s="1">
        <v>6.33</v>
      </c>
      <c r="L336" s="1">
        <v>0.11</v>
      </c>
      <c r="M336" s="1">
        <v>20.09</v>
      </c>
      <c r="N336" s="1">
        <v>5.42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1" cm="1">
        <f t="array" ref="U336">SUM(ABS(B336:T336))</f>
        <v>508.67</v>
      </c>
    </row>
    <row r="337" spans="1:21" x14ac:dyDescent="0.3">
      <c r="A337" s="14">
        <v>45874.479166666664</v>
      </c>
      <c r="B337" s="1">
        <v>-194.71</v>
      </c>
      <c r="C337" s="1">
        <v>-20.63</v>
      </c>
      <c r="D337" s="1">
        <v>36.229999999999997</v>
      </c>
      <c r="E337" s="1">
        <v>0</v>
      </c>
      <c r="F337" s="1">
        <v>0</v>
      </c>
      <c r="G337" s="1">
        <v>0</v>
      </c>
      <c r="H337" s="1">
        <v>12</v>
      </c>
      <c r="I337" s="1">
        <v>0</v>
      </c>
      <c r="J337" s="1">
        <v>208.68</v>
      </c>
      <c r="K337" s="1">
        <v>6.36</v>
      </c>
      <c r="L337" s="1">
        <v>0.11</v>
      </c>
      <c r="M337" s="1">
        <v>20.100000000000001</v>
      </c>
      <c r="N337" s="1">
        <v>5.42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1" cm="1">
        <f t="array" ref="U337">SUM(ABS(B337:T337))</f>
        <v>504.24000000000007</v>
      </c>
    </row>
    <row r="338" spans="1:21" x14ac:dyDescent="0.3">
      <c r="A338" s="14">
        <v>45874.489583333336</v>
      </c>
      <c r="B338" s="1">
        <v>-180.6</v>
      </c>
      <c r="C338" s="1">
        <v>-20.61</v>
      </c>
      <c r="D338" s="1">
        <v>36.19</v>
      </c>
      <c r="E338" s="1">
        <v>0</v>
      </c>
      <c r="F338" s="1">
        <v>0</v>
      </c>
      <c r="G338" s="1">
        <v>0</v>
      </c>
      <c r="H338" s="1">
        <v>12</v>
      </c>
      <c r="I338" s="1">
        <v>0</v>
      </c>
      <c r="J338" s="1">
        <v>214</v>
      </c>
      <c r="K338" s="1">
        <v>6.37</v>
      </c>
      <c r="L338" s="1">
        <v>0.12</v>
      </c>
      <c r="M338" s="1">
        <v>20.079999999999998</v>
      </c>
      <c r="N338" s="1">
        <v>5.43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1" cm="1">
        <f t="array" ref="U338">SUM(ABS(B338:T338))</f>
        <v>495.4</v>
      </c>
    </row>
    <row r="339" spans="1:21" x14ac:dyDescent="0.3">
      <c r="A339" s="14">
        <v>45874.5</v>
      </c>
      <c r="B339" s="1">
        <v>-187.94</v>
      </c>
      <c r="C339" s="1">
        <v>-20.59</v>
      </c>
      <c r="D339" s="1">
        <v>36.18</v>
      </c>
      <c r="E339" s="1">
        <v>0</v>
      </c>
      <c r="F339" s="1">
        <v>0</v>
      </c>
      <c r="G339" s="1">
        <v>0</v>
      </c>
      <c r="H339" s="1">
        <v>12</v>
      </c>
      <c r="I339" s="1">
        <v>0</v>
      </c>
      <c r="J339" s="1">
        <v>212.22</v>
      </c>
      <c r="K339" s="1">
        <v>6.37</v>
      </c>
      <c r="L339" s="1">
        <v>0.12</v>
      </c>
      <c r="M339" s="1">
        <v>20.09</v>
      </c>
      <c r="N339" s="1">
        <v>5.42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1" cm="1">
        <f t="array" ref="U339">SUM(ABS(B339:T339))</f>
        <v>500.93000000000006</v>
      </c>
    </row>
    <row r="340" spans="1:21" x14ac:dyDescent="0.3">
      <c r="A340" s="14">
        <v>45874.510416666664</v>
      </c>
      <c r="B340" s="1">
        <v>-210.38</v>
      </c>
      <c r="C340" s="1">
        <v>-20.63</v>
      </c>
      <c r="D340" s="1">
        <v>36.15</v>
      </c>
      <c r="E340" s="1">
        <v>0</v>
      </c>
      <c r="F340" s="1">
        <v>0</v>
      </c>
      <c r="G340" s="1">
        <v>0</v>
      </c>
      <c r="H340" s="1">
        <v>12</v>
      </c>
      <c r="I340" s="1">
        <v>0</v>
      </c>
      <c r="J340" s="1">
        <v>266.35000000000002</v>
      </c>
      <c r="K340" s="1">
        <v>6.38</v>
      </c>
      <c r="L340" s="1">
        <v>0.1</v>
      </c>
      <c r="M340" s="1">
        <v>20.09</v>
      </c>
      <c r="N340" s="1">
        <v>5.42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1" cm="1">
        <f t="array" ref="U340">SUM(ABS(B340:T340))</f>
        <v>577.5</v>
      </c>
    </row>
    <row r="341" spans="1:21" x14ac:dyDescent="0.3">
      <c r="A341" s="14">
        <v>45874.520833333336</v>
      </c>
      <c r="B341" s="1">
        <v>-231.33</v>
      </c>
      <c r="C341" s="1">
        <v>-20.61</v>
      </c>
      <c r="D341" s="1">
        <v>36.17</v>
      </c>
      <c r="E341" s="1">
        <v>0</v>
      </c>
      <c r="F341" s="1">
        <v>0</v>
      </c>
      <c r="G341" s="1">
        <v>0</v>
      </c>
      <c r="H341" s="1">
        <v>12</v>
      </c>
      <c r="I341" s="1">
        <v>0</v>
      </c>
      <c r="J341" s="1">
        <v>274.13</v>
      </c>
      <c r="K341" s="1">
        <v>6.38</v>
      </c>
      <c r="L341" s="1">
        <v>0.09</v>
      </c>
      <c r="M341" s="1">
        <v>20.09</v>
      </c>
      <c r="N341" s="1">
        <v>5.43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1" cm="1">
        <f t="array" ref="U341">SUM(ABS(B341:T341))</f>
        <v>606.23</v>
      </c>
    </row>
    <row r="342" spans="1:21" x14ac:dyDescent="0.3">
      <c r="A342" s="14">
        <v>45874.53125</v>
      </c>
      <c r="B342" s="1">
        <v>-307.35000000000002</v>
      </c>
      <c r="C342" s="1">
        <v>-20.6</v>
      </c>
      <c r="D342" s="1">
        <v>36.200000000000003</v>
      </c>
      <c r="E342" s="1">
        <v>0</v>
      </c>
      <c r="F342" s="1">
        <v>0</v>
      </c>
      <c r="G342" s="1">
        <v>0</v>
      </c>
      <c r="H342" s="1">
        <v>12</v>
      </c>
      <c r="I342" s="1">
        <v>0</v>
      </c>
      <c r="J342" s="1">
        <v>262.44</v>
      </c>
      <c r="K342" s="1">
        <v>6.39</v>
      </c>
      <c r="L342" s="1">
        <v>0.1</v>
      </c>
      <c r="M342" s="1">
        <v>20.079999999999998</v>
      </c>
      <c r="N342" s="1">
        <v>5.42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1" cm="1">
        <f t="array" ref="U342">SUM(ABS(B342:T342))</f>
        <v>670.58</v>
      </c>
    </row>
    <row r="343" spans="1:21" x14ac:dyDescent="0.3">
      <c r="A343" s="14">
        <v>45874.541666666664</v>
      </c>
      <c r="B343" s="1">
        <v>-288.63</v>
      </c>
      <c r="C343" s="1">
        <v>-20.64</v>
      </c>
      <c r="D343" s="1">
        <v>36.19</v>
      </c>
      <c r="E343" s="1">
        <v>0</v>
      </c>
      <c r="F343" s="1">
        <v>0</v>
      </c>
      <c r="G343" s="1">
        <v>0</v>
      </c>
      <c r="H343" s="1">
        <v>12</v>
      </c>
      <c r="I343" s="1">
        <v>0</v>
      </c>
      <c r="J343" s="1">
        <v>214.14</v>
      </c>
      <c r="K343" s="1">
        <v>6.4</v>
      </c>
      <c r="L343" s="1">
        <v>0.11</v>
      </c>
      <c r="M343" s="1">
        <v>20.079999999999998</v>
      </c>
      <c r="N343" s="1">
        <v>5.42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1" cm="1">
        <f t="array" ref="U343">SUM(ABS(B343:T343))</f>
        <v>603.6099999999999</v>
      </c>
    </row>
    <row r="344" spans="1:21" x14ac:dyDescent="0.3">
      <c r="A344" s="14">
        <v>45874.552083333336</v>
      </c>
      <c r="B344" s="1">
        <v>-247.45</v>
      </c>
      <c r="C344" s="1">
        <v>-20.67</v>
      </c>
      <c r="D344" s="1">
        <v>36.17</v>
      </c>
      <c r="E344" s="1">
        <v>0</v>
      </c>
      <c r="F344" s="1">
        <v>0</v>
      </c>
      <c r="G344" s="1">
        <v>0</v>
      </c>
      <c r="H344" s="1">
        <v>12</v>
      </c>
      <c r="I344" s="1">
        <v>0</v>
      </c>
      <c r="J344" s="1">
        <v>215.95</v>
      </c>
      <c r="K344" s="1">
        <v>6.39</v>
      </c>
      <c r="L344" s="1">
        <v>0.11</v>
      </c>
      <c r="M344" s="1">
        <v>20.07</v>
      </c>
      <c r="N344" s="1">
        <v>5.42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1" cm="1">
        <f t="array" ref="U344">SUM(ABS(B344:T344))</f>
        <v>564.23</v>
      </c>
    </row>
    <row r="345" spans="1:21" x14ac:dyDescent="0.3">
      <c r="A345" s="14">
        <v>45874.5625</v>
      </c>
      <c r="B345" s="1">
        <v>-284.87</v>
      </c>
      <c r="C345" s="1">
        <v>-20.66</v>
      </c>
      <c r="D345" s="1">
        <v>36.130000000000003</v>
      </c>
      <c r="E345" s="1">
        <v>0</v>
      </c>
      <c r="F345" s="1">
        <v>0</v>
      </c>
      <c r="G345" s="1">
        <v>0</v>
      </c>
      <c r="H345" s="1">
        <v>12</v>
      </c>
      <c r="I345" s="1">
        <v>0</v>
      </c>
      <c r="J345" s="1">
        <v>216.35</v>
      </c>
      <c r="K345" s="1">
        <v>6.38</v>
      </c>
      <c r="L345" s="1">
        <v>0.11</v>
      </c>
      <c r="M345" s="1">
        <v>20.09</v>
      </c>
      <c r="N345" s="1">
        <v>5.42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1" cm="1">
        <f t="array" ref="U345">SUM(ABS(B345:T345))</f>
        <v>602.01</v>
      </c>
    </row>
    <row r="346" spans="1:21" x14ac:dyDescent="0.3">
      <c r="A346" s="14">
        <v>45874.572916666664</v>
      </c>
      <c r="B346" s="1">
        <v>-445.16</v>
      </c>
      <c r="C346" s="1">
        <v>-20.66</v>
      </c>
      <c r="D346" s="1">
        <v>36.11</v>
      </c>
      <c r="E346" s="1">
        <v>0</v>
      </c>
      <c r="F346" s="1">
        <v>0</v>
      </c>
      <c r="G346" s="1">
        <v>0</v>
      </c>
      <c r="H346" s="1">
        <v>12</v>
      </c>
      <c r="I346" s="1">
        <v>0</v>
      </c>
      <c r="J346" s="1">
        <v>215.83</v>
      </c>
      <c r="K346" s="1">
        <v>6.39</v>
      </c>
      <c r="L346" s="1">
        <v>0.1</v>
      </c>
      <c r="M346" s="1">
        <v>20.09</v>
      </c>
      <c r="N346" s="1">
        <v>5.42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1" cm="1">
        <f t="array" ref="U346">SUM(ABS(B346:T346))</f>
        <v>761.7600000000001</v>
      </c>
    </row>
    <row r="347" spans="1:21" x14ac:dyDescent="0.3">
      <c r="A347" s="14">
        <v>45874.583333333336</v>
      </c>
      <c r="B347" s="1">
        <v>-447.52</v>
      </c>
      <c r="C347" s="1">
        <v>-20.64</v>
      </c>
      <c r="D347" s="1">
        <v>36.08</v>
      </c>
      <c r="E347" s="1">
        <v>21.49</v>
      </c>
      <c r="F347" s="1">
        <v>0</v>
      </c>
      <c r="G347" s="1">
        <v>0</v>
      </c>
      <c r="H347" s="1">
        <v>12</v>
      </c>
      <c r="I347" s="1">
        <v>0</v>
      </c>
      <c r="J347" s="1">
        <v>212.92</v>
      </c>
      <c r="K347" s="1">
        <v>6.4</v>
      </c>
      <c r="L347" s="1">
        <v>0.11</v>
      </c>
      <c r="M347" s="1">
        <v>20.09</v>
      </c>
      <c r="N347" s="1">
        <v>5.42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1" cm="1">
        <f t="array" ref="U347">SUM(ABS(B347:T347))</f>
        <v>782.66999999999985</v>
      </c>
    </row>
    <row r="348" spans="1:21" x14ac:dyDescent="0.3">
      <c r="A348" s="14">
        <v>45874.59375</v>
      </c>
      <c r="B348" s="1">
        <v>-469.71</v>
      </c>
      <c r="C348" s="1">
        <v>-20.63</v>
      </c>
      <c r="D348" s="1">
        <v>36.08</v>
      </c>
      <c r="E348" s="1">
        <v>51.31</v>
      </c>
      <c r="F348" s="1">
        <v>0</v>
      </c>
      <c r="G348" s="1">
        <v>0</v>
      </c>
      <c r="H348" s="1">
        <v>12</v>
      </c>
      <c r="I348" s="1">
        <v>0</v>
      </c>
      <c r="J348" s="1">
        <v>213.54</v>
      </c>
      <c r="K348" s="1">
        <v>6.39</v>
      </c>
      <c r="L348" s="1">
        <v>0.12</v>
      </c>
      <c r="M348" s="1">
        <v>20.09</v>
      </c>
      <c r="N348" s="1">
        <v>5.42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1" cm="1">
        <f t="array" ref="U348">SUM(ABS(B348:T348))</f>
        <v>835.29</v>
      </c>
    </row>
    <row r="349" spans="1:21" x14ac:dyDescent="0.3">
      <c r="A349" s="14">
        <v>45874.604166666664</v>
      </c>
      <c r="B349" s="1">
        <v>-438.22</v>
      </c>
      <c r="C349" s="1">
        <v>-20.6</v>
      </c>
      <c r="D349" s="1">
        <v>35.979999999999997</v>
      </c>
      <c r="E349" s="1">
        <v>47.95</v>
      </c>
      <c r="F349" s="1">
        <v>0</v>
      </c>
      <c r="G349" s="1">
        <v>-6.13</v>
      </c>
      <c r="H349" s="1">
        <v>12</v>
      </c>
      <c r="I349" s="1">
        <v>0</v>
      </c>
      <c r="J349" s="1">
        <v>200.68</v>
      </c>
      <c r="K349" s="1">
        <v>6.38</v>
      </c>
      <c r="L349" s="1">
        <v>0.11</v>
      </c>
      <c r="M349" s="1">
        <v>20.09</v>
      </c>
      <c r="N349" s="1">
        <v>5.41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1" cm="1">
        <f t="array" ref="U349">SUM(ABS(B349:T349))</f>
        <v>793.55000000000018</v>
      </c>
    </row>
    <row r="350" spans="1:21" x14ac:dyDescent="0.3">
      <c r="A350" s="14">
        <v>45874.614583333336</v>
      </c>
      <c r="B350" s="1">
        <v>-468.53</v>
      </c>
      <c r="C350" s="1">
        <v>-20.62</v>
      </c>
      <c r="D350" s="1">
        <v>35.99</v>
      </c>
      <c r="E350" s="1">
        <v>52.52</v>
      </c>
      <c r="F350" s="1">
        <v>0</v>
      </c>
      <c r="G350" s="1">
        <v>-22.11</v>
      </c>
      <c r="H350" s="1">
        <v>12</v>
      </c>
      <c r="I350" s="1">
        <v>0</v>
      </c>
      <c r="J350" s="1">
        <v>211.73</v>
      </c>
      <c r="K350" s="1">
        <v>6.38</v>
      </c>
      <c r="L350" s="1">
        <v>0.1</v>
      </c>
      <c r="M350" s="1">
        <v>20.079999999999998</v>
      </c>
      <c r="N350" s="1">
        <v>5.42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1" cm="1">
        <f t="array" ref="U350">SUM(ABS(B350:T350))</f>
        <v>855.48</v>
      </c>
    </row>
    <row r="351" spans="1:21" x14ac:dyDescent="0.3">
      <c r="A351" s="14">
        <v>45874.625</v>
      </c>
      <c r="B351" s="1">
        <v>-562.35</v>
      </c>
      <c r="C351" s="1">
        <v>-30.43</v>
      </c>
      <c r="D351" s="1">
        <v>35.950000000000003</v>
      </c>
      <c r="E351" s="1">
        <v>50.87</v>
      </c>
      <c r="F351" s="1">
        <v>0</v>
      </c>
      <c r="G351" s="1">
        <v>-23.76</v>
      </c>
      <c r="H351" s="1">
        <v>12</v>
      </c>
      <c r="I351" s="1">
        <v>0</v>
      </c>
      <c r="J351" s="1">
        <v>209.27</v>
      </c>
      <c r="K351" s="1">
        <v>6.37</v>
      </c>
      <c r="L351" s="1">
        <v>0.09</v>
      </c>
      <c r="M351" s="1">
        <v>20.079999999999998</v>
      </c>
      <c r="N351" s="1">
        <v>5.42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1" cm="1">
        <f t="array" ref="U351">SUM(ABS(B351:T351))</f>
        <v>956.59</v>
      </c>
    </row>
    <row r="352" spans="1:21" x14ac:dyDescent="0.3">
      <c r="A352" s="14">
        <v>45874.635416666664</v>
      </c>
      <c r="B352" s="1">
        <v>-601.79</v>
      </c>
      <c r="C352" s="1">
        <v>-40.409999999999997</v>
      </c>
      <c r="D352" s="1">
        <v>35.92</v>
      </c>
      <c r="E352" s="1">
        <v>53.14</v>
      </c>
      <c r="F352" s="1">
        <v>0</v>
      </c>
      <c r="G352" s="1">
        <v>-24</v>
      </c>
      <c r="H352" s="1">
        <v>12</v>
      </c>
      <c r="I352" s="1">
        <v>0</v>
      </c>
      <c r="J352" s="1">
        <v>214.22</v>
      </c>
      <c r="K352" s="1">
        <v>6.37</v>
      </c>
      <c r="L352" s="1">
        <v>0.09</v>
      </c>
      <c r="M352" s="1">
        <v>20.09</v>
      </c>
      <c r="N352" s="1">
        <v>5.42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1" cm="1">
        <f t="array" ref="U352">SUM(ABS(B352:T352))</f>
        <v>1013.4499999999999</v>
      </c>
    </row>
    <row r="353" spans="1:21" x14ac:dyDescent="0.3">
      <c r="A353" s="14">
        <v>45874.645833333336</v>
      </c>
      <c r="B353" s="1">
        <v>-626.33000000000004</v>
      </c>
      <c r="C353" s="1">
        <v>-40.43</v>
      </c>
      <c r="D353" s="1">
        <v>35.89</v>
      </c>
      <c r="E353" s="1">
        <v>57.04</v>
      </c>
      <c r="F353" s="1">
        <v>0</v>
      </c>
      <c r="G353" s="1">
        <v>-24.02</v>
      </c>
      <c r="H353" s="1">
        <v>12</v>
      </c>
      <c r="I353" s="1">
        <v>0</v>
      </c>
      <c r="J353" s="1">
        <v>214.03</v>
      </c>
      <c r="K353" s="1">
        <v>6.37</v>
      </c>
      <c r="L353" s="1">
        <v>0.09</v>
      </c>
      <c r="M353" s="1">
        <v>20.079999999999998</v>
      </c>
      <c r="N353" s="1">
        <v>5.42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1" cm="1">
        <f t="array" ref="U353">SUM(ABS(B353:T353))</f>
        <v>1041.7</v>
      </c>
    </row>
    <row r="354" spans="1:21" x14ac:dyDescent="0.3">
      <c r="A354" s="14">
        <v>45874.65625</v>
      </c>
      <c r="B354" s="1">
        <v>-638.13</v>
      </c>
      <c r="C354" s="1">
        <v>-40.42</v>
      </c>
      <c r="D354" s="1">
        <v>35.86</v>
      </c>
      <c r="E354" s="1">
        <v>75.08</v>
      </c>
      <c r="F354" s="1">
        <v>0</v>
      </c>
      <c r="G354" s="1">
        <v>-24.93</v>
      </c>
      <c r="H354" s="1">
        <v>12</v>
      </c>
      <c r="I354" s="1">
        <v>0</v>
      </c>
      <c r="J354" s="1">
        <v>212.83</v>
      </c>
      <c r="K354" s="1">
        <v>6.38</v>
      </c>
      <c r="L354" s="1">
        <v>0.09</v>
      </c>
      <c r="M354" s="1">
        <v>20.09</v>
      </c>
      <c r="N354" s="1">
        <v>5.42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1" cm="1">
        <f t="array" ref="U354">SUM(ABS(B354:T354))</f>
        <v>1071.23</v>
      </c>
    </row>
    <row r="355" spans="1:21" x14ac:dyDescent="0.3">
      <c r="A355" s="14">
        <v>45874.666666666664</v>
      </c>
      <c r="B355" s="1">
        <v>-598.96</v>
      </c>
      <c r="C355" s="1">
        <v>-40.42</v>
      </c>
      <c r="D355" s="1">
        <v>35.81</v>
      </c>
      <c r="E355" s="1">
        <v>82.95</v>
      </c>
      <c r="F355" s="1">
        <v>0</v>
      </c>
      <c r="G355" s="1">
        <v>-27.26</v>
      </c>
      <c r="H355" s="1">
        <v>12</v>
      </c>
      <c r="I355" s="1">
        <v>0</v>
      </c>
      <c r="J355" s="1">
        <v>214.63</v>
      </c>
      <c r="K355" s="1">
        <v>6.38</v>
      </c>
      <c r="L355" s="1">
        <v>0.09</v>
      </c>
      <c r="M355" s="1">
        <v>20.079999999999998</v>
      </c>
      <c r="N355" s="1">
        <v>5.42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1" cm="1">
        <f t="array" ref="U355">SUM(ABS(B355:T355))</f>
        <v>1044.0000000000002</v>
      </c>
    </row>
    <row r="356" spans="1:21" x14ac:dyDescent="0.3">
      <c r="A356" s="14">
        <v>45874.677083333336</v>
      </c>
      <c r="B356" s="1">
        <v>-530.49</v>
      </c>
      <c r="C356" s="1">
        <v>-40.43</v>
      </c>
      <c r="D356" s="1">
        <v>35.75</v>
      </c>
      <c r="E356" s="1">
        <v>113.85</v>
      </c>
      <c r="F356" s="1">
        <v>0</v>
      </c>
      <c r="G356" s="1">
        <v>-28.24</v>
      </c>
      <c r="H356" s="1">
        <v>12</v>
      </c>
      <c r="I356" s="1">
        <v>0</v>
      </c>
      <c r="J356" s="1">
        <v>214.18</v>
      </c>
      <c r="K356" s="1">
        <v>6.39</v>
      </c>
      <c r="L356" s="1">
        <v>0.1</v>
      </c>
      <c r="M356" s="1">
        <v>20.09</v>
      </c>
      <c r="N356" s="1">
        <v>5.42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1" cm="1">
        <f t="array" ref="U356">SUM(ABS(B356:T356))</f>
        <v>1006.94</v>
      </c>
    </row>
    <row r="357" spans="1:21" x14ac:dyDescent="0.3">
      <c r="A357" s="14">
        <v>45874.6875</v>
      </c>
      <c r="B357" s="1">
        <v>-410.87</v>
      </c>
      <c r="C357" s="1">
        <v>-40.369999999999997</v>
      </c>
      <c r="D357" s="1">
        <v>35.74</v>
      </c>
      <c r="E357" s="1">
        <v>124.9</v>
      </c>
      <c r="F357" s="1">
        <v>0</v>
      </c>
      <c r="G357" s="1">
        <v>-27.86</v>
      </c>
      <c r="H357" s="1">
        <v>12</v>
      </c>
      <c r="I357" s="1">
        <v>0</v>
      </c>
      <c r="J357" s="1">
        <v>209.47</v>
      </c>
      <c r="K357" s="1">
        <v>6.39</v>
      </c>
      <c r="L357" s="1">
        <v>0.11</v>
      </c>
      <c r="M357" s="1">
        <v>20.09</v>
      </c>
      <c r="N357" s="1">
        <v>5.42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1" cm="1">
        <f t="array" ref="U357">SUM(ABS(B357:T357))</f>
        <v>893.22</v>
      </c>
    </row>
    <row r="358" spans="1:21" x14ac:dyDescent="0.3">
      <c r="A358" s="14">
        <v>45874.697916666664</v>
      </c>
      <c r="B358" s="1">
        <v>-539.33000000000004</v>
      </c>
      <c r="C358" s="1">
        <v>-40.36</v>
      </c>
      <c r="D358" s="1">
        <v>35.700000000000003</v>
      </c>
      <c r="E358" s="1">
        <v>125.13</v>
      </c>
      <c r="F358" s="1">
        <v>0</v>
      </c>
      <c r="G358" s="1">
        <v>-27.07</v>
      </c>
      <c r="H358" s="1">
        <v>12</v>
      </c>
      <c r="I358" s="1">
        <v>0</v>
      </c>
      <c r="J358" s="1">
        <v>214</v>
      </c>
      <c r="K358" s="1">
        <v>6.38</v>
      </c>
      <c r="L358" s="1">
        <v>0.09</v>
      </c>
      <c r="M358" s="1">
        <v>20.079999999999998</v>
      </c>
      <c r="N358" s="1">
        <v>5.42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1" cm="1">
        <f t="array" ref="U358">SUM(ABS(B358:T358))</f>
        <v>1025.5600000000002</v>
      </c>
    </row>
    <row r="359" spans="1:21" x14ac:dyDescent="0.3">
      <c r="A359" s="14">
        <v>45874.708333333336</v>
      </c>
      <c r="B359" s="1">
        <v>-549.47</v>
      </c>
      <c r="C359" s="1">
        <v>-40.340000000000003</v>
      </c>
      <c r="D359" s="1">
        <v>35.67</v>
      </c>
      <c r="E359" s="1">
        <v>105.17</v>
      </c>
      <c r="F359" s="1">
        <v>0</v>
      </c>
      <c r="G359" s="1">
        <v>-27.74</v>
      </c>
      <c r="H359" s="1">
        <v>12</v>
      </c>
      <c r="I359" s="1">
        <v>0</v>
      </c>
      <c r="J359" s="1">
        <v>208.48</v>
      </c>
      <c r="K359" s="1">
        <v>6.38</v>
      </c>
      <c r="L359" s="1">
        <v>0.09</v>
      </c>
      <c r="M359" s="1">
        <v>20.100000000000001</v>
      </c>
      <c r="N359" s="1">
        <v>5.42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1" cm="1">
        <f t="array" ref="U359">SUM(ABS(B359:T359))</f>
        <v>1010.86</v>
      </c>
    </row>
    <row r="360" spans="1:21" x14ac:dyDescent="0.3">
      <c r="A360" s="14">
        <v>45874.71875</v>
      </c>
      <c r="B360" s="1">
        <v>-692.09</v>
      </c>
      <c r="C360" s="1">
        <v>-40.479999999999997</v>
      </c>
      <c r="D360" s="1">
        <v>35.69</v>
      </c>
      <c r="E360" s="1">
        <v>109.29</v>
      </c>
      <c r="F360" s="1">
        <v>0</v>
      </c>
      <c r="G360" s="1">
        <v>-29.35</v>
      </c>
      <c r="H360" s="1">
        <v>12</v>
      </c>
      <c r="I360" s="1">
        <v>0</v>
      </c>
      <c r="J360" s="1">
        <v>222.74</v>
      </c>
      <c r="K360" s="1">
        <v>6.4</v>
      </c>
      <c r="L360" s="1">
        <v>7.0000000000000007E-2</v>
      </c>
      <c r="M360" s="1">
        <v>20.09</v>
      </c>
      <c r="N360" s="1">
        <v>5.43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1" cm="1">
        <f t="array" ref="U360">SUM(ABS(B360:T360))</f>
        <v>1173.6299999999999</v>
      </c>
    </row>
    <row r="361" spans="1:21" x14ac:dyDescent="0.3">
      <c r="A361" s="14">
        <v>45874.729166666664</v>
      </c>
      <c r="B361" s="1">
        <v>-736.77</v>
      </c>
      <c r="C361" s="1">
        <v>-48.25</v>
      </c>
      <c r="D361" s="1">
        <v>35.68</v>
      </c>
      <c r="E361" s="1">
        <v>113.39</v>
      </c>
      <c r="F361" s="1">
        <v>0</v>
      </c>
      <c r="G361" s="1">
        <v>-29.55</v>
      </c>
      <c r="H361" s="1">
        <v>12</v>
      </c>
      <c r="I361" s="1">
        <v>0</v>
      </c>
      <c r="J361" s="1">
        <v>252.81</v>
      </c>
      <c r="K361" s="1">
        <v>6.4</v>
      </c>
      <c r="L361" s="1">
        <v>7.0000000000000007E-2</v>
      </c>
      <c r="M361" s="1">
        <v>20.079999999999998</v>
      </c>
      <c r="N361" s="1">
        <v>5.88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1" cm="1">
        <f t="array" ref="U361">SUM(ABS(B361:T361))</f>
        <v>1260.8799999999999</v>
      </c>
    </row>
    <row r="362" spans="1:21" x14ac:dyDescent="0.3">
      <c r="A362" s="14">
        <v>45874.739583333336</v>
      </c>
      <c r="B362" s="1">
        <v>-723.48</v>
      </c>
      <c r="C362" s="1">
        <v>-54.73</v>
      </c>
      <c r="D362" s="1">
        <v>35.619999999999997</v>
      </c>
      <c r="E362" s="1">
        <v>103.17</v>
      </c>
      <c r="F362" s="1">
        <v>0</v>
      </c>
      <c r="G362" s="1">
        <v>-28.15</v>
      </c>
      <c r="H362" s="1">
        <v>12</v>
      </c>
      <c r="I362" s="1">
        <v>0</v>
      </c>
      <c r="J362" s="1">
        <v>272.95999999999998</v>
      </c>
      <c r="K362" s="1">
        <v>6.39</v>
      </c>
      <c r="L362" s="1">
        <v>7.0000000000000007E-2</v>
      </c>
      <c r="M362" s="1">
        <v>20.079999999999998</v>
      </c>
      <c r="N362" s="1">
        <v>10.01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1" cm="1">
        <f t="array" ref="U362">SUM(ABS(B362:T362))</f>
        <v>1266.6599999999999</v>
      </c>
    </row>
    <row r="363" spans="1:21" x14ac:dyDescent="0.3">
      <c r="A363" s="14">
        <v>45874.75</v>
      </c>
      <c r="B363" s="1">
        <v>-661.29</v>
      </c>
      <c r="C363" s="1">
        <v>-54.72</v>
      </c>
      <c r="D363" s="1">
        <v>35.64</v>
      </c>
      <c r="E363" s="1">
        <v>99</v>
      </c>
      <c r="F363" s="1">
        <v>0</v>
      </c>
      <c r="G363" s="1">
        <v>-28.35</v>
      </c>
      <c r="H363" s="1">
        <v>12</v>
      </c>
      <c r="I363" s="1">
        <v>0</v>
      </c>
      <c r="J363" s="1">
        <v>268.18</v>
      </c>
      <c r="K363" s="1">
        <v>6.39</v>
      </c>
      <c r="L363" s="1">
        <v>0.08</v>
      </c>
      <c r="M363" s="1">
        <v>20.09</v>
      </c>
      <c r="N363" s="1">
        <v>10.02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1" cm="1">
        <f t="array" ref="U363">SUM(ABS(B363:T363))</f>
        <v>1195.76</v>
      </c>
    </row>
    <row r="364" spans="1:21" x14ac:dyDescent="0.3">
      <c r="A364" s="14">
        <v>45874.760416666664</v>
      </c>
      <c r="B364" s="1">
        <v>-682.53</v>
      </c>
      <c r="C364" s="1">
        <v>-54.74</v>
      </c>
      <c r="D364" s="1">
        <v>35.659999999999997</v>
      </c>
      <c r="E364" s="1">
        <v>103.01</v>
      </c>
      <c r="F364" s="1">
        <v>0</v>
      </c>
      <c r="G364" s="1">
        <v>-28.89</v>
      </c>
      <c r="H364" s="1">
        <v>26.67</v>
      </c>
      <c r="I364" s="1">
        <v>0</v>
      </c>
      <c r="J364" s="1">
        <v>272.36</v>
      </c>
      <c r="K364" s="1">
        <v>7.25</v>
      </c>
      <c r="L364" s="1">
        <v>0.08</v>
      </c>
      <c r="M364" s="1">
        <v>20.100000000000001</v>
      </c>
      <c r="N364" s="1">
        <v>10.02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1" cm="1">
        <f t="array" ref="U364">SUM(ABS(B364:T364))</f>
        <v>1241.3099999999997</v>
      </c>
    </row>
    <row r="365" spans="1:21" x14ac:dyDescent="0.3">
      <c r="A365" s="14">
        <v>45874.770833333336</v>
      </c>
      <c r="B365" s="1">
        <v>-731.8</v>
      </c>
      <c r="C365" s="1">
        <v>-54.75</v>
      </c>
      <c r="D365" s="1">
        <v>35.729999999999997</v>
      </c>
      <c r="E365" s="1">
        <v>164.82</v>
      </c>
      <c r="F365" s="1">
        <v>5.7</v>
      </c>
      <c r="G365" s="1">
        <v>-29.29</v>
      </c>
      <c r="H365" s="1">
        <v>63.93</v>
      </c>
      <c r="I365" s="1">
        <v>0</v>
      </c>
      <c r="J365" s="1">
        <v>272.02</v>
      </c>
      <c r="K365" s="1">
        <v>28.06</v>
      </c>
      <c r="L365" s="1">
        <v>0.04</v>
      </c>
      <c r="M365" s="1">
        <v>41.18</v>
      </c>
      <c r="N365" s="1">
        <v>10.029999999999999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1" cm="1">
        <f t="array" ref="U365">SUM(ABS(B365:T365))</f>
        <v>1437.35</v>
      </c>
    </row>
    <row r="366" spans="1:21" x14ac:dyDescent="0.3">
      <c r="A366" s="14">
        <v>45874.78125</v>
      </c>
      <c r="B366" s="1">
        <v>-725.07</v>
      </c>
      <c r="C366" s="1">
        <v>-54.75</v>
      </c>
      <c r="D366" s="1">
        <v>35.729999999999997</v>
      </c>
      <c r="E366" s="1">
        <v>166.17</v>
      </c>
      <c r="F366" s="1">
        <v>53.56</v>
      </c>
      <c r="G366" s="1">
        <v>-29.2</v>
      </c>
      <c r="H366" s="1">
        <v>66.400000000000006</v>
      </c>
      <c r="I366" s="1">
        <v>0</v>
      </c>
      <c r="J366" s="1">
        <v>272.06</v>
      </c>
      <c r="K366" s="1">
        <v>40.409999999999997</v>
      </c>
      <c r="L366" s="1">
        <v>0.02</v>
      </c>
      <c r="M366" s="1">
        <v>54.23</v>
      </c>
      <c r="N366" s="1">
        <v>10.02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1" cm="1">
        <f t="array" ref="U366">SUM(ABS(B366:T366))</f>
        <v>1507.6200000000001</v>
      </c>
    </row>
    <row r="367" spans="1:21" x14ac:dyDescent="0.3">
      <c r="A367" s="14">
        <v>45874.791666666664</v>
      </c>
      <c r="B367" s="1">
        <v>-736.58</v>
      </c>
      <c r="C367" s="1">
        <v>-54.79</v>
      </c>
      <c r="D367" s="1">
        <v>35.78</v>
      </c>
      <c r="E367" s="1">
        <v>168.14</v>
      </c>
      <c r="F367" s="1">
        <v>56.14</v>
      </c>
      <c r="G367" s="1">
        <v>-29.56</v>
      </c>
      <c r="H367" s="1">
        <v>66.400000000000006</v>
      </c>
      <c r="I367" s="1">
        <v>0</v>
      </c>
      <c r="J367" s="1">
        <v>272.86</v>
      </c>
      <c r="K367" s="1">
        <v>50.41</v>
      </c>
      <c r="L367" s="1">
        <v>0.01</v>
      </c>
      <c r="M367" s="1">
        <v>54.22</v>
      </c>
      <c r="N367" s="1">
        <v>10.02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1" cm="1">
        <f t="array" ref="U367">SUM(ABS(B367:T367))</f>
        <v>1534.91</v>
      </c>
    </row>
    <row r="368" spans="1:21" x14ac:dyDescent="0.3">
      <c r="A368" s="14">
        <v>45874.802083333336</v>
      </c>
      <c r="B368" s="1">
        <v>-738.8</v>
      </c>
      <c r="C368" s="1">
        <v>-54.8</v>
      </c>
      <c r="D368" s="1">
        <v>35.78</v>
      </c>
      <c r="E368" s="1">
        <v>168.99</v>
      </c>
      <c r="F368" s="1">
        <v>56.06</v>
      </c>
      <c r="G368" s="1">
        <v>-29.82</v>
      </c>
      <c r="H368" s="1">
        <v>66.38</v>
      </c>
      <c r="I368" s="1">
        <v>0</v>
      </c>
      <c r="J368" s="1">
        <v>273.01</v>
      </c>
      <c r="K368" s="1">
        <v>50.45</v>
      </c>
      <c r="L368" s="1">
        <v>0.02</v>
      </c>
      <c r="M368" s="1">
        <v>54.22</v>
      </c>
      <c r="N368" s="1">
        <v>10.02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1" cm="1">
        <f t="array" ref="U368">SUM(ABS(B368:T368))</f>
        <v>1538.3499999999997</v>
      </c>
    </row>
    <row r="369" spans="1:21" x14ac:dyDescent="0.3">
      <c r="A369" s="14">
        <v>45874.8125</v>
      </c>
      <c r="B369" s="1">
        <v>-732.66</v>
      </c>
      <c r="C369" s="1">
        <v>-54.78</v>
      </c>
      <c r="D369" s="1">
        <v>35.76</v>
      </c>
      <c r="E369" s="1">
        <v>166.46</v>
      </c>
      <c r="F369" s="1">
        <v>56.05</v>
      </c>
      <c r="G369" s="1">
        <v>-29.6</v>
      </c>
      <c r="H369" s="1">
        <v>66.36</v>
      </c>
      <c r="I369" s="1">
        <v>0</v>
      </c>
      <c r="J369" s="1">
        <v>272.51</v>
      </c>
      <c r="K369" s="1">
        <v>50.4</v>
      </c>
      <c r="L369" s="1">
        <v>0.01</v>
      </c>
      <c r="M369" s="1">
        <v>54.21</v>
      </c>
      <c r="N369" s="1">
        <v>10.01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1" cm="1">
        <f t="array" ref="U369">SUM(ABS(B369:T369))</f>
        <v>1528.81</v>
      </c>
    </row>
    <row r="370" spans="1:21" x14ac:dyDescent="0.3">
      <c r="A370" s="14">
        <v>45874.822916666664</v>
      </c>
      <c r="B370" s="1">
        <v>-723.82</v>
      </c>
      <c r="C370" s="1">
        <v>-54.78</v>
      </c>
      <c r="D370" s="1">
        <v>35.75</v>
      </c>
      <c r="E370" s="1">
        <v>165.58</v>
      </c>
      <c r="F370" s="1">
        <v>55.98</v>
      </c>
      <c r="G370" s="1">
        <v>-29.09</v>
      </c>
      <c r="H370" s="1">
        <v>66.34</v>
      </c>
      <c r="I370" s="1">
        <v>0</v>
      </c>
      <c r="J370" s="1">
        <v>271.73</v>
      </c>
      <c r="K370" s="1">
        <v>50.37</v>
      </c>
      <c r="L370" s="1">
        <v>0.01</v>
      </c>
      <c r="M370" s="1">
        <v>54.21</v>
      </c>
      <c r="N370" s="1">
        <v>10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1" cm="1">
        <f t="array" ref="U370">SUM(ABS(B370:T370))</f>
        <v>1517.6599999999999</v>
      </c>
    </row>
    <row r="371" spans="1:21" x14ac:dyDescent="0.3">
      <c r="A371" s="14">
        <v>45874.833333333336</v>
      </c>
      <c r="B371" s="1">
        <v>-499.96</v>
      </c>
      <c r="C371" s="1">
        <v>-54.75</v>
      </c>
      <c r="D371" s="1">
        <v>35.770000000000003</v>
      </c>
      <c r="E371" s="1">
        <v>165.49</v>
      </c>
      <c r="F371" s="1">
        <v>85.33</v>
      </c>
      <c r="G371" s="1">
        <v>-28.93</v>
      </c>
      <c r="H371" s="1">
        <v>66.34</v>
      </c>
      <c r="I371" s="1">
        <v>0</v>
      </c>
      <c r="J371" s="1">
        <v>270.39999999999998</v>
      </c>
      <c r="K371" s="1">
        <v>50.39</v>
      </c>
      <c r="L371" s="1">
        <v>0.02</v>
      </c>
      <c r="M371" s="1">
        <v>54.23</v>
      </c>
      <c r="N371" s="1">
        <v>10.02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1" cm="1">
        <f t="array" ref="U371">SUM(ABS(B371:T371))</f>
        <v>1321.63</v>
      </c>
    </row>
    <row r="372" spans="1:21" x14ac:dyDescent="0.3">
      <c r="A372" s="14">
        <v>45874.84375</v>
      </c>
      <c r="B372" s="1">
        <v>-452.44</v>
      </c>
      <c r="C372" s="1">
        <v>-54.76</v>
      </c>
      <c r="D372" s="1">
        <v>35.770000000000003</v>
      </c>
      <c r="E372" s="1">
        <v>166.09</v>
      </c>
      <c r="F372" s="1">
        <v>92.6</v>
      </c>
      <c r="G372" s="1">
        <v>-29.01</v>
      </c>
      <c r="H372" s="1">
        <v>66.33</v>
      </c>
      <c r="I372" s="1">
        <v>0</v>
      </c>
      <c r="J372" s="1">
        <v>271.2</v>
      </c>
      <c r="K372" s="1">
        <v>50.38</v>
      </c>
      <c r="L372" s="1">
        <v>0.03</v>
      </c>
      <c r="M372" s="1">
        <v>54.23</v>
      </c>
      <c r="N372" s="1">
        <v>10.01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1" cm="1">
        <f t="array" ref="U372">SUM(ABS(B372:T372))</f>
        <v>1282.8500000000001</v>
      </c>
    </row>
    <row r="373" spans="1:21" x14ac:dyDescent="0.3">
      <c r="A373" s="14">
        <v>45874.854166666664</v>
      </c>
      <c r="B373" s="1">
        <v>-461.94</v>
      </c>
      <c r="C373" s="1">
        <v>-54.74</v>
      </c>
      <c r="D373" s="1">
        <v>35.81</v>
      </c>
      <c r="E373" s="1">
        <v>166.9</v>
      </c>
      <c r="F373" s="1">
        <v>92.55</v>
      </c>
      <c r="G373" s="1">
        <v>-29.12</v>
      </c>
      <c r="H373" s="1">
        <v>66.319999999999993</v>
      </c>
      <c r="I373" s="1">
        <v>0</v>
      </c>
      <c r="J373" s="1">
        <v>272.19</v>
      </c>
      <c r="K373" s="1">
        <v>50.35</v>
      </c>
      <c r="L373" s="1">
        <v>0.02</v>
      </c>
      <c r="M373" s="1">
        <v>54.22</v>
      </c>
      <c r="N373" s="1">
        <v>10.02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1" cm="1">
        <f t="array" ref="U373">SUM(ABS(B373:T373))</f>
        <v>1294.1799999999998</v>
      </c>
    </row>
    <row r="374" spans="1:21" x14ac:dyDescent="0.3">
      <c r="A374" s="14">
        <v>45874.864583333336</v>
      </c>
      <c r="B374" s="1">
        <v>-455.8</v>
      </c>
      <c r="C374" s="1">
        <v>-54.76</v>
      </c>
      <c r="D374" s="1">
        <v>35.799999999999997</v>
      </c>
      <c r="E374" s="1">
        <v>166.25</v>
      </c>
      <c r="F374" s="1">
        <v>92.43</v>
      </c>
      <c r="G374" s="1">
        <v>-29.03</v>
      </c>
      <c r="H374" s="1">
        <v>66.31</v>
      </c>
      <c r="I374" s="1">
        <v>0</v>
      </c>
      <c r="J374" s="1">
        <v>271.39999999999998</v>
      </c>
      <c r="K374" s="1">
        <v>50.36</v>
      </c>
      <c r="L374" s="1">
        <v>0.02</v>
      </c>
      <c r="M374" s="1">
        <v>54.23</v>
      </c>
      <c r="N374" s="1">
        <v>10.01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1" cm="1">
        <f t="array" ref="U374">SUM(ABS(B374:T374))</f>
        <v>1286.3999999999996</v>
      </c>
    </row>
    <row r="375" spans="1:21" x14ac:dyDescent="0.3">
      <c r="A375" s="14">
        <v>45874.875</v>
      </c>
      <c r="B375" s="1">
        <v>-445.8</v>
      </c>
      <c r="C375" s="1">
        <v>-54.74</v>
      </c>
      <c r="D375" s="1">
        <v>35.81</v>
      </c>
      <c r="E375" s="1">
        <v>165.09</v>
      </c>
      <c r="F375" s="1">
        <v>92.02</v>
      </c>
      <c r="G375" s="1">
        <v>-28.88</v>
      </c>
      <c r="H375" s="1">
        <v>66.31</v>
      </c>
      <c r="I375" s="1">
        <v>0</v>
      </c>
      <c r="J375" s="1">
        <v>269.42</v>
      </c>
      <c r="K375" s="1">
        <v>50.36</v>
      </c>
      <c r="L375" s="1">
        <v>0.03</v>
      </c>
      <c r="M375" s="1">
        <v>54.23</v>
      </c>
      <c r="N375" s="1">
        <v>10.01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1" cm="1">
        <f t="array" ref="U375">SUM(ABS(B375:T375))</f>
        <v>1272.7</v>
      </c>
    </row>
    <row r="376" spans="1:21" x14ac:dyDescent="0.3">
      <c r="A376" s="14">
        <v>45874.885416666664</v>
      </c>
      <c r="B376" s="1">
        <v>-444.32</v>
      </c>
      <c r="C376" s="1">
        <v>-54.77</v>
      </c>
      <c r="D376" s="1">
        <v>35.85</v>
      </c>
      <c r="E376" s="1">
        <v>164.99</v>
      </c>
      <c r="F376" s="1">
        <v>91.73</v>
      </c>
      <c r="G376" s="1">
        <v>-28.87</v>
      </c>
      <c r="H376" s="1">
        <v>66.290000000000006</v>
      </c>
      <c r="I376" s="1">
        <v>0</v>
      </c>
      <c r="J376" s="1">
        <v>269.57</v>
      </c>
      <c r="K376" s="1">
        <v>50.35</v>
      </c>
      <c r="L376" s="1">
        <v>0.03</v>
      </c>
      <c r="M376" s="1">
        <v>54.23</v>
      </c>
      <c r="N376" s="1">
        <v>10.01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1" cm="1">
        <f t="array" ref="U376">SUM(ABS(B376:T376))</f>
        <v>1271.0099999999998</v>
      </c>
    </row>
    <row r="377" spans="1:21" x14ac:dyDescent="0.3">
      <c r="A377" s="14">
        <v>45874.895833333336</v>
      </c>
      <c r="B377" s="1">
        <v>-557.49</v>
      </c>
      <c r="C377" s="1">
        <v>-54.76</v>
      </c>
      <c r="D377" s="1">
        <v>35.86</v>
      </c>
      <c r="E377" s="1">
        <v>166.02</v>
      </c>
      <c r="F377" s="1">
        <v>91.9</v>
      </c>
      <c r="G377" s="1">
        <v>-28.98</v>
      </c>
      <c r="H377" s="1">
        <v>66.31</v>
      </c>
      <c r="I377" s="1">
        <v>0</v>
      </c>
      <c r="J377" s="1">
        <v>271.33</v>
      </c>
      <c r="K377" s="1">
        <v>50.35</v>
      </c>
      <c r="L377" s="1">
        <v>0.02</v>
      </c>
      <c r="M377" s="1">
        <v>54.24</v>
      </c>
      <c r="N377" s="1">
        <v>10.01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1" cm="1">
        <f t="array" ref="U377">SUM(ABS(B377:T377))</f>
        <v>1387.2699999999998</v>
      </c>
    </row>
    <row r="378" spans="1:21" x14ac:dyDescent="0.3">
      <c r="A378" s="14">
        <v>45874.90625</v>
      </c>
      <c r="B378" s="1">
        <v>-615.28</v>
      </c>
      <c r="C378" s="1">
        <v>-54.76</v>
      </c>
      <c r="D378" s="1">
        <v>35.880000000000003</v>
      </c>
      <c r="E378" s="1">
        <v>166.65</v>
      </c>
      <c r="F378" s="1">
        <v>91.83</v>
      </c>
      <c r="G378" s="1">
        <v>-29.12</v>
      </c>
      <c r="H378" s="1">
        <v>66.290000000000006</v>
      </c>
      <c r="I378" s="1">
        <v>0</v>
      </c>
      <c r="J378" s="1">
        <v>272.45999999999998</v>
      </c>
      <c r="K378" s="1">
        <v>50.36</v>
      </c>
      <c r="L378" s="1">
        <v>0.01</v>
      </c>
      <c r="M378" s="1">
        <v>54.23</v>
      </c>
      <c r="N378" s="1">
        <v>10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1" cm="1">
        <f t="array" ref="U378">SUM(ABS(B378:T378))</f>
        <v>1446.87</v>
      </c>
    </row>
    <row r="379" spans="1:21" x14ac:dyDescent="0.3">
      <c r="A379" s="14">
        <v>45874.916666666664</v>
      </c>
      <c r="B379" s="1">
        <v>-621.09</v>
      </c>
      <c r="C379" s="1">
        <v>-54.76</v>
      </c>
      <c r="D379" s="1">
        <v>35.89</v>
      </c>
      <c r="E379" s="1">
        <v>166.76</v>
      </c>
      <c r="F379" s="1">
        <v>91.8</v>
      </c>
      <c r="G379" s="1">
        <v>-29.2</v>
      </c>
      <c r="H379" s="1">
        <v>66.3</v>
      </c>
      <c r="I379" s="1">
        <v>0</v>
      </c>
      <c r="J379" s="1">
        <v>271.73</v>
      </c>
      <c r="K379" s="1">
        <v>50.39</v>
      </c>
      <c r="L379" s="1">
        <v>0.01</v>
      </c>
      <c r="M379" s="1">
        <v>54.24</v>
      </c>
      <c r="N379" s="1">
        <v>10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1" cm="1">
        <f t="array" ref="U379">SUM(ABS(B379:T379))</f>
        <v>1452.17</v>
      </c>
    </row>
    <row r="380" spans="1:21" x14ac:dyDescent="0.3">
      <c r="A380" s="14">
        <v>45874.927083333336</v>
      </c>
      <c r="B380" s="1">
        <v>-722.78</v>
      </c>
      <c r="C380" s="1">
        <v>-54.8</v>
      </c>
      <c r="D380" s="1">
        <v>35.93</v>
      </c>
      <c r="E380" s="1">
        <v>167.8</v>
      </c>
      <c r="F380" s="1">
        <v>91.74</v>
      </c>
      <c r="G380" s="1">
        <v>-29.46</v>
      </c>
      <c r="H380" s="1">
        <v>66.3</v>
      </c>
      <c r="I380" s="1">
        <v>0</v>
      </c>
      <c r="J380" s="1">
        <v>272.64999999999998</v>
      </c>
      <c r="K380" s="1">
        <v>50.62</v>
      </c>
      <c r="L380" s="1">
        <v>0</v>
      </c>
      <c r="M380" s="1">
        <v>54.22</v>
      </c>
      <c r="N380" s="1">
        <v>10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1" cm="1">
        <f t="array" ref="U380">SUM(ABS(B380:T380))</f>
        <v>1556.3</v>
      </c>
    </row>
    <row r="381" spans="1:21" x14ac:dyDescent="0.3">
      <c r="A381" s="14">
        <v>45874.9375</v>
      </c>
      <c r="B381" s="1">
        <v>-738.3</v>
      </c>
      <c r="C381" s="1">
        <v>-54.8</v>
      </c>
      <c r="D381" s="1">
        <v>35.96</v>
      </c>
      <c r="E381" s="1">
        <v>168.48</v>
      </c>
      <c r="F381" s="1">
        <v>110.17</v>
      </c>
      <c r="G381" s="1">
        <v>-29.84</v>
      </c>
      <c r="H381" s="1">
        <v>66.3</v>
      </c>
      <c r="I381" s="1">
        <v>0</v>
      </c>
      <c r="J381" s="1">
        <v>272.64</v>
      </c>
      <c r="K381" s="1">
        <v>50.62</v>
      </c>
      <c r="L381" s="1">
        <v>-0.01</v>
      </c>
      <c r="M381" s="1">
        <v>54.23</v>
      </c>
      <c r="N381" s="1">
        <v>10.01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1" cm="1">
        <f t="array" ref="U381">SUM(ABS(B381:T381))</f>
        <v>1591.3599999999997</v>
      </c>
    </row>
    <row r="382" spans="1:21" x14ac:dyDescent="0.3">
      <c r="A382" s="14">
        <v>45874.947916666664</v>
      </c>
      <c r="B382" s="1">
        <v>-730.57</v>
      </c>
      <c r="C382" s="1">
        <v>-54.81</v>
      </c>
      <c r="D382" s="1">
        <v>35.93</v>
      </c>
      <c r="E382" s="1">
        <v>166.36</v>
      </c>
      <c r="F382" s="1">
        <v>115.1</v>
      </c>
      <c r="G382" s="1">
        <v>-29.71</v>
      </c>
      <c r="H382" s="1">
        <v>66.3</v>
      </c>
      <c r="I382" s="1">
        <v>0</v>
      </c>
      <c r="J382" s="1">
        <v>272.49</v>
      </c>
      <c r="K382" s="1">
        <v>50.6</v>
      </c>
      <c r="L382" s="1">
        <v>-0.01</v>
      </c>
      <c r="M382" s="1">
        <v>54.22</v>
      </c>
      <c r="N382" s="1">
        <v>9.99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1" cm="1">
        <f t="array" ref="U382">SUM(ABS(B382:T382))</f>
        <v>1586.09</v>
      </c>
    </row>
    <row r="383" spans="1:21" x14ac:dyDescent="0.3">
      <c r="A383" s="14">
        <v>45874.958333333336</v>
      </c>
      <c r="B383" s="1">
        <v>-735.16</v>
      </c>
      <c r="C383" s="1">
        <v>-54.78</v>
      </c>
      <c r="D383" s="1">
        <v>35.880000000000003</v>
      </c>
      <c r="E383" s="1">
        <v>165.88</v>
      </c>
      <c r="F383" s="1">
        <v>114.95</v>
      </c>
      <c r="G383" s="1">
        <v>-29.38</v>
      </c>
      <c r="H383" s="1">
        <v>66.3</v>
      </c>
      <c r="I383" s="1">
        <v>0</v>
      </c>
      <c r="J383" s="1">
        <v>272.55</v>
      </c>
      <c r="K383" s="1">
        <v>50.59</v>
      </c>
      <c r="L383" s="1">
        <v>-0.02</v>
      </c>
      <c r="M383" s="1">
        <v>54.22</v>
      </c>
      <c r="N383" s="1">
        <v>9.99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1" cm="1">
        <f t="array" ref="U383">SUM(ABS(B383:T383))</f>
        <v>1589.6999999999998</v>
      </c>
    </row>
    <row r="384" spans="1:21" x14ac:dyDescent="0.3">
      <c r="A384" s="14">
        <v>45874.96875</v>
      </c>
      <c r="B384" s="1">
        <v>-734.55</v>
      </c>
      <c r="C384" s="1">
        <v>-54.76</v>
      </c>
      <c r="D384" s="1">
        <v>35.89</v>
      </c>
      <c r="E384" s="1">
        <v>165.79</v>
      </c>
      <c r="F384" s="1">
        <v>114.82</v>
      </c>
      <c r="G384" s="1">
        <v>-29.28</v>
      </c>
      <c r="H384" s="1">
        <v>66.290000000000006</v>
      </c>
      <c r="I384" s="1">
        <v>0</v>
      </c>
      <c r="J384" s="1">
        <v>272.63</v>
      </c>
      <c r="K384" s="1">
        <v>50.61</v>
      </c>
      <c r="L384" s="1">
        <v>-0.01</v>
      </c>
      <c r="M384" s="1">
        <v>54.22</v>
      </c>
      <c r="N384" s="1">
        <v>9.99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1" cm="1">
        <f t="array" ref="U384">SUM(ABS(B384:T384))</f>
        <v>1588.8399999999997</v>
      </c>
    </row>
    <row r="385" spans="1:21" x14ac:dyDescent="0.3">
      <c r="A385" s="14">
        <v>45874.979166666664</v>
      </c>
      <c r="B385" s="1">
        <v>-738.45</v>
      </c>
      <c r="C385" s="1">
        <v>-54.76</v>
      </c>
      <c r="D385" s="1">
        <v>35.909999999999997</v>
      </c>
      <c r="E385" s="1">
        <v>165.91</v>
      </c>
      <c r="F385" s="1">
        <v>114.68</v>
      </c>
      <c r="G385" s="1">
        <v>-29.25</v>
      </c>
      <c r="H385" s="1">
        <v>66.28</v>
      </c>
      <c r="I385" s="1">
        <v>0</v>
      </c>
      <c r="J385" s="1">
        <v>272.55</v>
      </c>
      <c r="K385" s="1">
        <v>50.61</v>
      </c>
      <c r="L385" s="1">
        <v>-0.02</v>
      </c>
      <c r="M385" s="1">
        <v>54.23</v>
      </c>
      <c r="N385" s="1">
        <v>10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1" cm="1">
        <f t="array" ref="U385">SUM(ABS(B385:T385))</f>
        <v>1592.6499999999999</v>
      </c>
    </row>
    <row r="386" spans="1:21" x14ac:dyDescent="0.3">
      <c r="A386" s="14">
        <v>45874.989583333336</v>
      </c>
      <c r="B386" s="1">
        <v>-738.87</v>
      </c>
      <c r="C386" s="1">
        <v>-54.76</v>
      </c>
      <c r="D386" s="1">
        <v>35.93</v>
      </c>
      <c r="E386" s="1">
        <v>167.39</v>
      </c>
      <c r="F386" s="1">
        <v>114.61</v>
      </c>
      <c r="G386" s="1">
        <v>-29.43</v>
      </c>
      <c r="H386" s="1">
        <v>66.28</v>
      </c>
      <c r="I386" s="1">
        <v>0</v>
      </c>
      <c r="J386" s="1">
        <v>272.66000000000003</v>
      </c>
      <c r="K386" s="1">
        <v>50.63</v>
      </c>
      <c r="L386" s="1">
        <v>-14.48</v>
      </c>
      <c r="M386" s="1">
        <v>54.22</v>
      </c>
      <c r="N386" s="1">
        <v>9.99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1" cm="1">
        <f t="array" ref="U386">SUM(ABS(B386:T386))</f>
        <v>1609.2500000000002</v>
      </c>
    </row>
    <row r="387" spans="1:21" x14ac:dyDescent="0.3">
      <c r="A387" s="14">
        <v>45905</v>
      </c>
      <c r="B387" s="1">
        <v>-738.14</v>
      </c>
      <c r="C387" s="1">
        <v>-54.78</v>
      </c>
      <c r="D387" s="1">
        <v>35.950000000000003</v>
      </c>
      <c r="E387" s="1">
        <v>168.12</v>
      </c>
      <c r="F387" s="1">
        <v>114.51</v>
      </c>
      <c r="G387" s="1">
        <v>-29.56</v>
      </c>
      <c r="H387" s="1">
        <v>66.28</v>
      </c>
      <c r="I387" s="1">
        <v>0</v>
      </c>
      <c r="J387" s="1">
        <v>272.57</v>
      </c>
      <c r="K387" s="1">
        <v>35.479999999999997</v>
      </c>
      <c r="L387" s="1">
        <v>-15.56</v>
      </c>
      <c r="M387" s="1">
        <v>54.22</v>
      </c>
      <c r="N387" s="1">
        <v>10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1" cm="1">
        <f t="array" ref="U387">SUM(ABS(B387:T387))</f>
        <v>1595.1699999999998</v>
      </c>
    </row>
    <row r="388" spans="1:21" x14ac:dyDescent="0.3">
      <c r="A388" s="14">
        <v>45905.010416666664</v>
      </c>
      <c r="B388" s="1">
        <v>-738.56</v>
      </c>
      <c r="C388" s="1">
        <v>-54.78</v>
      </c>
      <c r="D388" s="1">
        <v>35.97</v>
      </c>
      <c r="E388" s="1">
        <v>168.46</v>
      </c>
      <c r="F388" s="1">
        <v>114.4</v>
      </c>
      <c r="G388" s="1">
        <v>-29.6</v>
      </c>
      <c r="H388" s="1">
        <v>66.27</v>
      </c>
      <c r="I388" s="1">
        <v>0</v>
      </c>
      <c r="J388" s="1">
        <v>272.64</v>
      </c>
      <c r="K388" s="1">
        <v>6.36</v>
      </c>
      <c r="L388" s="1">
        <v>-15.51</v>
      </c>
      <c r="M388" s="1">
        <v>54.22</v>
      </c>
      <c r="N388" s="1">
        <v>10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1" cm="1">
        <f t="array" ref="U388">SUM(ABS(B388:T388))</f>
        <v>1566.7699999999998</v>
      </c>
    </row>
    <row r="389" spans="1:21" x14ac:dyDescent="0.3">
      <c r="A389" s="14">
        <v>45905.020833333336</v>
      </c>
      <c r="B389" s="1">
        <v>-727.01</v>
      </c>
      <c r="C389" s="1">
        <v>-54.73</v>
      </c>
      <c r="D389" s="1">
        <v>35.950000000000003</v>
      </c>
      <c r="E389" s="1">
        <v>163.41999999999999</v>
      </c>
      <c r="F389" s="1">
        <v>114.24</v>
      </c>
      <c r="G389" s="1">
        <v>-29.25</v>
      </c>
      <c r="H389" s="1">
        <v>47.92</v>
      </c>
      <c r="I389" s="1">
        <v>0</v>
      </c>
      <c r="J389" s="1">
        <v>272.41000000000003</v>
      </c>
      <c r="K389" s="1">
        <v>6.37</v>
      </c>
      <c r="L389" s="1">
        <v>-15.51</v>
      </c>
      <c r="M389" s="1">
        <v>54.23</v>
      </c>
      <c r="N389" s="1">
        <v>9.99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1" cm="1">
        <f t="array" ref="U389">SUM(ABS(B389:T389))</f>
        <v>1531.03</v>
      </c>
    </row>
    <row r="390" spans="1:21" x14ac:dyDescent="0.3">
      <c r="A390" s="14">
        <v>45905.03125</v>
      </c>
      <c r="B390" s="1">
        <v>-736.11</v>
      </c>
      <c r="C390" s="1">
        <v>-54.75</v>
      </c>
      <c r="D390" s="1">
        <v>35.979999999999997</v>
      </c>
      <c r="E390" s="1">
        <v>144.15</v>
      </c>
      <c r="F390" s="1">
        <v>114.14</v>
      </c>
      <c r="G390" s="1">
        <v>-29.55</v>
      </c>
      <c r="H390" s="1">
        <v>12</v>
      </c>
      <c r="I390" s="1">
        <v>0</v>
      </c>
      <c r="J390" s="1">
        <v>272.76</v>
      </c>
      <c r="K390" s="1">
        <v>6.41</v>
      </c>
      <c r="L390" s="1">
        <v>-15.51</v>
      </c>
      <c r="M390" s="1">
        <v>54.23</v>
      </c>
      <c r="N390" s="1">
        <v>10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1" cm="1">
        <f t="array" ref="U390">SUM(ABS(B390:T390))</f>
        <v>1485.5900000000001</v>
      </c>
    </row>
    <row r="391" spans="1:21" x14ac:dyDescent="0.3">
      <c r="A391" s="14">
        <v>45905.041666666664</v>
      </c>
      <c r="B391" s="1">
        <v>-734.8</v>
      </c>
      <c r="C391" s="1">
        <v>-54.73</v>
      </c>
      <c r="D391" s="1">
        <v>35.979999999999997</v>
      </c>
      <c r="E391" s="1">
        <v>145.44</v>
      </c>
      <c r="F391" s="1">
        <v>109.27</v>
      </c>
      <c r="G391" s="1">
        <v>-29.36</v>
      </c>
      <c r="H391" s="1">
        <v>12</v>
      </c>
      <c r="I391" s="1">
        <v>0</v>
      </c>
      <c r="J391" s="1">
        <v>272.79000000000002</v>
      </c>
      <c r="K391" s="1">
        <v>6.46</v>
      </c>
      <c r="L391" s="1">
        <v>-15.52</v>
      </c>
      <c r="M391" s="1">
        <v>54.23</v>
      </c>
      <c r="N391" s="1">
        <v>9.99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1" cm="1">
        <f t="array" ref="U391">SUM(ABS(B391:T391))</f>
        <v>1480.57</v>
      </c>
    </row>
    <row r="392" spans="1:21" x14ac:dyDescent="0.3">
      <c r="A392" s="14">
        <v>45905.052083333336</v>
      </c>
      <c r="B392" s="1">
        <v>-733.91</v>
      </c>
      <c r="C392" s="1">
        <v>-54.7</v>
      </c>
      <c r="D392" s="1">
        <v>35.979999999999997</v>
      </c>
      <c r="E392" s="1">
        <v>144.27000000000001</v>
      </c>
      <c r="F392" s="1">
        <v>91.79</v>
      </c>
      <c r="G392" s="1">
        <v>-29.3</v>
      </c>
      <c r="H392" s="1">
        <v>12</v>
      </c>
      <c r="I392" s="1">
        <v>0</v>
      </c>
      <c r="J392" s="1">
        <v>272.48</v>
      </c>
      <c r="K392" s="1">
        <v>6.45</v>
      </c>
      <c r="L392" s="1">
        <v>-15.51</v>
      </c>
      <c r="M392" s="1">
        <v>54.21</v>
      </c>
      <c r="N392" s="1">
        <v>9.98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1" cm="1">
        <f t="array" ref="U392">SUM(ABS(B392:T392))</f>
        <v>1460.5800000000002</v>
      </c>
    </row>
    <row r="393" spans="1:21" x14ac:dyDescent="0.3">
      <c r="A393" s="14">
        <v>45905.0625</v>
      </c>
      <c r="B393" s="1">
        <v>-728.26</v>
      </c>
      <c r="C393" s="1">
        <v>-54.68</v>
      </c>
      <c r="D393" s="1">
        <v>36</v>
      </c>
      <c r="E393" s="1">
        <v>113.49</v>
      </c>
      <c r="F393" s="1">
        <v>82.64</v>
      </c>
      <c r="G393" s="1">
        <v>-29.11</v>
      </c>
      <c r="H393" s="1">
        <v>12</v>
      </c>
      <c r="I393" s="1">
        <v>0</v>
      </c>
      <c r="J393" s="1">
        <v>271.67</v>
      </c>
      <c r="K393" s="1">
        <v>6.44</v>
      </c>
      <c r="L393" s="1">
        <v>-15.51</v>
      </c>
      <c r="M393" s="1">
        <v>54.24</v>
      </c>
      <c r="N393" s="1">
        <v>9.98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1" cm="1">
        <f t="array" ref="U393">SUM(ABS(B393:T393))</f>
        <v>1414.02</v>
      </c>
    </row>
    <row r="394" spans="1:21" x14ac:dyDescent="0.3">
      <c r="A394" s="14">
        <v>45905.072916666664</v>
      </c>
      <c r="B394" s="1">
        <v>-729.17</v>
      </c>
      <c r="C394" s="1">
        <v>-54.7</v>
      </c>
      <c r="D394" s="1">
        <v>36.020000000000003</v>
      </c>
      <c r="E394" s="1">
        <v>90.6</v>
      </c>
      <c r="F394" s="1">
        <v>47.21</v>
      </c>
      <c r="G394" s="1">
        <v>-29.01</v>
      </c>
      <c r="H394" s="1">
        <v>12</v>
      </c>
      <c r="I394" s="1">
        <v>0</v>
      </c>
      <c r="J394" s="1">
        <v>270.70999999999998</v>
      </c>
      <c r="K394" s="1">
        <v>6.43</v>
      </c>
      <c r="L394" s="1">
        <v>-15.5</v>
      </c>
      <c r="M394" s="1">
        <v>54.23</v>
      </c>
      <c r="N394" s="1">
        <v>9.98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1" cm="1">
        <f t="array" ref="U394">SUM(ABS(B394:T394))</f>
        <v>1355.5600000000002</v>
      </c>
    </row>
    <row r="395" spans="1:21" x14ac:dyDescent="0.3">
      <c r="A395" s="14">
        <v>45905.083333333336</v>
      </c>
      <c r="B395" s="1">
        <v>-628.95000000000005</v>
      </c>
      <c r="C395" s="1">
        <v>-54.7</v>
      </c>
      <c r="D395" s="1">
        <v>36.04</v>
      </c>
      <c r="E395" s="1">
        <v>38.549999999999997</v>
      </c>
      <c r="F395" s="1">
        <v>12.21</v>
      </c>
      <c r="G395" s="1">
        <v>-29.1</v>
      </c>
      <c r="H395" s="1">
        <v>12</v>
      </c>
      <c r="I395" s="1">
        <v>0</v>
      </c>
      <c r="J395" s="1">
        <v>272.32</v>
      </c>
      <c r="K395" s="1">
        <v>6.42</v>
      </c>
      <c r="L395" s="1">
        <v>-4.8899999999999997</v>
      </c>
      <c r="M395" s="1">
        <v>54.24</v>
      </c>
      <c r="N395" s="1">
        <v>10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1" cm="1">
        <f t="array" ref="U395">SUM(ABS(B395:T395))</f>
        <v>1159.4200000000003</v>
      </c>
    </row>
    <row r="396" spans="1:21" x14ac:dyDescent="0.3">
      <c r="A396" s="14">
        <v>45905.09375</v>
      </c>
      <c r="B396" s="1">
        <v>-565.5</v>
      </c>
      <c r="C396" s="1">
        <v>-54.7</v>
      </c>
      <c r="D396" s="1">
        <v>36.06</v>
      </c>
      <c r="E396" s="1">
        <v>0.02</v>
      </c>
      <c r="F396" s="1">
        <v>0</v>
      </c>
      <c r="G396" s="1">
        <v>-29.3</v>
      </c>
      <c r="H396" s="1">
        <v>12</v>
      </c>
      <c r="I396" s="1">
        <v>0</v>
      </c>
      <c r="J396" s="1">
        <v>273</v>
      </c>
      <c r="K396" s="1">
        <v>6.39</v>
      </c>
      <c r="L396" s="1">
        <v>7.0000000000000007E-2</v>
      </c>
      <c r="M396" s="1">
        <v>54.22</v>
      </c>
      <c r="N396" s="1">
        <v>10.01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1" cm="1">
        <f t="array" ref="U396">SUM(ABS(B396:T396))</f>
        <v>1041.27</v>
      </c>
    </row>
    <row r="397" spans="1:21" x14ac:dyDescent="0.3">
      <c r="A397" s="14">
        <v>45905.104166666664</v>
      </c>
      <c r="B397" s="1">
        <v>-577.79</v>
      </c>
      <c r="C397" s="1">
        <v>-54.7</v>
      </c>
      <c r="D397" s="1">
        <v>36.07</v>
      </c>
      <c r="E397" s="1">
        <v>0</v>
      </c>
      <c r="F397" s="1">
        <v>0</v>
      </c>
      <c r="G397" s="1">
        <v>-29.45</v>
      </c>
      <c r="H397" s="1">
        <v>12</v>
      </c>
      <c r="I397" s="1">
        <v>0</v>
      </c>
      <c r="J397" s="1">
        <v>272.93</v>
      </c>
      <c r="K397" s="1">
        <v>6.38</v>
      </c>
      <c r="L397" s="1">
        <v>0.06</v>
      </c>
      <c r="M397" s="1">
        <v>54.21</v>
      </c>
      <c r="N397" s="1">
        <v>10.01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1" cm="1">
        <f t="array" ref="U397">SUM(ABS(B397:T397))</f>
        <v>1053.5999999999999</v>
      </c>
    </row>
    <row r="398" spans="1:21" x14ac:dyDescent="0.3">
      <c r="A398" s="14">
        <v>45905.114583333336</v>
      </c>
      <c r="B398" s="1">
        <v>-519.88</v>
      </c>
      <c r="C398" s="1">
        <v>-54.71</v>
      </c>
      <c r="D398" s="1">
        <v>36.04</v>
      </c>
      <c r="E398" s="1">
        <v>0</v>
      </c>
      <c r="F398" s="1">
        <v>0</v>
      </c>
      <c r="G398" s="1">
        <v>-29.1</v>
      </c>
      <c r="H398" s="1">
        <v>12</v>
      </c>
      <c r="I398" s="1">
        <v>0</v>
      </c>
      <c r="J398" s="1">
        <v>272.5</v>
      </c>
      <c r="K398" s="1">
        <v>6.38</v>
      </c>
      <c r="L398" s="1">
        <v>0.06</v>
      </c>
      <c r="M398" s="1">
        <v>54.23</v>
      </c>
      <c r="N398" s="1">
        <v>10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1" cm="1">
        <f t="array" ref="U398">SUM(ABS(B398:T398))</f>
        <v>994.9</v>
      </c>
    </row>
    <row r="399" spans="1:21" x14ac:dyDescent="0.3">
      <c r="A399" s="14">
        <v>45905.125</v>
      </c>
      <c r="B399" s="1">
        <v>-492.05</v>
      </c>
      <c r="C399" s="1">
        <v>-54.7</v>
      </c>
      <c r="D399" s="1">
        <v>36.04</v>
      </c>
      <c r="E399" s="1">
        <v>0</v>
      </c>
      <c r="F399" s="1">
        <v>0</v>
      </c>
      <c r="G399" s="1">
        <v>-28.97</v>
      </c>
      <c r="H399" s="1">
        <v>12</v>
      </c>
      <c r="I399" s="1">
        <v>0</v>
      </c>
      <c r="J399" s="1">
        <v>271.10000000000002</v>
      </c>
      <c r="K399" s="1">
        <v>6.37</v>
      </c>
      <c r="L399" s="1">
        <v>0.06</v>
      </c>
      <c r="M399" s="1">
        <v>54.23</v>
      </c>
      <c r="N399" s="1">
        <v>10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1" cm="1">
        <f t="array" ref="U399">SUM(ABS(B399:T399))</f>
        <v>965.52</v>
      </c>
    </row>
    <row r="400" spans="1:21" x14ac:dyDescent="0.3">
      <c r="A400" s="14">
        <v>45905.135416666664</v>
      </c>
      <c r="B400" s="1">
        <v>-477.22</v>
      </c>
      <c r="C400" s="1">
        <v>-54.69</v>
      </c>
      <c r="D400" s="1">
        <v>36.07</v>
      </c>
      <c r="E400" s="1">
        <v>0</v>
      </c>
      <c r="F400" s="1">
        <v>0</v>
      </c>
      <c r="G400" s="1">
        <v>-29</v>
      </c>
      <c r="H400" s="1">
        <v>12</v>
      </c>
      <c r="I400" s="1">
        <v>0</v>
      </c>
      <c r="J400" s="1">
        <v>271.64</v>
      </c>
      <c r="K400" s="1">
        <v>6.36</v>
      </c>
      <c r="L400" s="1">
        <v>0.06</v>
      </c>
      <c r="M400" s="1">
        <v>54.23</v>
      </c>
      <c r="N400" s="1">
        <v>10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1" cm="1">
        <f t="array" ref="U400">SUM(ABS(B400:T400))</f>
        <v>951.2700000000001</v>
      </c>
    </row>
    <row r="401" spans="1:21" x14ac:dyDescent="0.3">
      <c r="A401" s="14">
        <v>45905.145833333336</v>
      </c>
      <c r="B401" s="1">
        <v>-479.26</v>
      </c>
      <c r="C401" s="1">
        <v>-54.7</v>
      </c>
      <c r="D401" s="1">
        <v>36.08</v>
      </c>
      <c r="E401" s="1">
        <v>0</v>
      </c>
      <c r="F401" s="1">
        <v>0</v>
      </c>
      <c r="G401" s="1">
        <v>-29.03</v>
      </c>
      <c r="H401" s="1">
        <v>12</v>
      </c>
      <c r="I401" s="1">
        <v>0</v>
      </c>
      <c r="J401" s="1">
        <v>272.18</v>
      </c>
      <c r="K401" s="1">
        <v>6.36</v>
      </c>
      <c r="L401" s="1">
        <v>0.06</v>
      </c>
      <c r="M401" s="1">
        <v>54.23</v>
      </c>
      <c r="N401" s="1">
        <v>10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1" cm="1">
        <f t="array" ref="U401">SUM(ABS(B401:T401))</f>
        <v>953.9</v>
      </c>
    </row>
    <row r="402" spans="1:21" x14ac:dyDescent="0.3">
      <c r="A402" s="14">
        <v>45905.15625</v>
      </c>
      <c r="B402" s="1">
        <v>-479.98</v>
      </c>
      <c r="C402" s="1">
        <v>-54.71</v>
      </c>
      <c r="D402" s="1">
        <v>36.07</v>
      </c>
      <c r="E402" s="1">
        <v>0</v>
      </c>
      <c r="F402" s="1">
        <v>0</v>
      </c>
      <c r="G402" s="1">
        <v>-29.02</v>
      </c>
      <c r="H402" s="1">
        <v>12</v>
      </c>
      <c r="I402" s="1">
        <v>0</v>
      </c>
      <c r="J402" s="1">
        <v>271.68</v>
      </c>
      <c r="K402" s="1">
        <v>6.35</v>
      </c>
      <c r="L402" s="1">
        <v>0.06</v>
      </c>
      <c r="M402" s="1">
        <v>54.21</v>
      </c>
      <c r="N402" s="1">
        <v>10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1" cm="1">
        <f t="array" ref="U402">SUM(ABS(B402:T402))</f>
        <v>954.08</v>
      </c>
    </row>
    <row r="403" spans="1:21" x14ac:dyDescent="0.3">
      <c r="A403" s="14">
        <v>45905.166666666664</v>
      </c>
      <c r="B403" s="1">
        <v>-469.28</v>
      </c>
      <c r="C403" s="1">
        <v>-54.69</v>
      </c>
      <c r="D403" s="1">
        <v>36.1</v>
      </c>
      <c r="E403" s="1">
        <v>0</v>
      </c>
      <c r="F403" s="1">
        <v>0</v>
      </c>
      <c r="G403" s="1">
        <v>-28.87</v>
      </c>
      <c r="H403" s="1">
        <v>12</v>
      </c>
      <c r="I403" s="1">
        <v>0</v>
      </c>
      <c r="J403" s="1">
        <v>269.35000000000002</v>
      </c>
      <c r="K403" s="1">
        <v>6.34</v>
      </c>
      <c r="L403" s="1">
        <v>0.06</v>
      </c>
      <c r="M403" s="1">
        <v>54.22</v>
      </c>
      <c r="N403" s="1">
        <v>10.01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1" cm="1">
        <f t="array" ref="U403">SUM(ABS(B403:T403))</f>
        <v>940.92000000000007</v>
      </c>
    </row>
    <row r="404" spans="1:21" x14ac:dyDescent="0.3">
      <c r="A404" s="14">
        <v>45905.177083333336</v>
      </c>
      <c r="B404" s="1">
        <v>-483.06</v>
      </c>
      <c r="C404" s="1">
        <v>-54.69</v>
      </c>
      <c r="D404" s="1">
        <v>36.11</v>
      </c>
      <c r="E404" s="1">
        <v>0</v>
      </c>
      <c r="F404" s="1">
        <v>0</v>
      </c>
      <c r="G404" s="1">
        <v>-29.08</v>
      </c>
      <c r="H404" s="1">
        <v>12</v>
      </c>
      <c r="I404" s="1">
        <v>0</v>
      </c>
      <c r="J404" s="1">
        <v>272.39999999999998</v>
      </c>
      <c r="K404" s="1">
        <v>6.35</v>
      </c>
      <c r="L404" s="1">
        <v>0.06</v>
      </c>
      <c r="M404" s="1">
        <v>54.21</v>
      </c>
      <c r="N404" s="1">
        <v>10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1" cm="1">
        <f t="array" ref="U404">SUM(ABS(B404:T404))</f>
        <v>957.96</v>
      </c>
    </row>
    <row r="405" spans="1:21" x14ac:dyDescent="0.3">
      <c r="A405" s="14">
        <v>45905.1875</v>
      </c>
      <c r="B405" s="1">
        <v>-477.19</v>
      </c>
      <c r="C405" s="1">
        <v>-54.69</v>
      </c>
      <c r="D405" s="1">
        <v>36.130000000000003</v>
      </c>
      <c r="E405" s="1">
        <v>0</v>
      </c>
      <c r="F405" s="1">
        <v>0</v>
      </c>
      <c r="G405" s="1">
        <v>-28.99</v>
      </c>
      <c r="H405" s="1">
        <v>12</v>
      </c>
      <c r="I405" s="1">
        <v>0</v>
      </c>
      <c r="J405" s="1">
        <v>271.02999999999997</v>
      </c>
      <c r="K405" s="1">
        <v>6.35</v>
      </c>
      <c r="L405" s="1">
        <v>0.06</v>
      </c>
      <c r="M405" s="1">
        <v>54.22</v>
      </c>
      <c r="N405" s="1">
        <v>10.01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1" cm="1">
        <f t="array" ref="U405">SUM(ABS(B405:T405))</f>
        <v>950.67</v>
      </c>
    </row>
    <row r="406" spans="1:21" x14ac:dyDescent="0.3">
      <c r="A406" s="14">
        <v>45905.197916666664</v>
      </c>
      <c r="B406" s="1">
        <v>-475.69</v>
      </c>
      <c r="C406" s="1">
        <v>-54.69</v>
      </c>
      <c r="D406" s="1">
        <v>36.159999999999997</v>
      </c>
      <c r="E406" s="1">
        <v>0</v>
      </c>
      <c r="F406" s="1">
        <v>0</v>
      </c>
      <c r="G406" s="1">
        <v>-28.95</v>
      </c>
      <c r="H406" s="1">
        <v>12</v>
      </c>
      <c r="I406" s="1">
        <v>0</v>
      </c>
      <c r="J406" s="1">
        <v>270.33999999999997</v>
      </c>
      <c r="K406" s="1">
        <v>6.36</v>
      </c>
      <c r="L406" s="1">
        <v>0.06</v>
      </c>
      <c r="M406" s="1">
        <v>54.21</v>
      </c>
      <c r="N406" s="1">
        <v>10.01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1" cm="1">
        <f t="array" ref="U406">SUM(ABS(B406:T406))</f>
        <v>948.46999999999991</v>
      </c>
    </row>
    <row r="407" spans="1:21" x14ac:dyDescent="0.3">
      <c r="A407" s="14">
        <v>45905.208333333336</v>
      </c>
      <c r="B407" s="1">
        <v>-601.44000000000005</v>
      </c>
      <c r="C407" s="1">
        <v>-54.67</v>
      </c>
      <c r="D407" s="1">
        <v>36.18</v>
      </c>
      <c r="E407" s="1">
        <v>0</v>
      </c>
      <c r="F407" s="1">
        <v>0</v>
      </c>
      <c r="G407" s="1">
        <v>-29.04</v>
      </c>
      <c r="H407" s="1">
        <v>12</v>
      </c>
      <c r="I407" s="1">
        <v>0</v>
      </c>
      <c r="J407" s="1">
        <v>270.3</v>
      </c>
      <c r="K407" s="1">
        <v>6.36</v>
      </c>
      <c r="L407" s="1">
        <v>0.06</v>
      </c>
      <c r="M407" s="1">
        <v>54.23</v>
      </c>
      <c r="N407" s="1">
        <v>10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1" cm="1">
        <f t="array" ref="U407">SUM(ABS(B407:T407))</f>
        <v>1074.2799999999997</v>
      </c>
    </row>
    <row r="408" spans="1:21" x14ac:dyDescent="0.3">
      <c r="A408" s="14">
        <v>45905.21875</v>
      </c>
      <c r="B408" s="1">
        <v>-695.13</v>
      </c>
      <c r="C408" s="1">
        <v>-54.67</v>
      </c>
      <c r="D408" s="1">
        <v>36.21</v>
      </c>
      <c r="E408" s="1">
        <v>0</v>
      </c>
      <c r="F408" s="1">
        <v>0</v>
      </c>
      <c r="G408" s="1">
        <v>-29.27</v>
      </c>
      <c r="H408" s="1">
        <v>12</v>
      </c>
      <c r="I408" s="1">
        <v>0</v>
      </c>
      <c r="J408" s="1">
        <v>272.73</v>
      </c>
      <c r="K408" s="1">
        <v>6.35</v>
      </c>
      <c r="L408" s="1">
        <v>0.05</v>
      </c>
      <c r="M408" s="1">
        <v>54.23</v>
      </c>
      <c r="N408" s="1">
        <v>10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1" cm="1">
        <f t="array" ref="U408">SUM(ABS(B408:T408))</f>
        <v>1170.6399999999999</v>
      </c>
    </row>
    <row r="409" spans="1:21" x14ac:dyDescent="0.3">
      <c r="A409" s="14">
        <v>45905.229166666664</v>
      </c>
      <c r="B409" s="1">
        <v>-716.86</v>
      </c>
      <c r="C409" s="1">
        <v>-54.68</v>
      </c>
      <c r="D409" s="1">
        <v>36.229999999999997</v>
      </c>
      <c r="E409" s="1">
        <v>0</v>
      </c>
      <c r="F409" s="1">
        <v>0</v>
      </c>
      <c r="G409" s="1">
        <v>-29.3</v>
      </c>
      <c r="H409" s="1">
        <v>12</v>
      </c>
      <c r="I409" s="1">
        <v>0</v>
      </c>
      <c r="J409" s="1">
        <v>272.69</v>
      </c>
      <c r="K409" s="1">
        <v>6.37</v>
      </c>
      <c r="L409" s="1">
        <v>0.05</v>
      </c>
      <c r="M409" s="1">
        <v>54.23</v>
      </c>
      <c r="N409" s="1">
        <v>10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1" cm="1">
        <f t="array" ref="U409">SUM(ABS(B409:T409))</f>
        <v>1192.4099999999999</v>
      </c>
    </row>
    <row r="410" spans="1:21" x14ac:dyDescent="0.3">
      <c r="A410" s="14">
        <v>45905.239583333336</v>
      </c>
      <c r="B410" s="1">
        <v>-729.15</v>
      </c>
      <c r="C410" s="1">
        <v>-54.67</v>
      </c>
      <c r="D410" s="1">
        <v>36.24</v>
      </c>
      <c r="E410" s="1">
        <v>0</v>
      </c>
      <c r="F410" s="1">
        <v>0</v>
      </c>
      <c r="G410" s="1">
        <v>-29.17</v>
      </c>
      <c r="H410" s="1">
        <v>12</v>
      </c>
      <c r="I410" s="1">
        <v>0</v>
      </c>
      <c r="J410" s="1">
        <v>272.5</v>
      </c>
      <c r="K410" s="1">
        <v>6.38</v>
      </c>
      <c r="L410" s="1">
        <v>0.06</v>
      </c>
      <c r="M410" s="1">
        <v>54.22</v>
      </c>
      <c r="N410" s="1">
        <v>10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1" cm="1">
        <f t="array" ref="U410">SUM(ABS(B410:T410))</f>
        <v>1204.3900000000001</v>
      </c>
    </row>
    <row r="411" spans="1:21" x14ac:dyDescent="0.3">
      <c r="A411" s="14">
        <v>45905.25</v>
      </c>
      <c r="B411" s="1">
        <v>-724.44</v>
      </c>
      <c r="C411" s="1">
        <v>-54.66</v>
      </c>
      <c r="D411" s="1">
        <v>36.24</v>
      </c>
      <c r="E411" s="1">
        <v>0</v>
      </c>
      <c r="F411" s="1">
        <v>0</v>
      </c>
      <c r="G411" s="1">
        <v>-29.14</v>
      </c>
      <c r="H411" s="1">
        <v>12</v>
      </c>
      <c r="I411" s="1">
        <v>0</v>
      </c>
      <c r="J411" s="1">
        <v>272.3</v>
      </c>
      <c r="K411" s="1">
        <v>12.09</v>
      </c>
      <c r="L411" s="1">
        <v>0.04</v>
      </c>
      <c r="M411" s="1">
        <v>54.23</v>
      </c>
      <c r="N411" s="1">
        <v>10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1" cm="1">
        <f t="array" ref="U411">SUM(ABS(B411:T411))</f>
        <v>1205.1399999999999</v>
      </c>
    </row>
    <row r="412" spans="1:21" x14ac:dyDescent="0.3">
      <c r="A412" s="14">
        <v>45905.260416666664</v>
      </c>
      <c r="B412" s="1">
        <v>-725.35</v>
      </c>
      <c r="C412" s="1">
        <v>-54.66</v>
      </c>
      <c r="D412" s="1">
        <v>36.25</v>
      </c>
      <c r="E412" s="1">
        <v>0</v>
      </c>
      <c r="F412" s="1">
        <v>0</v>
      </c>
      <c r="G412" s="1">
        <v>-29.1</v>
      </c>
      <c r="H412" s="1">
        <v>12</v>
      </c>
      <c r="I412" s="1">
        <v>0</v>
      </c>
      <c r="J412" s="1">
        <v>272.93</v>
      </c>
      <c r="K412" s="1">
        <v>12.67</v>
      </c>
      <c r="L412" s="1">
        <v>0.04</v>
      </c>
      <c r="M412" s="1">
        <v>54.22</v>
      </c>
      <c r="N412" s="1">
        <v>10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1" cm="1">
        <f t="array" ref="U412">SUM(ABS(B412:T412))</f>
        <v>1207.22</v>
      </c>
    </row>
    <row r="413" spans="1:21" x14ac:dyDescent="0.3">
      <c r="A413" s="14">
        <v>45905.270833333336</v>
      </c>
      <c r="B413" s="1">
        <v>-724.93</v>
      </c>
      <c r="C413" s="1">
        <v>-54.66</v>
      </c>
      <c r="D413" s="1">
        <v>36.24</v>
      </c>
      <c r="E413" s="1">
        <v>0</v>
      </c>
      <c r="F413" s="1">
        <v>0</v>
      </c>
      <c r="G413" s="1">
        <v>-29.14</v>
      </c>
      <c r="H413" s="1">
        <v>12</v>
      </c>
      <c r="I413" s="1">
        <v>0</v>
      </c>
      <c r="J413" s="1">
        <v>272.56</v>
      </c>
      <c r="K413" s="1">
        <v>12.67</v>
      </c>
      <c r="L413" s="1">
        <v>0.04</v>
      </c>
      <c r="M413" s="1">
        <v>54.22</v>
      </c>
      <c r="N413" s="1">
        <v>10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1" cm="1">
        <f t="array" ref="U413">SUM(ABS(B413:T413))</f>
        <v>1206.46</v>
      </c>
    </row>
    <row r="414" spans="1:21" x14ac:dyDescent="0.3">
      <c r="A414" s="14">
        <v>45905.28125</v>
      </c>
      <c r="B414" s="1">
        <v>-655.6</v>
      </c>
      <c r="C414" s="1">
        <v>-54.64</v>
      </c>
      <c r="D414" s="1">
        <v>36.270000000000003</v>
      </c>
      <c r="E414" s="1">
        <v>0</v>
      </c>
      <c r="F414" s="1">
        <v>0</v>
      </c>
      <c r="G414" s="1">
        <v>-29.08</v>
      </c>
      <c r="H414" s="1">
        <v>12</v>
      </c>
      <c r="I414" s="1">
        <v>0</v>
      </c>
      <c r="J414" s="1">
        <v>272.48</v>
      </c>
      <c r="K414" s="1">
        <v>10.27</v>
      </c>
      <c r="L414" s="1">
        <v>0.05</v>
      </c>
      <c r="M414" s="1">
        <v>47.37</v>
      </c>
      <c r="N414" s="1">
        <v>10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1" cm="1">
        <f t="array" ref="U414">SUM(ABS(B414:T414))</f>
        <v>1127.76</v>
      </c>
    </row>
    <row r="415" spans="1:21" x14ac:dyDescent="0.3">
      <c r="A415" s="14">
        <v>45905.291666666664</v>
      </c>
      <c r="B415" s="1">
        <v>-546.24</v>
      </c>
      <c r="C415" s="1">
        <v>-54.63</v>
      </c>
      <c r="D415" s="1">
        <v>36.270000000000003</v>
      </c>
      <c r="E415" s="1">
        <v>0</v>
      </c>
      <c r="F415" s="1">
        <v>0</v>
      </c>
      <c r="G415" s="1">
        <v>-29.18</v>
      </c>
      <c r="H415" s="1">
        <v>12</v>
      </c>
      <c r="I415" s="1">
        <v>0</v>
      </c>
      <c r="J415" s="1">
        <v>273.14999999999998</v>
      </c>
      <c r="K415" s="1">
        <v>6.37</v>
      </c>
      <c r="L415" s="1">
        <v>0.06</v>
      </c>
      <c r="M415" s="1">
        <v>30.11</v>
      </c>
      <c r="N415" s="1">
        <v>9.99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1" cm="1">
        <f t="array" ref="U415">SUM(ABS(B415:T415))</f>
        <v>997.99999999999989</v>
      </c>
    </row>
    <row r="416" spans="1:21" x14ac:dyDescent="0.3">
      <c r="A416" s="14">
        <v>45905.302083333336</v>
      </c>
      <c r="B416" s="1">
        <v>-380.03</v>
      </c>
      <c r="C416" s="1">
        <v>-54.64</v>
      </c>
      <c r="D416" s="1">
        <v>36.31</v>
      </c>
      <c r="E416" s="1">
        <v>0</v>
      </c>
      <c r="F416" s="1">
        <v>0</v>
      </c>
      <c r="G416" s="1">
        <v>-29.26</v>
      </c>
      <c r="H416" s="1">
        <v>12</v>
      </c>
      <c r="I416" s="1">
        <v>0</v>
      </c>
      <c r="J416" s="1">
        <v>273.27</v>
      </c>
      <c r="K416" s="1">
        <v>6.37</v>
      </c>
      <c r="L416" s="1">
        <v>0.08</v>
      </c>
      <c r="M416" s="1">
        <v>30.12</v>
      </c>
      <c r="N416" s="1">
        <v>9.99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1" cm="1">
        <f t="array" ref="U416">SUM(ABS(B416:T416))</f>
        <v>832.07</v>
      </c>
    </row>
    <row r="417" spans="1:21" x14ac:dyDescent="0.3">
      <c r="A417" s="14">
        <v>45905.3125</v>
      </c>
      <c r="B417" s="1">
        <v>-252.37</v>
      </c>
      <c r="C417" s="1">
        <v>-54.67</v>
      </c>
      <c r="D417" s="1">
        <v>36.33</v>
      </c>
      <c r="E417" s="1">
        <v>0</v>
      </c>
      <c r="F417" s="1">
        <v>0</v>
      </c>
      <c r="G417" s="1">
        <v>-29.6</v>
      </c>
      <c r="H417" s="1">
        <v>12</v>
      </c>
      <c r="I417" s="1">
        <v>0</v>
      </c>
      <c r="J417" s="1">
        <v>273.3</v>
      </c>
      <c r="K417" s="1">
        <v>4.83</v>
      </c>
      <c r="L417" s="1">
        <v>0.1</v>
      </c>
      <c r="M417" s="1">
        <v>30.12</v>
      </c>
      <c r="N417" s="1">
        <v>9.99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1" cm="1">
        <f t="array" ref="U417">SUM(ABS(B417:T417))</f>
        <v>703.31000000000006</v>
      </c>
    </row>
    <row r="418" spans="1:21" x14ac:dyDescent="0.3">
      <c r="A418" s="14">
        <v>45905.322916666664</v>
      </c>
      <c r="B418" s="1">
        <v>-166.03</v>
      </c>
      <c r="C418" s="1">
        <v>-48.16</v>
      </c>
      <c r="D418" s="1">
        <v>36.35</v>
      </c>
      <c r="E418" s="1">
        <v>0</v>
      </c>
      <c r="F418" s="1">
        <v>0</v>
      </c>
      <c r="G418" s="1">
        <v>-29.58</v>
      </c>
      <c r="H418" s="1">
        <v>12</v>
      </c>
      <c r="I418" s="1">
        <v>0</v>
      </c>
      <c r="J418" s="1">
        <v>273.64</v>
      </c>
      <c r="K418" s="1">
        <v>0</v>
      </c>
      <c r="L418" s="1">
        <v>0.12</v>
      </c>
      <c r="M418" s="1">
        <v>30.14</v>
      </c>
      <c r="N418" s="1">
        <v>9.99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1" cm="1">
        <f t="array" ref="U418">SUM(ABS(B418:T418))</f>
        <v>606.01</v>
      </c>
    </row>
    <row r="419" spans="1:21" x14ac:dyDescent="0.3">
      <c r="A419" s="14">
        <v>45905.333333333336</v>
      </c>
      <c r="B419" s="1">
        <v>-267.35000000000002</v>
      </c>
      <c r="C419" s="1">
        <v>-47.84</v>
      </c>
      <c r="D419" s="1">
        <v>36.380000000000003</v>
      </c>
      <c r="E419" s="1">
        <v>0</v>
      </c>
      <c r="F419" s="1">
        <v>0</v>
      </c>
      <c r="G419" s="1">
        <v>-29.7</v>
      </c>
      <c r="H419" s="1">
        <v>12</v>
      </c>
      <c r="I419" s="1">
        <v>0</v>
      </c>
      <c r="J419" s="1">
        <v>273.57</v>
      </c>
      <c r="K419" s="1">
        <v>0</v>
      </c>
      <c r="L419" s="1">
        <v>0.1</v>
      </c>
      <c r="M419" s="1">
        <v>30.15</v>
      </c>
      <c r="N419" s="1">
        <v>10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1" cm="1">
        <f t="array" ref="U419">SUM(ABS(B419:T419))</f>
        <v>707.09</v>
      </c>
    </row>
    <row r="420" spans="1:21" x14ac:dyDescent="0.3">
      <c r="A420" s="14">
        <v>45905.34375</v>
      </c>
      <c r="B420" s="1">
        <v>-294.69</v>
      </c>
      <c r="C420" s="1">
        <v>-54.72</v>
      </c>
      <c r="D420" s="1">
        <v>36.35</v>
      </c>
      <c r="E420" s="1">
        <v>0</v>
      </c>
      <c r="F420" s="1">
        <v>0</v>
      </c>
      <c r="G420" s="1">
        <v>-29.77</v>
      </c>
      <c r="H420" s="1">
        <v>12</v>
      </c>
      <c r="I420" s="1">
        <v>0</v>
      </c>
      <c r="J420" s="1">
        <v>273.94</v>
      </c>
      <c r="K420" s="1">
        <v>0</v>
      </c>
      <c r="L420" s="1">
        <v>7.0000000000000007E-2</v>
      </c>
      <c r="M420" s="1">
        <v>30.15</v>
      </c>
      <c r="N420" s="1">
        <v>10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1" cm="1">
        <f t="array" ref="U420">SUM(ABS(B420:T420))</f>
        <v>741.69</v>
      </c>
    </row>
    <row r="421" spans="1:21" x14ac:dyDescent="0.3">
      <c r="A421" s="14">
        <v>45905.354166666664</v>
      </c>
      <c r="B421" s="1">
        <v>-294.19</v>
      </c>
      <c r="C421" s="1">
        <v>-54.7</v>
      </c>
      <c r="D421" s="1">
        <v>36.35</v>
      </c>
      <c r="E421" s="1">
        <v>0</v>
      </c>
      <c r="F421" s="1">
        <v>0</v>
      </c>
      <c r="G421" s="1">
        <v>-29.75</v>
      </c>
      <c r="H421" s="1">
        <v>12</v>
      </c>
      <c r="I421" s="1">
        <v>0</v>
      </c>
      <c r="J421" s="1">
        <v>273.97000000000003</v>
      </c>
      <c r="K421" s="1">
        <v>0</v>
      </c>
      <c r="L421" s="1">
        <v>7.0000000000000007E-2</v>
      </c>
      <c r="M421" s="1">
        <v>30.14</v>
      </c>
      <c r="N421" s="1">
        <v>7.33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1" cm="1">
        <f t="array" ref="U421">SUM(ABS(B421:T421))</f>
        <v>738.50000000000011</v>
      </c>
    </row>
    <row r="422" spans="1:21" x14ac:dyDescent="0.3">
      <c r="A422" s="14">
        <v>45905.364583333336</v>
      </c>
      <c r="B422" s="1">
        <v>-167.16</v>
      </c>
      <c r="C422" s="1">
        <v>-54.68</v>
      </c>
      <c r="D422" s="1">
        <v>36.340000000000003</v>
      </c>
      <c r="E422" s="1">
        <v>0</v>
      </c>
      <c r="F422" s="1">
        <v>0</v>
      </c>
      <c r="G422" s="1">
        <v>-29.06</v>
      </c>
      <c r="H422" s="1">
        <v>12</v>
      </c>
      <c r="I422" s="1">
        <v>0</v>
      </c>
      <c r="J422" s="1">
        <v>272.97000000000003</v>
      </c>
      <c r="K422" s="1">
        <v>0</v>
      </c>
      <c r="L422" s="1">
        <v>0.09</v>
      </c>
      <c r="M422" s="1">
        <v>30.14</v>
      </c>
      <c r="N422" s="1">
        <v>5.38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1" cm="1">
        <f t="array" ref="U422">SUM(ABS(B422:T422))</f>
        <v>607.82000000000005</v>
      </c>
    </row>
    <row r="423" spans="1:21" x14ac:dyDescent="0.3">
      <c r="A423" s="14">
        <v>45905.375</v>
      </c>
      <c r="B423" s="1">
        <v>-172.04</v>
      </c>
      <c r="C423" s="1">
        <v>-54.69</v>
      </c>
      <c r="D423" s="1">
        <v>36.369999999999997</v>
      </c>
      <c r="E423" s="1">
        <v>0</v>
      </c>
      <c r="F423" s="1">
        <v>0</v>
      </c>
      <c r="G423" s="1">
        <v>-29</v>
      </c>
      <c r="H423" s="1">
        <v>12</v>
      </c>
      <c r="I423" s="1">
        <v>0</v>
      </c>
      <c r="J423" s="1">
        <v>273.01</v>
      </c>
      <c r="K423" s="1">
        <v>0</v>
      </c>
      <c r="L423" s="1">
        <v>0.09</v>
      </c>
      <c r="M423" s="1">
        <v>30.15</v>
      </c>
      <c r="N423" s="1">
        <v>5.38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1" cm="1">
        <f t="array" ref="U423">SUM(ABS(B423:T423))</f>
        <v>612.7299999999999</v>
      </c>
    </row>
    <row r="424" spans="1:21" x14ac:dyDescent="0.3">
      <c r="A424" s="14">
        <v>45905.385416666664</v>
      </c>
      <c r="B424" s="1">
        <v>-329.48</v>
      </c>
      <c r="C424" s="1">
        <v>-54.7</v>
      </c>
      <c r="D424" s="1">
        <v>36.39</v>
      </c>
      <c r="E424" s="1">
        <v>0</v>
      </c>
      <c r="F424" s="1">
        <v>0</v>
      </c>
      <c r="G424" s="1">
        <v>-29.26</v>
      </c>
      <c r="H424" s="1">
        <v>12</v>
      </c>
      <c r="I424" s="1">
        <v>0</v>
      </c>
      <c r="J424" s="1">
        <v>274.07</v>
      </c>
      <c r="K424" s="1">
        <v>0</v>
      </c>
      <c r="L424" s="1">
        <v>0.08</v>
      </c>
      <c r="M424" s="1">
        <v>30.15</v>
      </c>
      <c r="N424" s="1">
        <v>5.38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1" cm="1">
        <f t="array" ref="U424">SUM(ABS(B424:T424))</f>
        <v>771.51</v>
      </c>
    </row>
    <row r="425" spans="1:21" x14ac:dyDescent="0.3">
      <c r="A425" s="14">
        <v>45905.395833333336</v>
      </c>
      <c r="B425" s="1">
        <v>-472.83</v>
      </c>
      <c r="C425" s="1">
        <v>-54.69</v>
      </c>
      <c r="D425" s="1">
        <v>36.380000000000003</v>
      </c>
      <c r="E425" s="1">
        <v>0</v>
      </c>
      <c r="F425" s="1">
        <v>0</v>
      </c>
      <c r="G425" s="1">
        <v>-29.31</v>
      </c>
      <c r="H425" s="1">
        <v>12</v>
      </c>
      <c r="I425" s="1">
        <v>0</v>
      </c>
      <c r="J425" s="1">
        <v>274.24</v>
      </c>
      <c r="K425" s="1">
        <v>0</v>
      </c>
      <c r="L425" s="1">
        <v>7.0000000000000007E-2</v>
      </c>
      <c r="M425" s="1">
        <v>30.13</v>
      </c>
      <c r="N425" s="1">
        <v>5.38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1" cm="1">
        <f t="array" ref="U425">SUM(ABS(B425:T425))</f>
        <v>915.03</v>
      </c>
    </row>
    <row r="426" spans="1:21" x14ac:dyDescent="0.3">
      <c r="A426" s="14">
        <v>45905.40625</v>
      </c>
      <c r="B426" s="1">
        <v>-438.13</v>
      </c>
      <c r="C426" s="1">
        <v>-54.65</v>
      </c>
      <c r="D426" s="1">
        <v>36.4</v>
      </c>
      <c r="E426" s="1">
        <v>0</v>
      </c>
      <c r="F426" s="1">
        <v>0</v>
      </c>
      <c r="G426" s="1">
        <v>-29.04</v>
      </c>
      <c r="H426" s="1">
        <v>12</v>
      </c>
      <c r="I426" s="1">
        <v>0</v>
      </c>
      <c r="J426" s="1">
        <v>273.18</v>
      </c>
      <c r="K426" s="1">
        <v>0</v>
      </c>
      <c r="L426" s="1">
        <v>0.06</v>
      </c>
      <c r="M426" s="1">
        <v>30.14</v>
      </c>
      <c r="N426" s="1">
        <v>5.38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1" cm="1">
        <f t="array" ref="U426">SUM(ABS(B426:T426))</f>
        <v>878.97999999999979</v>
      </c>
    </row>
    <row r="427" spans="1:21" x14ac:dyDescent="0.3">
      <c r="A427" s="14">
        <v>45905.416666666664</v>
      </c>
      <c r="B427" s="1">
        <v>-323.92</v>
      </c>
      <c r="C427" s="1">
        <v>-54.67</v>
      </c>
      <c r="D427" s="1">
        <v>36.4</v>
      </c>
      <c r="E427" s="1">
        <v>55.75</v>
      </c>
      <c r="F427" s="1">
        <v>0</v>
      </c>
      <c r="G427" s="1">
        <v>-28.89</v>
      </c>
      <c r="H427" s="1">
        <v>12</v>
      </c>
      <c r="I427" s="1">
        <v>0</v>
      </c>
      <c r="J427" s="1">
        <v>271.12</v>
      </c>
      <c r="K427" s="1">
        <v>0</v>
      </c>
      <c r="L427" s="1">
        <v>7.0000000000000007E-2</v>
      </c>
      <c r="M427" s="1">
        <v>30.15</v>
      </c>
      <c r="N427" s="1">
        <v>5.38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1" cm="1">
        <f t="array" ref="U427">SUM(ABS(B427:T427))</f>
        <v>818.35</v>
      </c>
    </row>
    <row r="428" spans="1:21" x14ac:dyDescent="0.3">
      <c r="A428" s="14">
        <v>45905.427083333336</v>
      </c>
      <c r="B428" s="1">
        <v>-235.58</v>
      </c>
      <c r="C428" s="1">
        <v>-54.63</v>
      </c>
      <c r="D428" s="1">
        <v>36.369999999999997</v>
      </c>
      <c r="E428" s="1">
        <v>86.25</v>
      </c>
      <c r="F428" s="1">
        <v>0</v>
      </c>
      <c r="G428" s="1">
        <v>-28.96</v>
      </c>
      <c r="H428" s="1">
        <v>12</v>
      </c>
      <c r="I428" s="1">
        <v>0</v>
      </c>
      <c r="J428" s="1">
        <v>273.31</v>
      </c>
      <c r="K428" s="1">
        <v>0</v>
      </c>
      <c r="L428" s="1">
        <v>0.08</v>
      </c>
      <c r="M428" s="1">
        <v>30.14</v>
      </c>
      <c r="N428" s="1">
        <v>5.38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1" cm="1">
        <f t="array" ref="U428">SUM(ABS(B428:T428))</f>
        <v>762.7</v>
      </c>
    </row>
    <row r="429" spans="1:21" x14ac:dyDescent="0.3">
      <c r="A429" s="14">
        <v>45905.4375</v>
      </c>
      <c r="B429" s="1">
        <v>-217.9</v>
      </c>
      <c r="C429" s="1">
        <v>-54.63</v>
      </c>
      <c r="D429" s="1">
        <v>36.380000000000003</v>
      </c>
      <c r="E429" s="1">
        <v>65.62</v>
      </c>
      <c r="F429" s="1">
        <v>0</v>
      </c>
      <c r="G429" s="1">
        <v>-28.84</v>
      </c>
      <c r="H429" s="1">
        <v>12</v>
      </c>
      <c r="I429" s="1">
        <v>0</v>
      </c>
      <c r="J429" s="1">
        <v>271.95999999999998</v>
      </c>
      <c r="K429" s="1">
        <v>0</v>
      </c>
      <c r="L429" s="1">
        <v>0.08</v>
      </c>
      <c r="M429" s="1">
        <v>30.14</v>
      </c>
      <c r="N429" s="1">
        <v>5.37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1" cm="1">
        <f t="array" ref="U429">SUM(ABS(B429:T429))</f>
        <v>722.92</v>
      </c>
    </row>
    <row r="430" spans="1:21" x14ac:dyDescent="0.3">
      <c r="A430" s="14">
        <v>45905.447916666664</v>
      </c>
      <c r="B430" s="1">
        <v>-133.05000000000001</v>
      </c>
      <c r="C430" s="1">
        <v>-54.64</v>
      </c>
      <c r="D430" s="1">
        <v>36.4</v>
      </c>
      <c r="E430" s="1">
        <v>95.79</v>
      </c>
      <c r="F430" s="1">
        <v>0</v>
      </c>
      <c r="G430" s="1">
        <v>-23.32</v>
      </c>
      <c r="H430" s="1">
        <v>12</v>
      </c>
      <c r="I430" s="1">
        <v>0</v>
      </c>
      <c r="J430" s="1">
        <v>271.25</v>
      </c>
      <c r="K430" s="1">
        <v>0</v>
      </c>
      <c r="L430" s="1">
        <v>0.09</v>
      </c>
      <c r="M430" s="1">
        <v>30.14</v>
      </c>
      <c r="N430" s="1">
        <v>5.38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1" cm="1">
        <f t="array" ref="U430">SUM(ABS(B430:T430))</f>
        <v>662.06000000000006</v>
      </c>
    </row>
    <row r="431" spans="1:21" x14ac:dyDescent="0.3">
      <c r="A431" s="14">
        <v>45905.458333333336</v>
      </c>
      <c r="B431" s="1">
        <v>-101.63</v>
      </c>
      <c r="C431" s="1">
        <v>-45</v>
      </c>
      <c r="D431" s="1">
        <v>36.39</v>
      </c>
      <c r="E431" s="1">
        <v>73.58</v>
      </c>
      <c r="F431" s="1">
        <v>0</v>
      </c>
      <c r="G431" s="1">
        <v>-16.7</v>
      </c>
      <c r="H431" s="1">
        <v>12</v>
      </c>
      <c r="I431" s="1">
        <v>0</v>
      </c>
      <c r="J431" s="1">
        <v>227.9</v>
      </c>
      <c r="K431" s="1">
        <v>0</v>
      </c>
      <c r="L431" s="1">
        <v>0.1</v>
      </c>
      <c r="M431" s="1">
        <v>30.14</v>
      </c>
      <c r="N431" s="1">
        <v>5.38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1" cm="1">
        <f t="array" ref="U431">SUM(ABS(B431:T431))</f>
        <v>548.81999999999994</v>
      </c>
    </row>
    <row r="432" spans="1:21" x14ac:dyDescent="0.3">
      <c r="A432" s="14">
        <v>45905.46875</v>
      </c>
      <c r="B432" s="1">
        <v>-240.73</v>
      </c>
      <c r="C432" s="1">
        <v>-54.52</v>
      </c>
      <c r="D432" s="1">
        <v>36.409999999999997</v>
      </c>
      <c r="E432" s="1">
        <v>67.66</v>
      </c>
      <c r="F432" s="1">
        <v>0</v>
      </c>
      <c r="G432" s="1">
        <v>-17.22</v>
      </c>
      <c r="H432" s="1">
        <v>12</v>
      </c>
      <c r="I432" s="1">
        <v>0</v>
      </c>
      <c r="J432" s="1">
        <v>274.02999999999997</v>
      </c>
      <c r="K432" s="1">
        <v>0</v>
      </c>
      <c r="L432" s="1">
        <v>0.08</v>
      </c>
      <c r="M432" s="1">
        <v>30.15</v>
      </c>
      <c r="N432" s="1">
        <v>5.38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1" cm="1">
        <f t="array" ref="U432">SUM(ABS(B432:T432))</f>
        <v>738.18</v>
      </c>
    </row>
    <row r="433" spans="1:21" x14ac:dyDescent="0.3">
      <c r="A433" s="14">
        <v>45905.479166666664</v>
      </c>
      <c r="B433" s="1">
        <v>-191.27</v>
      </c>
      <c r="C433" s="1">
        <v>-54.65</v>
      </c>
      <c r="D433" s="1">
        <v>36.42</v>
      </c>
      <c r="E433" s="1">
        <v>67.239999999999995</v>
      </c>
      <c r="F433" s="1">
        <v>0</v>
      </c>
      <c r="G433" s="1">
        <v>-17.170000000000002</v>
      </c>
      <c r="H433" s="1">
        <v>12</v>
      </c>
      <c r="I433" s="1">
        <v>0</v>
      </c>
      <c r="J433" s="1">
        <v>204.64</v>
      </c>
      <c r="K433" s="1">
        <v>0</v>
      </c>
      <c r="L433" s="1">
        <v>0.09</v>
      </c>
      <c r="M433" s="1">
        <v>30.14</v>
      </c>
      <c r="N433" s="1">
        <v>5.38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1" cm="1">
        <f t="array" ref="U433">SUM(ABS(B433:T433))</f>
        <v>619.00000000000011</v>
      </c>
    </row>
    <row r="434" spans="1:21" x14ac:dyDescent="0.3">
      <c r="A434" s="14">
        <v>45905.489583333336</v>
      </c>
      <c r="B434" s="1">
        <v>-318.17</v>
      </c>
      <c r="C434" s="1">
        <v>-54.65</v>
      </c>
      <c r="D434" s="1">
        <v>36.380000000000003</v>
      </c>
      <c r="E434" s="1">
        <v>66.47</v>
      </c>
      <c r="F434" s="1">
        <v>0</v>
      </c>
      <c r="G434" s="1">
        <v>-17.12</v>
      </c>
      <c r="H434" s="1">
        <v>12</v>
      </c>
      <c r="I434" s="1">
        <v>0</v>
      </c>
      <c r="J434" s="1">
        <v>160.13</v>
      </c>
      <c r="K434" s="1">
        <v>0</v>
      </c>
      <c r="L434" s="1">
        <v>7.0000000000000007E-2</v>
      </c>
      <c r="M434" s="1">
        <v>30.14</v>
      </c>
      <c r="N434" s="1">
        <v>5.38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1" cm="1">
        <f t="array" ref="U434">SUM(ABS(B434:T434))</f>
        <v>700.51</v>
      </c>
    </row>
    <row r="435" spans="1:21" x14ac:dyDescent="0.3">
      <c r="A435" s="14">
        <v>45905.5</v>
      </c>
      <c r="B435" s="1">
        <v>-230.9</v>
      </c>
      <c r="C435" s="1">
        <v>-54.63</v>
      </c>
      <c r="D435" s="1">
        <v>36.270000000000003</v>
      </c>
      <c r="E435" s="1">
        <v>63.21</v>
      </c>
      <c r="F435" s="1">
        <v>0</v>
      </c>
      <c r="G435" s="1">
        <v>-16.739999999999998</v>
      </c>
      <c r="H435" s="1">
        <v>12</v>
      </c>
      <c r="I435" s="1">
        <v>0</v>
      </c>
      <c r="J435" s="1">
        <v>127.97</v>
      </c>
      <c r="K435" s="1">
        <v>0</v>
      </c>
      <c r="L435" s="1">
        <v>0.08</v>
      </c>
      <c r="M435" s="1">
        <v>30.15</v>
      </c>
      <c r="N435" s="1">
        <v>5.37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1" cm="1">
        <f t="array" ref="U435">SUM(ABS(B435:T435))</f>
        <v>577.32000000000005</v>
      </c>
    </row>
    <row r="436" spans="1:21" x14ac:dyDescent="0.3">
      <c r="A436" s="14">
        <v>45905.510416666664</v>
      </c>
      <c r="B436" s="1">
        <v>-274.35000000000002</v>
      </c>
      <c r="C436" s="1">
        <v>-54.62</v>
      </c>
      <c r="D436" s="1">
        <v>36.229999999999997</v>
      </c>
      <c r="E436" s="1">
        <v>65.349999999999994</v>
      </c>
      <c r="F436" s="1">
        <v>0</v>
      </c>
      <c r="G436" s="1">
        <v>-16.97</v>
      </c>
      <c r="H436" s="1">
        <v>12</v>
      </c>
      <c r="I436" s="1">
        <v>0</v>
      </c>
      <c r="J436" s="1">
        <v>233.86</v>
      </c>
      <c r="K436" s="1">
        <v>0</v>
      </c>
      <c r="L436" s="1">
        <v>0.08</v>
      </c>
      <c r="M436" s="1">
        <v>30.14</v>
      </c>
      <c r="N436" s="1">
        <v>5.38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1" cm="1">
        <f t="array" ref="U436">SUM(ABS(B436:T436))</f>
        <v>728.98000000000013</v>
      </c>
    </row>
    <row r="437" spans="1:21" x14ac:dyDescent="0.3">
      <c r="A437" s="14">
        <v>45905.520833333336</v>
      </c>
      <c r="B437" s="1">
        <v>-228.95</v>
      </c>
      <c r="C437" s="1">
        <v>-54.65</v>
      </c>
      <c r="D437" s="1">
        <v>36.24</v>
      </c>
      <c r="E437" s="1">
        <v>66.92</v>
      </c>
      <c r="F437" s="1">
        <v>0</v>
      </c>
      <c r="G437" s="1">
        <v>-17.18</v>
      </c>
      <c r="H437" s="1">
        <v>12</v>
      </c>
      <c r="I437" s="1">
        <v>0</v>
      </c>
      <c r="J437" s="1">
        <v>202.89</v>
      </c>
      <c r="K437" s="1">
        <v>0</v>
      </c>
      <c r="L437" s="1">
        <v>0.08</v>
      </c>
      <c r="M437" s="1">
        <v>30.15</v>
      </c>
      <c r="N437" s="1">
        <v>5.37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1" cm="1">
        <f t="array" ref="U437">SUM(ABS(B437:T437))</f>
        <v>654.42999999999995</v>
      </c>
    </row>
    <row r="438" spans="1:21" x14ac:dyDescent="0.3">
      <c r="A438" s="14">
        <v>45905.53125</v>
      </c>
      <c r="B438" s="1">
        <v>-228.71</v>
      </c>
      <c r="C438" s="1">
        <v>-54.65</v>
      </c>
      <c r="D438" s="1">
        <v>36.18</v>
      </c>
      <c r="E438" s="1">
        <v>67.39</v>
      </c>
      <c r="F438" s="1">
        <v>0</v>
      </c>
      <c r="G438" s="1">
        <v>-17.05</v>
      </c>
      <c r="H438" s="1">
        <v>12</v>
      </c>
      <c r="I438" s="1">
        <v>0</v>
      </c>
      <c r="J438" s="1">
        <v>171.7</v>
      </c>
      <c r="K438" s="1">
        <v>0</v>
      </c>
      <c r="L438" s="1">
        <v>7.0000000000000007E-2</v>
      </c>
      <c r="M438" s="1">
        <v>30.14</v>
      </c>
      <c r="N438" s="1">
        <v>5.37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1" cm="1">
        <f t="array" ref="U438">SUM(ABS(B438:T438))</f>
        <v>623.2600000000001</v>
      </c>
    </row>
    <row r="439" spans="1:21" x14ac:dyDescent="0.3">
      <c r="A439" s="14">
        <v>45905.541666666664</v>
      </c>
      <c r="B439" s="1">
        <v>-108.6</v>
      </c>
      <c r="C439" s="1">
        <v>-42.04</v>
      </c>
      <c r="D439" s="1">
        <v>36.119999999999997</v>
      </c>
      <c r="E439" s="1">
        <v>66.510000000000005</v>
      </c>
      <c r="F439" s="1">
        <v>0</v>
      </c>
      <c r="G439" s="1">
        <v>-16.78</v>
      </c>
      <c r="H439" s="1">
        <v>12</v>
      </c>
      <c r="I439" s="1">
        <v>0</v>
      </c>
      <c r="J439" s="1">
        <v>134.47</v>
      </c>
      <c r="K439" s="1">
        <v>0</v>
      </c>
      <c r="L439" s="1">
        <v>0.09</v>
      </c>
      <c r="M439" s="1">
        <v>30.14</v>
      </c>
      <c r="N439" s="1">
        <v>5.37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1" cm="1">
        <f t="array" ref="U439">SUM(ABS(B439:T439))</f>
        <v>452.11999999999995</v>
      </c>
    </row>
    <row r="440" spans="1:21" x14ac:dyDescent="0.3">
      <c r="A440" s="14">
        <v>45905.552083333336</v>
      </c>
      <c r="B440" s="1">
        <v>-162.53</v>
      </c>
      <c r="C440" s="1">
        <v>-41.45</v>
      </c>
      <c r="D440" s="1">
        <v>36.03</v>
      </c>
      <c r="E440" s="1">
        <v>67.64</v>
      </c>
      <c r="F440" s="1">
        <v>0</v>
      </c>
      <c r="G440" s="1">
        <v>-16.95</v>
      </c>
      <c r="H440" s="1">
        <v>12</v>
      </c>
      <c r="I440" s="1">
        <v>0</v>
      </c>
      <c r="J440" s="1">
        <v>135.22999999999999</v>
      </c>
      <c r="K440" s="1">
        <v>0</v>
      </c>
      <c r="L440" s="1">
        <v>0.08</v>
      </c>
      <c r="M440" s="1">
        <v>30.12</v>
      </c>
      <c r="N440" s="1">
        <v>5.37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1" cm="1">
        <f t="array" ref="U440">SUM(ABS(B440:T440))</f>
        <v>507.40000000000003</v>
      </c>
    </row>
    <row r="441" spans="1:21" x14ac:dyDescent="0.3">
      <c r="A441" s="14">
        <v>45905.5625</v>
      </c>
      <c r="B441" s="1">
        <v>-217.79</v>
      </c>
      <c r="C441" s="1">
        <v>-41.46</v>
      </c>
      <c r="D441" s="1">
        <v>35.99</v>
      </c>
      <c r="E441" s="1">
        <v>69.25</v>
      </c>
      <c r="F441" s="1">
        <v>0</v>
      </c>
      <c r="G441" s="1">
        <v>-17.149999999999999</v>
      </c>
      <c r="H441" s="1">
        <v>12</v>
      </c>
      <c r="I441" s="1">
        <v>0</v>
      </c>
      <c r="J441" s="1">
        <v>139.26</v>
      </c>
      <c r="K441" s="1">
        <v>0</v>
      </c>
      <c r="L441" s="1">
        <v>7.0000000000000007E-2</v>
      </c>
      <c r="M441" s="1">
        <v>30.13</v>
      </c>
      <c r="N441" s="1">
        <v>5.38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1" cm="1">
        <f t="array" ref="U441">SUM(ABS(B441:T441))</f>
        <v>568.48</v>
      </c>
    </row>
    <row r="442" spans="1:21" x14ac:dyDescent="0.3">
      <c r="A442" s="14">
        <v>45905.572916666664</v>
      </c>
      <c r="B442" s="1">
        <v>-208.23</v>
      </c>
      <c r="C442" s="1">
        <v>-54.11</v>
      </c>
      <c r="D442" s="1">
        <v>35.909999999999997</v>
      </c>
      <c r="E442" s="1">
        <v>68.14</v>
      </c>
      <c r="F442" s="1">
        <v>0</v>
      </c>
      <c r="G442" s="1">
        <v>-17.04</v>
      </c>
      <c r="H442" s="1">
        <v>12</v>
      </c>
      <c r="I442" s="1">
        <v>0</v>
      </c>
      <c r="J442" s="1">
        <v>136.63999999999999</v>
      </c>
      <c r="K442" s="1">
        <v>0</v>
      </c>
      <c r="L442" s="1">
        <v>0.08</v>
      </c>
      <c r="M442" s="1">
        <v>30.13</v>
      </c>
      <c r="N442" s="1">
        <v>5.37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1" cm="1">
        <f t="array" ref="U442">SUM(ABS(B442:T442))</f>
        <v>567.65</v>
      </c>
    </row>
    <row r="443" spans="1:21" x14ac:dyDescent="0.3">
      <c r="A443" s="14">
        <v>45905.583333333336</v>
      </c>
      <c r="B443" s="1">
        <v>-112.9</v>
      </c>
      <c r="C443" s="1">
        <v>-54.6</v>
      </c>
      <c r="D443" s="1">
        <v>35.83</v>
      </c>
      <c r="E443" s="1">
        <v>93.59</v>
      </c>
      <c r="F443" s="1">
        <v>0</v>
      </c>
      <c r="G443" s="1">
        <v>-16.920000000000002</v>
      </c>
      <c r="H443" s="1">
        <v>12</v>
      </c>
      <c r="I443" s="1">
        <v>0</v>
      </c>
      <c r="J443" s="1">
        <v>135.96</v>
      </c>
      <c r="K443" s="1">
        <v>0</v>
      </c>
      <c r="L443" s="1">
        <v>0.09</v>
      </c>
      <c r="M443" s="1">
        <v>30.14</v>
      </c>
      <c r="N443" s="1">
        <v>5.38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1" cm="1">
        <f t="array" ref="U443">SUM(ABS(B443:T443))</f>
        <v>497.40999999999991</v>
      </c>
    </row>
    <row r="444" spans="1:21" x14ac:dyDescent="0.3">
      <c r="A444" s="14">
        <v>45905.59375</v>
      </c>
      <c r="B444" s="1">
        <v>-194.88</v>
      </c>
      <c r="C444" s="1">
        <v>-54.61</v>
      </c>
      <c r="D444" s="1">
        <v>35.74</v>
      </c>
      <c r="E444" s="1">
        <v>113.56</v>
      </c>
      <c r="F444" s="1">
        <v>0</v>
      </c>
      <c r="G444" s="1">
        <v>-16.86</v>
      </c>
      <c r="H444" s="1">
        <v>12</v>
      </c>
      <c r="I444" s="1">
        <v>0</v>
      </c>
      <c r="J444" s="1">
        <v>144.66</v>
      </c>
      <c r="K444" s="1">
        <v>0</v>
      </c>
      <c r="L444" s="1">
        <v>0.09</v>
      </c>
      <c r="M444" s="1">
        <v>30.13</v>
      </c>
      <c r="N444" s="1">
        <v>2.0299999999999998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1" cm="1">
        <f t="array" ref="U444">SUM(ABS(B444:T444))</f>
        <v>604.56000000000006</v>
      </c>
    </row>
    <row r="445" spans="1:21" x14ac:dyDescent="0.3">
      <c r="A445" s="14">
        <v>45905.604166666664</v>
      </c>
      <c r="B445" s="1">
        <v>-247.58</v>
      </c>
      <c r="C445" s="1">
        <v>-54.61</v>
      </c>
      <c r="D445" s="1">
        <v>35.69</v>
      </c>
      <c r="E445" s="1">
        <v>145.83000000000001</v>
      </c>
      <c r="F445" s="1">
        <v>0</v>
      </c>
      <c r="G445" s="1">
        <v>-16.93</v>
      </c>
      <c r="H445" s="1">
        <v>12</v>
      </c>
      <c r="I445" s="1">
        <v>0</v>
      </c>
      <c r="J445" s="1">
        <v>185.79</v>
      </c>
      <c r="K445" s="1">
        <v>0</v>
      </c>
      <c r="L445" s="1">
        <v>0.09</v>
      </c>
      <c r="M445" s="1">
        <v>30.11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1" cm="1">
        <f t="array" ref="U445">SUM(ABS(B445:T445))</f>
        <v>728.63000000000011</v>
      </c>
    </row>
    <row r="446" spans="1:21" x14ac:dyDescent="0.3">
      <c r="A446" s="14">
        <v>45905.614583333336</v>
      </c>
      <c r="B446" s="1">
        <v>-214.33</v>
      </c>
      <c r="C446" s="1">
        <v>-54.6</v>
      </c>
      <c r="D446" s="1">
        <v>35.65</v>
      </c>
      <c r="E446" s="1">
        <v>146.07</v>
      </c>
      <c r="F446" s="1">
        <v>0</v>
      </c>
      <c r="G446" s="1">
        <v>-16.940000000000001</v>
      </c>
      <c r="H446" s="1">
        <v>12</v>
      </c>
      <c r="I446" s="1">
        <v>0</v>
      </c>
      <c r="J446" s="1">
        <v>187.23</v>
      </c>
      <c r="K446" s="1">
        <v>0</v>
      </c>
      <c r="L446" s="1">
        <v>0.09</v>
      </c>
      <c r="M446" s="1">
        <v>30.13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1" cm="1">
        <f t="array" ref="U446">SUM(ABS(B446:T446))</f>
        <v>697.04</v>
      </c>
    </row>
    <row r="447" spans="1:21" x14ac:dyDescent="0.3">
      <c r="A447" s="14">
        <v>45905.625</v>
      </c>
      <c r="B447" s="1">
        <v>-200.86</v>
      </c>
      <c r="C447" s="1">
        <v>-54.57</v>
      </c>
      <c r="D447" s="1">
        <v>35.58</v>
      </c>
      <c r="E447" s="1">
        <v>144.24</v>
      </c>
      <c r="F447" s="1">
        <v>0</v>
      </c>
      <c r="G447" s="1">
        <v>-16.7</v>
      </c>
      <c r="H447" s="1">
        <v>12</v>
      </c>
      <c r="I447" s="1">
        <v>0</v>
      </c>
      <c r="J447" s="1">
        <v>213.17</v>
      </c>
      <c r="K447" s="1">
        <v>0</v>
      </c>
      <c r="L447" s="1">
        <v>0.1</v>
      </c>
      <c r="M447" s="1">
        <v>30.13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1" cm="1">
        <f t="array" ref="U447">SUM(ABS(B447:T447))</f>
        <v>707.35</v>
      </c>
    </row>
    <row r="448" spans="1:21" x14ac:dyDescent="0.3">
      <c r="A448" s="14">
        <v>45905.635416666664</v>
      </c>
      <c r="B448" s="1">
        <v>-314.12</v>
      </c>
      <c r="C448" s="1">
        <v>-54.59</v>
      </c>
      <c r="D448" s="1">
        <v>35.58</v>
      </c>
      <c r="E448" s="1">
        <v>150.22</v>
      </c>
      <c r="F448" s="1">
        <v>0</v>
      </c>
      <c r="G448" s="1">
        <v>-16.87</v>
      </c>
      <c r="H448" s="1">
        <v>12</v>
      </c>
      <c r="I448" s="1">
        <v>0</v>
      </c>
      <c r="J448" s="1">
        <v>214.96</v>
      </c>
      <c r="K448" s="1">
        <v>1.28</v>
      </c>
      <c r="L448" s="1">
        <v>0.09</v>
      </c>
      <c r="M448" s="1">
        <v>30.12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1" cm="1">
        <f t="array" ref="U448">SUM(ABS(B448:T448))</f>
        <v>829.83</v>
      </c>
    </row>
    <row r="449" spans="1:21" x14ac:dyDescent="0.3">
      <c r="A449" s="14">
        <v>45905.645833333336</v>
      </c>
      <c r="B449" s="1">
        <v>-376.79</v>
      </c>
      <c r="C449" s="1">
        <v>-54.57</v>
      </c>
      <c r="D449" s="1">
        <v>35.54</v>
      </c>
      <c r="E449" s="1">
        <v>155.72</v>
      </c>
      <c r="F449" s="1">
        <v>0</v>
      </c>
      <c r="G449" s="1">
        <v>-16.91</v>
      </c>
      <c r="H449" s="1">
        <v>12</v>
      </c>
      <c r="I449" s="1">
        <v>0</v>
      </c>
      <c r="J449" s="1">
        <v>240.11</v>
      </c>
      <c r="K449" s="1">
        <v>6.44</v>
      </c>
      <c r="L449" s="1">
        <v>7.0000000000000007E-2</v>
      </c>
      <c r="M449" s="1">
        <v>30.12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1" cm="1">
        <f t="array" ref="U449">SUM(ABS(B449:T449))</f>
        <v>928.2700000000001</v>
      </c>
    </row>
    <row r="450" spans="1:21" x14ac:dyDescent="0.3">
      <c r="A450" s="14">
        <v>45905.65625</v>
      </c>
      <c r="B450" s="1">
        <v>-369.27</v>
      </c>
      <c r="C450" s="1">
        <v>-54.57</v>
      </c>
      <c r="D450" s="1">
        <v>35.53</v>
      </c>
      <c r="E450" s="1">
        <v>154.75</v>
      </c>
      <c r="F450" s="1">
        <v>0</v>
      </c>
      <c r="G450" s="1">
        <v>-16.73</v>
      </c>
      <c r="H450" s="1">
        <v>12</v>
      </c>
      <c r="I450" s="1">
        <v>0</v>
      </c>
      <c r="J450" s="1">
        <v>273.04000000000002</v>
      </c>
      <c r="K450" s="1">
        <v>6.41</v>
      </c>
      <c r="L450" s="1">
        <v>7.0000000000000007E-2</v>
      </c>
      <c r="M450" s="1">
        <v>30.11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1" cm="1">
        <f t="array" ref="U450">SUM(ABS(B450:T450))</f>
        <v>952.48000000000013</v>
      </c>
    </row>
    <row r="451" spans="1:21" x14ac:dyDescent="0.3">
      <c r="A451" s="14">
        <v>45905.666666666664</v>
      </c>
      <c r="B451" s="1">
        <v>-351.82</v>
      </c>
      <c r="C451" s="1">
        <v>-54.55</v>
      </c>
      <c r="D451" s="1">
        <v>35.520000000000003</v>
      </c>
      <c r="E451" s="1">
        <v>152.94999999999999</v>
      </c>
      <c r="F451" s="1">
        <v>0</v>
      </c>
      <c r="G451" s="1">
        <v>-16.52</v>
      </c>
      <c r="H451" s="1">
        <v>12</v>
      </c>
      <c r="I451" s="1">
        <v>0</v>
      </c>
      <c r="J451" s="1">
        <v>271.02999999999997</v>
      </c>
      <c r="K451" s="1">
        <v>6.42</v>
      </c>
      <c r="L451" s="1">
        <v>0.17</v>
      </c>
      <c r="M451" s="1">
        <v>30.13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1" cm="1">
        <f t="array" ref="U451">SUM(ABS(B451:T451))</f>
        <v>931.10999999999979</v>
      </c>
    </row>
    <row r="452" spans="1:21" x14ac:dyDescent="0.3">
      <c r="A452" s="14">
        <v>45905.677083333336</v>
      </c>
      <c r="B452" s="1">
        <v>-458.5</v>
      </c>
      <c r="C452" s="1">
        <v>-54.55</v>
      </c>
      <c r="D452" s="1">
        <v>35.520000000000003</v>
      </c>
      <c r="E452" s="1">
        <v>162.26</v>
      </c>
      <c r="F452" s="1">
        <v>0</v>
      </c>
      <c r="G452" s="1">
        <v>-16.57</v>
      </c>
      <c r="H452" s="1">
        <v>12</v>
      </c>
      <c r="I452" s="1">
        <v>0</v>
      </c>
      <c r="J452" s="1">
        <v>272.19</v>
      </c>
      <c r="K452" s="1">
        <v>11.15</v>
      </c>
      <c r="L452" s="1">
        <v>-4.82</v>
      </c>
      <c r="M452" s="1">
        <v>30.13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1" cm="1">
        <f t="array" ref="U452">SUM(ABS(B452:T452))</f>
        <v>1057.69</v>
      </c>
    </row>
    <row r="453" spans="1:21" x14ac:dyDescent="0.3">
      <c r="A453" s="14">
        <v>45905.6875</v>
      </c>
      <c r="B453" s="1">
        <v>-526.9</v>
      </c>
      <c r="C453" s="1">
        <v>-54.56</v>
      </c>
      <c r="D453" s="1">
        <v>35.520000000000003</v>
      </c>
      <c r="E453" s="1">
        <v>147.38</v>
      </c>
      <c r="F453" s="1">
        <v>0</v>
      </c>
      <c r="G453" s="1">
        <v>-16.670000000000002</v>
      </c>
      <c r="H453" s="1">
        <v>12</v>
      </c>
      <c r="I453" s="1">
        <v>0</v>
      </c>
      <c r="J453" s="1">
        <v>272.87</v>
      </c>
      <c r="K453" s="1">
        <v>17.05</v>
      </c>
      <c r="L453" s="1">
        <v>-15.37</v>
      </c>
      <c r="M453" s="1">
        <v>30.12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1" cm="1">
        <f t="array" ref="U453">SUM(ABS(B453:T453))</f>
        <v>1128.4399999999998</v>
      </c>
    </row>
    <row r="454" spans="1:21" x14ac:dyDescent="0.3">
      <c r="A454" s="14">
        <v>45905.697916666664</v>
      </c>
      <c r="B454" s="1">
        <v>-497.38</v>
      </c>
      <c r="C454" s="1">
        <v>-54.57</v>
      </c>
      <c r="D454" s="1">
        <v>35.56</v>
      </c>
      <c r="E454" s="1">
        <v>155.11000000000001</v>
      </c>
      <c r="F454" s="1">
        <v>0</v>
      </c>
      <c r="G454" s="1">
        <v>-16.899999999999999</v>
      </c>
      <c r="H454" s="1">
        <v>12</v>
      </c>
      <c r="I454" s="1">
        <v>0</v>
      </c>
      <c r="J454" s="1">
        <v>273.42</v>
      </c>
      <c r="K454" s="1">
        <v>19.04</v>
      </c>
      <c r="L454" s="1">
        <v>-25.62</v>
      </c>
      <c r="M454" s="1">
        <v>30.13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1" cm="1">
        <f t="array" ref="U454">SUM(ABS(B454:T454))</f>
        <v>1119.73</v>
      </c>
    </row>
    <row r="455" spans="1:21" x14ac:dyDescent="0.3">
      <c r="A455" s="14">
        <v>45905.708333333336</v>
      </c>
      <c r="B455" s="1">
        <v>-409.78</v>
      </c>
      <c r="C455" s="1">
        <v>-54.59</v>
      </c>
      <c r="D455" s="1">
        <v>35.6</v>
      </c>
      <c r="E455" s="1">
        <v>165.98</v>
      </c>
      <c r="F455" s="1">
        <v>0</v>
      </c>
      <c r="G455" s="1">
        <v>-16.91</v>
      </c>
      <c r="H455" s="1">
        <v>12</v>
      </c>
      <c r="I455" s="1">
        <v>0</v>
      </c>
      <c r="J455" s="1">
        <v>273.45999999999998</v>
      </c>
      <c r="K455" s="1">
        <v>19.13</v>
      </c>
      <c r="L455" s="1">
        <v>-30.76</v>
      </c>
      <c r="M455" s="1">
        <v>30.12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1" cm="1">
        <f t="array" ref="U455">SUM(ABS(B455:T455))</f>
        <v>1048.33</v>
      </c>
    </row>
    <row r="456" spans="1:21" x14ac:dyDescent="0.3">
      <c r="A456" s="14">
        <v>45905.71875</v>
      </c>
      <c r="B456" s="1">
        <v>-414.78</v>
      </c>
      <c r="C456" s="1">
        <v>-54.59</v>
      </c>
      <c r="D456" s="1">
        <v>35.619999999999997</v>
      </c>
      <c r="E456" s="1">
        <v>128.29</v>
      </c>
      <c r="F456" s="1">
        <v>0</v>
      </c>
      <c r="G456" s="1">
        <v>-17.09</v>
      </c>
      <c r="H456" s="1">
        <v>12</v>
      </c>
      <c r="I456" s="1">
        <v>0</v>
      </c>
      <c r="J456" s="1">
        <v>273.44</v>
      </c>
      <c r="K456" s="1">
        <v>20.67</v>
      </c>
      <c r="L456" s="1">
        <v>-30.79</v>
      </c>
      <c r="M456" s="1">
        <v>30.15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1" cm="1">
        <f t="array" ref="U456">SUM(ABS(B456:T456))</f>
        <v>1017.4199999999998</v>
      </c>
    </row>
    <row r="457" spans="1:21" x14ac:dyDescent="0.3">
      <c r="A457" s="14">
        <v>45905.729166666664</v>
      </c>
      <c r="B457" s="1">
        <v>-616.86</v>
      </c>
      <c r="C457" s="1">
        <v>-54.56</v>
      </c>
      <c r="D457" s="1">
        <v>35.61</v>
      </c>
      <c r="E457" s="1">
        <v>139.77000000000001</v>
      </c>
      <c r="F457" s="1">
        <v>0</v>
      </c>
      <c r="G457" s="1">
        <v>-16.87</v>
      </c>
      <c r="H457" s="1">
        <v>12</v>
      </c>
      <c r="I457" s="1">
        <v>0</v>
      </c>
      <c r="J457" s="1">
        <v>273.52999999999997</v>
      </c>
      <c r="K457" s="1">
        <v>25.32</v>
      </c>
      <c r="L457" s="1">
        <v>-30.8</v>
      </c>
      <c r="M457" s="1">
        <v>30.15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1" cm="1">
        <f t="array" ref="U457">SUM(ABS(B457:T457))</f>
        <v>1235.47</v>
      </c>
    </row>
    <row r="458" spans="1:21" x14ac:dyDescent="0.3">
      <c r="A458" s="14">
        <v>45905.739583333336</v>
      </c>
      <c r="B458" s="1">
        <v>-681.86</v>
      </c>
      <c r="C458" s="1">
        <v>-54.57</v>
      </c>
      <c r="D458" s="1">
        <v>35.619999999999997</v>
      </c>
      <c r="E458" s="1">
        <v>141.07</v>
      </c>
      <c r="F458" s="1">
        <v>0</v>
      </c>
      <c r="G458" s="1">
        <v>-16.829999999999998</v>
      </c>
      <c r="H458" s="1">
        <v>14.8</v>
      </c>
      <c r="I458" s="1">
        <v>0</v>
      </c>
      <c r="J458" s="1">
        <v>273.29000000000002</v>
      </c>
      <c r="K458" s="1">
        <v>25.3</v>
      </c>
      <c r="L458" s="1">
        <v>-30.79</v>
      </c>
      <c r="M458" s="1">
        <v>30.14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1" cm="1">
        <f t="array" ref="U458">SUM(ABS(B458:T458))</f>
        <v>1304.2700000000002</v>
      </c>
    </row>
    <row r="459" spans="1:21" x14ac:dyDescent="0.3">
      <c r="A459" s="14">
        <v>45905.75</v>
      </c>
      <c r="B459" s="1">
        <v>-559.29999999999995</v>
      </c>
      <c r="C459" s="1">
        <v>-54.56</v>
      </c>
      <c r="D459" s="1">
        <v>35.549999999999997</v>
      </c>
      <c r="E459" s="1">
        <v>107.84</v>
      </c>
      <c r="F459" s="1">
        <v>0</v>
      </c>
      <c r="G459" s="1">
        <v>-16.510000000000002</v>
      </c>
      <c r="H459" s="1">
        <v>20.88</v>
      </c>
      <c r="I459" s="1">
        <v>0</v>
      </c>
      <c r="J459" s="1">
        <v>256.58999999999997</v>
      </c>
      <c r="K459" s="1">
        <v>25.29</v>
      </c>
      <c r="L459" s="1">
        <v>-30.8</v>
      </c>
      <c r="M459" s="1">
        <v>30.16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1" cm="1">
        <f t="array" ref="U459">SUM(ABS(B459:T459))</f>
        <v>1137.4799999999998</v>
      </c>
    </row>
    <row r="460" spans="1:21" x14ac:dyDescent="0.3">
      <c r="A460" s="14">
        <v>45905.760416666664</v>
      </c>
      <c r="B460" s="1">
        <v>-572.67999999999995</v>
      </c>
      <c r="C460" s="1">
        <v>-54.61</v>
      </c>
      <c r="D460" s="1">
        <v>35.57</v>
      </c>
      <c r="E460" s="1">
        <v>108.75</v>
      </c>
      <c r="F460" s="1">
        <v>0</v>
      </c>
      <c r="G460" s="1">
        <v>-16.87</v>
      </c>
      <c r="H460" s="1">
        <v>20.88</v>
      </c>
      <c r="I460" s="1">
        <v>0</v>
      </c>
      <c r="J460" s="1">
        <v>265.27</v>
      </c>
      <c r="K460" s="1">
        <v>25.95</v>
      </c>
      <c r="L460" s="1">
        <v>-30.82</v>
      </c>
      <c r="M460" s="1">
        <v>30.15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1" cm="1">
        <f t="array" ref="U460">SUM(ABS(B460:T460))</f>
        <v>1161.5500000000002</v>
      </c>
    </row>
    <row r="461" spans="1:21" x14ac:dyDescent="0.3">
      <c r="A461" s="14">
        <v>45905.770833333336</v>
      </c>
      <c r="B461" s="1">
        <v>-616.37</v>
      </c>
      <c r="C461" s="1">
        <v>-54.56</v>
      </c>
      <c r="D461" s="1">
        <v>35.619999999999997</v>
      </c>
      <c r="E461" s="1">
        <v>124.01</v>
      </c>
      <c r="F461" s="1">
        <v>44.02</v>
      </c>
      <c r="G461" s="1">
        <v>-27.34</v>
      </c>
      <c r="H461" s="1">
        <v>32.590000000000003</v>
      </c>
      <c r="I461" s="1">
        <v>0</v>
      </c>
      <c r="J461" s="1">
        <v>272.19</v>
      </c>
      <c r="K461" s="1">
        <v>34.380000000000003</v>
      </c>
      <c r="L461" s="1">
        <v>-30.81</v>
      </c>
      <c r="M461" s="1">
        <v>32.979999999999997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1" cm="1">
        <f t="array" ref="U461">SUM(ABS(B461:T461))</f>
        <v>1304.8700000000001</v>
      </c>
    </row>
    <row r="462" spans="1:21" x14ac:dyDescent="0.3">
      <c r="A462" s="14">
        <v>45905.78125</v>
      </c>
      <c r="B462" s="1">
        <v>-644.82000000000005</v>
      </c>
      <c r="C462" s="1">
        <v>-54.55</v>
      </c>
      <c r="D462" s="1">
        <v>35.630000000000003</v>
      </c>
      <c r="E462" s="1">
        <v>134.31</v>
      </c>
      <c r="F462" s="1">
        <v>97.23</v>
      </c>
      <c r="G462" s="1">
        <v>-33.28</v>
      </c>
      <c r="H462" s="1">
        <v>54.49</v>
      </c>
      <c r="I462" s="1">
        <v>0</v>
      </c>
      <c r="J462" s="1">
        <v>270.95</v>
      </c>
      <c r="K462" s="1">
        <v>38.020000000000003</v>
      </c>
      <c r="L462" s="1">
        <v>-30.83</v>
      </c>
      <c r="M462" s="1">
        <v>54.22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1" cm="1">
        <f t="array" ref="U462">SUM(ABS(B462:T462))</f>
        <v>1448.33</v>
      </c>
    </row>
    <row r="463" spans="1:21" x14ac:dyDescent="0.3">
      <c r="A463" s="14">
        <v>45905.791666666664</v>
      </c>
      <c r="B463" s="1">
        <v>-731.77</v>
      </c>
      <c r="C463" s="1">
        <v>-54.58</v>
      </c>
      <c r="D463" s="1">
        <v>35.659999999999997</v>
      </c>
      <c r="E463" s="1">
        <v>164.3</v>
      </c>
      <c r="F463" s="1">
        <v>109.68</v>
      </c>
      <c r="G463" s="1">
        <v>-33.47</v>
      </c>
      <c r="H463" s="1">
        <v>65.760000000000005</v>
      </c>
      <c r="I463" s="1">
        <v>0</v>
      </c>
      <c r="J463" s="1">
        <v>271.95</v>
      </c>
      <c r="K463" s="1">
        <v>47.29</v>
      </c>
      <c r="L463" s="1">
        <v>-30.84</v>
      </c>
      <c r="M463" s="1">
        <v>54.21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1" cm="1">
        <f t="array" ref="U463">SUM(ABS(B463:T463))</f>
        <v>1599.51</v>
      </c>
    </row>
    <row r="464" spans="1:21" x14ac:dyDescent="0.3">
      <c r="A464" s="14">
        <v>45905.802083333336</v>
      </c>
      <c r="B464" s="1">
        <v>-735.46</v>
      </c>
      <c r="C464" s="1">
        <v>-54.58</v>
      </c>
      <c r="D464" s="1">
        <v>35.65</v>
      </c>
      <c r="E464" s="1">
        <v>168.4</v>
      </c>
      <c r="F464" s="1">
        <v>114.06</v>
      </c>
      <c r="G464" s="1">
        <v>-33.53</v>
      </c>
      <c r="H464" s="1">
        <v>66.42</v>
      </c>
      <c r="I464" s="1">
        <v>0</v>
      </c>
      <c r="J464" s="1">
        <v>272.57</v>
      </c>
      <c r="K464" s="1">
        <v>50.65</v>
      </c>
      <c r="L464" s="1">
        <v>-30.84</v>
      </c>
      <c r="M464" s="1">
        <v>54.19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1" cm="1">
        <f t="array" ref="U464">SUM(ABS(B464:T464))</f>
        <v>1616.3500000000001</v>
      </c>
    </row>
    <row r="465" spans="1:21" x14ac:dyDescent="0.3">
      <c r="A465" s="14">
        <v>45905.8125</v>
      </c>
      <c r="B465" s="1">
        <v>-735.81</v>
      </c>
      <c r="C465" s="1">
        <v>-54.55</v>
      </c>
      <c r="D465" s="1">
        <v>35.64</v>
      </c>
      <c r="E465" s="1">
        <v>168.44</v>
      </c>
      <c r="F465" s="1">
        <v>113.96</v>
      </c>
      <c r="G465" s="1">
        <v>-33.54</v>
      </c>
      <c r="H465" s="1">
        <v>66.41</v>
      </c>
      <c r="I465" s="1">
        <v>0</v>
      </c>
      <c r="J465" s="1">
        <v>272.52999999999997</v>
      </c>
      <c r="K465" s="1">
        <v>50.63</v>
      </c>
      <c r="L465" s="1">
        <v>-30.84</v>
      </c>
      <c r="M465" s="1">
        <v>54.18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1" cm="1">
        <f t="array" ref="U465">SUM(ABS(B465:T465))</f>
        <v>1616.53</v>
      </c>
    </row>
    <row r="466" spans="1:21" x14ac:dyDescent="0.3">
      <c r="A466" s="14">
        <v>45905.822916666664</v>
      </c>
      <c r="B466" s="1">
        <v>-732.95</v>
      </c>
      <c r="C466" s="1">
        <v>-54.54</v>
      </c>
      <c r="D466" s="1">
        <v>35.65</v>
      </c>
      <c r="E466" s="1">
        <v>167.32</v>
      </c>
      <c r="F466" s="1">
        <v>113.78</v>
      </c>
      <c r="G466" s="1">
        <v>-33.33</v>
      </c>
      <c r="H466" s="1">
        <v>66.400000000000006</v>
      </c>
      <c r="I466" s="1">
        <v>0</v>
      </c>
      <c r="J466" s="1">
        <v>271.68</v>
      </c>
      <c r="K466" s="1">
        <v>50.6</v>
      </c>
      <c r="L466" s="1">
        <v>-30.84</v>
      </c>
      <c r="M466" s="1">
        <v>54.2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1" cm="1">
        <f t="array" ref="U466">SUM(ABS(B466:T466))</f>
        <v>1611.29</v>
      </c>
    </row>
    <row r="467" spans="1:21" x14ac:dyDescent="0.3">
      <c r="A467" s="14">
        <v>45905.833333333336</v>
      </c>
      <c r="B467" s="1">
        <v>-663.79</v>
      </c>
      <c r="C467" s="1">
        <v>-54.54</v>
      </c>
      <c r="D467" s="1">
        <v>35.68</v>
      </c>
      <c r="E467" s="1">
        <v>149.43</v>
      </c>
      <c r="F467" s="1">
        <v>113.67</v>
      </c>
      <c r="G467" s="1">
        <v>-33.14</v>
      </c>
      <c r="H467" s="1">
        <v>66.38</v>
      </c>
      <c r="I467" s="1">
        <v>0</v>
      </c>
      <c r="J467" s="1">
        <v>270.5</v>
      </c>
      <c r="K467" s="1">
        <v>50.59</v>
      </c>
      <c r="L467" s="1">
        <v>-30.84</v>
      </c>
      <c r="M467" s="1">
        <v>54.23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1" cm="1">
        <f t="array" ref="U467">SUM(ABS(B467:T467))</f>
        <v>1522.7899999999995</v>
      </c>
    </row>
    <row r="468" spans="1:21" x14ac:dyDescent="0.3">
      <c r="A468" s="14">
        <v>45905.84375</v>
      </c>
      <c r="B468" s="1">
        <v>-595.69000000000005</v>
      </c>
      <c r="C468" s="1">
        <v>-54.51</v>
      </c>
      <c r="D468" s="1">
        <v>35.71</v>
      </c>
      <c r="E468" s="1">
        <v>151.56</v>
      </c>
      <c r="F468" s="1">
        <v>113.57</v>
      </c>
      <c r="G468" s="1">
        <v>-33.020000000000003</v>
      </c>
      <c r="H468" s="1">
        <v>66.36</v>
      </c>
      <c r="I468" s="1">
        <v>0</v>
      </c>
      <c r="J468" s="1">
        <v>269.33</v>
      </c>
      <c r="K468" s="1">
        <v>50.61</v>
      </c>
      <c r="L468" s="1">
        <v>-30.84</v>
      </c>
      <c r="M468" s="1">
        <v>54.23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1" cm="1">
        <f t="array" ref="U468">SUM(ABS(B468:T468))</f>
        <v>1455.4299999999996</v>
      </c>
    </row>
    <row r="469" spans="1:21" x14ac:dyDescent="0.3">
      <c r="A469" s="14">
        <v>45905.854166666664</v>
      </c>
      <c r="B469" s="1">
        <v>-720.1</v>
      </c>
      <c r="C469" s="1">
        <v>-54.51</v>
      </c>
      <c r="D469" s="1">
        <v>35.729999999999997</v>
      </c>
      <c r="E469" s="1">
        <v>166.7</v>
      </c>
      <c r="F469" s="1">
        <v>113.46</v>
      </c>
      <c r="G469" s="1">
        <v>-33.33</v>
      </c>
      <c r="H469" s="1">
        <v>66.38</v>
      </c>
      <c r="I469" s="1">
        <v>0</v>
      </c>
      <c r="J469" s="1">
        <v>271.47000000000003</v>
      </c>
      <c r="K469" s="1">
        <v>50.6</v>
      </c>
      <c r="L469" s="1">
        <v>-30.86</v>
      </c>
      <c r="M469" s="1">
        <v>54.22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1" cm="1">
        <f t="array" ref="U469">SUM(ABS(B469:T469))</f>
        <v>1597.36</v>
      </c>
    </row>
    <row r="470" spans="1:21" x14ac:dyDescent="0.3">
      <c r="A470" s="14">
        <v>45905.864583333336</v>
      </c>
      <c r="B470" s="1">
        <v>-735.7</v>
      </c>
      <c r="C470" s="1">
        <v>-54.53</v>
      </c>
      <c r="D470" s="1">
        <v>35.75</v>
      </c>
      <c r="E470" s="1">
        <v>167.12</v>
      </c>
      <c r="F470" s="1">
        <v>113.39</v>
      </c>
      <c r="G470" s="1">
        <v>-33.659999999999997</v>
      </c>
      <c r="H470" s="1">
        <v>66.38</v>
      </c>
      <c r="I470" s="1">
        <v>0</v>
      </c>
      <c r="J470" s="1">
        <v>272.66000000000003</v>
      </c>
      <c r="K470" s="1">
        <v>50.61</v>
      </c>
      <c r="L470" s="1">
        <v>-30.86</v>
      </c>
      <c r="M470" s="1">
        <v>54.22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1" cm="1">
        <f t="array" ref="U470">SUM(ABS(B470:T470))</f>
        <v>1614.88</v>
      </c>
    </row>
    <row r="471" spans="1:21" x14ac:dyDescent="0.3">
      <c r="A471" s="14">
        <v>45905.875</v>
      </c>
      <c r="B471" s="1">
        <v>-729.34</v>
      </c>
      <c r="C471" s="1">
        <v>-54.53</v>
      </c>
      <c r="D471" s="1">
        <v>35.76</v>
      </c>
      <c r="E471" s="1">
        <v>165.63</v>
      </c>
      <c r="F471" s="1">
        <v>113.24</v>
      </c>
      <c r="G471" s="1">
        <v>-33.06</v>
      </c>
      <c r="H471" s="1">
        <v>66.36</v>
      </c>
      <c r="I471" s="1">
        <v>0</v>
      </c>
      <c r="J471" s="1">
        <v>269.77999999999997</v>
      </c>
      <c r="K471" s="1">
        <v>50.57</v>
      </c>
      <c r="L471" s="1">
        <v>-30.86</v>
      </c>
      <c r="M471" s="1">
        <v>54.22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1" cm="1">
        <f t="array" ref="U471">SUM(ABS(B471:T471))</f>
        <v>1603.3499999999997</v>
      </c>
    </row>
    <row r="472" spans="1:21" x14ac:dyDescent="0.3">
      <c r="A472" s="14">
        <v>45905.885416666664</v>
      </c>
      <c r="B472" s="1">
        <v>-733.39</v>
      </c>
      <c r="C472" s="1">
        <v>-54.51</v>
      </c>
      <c r="D472" s="1">
        <v>35.76</v>
      </c>
      <c r="E472" s="1">
        <v>166.6</v>
      </c>
      <c r="F472" s="1">
        <v>113.18</v>
      </c>
      <c r="G472" s="1">
        <v>-33.270000000000003</v>
      </c>
      <c r="H472" s="1">
        <v>66.37</v>
      </c>
      <c r="I472" s="1">
        <v>0</v>
      </c>
      <c r="J472" s="1">
        <v>271.14999999999998</v>
      </c>
      <c r="K472" s="1">
        <v>50.59</v>
      </c>
      <c r="L472" s="1">
        <v>-30.86</v>
      </c>
      <c r="M472" s="1">
        <v>54.22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1" cm="1">
        <f t="array" ref="U472">SUM(ABS(B472:T472))</f>
        <v>1609.8999999999999</v>
      </c>
    </row>
    <row r="473" spans="1:21" x14ac:dyDescent="0.3">
      <c r="A473" s="14">
        <v>45905.895833333336</v>
      </c>
      <c r="B473" s="1">
        <v>-733.29</v>
      </c>
      <c r="C473" s="1">
        <v>-54.51</v>
      </c>
      <c r="D473" s="1">
        <v>35.770000000000003</v>
      </c>
      <c r="E473" s="1">
        <v>166.56</v>
      </c>
      <c r="F473" s="1">
        <v>113.07</v>
      </c>
      <c r="G473" s="1">
        <v>-33.25</v>
      </c>
      <c r="H473" s="1">
        <v>66.37</v>
      </c>
      <c r="I473" s="1">
        <v>0</v>
      </c>
      <c r="J473" s="1">
        <v>271.41000000000003</v>
      </c>
      <c r="K473" s="1">
        <v>50.58</v>
      </c>
      <c r="L473" s="1">
        <v>-30.84</v>
      </c>
      <c r="M473" s="1">
        <v>54.23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1" cm="1">
        <f t="array" ref="U473">SUM(ABS(B473:T473))</f>
        <v>1609.8799999999997</v>
      </c>
    </row>
    <row r="474" spans="1:21" x14ac:dyDescent="0.3">
      <c r="A474" s="14">
        <v>45905.90625</v>
      </c>
      <c r="B474" s="1">
        <v>-734.72</v>
      </c>
      <c r="C474" s="1">
        <v>-54.53</v>
      </c>
      <c r="D474" s="1">
        <v>35.78</v>
      </c>
      <c r="E474" s="1">
        <v>167.12</v>
      </c>
      <c r="F474" s="1">
        <v>112.99</v>
      </c>
      <c r="G474" s="1">
        <v>-33.380000000000003</v>
      </c>
      <c r="H474" s="1">
        <v>66.349999999999994</v>
      </c>
      <c r="I474" s="1">
        <v>0</v>
      </c>
      <c r="J474" s="1">
        <v>272.17</v>
      </c>
      <c r="K474" s="1">
        <v>50.59</v>
      </c>
      <c r="L474" s="1">
        <v>-30.84</v>
      </c>
      <c r="M474" s="1">
        <v>54.22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1" cm="1">
        <f t="array" ref="U474">SUM(ABS(B474:T474))</f>
        <v>1612.6899999999998</v>
      </c>
    </row>
    <row r="475" spans="1:21" x14ac:dyDescent="0.3">
      <c r="A475" s="14">
        <v>45905.916666666664</v>
      </c>
      <c r="B475" s="1">
        <v>-735.02</v>
      </c>
      <c r="C475" s="1">
        <v>-54.54</v>
      </c>
      <c r="D475" s="1">
        <v>35.79</v>
      </c>
      <c r="E475" s="1">
        <v>168.54</v>
      </c>
      <c r="F475" s="1">
        <v>112.91</v>
      </c>
      <c r="G475" s="1">
        <v>-33.659999999999997</v>
      </c>
      <c r="H475" s="1">
        <v>66.38</v>
      </c>
      <c r="I475" s="1">
        <v>0</v>
      </c>
      <c r="J475" s="1">
        <v>272.22000000000003</v>
      </c>
      <c r="K475" s="1">
        <v>50.63</v>
      </c>
      <c r="L475" s="1">
        <v>-30.87</v>
      </c>
      <c r="M475" s="1">
        <v>54.26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1" cm="1">
        <f t="array" ref="U475">SUM(ABS(B475:T475))</f>
        <v>1614.8200000000002</v>
      </c>
    </row>
    <row r="476" spans="1:21" x14ac:dyDescent="0.3">
      <c r="A476" s="14">
        <v>45905.927083333336</v>
      </c>
      <c r="B476" s="1">
        <v>-735.22</v>
      </c>
      <c r="C476" s="1">
        <v>-54.54</v>
      </c>
      <c r="D476" s="1">
        <v>35.81</v>
      </c>
      <c r="E476" s="1">
        <v>167.71</v>
      </c>
      <c r="F476" s="1">
        <v>112.75</v>
      </c>
      <c r="G476" s="1">
        <v>-33.700000000000003</v>
      </c>
      <c r="H476" s="1">
        <v>66.36</v>
      </c>
      <c r="I476" s="1">
        <v>0</v>
      </c>
      <c r="J476" s="1">
        <v>272.8</v>
      </c>
      <c r="K476" s="1">
        <v>50.63</v>
      </c>
      <c r="L476" s="1">
        <v>-30.83</v>
      </c>
      <c r="M476" s="1">
        <v>54.23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1" cm="1">
        <f t="array" ref="U476">SUM(ABS(B476:T476))</f>
        <v>1614.58</v>
      </c>
    </row>
    <row r="477" spans="1:21" x14ac:dyDescent="0.3">
      <c r="A477" s="14">
        <v>45905.9375</v>
      </c>
      <c r="B477" s="1">
        <v>-737.26</v>
      </c>
      <c r="C477" s="1">
        <v>-54.52</v>
      </c>
      <c r="D477" s="1">
        <v>35.82</v>
      </c>
      <c r="E477" s="1">
        <v>168.79</v>
      </c>
      <c r="F477" s="1">
        <v>112.65</v>
      </c>
      <c r="G477" s="1">
        <v>-33.71</v>
      </c>
      <c r="H477" s="1">
        <v>66.349999999999994</v>
      </c>
      <c r="I477" s="1">
        <v>0</v>
      </c>
      <c r="J477" s="1">
        <v>272.93</v>
      </c>
      <c r="K477" s="1">
        <v>50.6</v>
      </c>
      <c r="L477" s="1">
        <v>-30.87</v>
      </c>
      <c r="M477" s="1">
        <v>54.26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1" cm="1">
        <f t="array" ref="U477">SUM(ABS(B477:T477))</f>
        <v>1617.7599999999998</v>
      </c>
    </row>
    <row r="478" spans="1:21" x14ac:dyDescent="0.3">
      <c r="A478" s="14">
        <v>45905.947916666664</v>
      </c>
      <c r="B478" s="1">
        <v>-736.83</v>
      </c>
      <c r="C478" s="1">
        <v>-54.54</v>
      </c>
      <c r="D478" s="1">
        <v>35.86</v>
      </c>
      <c r="E478" s="1">
        <v>170.59</v>
      </c>
      <c r="F478" s="1">
        <v>112.52</v>
      </c>
      <c r="G478" s="1">
        <v>-34.08</v>
      </c>
      <c r="H478" s="1">
        <v>66.36</v>
      </c>
      <c r="I478" s="1">
        <v>0</v>
      </c>
      <c r="J478" s="1">
        <v>272.87</v>
      </c>
      <c r="K478" s="1">
        <v>50.69</v>
      </c>
      <c r="L478" s="1">
        <v>-30.86</v>
      </c>
      <c r="M478" s="1">
        <v>54.25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1" cm="1">
        <f t="array" ref="U478">SUM(ABS(B478:T478))</f>
        <v>1619.45</v>
      </c>
    </row>
    <row r="479" spans="1:21" x14ac:dyDescent="0.3">
      <c r="A479" s="14">
        <v>45905.958333333336</v>
      </c>
      <c r="B479" s="1">
        <v>-722.61</v>
      </c>
      <c r="C479" s="1">
        <v>-54.51</v>
      </c>
      <c r="D479" s="1">
        <v>35.86</v>
      </c>
      <c r="E479" s="1">
        <v>166.85</v>
      </c>
      <c r="F479" s="1">
        <v>112.34</v>
      </c>
      <c r="G479" s="1">
        <v>-33.619999999999997</v>
      </c>
      <c r="H479" s="1">
        <v>66.34</v>
      </c>
      <c r="I479" s="1">
        <v>0</v>
      </c>
      <c r="J479" s="1">
        <v>273.02999999999997</v>
      </c>
      <c r="K479" s="1">
        <v>50.65</v>
      </c>
      <c r="L479" s="1">
        <v>-30.84</v>
      </c>
      <c r="M479" s="1">
        <v>54.24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1" cm="1">
        <f t="array" ref="U479">SUM(ABS(B479:T479))</f>
        <v>1600.8899999999999</v>
      </c>
    </row>
    <row r="480" spans="1:21" x14ac:dyDescent="0.3">
      <c r="A480" s="14">
        <v>45905.96875</v>
      </c>
      <c r="B480" s="1">
        <v>-721.93</v>
      </c>
      <c r="C480" s="1">
        <v>-54.52</v>
      </c>
      <c r="D480" s="1">
        <v>35.869999999999997</v>
      </c>
      <c r="E480" s="1">
        <v>167.88</v>
      </c>
      <c r="F480" s="1">
        <v>112.22</v>
      </c>
      <c r="G480" s="1">
        <v>-33.72</v>
      </c>
      <c r="H480" s="1">
        <v>66.349999999999994</v>
      </c>
      <c r="I480" s="1">
        <v>0</v>
      </c>
      <c r="J480" s="1">
        <v>272.83</v>
      </c>
      <c r="K480" s="1">
        <v>50.64</v>
      </c>
      <c r="L480" s="1">
        <v>-30.88</v>
      </c>
      <c r="M480" s="1">
        <v>54.23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1" cm="1">
        <f t="array" ref="U480">SUM(ABS(B480:T480))</f>
        <v>1601.07</v>
      </c>
    </row>
    <row r="481" spans="1:21" x14ac:dyDescent="0.3">
      <c r="A481" s="14">
        <v>45905.979166666664</v>
      </c>
      <c r="B481" s="1">
        <v>-733.49</v>
      </c>
      <c r="C481" s="1">
        <v>-54.52</v>
      </c>
      <c r="D481" s="1">
        <v>35.86</v>
      </c>
      <c r="E481" s="1">
        <v>170.19</v>
      </c>
      <c r="F481" s="1">
        <v>112.16</v>
      </c>
      <c r="G481" s="1">
        <v>-34.08</v>
      </c>
      <c r="H481" s="1">
        <v>66.349999999999994</v>
      </c>
      <c r="I481" s="1">
        <v>0</v>
      </c>
      <c r="J481" s="1">
        <v>272.77</v>
      </c>
      <c r="K481" s="1">
        <v>50.68</v>
      </c>
      <c r="L481" s="1">
        <v>-30.89</v>
      </c>
      <c r="M481" s="1">
        <v>54.23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1" cm="1">
        <f t="array" ref="U481">SUM(ABS(B481:T481))</f>
        <v>1615.22</v>
      </c>
    </row>
    <row r="482" spans="1:21" x14ac:dyDescent="0.3">
      <c r="A482" s="14">
        <v>45905.989583333336</v>
      </c>
      <c r="B482" s="1">
        <v>-729.79</v>
      </c>
      <c r="C482" s="1">
        <v>-54.5</v>
      </c>
      <c r="D482" s="1">
        <v>35.840000000000003</v>
      </c>
      <c r="E482" s="1">
        <v>167.53</v>
      </c>
      <c r="F482" s="1">
        <v>112.04</v>
      </c>
      <c r="G482" s="1">
        <v>-33.83</v>
      </c>
      <c r="H482" s="1">
        <v>66.34</v>
      </c>
      <c r="I482" s="1">
        <v>0</v>
      </c>
      <c r="J482" s="1">
        <v>272.81</v>
      </c>
      <c r="K482" s="1">
        <v>50.65</v>
      </c>
      <c r="L482" s="1">
        <v>-30.85</v>
      </c>
      <c r="M482" s="1">
        <v>54.23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1" cm="1">
        <f t="array" ref="U482">SUM(ABS(B482:T482))</f>
        <v>1608.4099999999999</v>
      </c>
    </row>
    <row r="483" spans="1:21" x14ac:dyDescent="0.3">
      <c r="A483" s="14">
        <v>45935</v>
      </c>
      <c r="B483" s="1">
        <v>-731.32</v>
      </c>
      <c r="C483" s="1">
        <v>-54.52</v>
      </c>
      <c r="D483" s="1">
        <v>35.86</v>
      </c>
      <c r="E483" s="1">
        <v>168.81</v>
      </c>
      <c r="F483" s="1">
        <v>111.94</v>
      </c>
      <c r="G483" s="1">
        <v>-34.049999999999997</v>
      </c>
      <c r="H483" s="1">
        <v>66.33</v>
      </c>
      <c r="I483" s="1">
        <v>0</v>
      </c>
      <c r="J483" s="1">
        <v>272.62</v>
      </c>
      <c r="K483" s="1">
        <v>50.68</v>
      </c>
      <c r="L483" s="1">
        <v>-30.9</v>
      </c>
      <c r="M483" s="1">
        <v>54.21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1" cm="1">
        <f t="array" ref="U483">SUM(ABS(B483:T483))</f>
        <v>1611.24</v>
      </c>
    </row>
    <row r="484" spans="1:21" x14ac:dyDescent="0.3">
      <c r="A484" s="14">
        <v>45935.010416666664</v>
      </c>
      <c r="B484" s="1">
        <v>-729.26</v>
      </c>
      <c r="C484" s="1">
        <v>-54.52</v>
      </c>
      <c r="D484" s="1">
        <v>35.869999999999997</v>
      </c>
      <c r="E484" s="1">
        <v>165.19</v>
      </c>
      <c r="F484" s="1">
        <v>111.78</v>
      </c>
      <c r="G484" s="1">
        <v>-33.96</v>
      </c>
      <c r="H484" s="1">
        <v>66.33</v>
      </c>
      <c r="I484" s="1">
        <v>0</v>
      </c>
      <c r="J484" s="1">
        <v>272.7</v>
      </c>
      <c r="K484" s="1">
        <v>50.69</v>
      </c>
      <c r="L484" s="1">
        <v>-30.87</v>
      </c>
      <c r="M484" s="1">
        <v>54.2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1" cm="1">
        <f t="array" ref="U484">SUM(ABS(B484:T484))</f>
        <v>1605.37</v>
      </c>
    </row>
    <row r="485" spans="1:21" x14ac:dyDescent="0.3">
      <c r="A485" s="14">
        <v>45935.020833333336</v>
      </c>
      <c r="B485" s="1">
        <v>-731.54</v>
      </c>
      <c r="C485" s="1">
        <v>-54.49</v>
      </c>
      <c r="D485" s="1">
        <v>35.869999999999997</v>
      </c>
      <c r="E485" s="1">
        <v>162.47999999999999</v>
      </c>
      <c r="F485" s="1">
        <v>111.68</v>
      </c>
      <c r="G485" s="1">
        <v>-33.75</v>
      </c>
      <c r="H485" s="1">
        <v>66.319999999999993</v>
      </c>
      <c r="I485" s="1">
        <v>0</v>
      </c>
      <c r="J485" s="1">
        <v>272.5</v>
      </c>
      <c r="K485" s="1">
        <v>50.67</v>
      </c>
      <c r="L485" s="1">
        <v>-30.87</v>
      </c>
      <c r="M485" s="1">
        <v>54.2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1" cm="1">
        <f t="array" ref="U485">SUM(ABS(B485:T485))</f>
        <v>1604.37</v>
      </c>
    </row>
    <row r="486" spans="1:21" x14ac:dyDescent="0.3">
      <c r="A486" s="14">
        <v>45935.03125</v>
      </c>
      <c r="B486" s="1">
        <v>-733.09</v>
      </c>
      <c r="C486" s="1">
        <v>-54.49</v>
      </c>
      <c r="D486" s="1">
        <v>35.869999999999997</v>
      </c>
      <c r="E486" s="1">
        <v>161.94</v>
      </c>
      <c r="F486" s="1">
        <v>97.47</v>
      </c>
      <c r="G486" s="1">
        <v>-33.590000000000003</v>
      </c>
      <c r="H486" s="1">
        <v>66.3</v>
      </c>
      <c r="I486" s="1">
        <v>0</v>
      </c>
      <c r="J486" s="1">
        <v>272.54000000000002</v>
      </c>
      <c r="K486" s="1">
        <v>50.65</v>
      </c>
      <c r="L486" s="1">
        <v>-30.89</v>
      </c>
      <c r="M486" s="1">
        <v>54.2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1" cm="1">
        <f t="array" ref="U486">SUM(ABS(B486:T486))</f>
        <v>1591.0300000000002</v>
      </c>
    </row>
    <row r="487" spans="1:21" x14ac:dyDescent="0.3">
      <c r="A487" s="14">
        <v>45935.041666666664</v>
      </c>
      <c r="B487" s="1">
        <v>-725.58</v>
      </c>
      <c r="C487" s="1">
        <v>-54.47</v>
      </c>
      <c r="D487" s="1">
        <v>35.869999999999997</v>
      </c>
      <c r="E487" s="1">
        <v>163.56</v>
      </c>
      <c r="F487" s="1">
        <v>90.99</v>
      </c>
      <c r="G487" s="1">
        <v>-33.369999999999997</v>
      </c>
      <c r="H487" s="1">
        <v>66.3</v>
      </c>
      <c r="I487" s="1">
        <v>0</v>
      </c>
      <c r="J487" s="1">
        <v>271.24</v>
      </c>
      <c r="K487" s="1">
        <v>50.67</v>
      </c>
      <c r="L487" s="1">
        <v>-30.9</v>
      </c>
      <c r="M487" s="1">
        <v>54.2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1" cm="1">
        <f t="array" ref="U487">SUM(ABS(B487:T487))</f>
        <v>1577.15</v>
      </c>
    </row>
    <row r="488" spans="1:21" x14ac:dyDescent="0.3">
      <c r="A488" s="14">
        <v>45935.052083333336</v>
      </c>
      <c r="B488" s="1">
        <v>-713.08</v>
      </c>
      <c r="C488" s="1">
        <v>-54.45</v>
      </c>
      <c r="D488" s="1">
        <v>35.89</v>
      </c>
      <c r="E488" s="1">
        <v>162.69999999999999</v>
      </c>
      <c r="F488" s="1">
        <v>70.010000000000005</v>
      </c>
      <c r="G488" s="1">
        <v>-32.880000000000003</v>
      </c>
      <c r="H488" s="1">
        <v>55.49</v>
      </c>
      <c r="I488" s="1">
        <v>0</v>
      </c>
      <c r="J488" s="1">
        <v>267.55</v>
      </c>
      <c r="K488" s="1">
        <v>30.12</v>
      </c>
      <c r="L488" s="1">
        <v>-30.86</v>
      </c>
      <c r="M488" s="1">
        <v>54.21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1" cm="1">
        <f t="array" ref="U488">SUM(ABS(B488:T488))</f>
        <v>1507.24</v>
      </c>
    </row>
    <row r="489" spans="1:21" x14ac:dyDescent="0.3">
      <c r="A489" s="14">
        <v>45935.0625</v>
      </c>
      <c r="B489" s="1">
        <v>-726.15</v>
      </c>
      <c r="C489" s="1">
        <v>-54.45</v>
      </c>
      <c r="D489" s="1">
        <v>35.92</v>
      </c>
      <c r="E489" s="1">
        <v>120.22</v>
      </c>
      <c r="F489" s="1">
        <v>20.22</v>
      </c>
      <c r="G489" s="1">
        <v>-33.07</v>
      </c>
      <c r="H489" s="1">
        <v>12.69</v>
      </c>
      <c r="I489" s="1">
        <v>0</v>
      </c>
      <c r="J489" s="1">
        <v>239.92</v>
      </c>
      <c r="K489" s="1">
        <v>25.57</v>
      </c>
      <c r="L489" s="1">
        <v>-30.85</v>
      </c>
      <c r="M489" s="1">
        <v>54.2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1" cm="1">
        <f t="array" ref="U489">SUM(ABS(B489:T489))</f>
        <v>1353.26</v>
      </c>
    </row>
    <row r="490" spans="1:21" x14ac:dyDescent="0.3">
      <c r="A490" s="14">
        <v>45935.072916666664</v>
      </c>
      <c r="B490" s="1">
        <v>-728.67</v>
      </c>
      <c r="C490" s="1">
        <v>-54.46</v>
      </c>
      <c r="D490" s="1">
        <v>35.880000000000003</v>
      </c>
      <c r="E490" s="1">
        <v>100.64</v>
      </c>
      <c r="F490" s="1">
        <v>0</v>
      </c>
      <c r="G490" s="1">
        <v>-33.229999999999997</v>
      </c>
      <c r="H490" s="1">
        <v>12</v>
      </c>
      <c r="I490" s="1">
        <v>0</v>
      </c>
      <c r="J490" s="1">
        <v>210.23</v>
      </c>
      <c r="K490" s="1">
        <v>25.58</v>
      </c>
      <c r="L490" s="1">
        <v>-30.86</v>
      </c>
      <c r="M490" s="1">
        <v>54.21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1" cm="1">
        <f t="array" ref="U490">SUM(ABS(B490:T490))</f>
        <v>1285.7599999999998</v>
      </c>
    </row>
    <row r="491" spans="1:21" x14ac:dyDescent="0.3">
      <c r="A491" s="14">
        <v>45935.083333333336</v>
      </c>
      <c r="B491" s="1">
        <v>-629.77</v>
      </c>
      <c r="C491" s="1">
        <v>-54.47</v>
      </c>
      <c r="D491" s="1">
        <v>35.869999999999997</v>
      </c>
      <c r="E491" s="1">
        <v>80.239999999999995</v>
      </c>
      <c r="F491" s="1">
        <v>0</v>
      </c>
      <c r="G491" s="1">
        <v>-33.520000000000003</v>
      </c>
      <c r="H491" s="1">
        <v>12</v>
      </c>
      <c r="I491" s="1">
        <v>0</v>
      </c>
      <c r="J491" s="1">
        <v>212.21</v>
      </c>
      <c r="K491" s="1">
        <v>25.62</v>
      </c>
      <c r="L491" s="1">
        <v>-30.85</v>
      </c>
      <c r="M491" s="1">
        <v>54.2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1" cm="1">
        <f t="array" ref="U491">SUM(ABS(B491:T491))</f>
        <v>1168.7499999999998</v>
      </c>
    </row>
    <row r="492" spans="1:21" x14ac:dyDescent="0.3">
      <c r="A492" s="14">
        <v>45935.09375</v>
      </c>
      <c r="B492" s="1">
        <v>-643.20000000000005</v>
      </c>
      <c r="C492" s="1">
        <v>-54.47</v>
      </c>
      <c r="D492" s="1">
        <v>35.83</v>
      </c>
      <c r="E492" s="1">
        <v>81.239999999999995</v>
      </c>
      <c r="F492" s="1">
        <v>0</v>
      </c>
      <c r="G492" s="1">
        <v>-33.74</v>
      </c>
      <c r="H492" s="1">
        <v>12</v>
      </c>
      <c r="I492" s="1">
        <v>0</v>
      </c>
      <c r="J492" s="1">
        <v>213.17</v>
      </c>
      <c r="K492" s="1">
        <v>25.66</v>
      </c>
      <c r="L492" s="1">
        <v>-30.87</v>
      </c>
      <c r="M492" s="1">
        <v>54.21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1" cm="1">
        <f t="array" ref="U492">SUM(ABS(B492:T492))</f>
        <v>1184.3900000000001</v>
      </c>
    </row>
    <row r="493" spans="1:21" x14ac:dyDescent="0.3">
      <c r="A493" s="14">
        <v>45935.104166666664</v>
      </c>
      <c r="B493" s="1">
        <v>-686.76</v>
      </c>
      <c r="C493" s="1">
        <v>-54.49</v>
      </c>
      <c r="D493" s="1">
        <v>35.79</v>
      </c>
      <c r="E493" s="1">
        <v>80.930000000000007</v>
      </c>
      <c r="F493" s="1">
        <v>0</v>
      </c>
      <c r="G493" s="1">
        <v>-33.72</v>
      </c>
      <c r="H493" s="1">
        <v>12</v>
      </c>
      <c r="I493" s="1">
        <v>0</v>
      </c>
      <c r="J493" s="1">
        <v>212.68</v>
      </c>
      <c r="K493" s="1">
        <v>25.76</v>
      </c>
      <c r="L493" s="1">
        <v>-30.85</v>
      </c>
      <c r="M493" s="1">
        <v>54.21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1" cm="1">
        <f t="array" ref="U493">SUM(ABS(B493:T493))</f>
        <v>1227.19</v>
      </c>
    </row>
    <row r="494" spans="1:21" x14ac:dyDescent="0.3">
      <c r="A494" s="14">
        <v>45935.114583333336</v>
      </c>
      <c r="B494" s="1">
        <v>-686.98</v>
      </c>
      <c r="C494" s="1">
        <v>-54.48</v>
      </c>
      <c r="D494" s="1">
        <v>35.76</v>
      </c>
      <c r="E494" s="1">
        <v>64.260000000000005</v>
      </c>
      <c r="F494" s="1">
        <v>0</v>
      </c>
      <c r="G494" s="1">
        <v>-33.74</v>
      </c>
      <c r="H494" s="1">
        <v>12</v>
      </c>
      <c r="I494" s="1">
        <v>0</v>
      </c>
      <c r="J494" s="1">
        <v>212.82</v>
      </c>
      <c r="K494" s="1">
        <v>25.78</v>
      </c>
      <c r="L494" s="1">
        <v>-30.83</v>
      </c>
      <c r="M494" s="1">
        <v>54.22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1" cm="1">
        <f t="array" ref="U494">SUM(ABS(B494:T494))</f>
        <v>1210.8699999999999</v>
      </c>
    </row>
    <row r="495" spans="1:21" x14ac:dyDescent="0.3">
      <c r="A495" s="14">
        <v>45935.125</v>
      </c>
      <c r="B495" s="1">
        <v>-697.56</v>
      </c>
      <c r="C495" s="1">
        <v>-54.48</v>
      </c>
      <c r="D495" s="1">
        <v>35.76</v>
      </c>
      <c r="E495" s="1">
        <v>56.99</v>
      </c>
      <c r="F495" s="1">
        <v>0</v>
      </c>
      <c r="G495" s="1">
        <v>-33.93</v>
      </c>
      <c r="H495" s="1">
        <v>12</v>
      </c>
      <c r="I495" s="1">
        <v>0</v>
      </c>
      <c r="J495" s="1">
        <v>214.73</v>
      </c>
      <c r="K495" s="1">
        <v>25.82</v>
      </c>
      <c r="L495" s="1">
        <v>-30.87</v>
      </c>
      <c r="M495" s="1">
        <v>54.22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1" cm="1">
        <f t="array" ref="U495">SUM(ABS(B495:T495))</f>
        <v>1216.3599999999997</v>
      </c>
    </row>
    <row r="496" spans="1:21" x14ac:dyDescent="0.3">
      <c r="A496" s="14">
        <v>45935.135416666664</v>
      </c>
      <c r="B496" s="1">
        <v>-698.24</v>
      </c>
      <c r="C496" s="1">
        <v>-54.48</v>
      </c>
      <c r="D496" s="1">
        <v>35.71</v>
      </c>
      <c r="E496" s="1">
        <v>56.47</v>
      </c>
      <c r="F496" s="1">
        <v>0</v>
      </c>
      <c r="G496" s="1">
        <v>-33.86</v>
      </c>
      <c r="H496" s="1">
        <v>12</v>
      </c>
      <c r="I496" s="1">
        <v>0</v>
      </c>
      <c r="J496" s="1">
        <v>213.55</v>
      </c>
      <c r="K496" s="1">
        <v>25.85</v>
      </c>
      <c r="L496" s="1">
        <v>-30.83</v>
      </c>
      <c r="M496" s="1">
        <v>54.21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1" cm="1">
        <f t="array" ref="U496">SUM(ABS(B496:T496))</f>
        <v>1215.2</v>
      </c>
    </row>
    <row r="497" spans="1:21" x14ac:dyDescent="0.3">
      <c r="A497" s="14">
        <v>45935.145833333336</v>
      </c>
      <c r="B497" s="1">
        <v>-679.06</v>
      </c>
      <c r="C497" s="1">
        <v>-54.45</v>
      </c>
      <c r="D497" s="1">
        <v>35.67</v>
      </c>
      <c r="E497" s="1">
        <v>35.54</v>
      </c>
      <c r="F497" s="1">
        <v>0</v>
      </c>
      <c r="G497" s="1">
        <v>-33.630000000000003</v>
      </c>
      <c r="H497" s="1">
        <v>12</v>
      </c>
      <c r="I497" s="1">
        <v>0</v>
      </c>
      <c r="J497" s="1">
        <v>250.36</v>
      </c>
      <c r="K497" s="1">
        <v>24.36</v>
      </c>
      <c r="L497" s="1">
        <v>-30.84</v>
      </c>
      <c r="M497" s="1">
        <v>54.21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1" cm="1">
        <f t="array" ref="U497">SUM(ABS(B497:T497))</f>
        <v>1210.1199999999999</v>
      </c>
    </row>
    <row r="498" spans="1:21" x14ac:dyDescent="0.3">
      <c r="A498" s="14">
        <v>45935.15625</v>
      </c>
      <c r="B498" s="1">
        <v>-702.81</v>
      </c>
      <c r="C498" s="1">
        <v>-54.44</v>
      </c>
      <c r="D498" s="1">
        <v>35.659999999999997</v>
      </c>
      <c r="E498" s="1">
        <v>10.58</v>
      </c>
      <c r="F498" s="1">
        <v>0</v>
      </c>
      <c r="G498" s="1">
        <v>-33.4</v>
      </c>
      <c r="H498" s="1">
        <v>12</v>
      </c>
      <c r="I498" s="1">
        <v>0</v>
      </c>
      <c r="J498" s="1">
        <v>271.91000000000003</v>
      </c>
      <c r="K498" s="1">
        <v>25.22</v>
      </c>
      <c r="L498" s="1">
        <v>-30.87</v>
      </c>
      <c r="M498" s="1">
        <v>54.21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1" cm="1">
        <f t="array" ref="U498">SUM(ABS(B498:T498))</f>
        <v>1231.0999999999999</v>
      </c>
    </row>
    <row r="499" spans="1:21" x14ac:dyDescent="0.3">
      <c r="A499" s="14">
        <v>45935.166666666664</v>
      </c>
      <c r="B499" s="1">
        <v>-697.35</v>
      </c>
      <c r="C499" s="1">
        <v>-54.45</v>
      </c>
      <c r="D499" s="1">
        <v>35.700000000000003</v>
      </c>
      <c r="E499" s="1">
        <v>0</v>
      </c>
      <c r="F499" s="1">
        <v>0</v>
      </c>
      <c r="G499" s="1">
        <v>-33.369999999999997</v>
      </c>
      <c r="H499" s="1">
        <v>12</v>
      </c>
      <c r="I499" s="1">
        <v>0</v>
      </c>
      <c r="J499" s="1">
        <v>271.35000000000002</v>
      </c>
      <c r="K499" s="1">
        <v>22.45</v>
      </c>
      <c r="L499" s="1">
        <v>-30.87</v>
      </c>
      <c r="M499" s="1">
        <v>54.21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1" cm="1">
        <f t="array" ref="U499">SUM(ABS(B499:T499))</f>
        <v>1211.7500000000002</v>
      </c>
    </row>
    <row r="500" spans="1:21" x14ac:dyDescent="0.3">
      <c r="A500" s="14">
        <v>45935.177083333336</v>
      </c>
      <c r="B500" s="1">
        <v>-686</v>
      </c>
      <c r="C500" s="1">
        <v>-54.45</v>
      </c>
      <c r="D500" s="1">
        <v>35.72</v>
      </c>
      <c r="E500" s="1">
        <v>0</v>
      </c>
      <c r="F500" s="1">
        <v>0</v>
      </c>
      <c r="G500" s="1">
        <v>-33.33</v>
      </c>
      <c r="H500" s="1">
        <v>12</v>
      </c>
      <c r="I500" s="1">
        <v>0</v>
      </c>
      <c r="J500" s="1">
        <v>271.45</v>
      </c>
      <c r="K500" s="1">
        <v>0.01</v>
      </c>
      <c r="L500" s="1">
        <v>-30.79</v>
      </c>
      <c r="M500" s="1">
        <v>54.21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1" cm="1">
        <f t="array" ref="U500">SUM(ABS(B500:T500))</f>
        <v>1177.96</v>
      </c>
    </row>
    <row r="501" spans="1:21" x14ac:dyDescent="0.3">
      <c r="A501" s="14">
        <v>45935.1875</v>
      </c>
      <c r="B501" s="1">
        <v>-685.99</v>
      </c>
      <c r="C501" s="1">
        <v>-54.46</v>
      </c>
      <c r="D501" s="1">
        <v>35.74</v>
      </c>
      <c r="E501" s="1">
        <v>0</v>
      </c>
      <c r="F501" s="1">
        <v>0</v>
      </c>
      <c r="G501" s="1">
        <v>-33.340000000000003</v>
      </c>
      <c r="H501" s="1">
        <v>12</v>
      </c>
      <c r="I501" s="1">
        <v>0</v>
      </c>
      <c r="J501" s="1">
        <v>271.58</v>
      </c>
      <c r="K501" s="1">
        <v>0</v>
      </c>
      <c r="L501" s="1">
        <v>-30.79</v>
      </c>
      <c r="M501" s="1">
        <v>54.21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1" cm="1">
        <f t="array" ref="U501">SUM(ABS(B501:T501))</f>
        <v>1178.1100000000001</v>
      </c>
    </row>
    <row r="502" spans="1:21" x14ac:dyDescent="0.3">
      <c r="A502" s="14">
        <v>45935.197916666664</v>
      </c>
      <c r="B502" s="1">
        <v>-686.86</v>
      </c>
      <c r="C502" s="1">
        <v>-54.45</v>
      </c>
      <c r="D502" s="1">
        <v>35.74</v>
      </c>
      <c r="E502" s="1">
        <v>0</v>
      </c>
      <c r="F502" s="1">
        <v>0</v>
      </c>
      <c r="G502" s="1">
        <v>-33.36</v>
      </c>
      <c r="H502" s="1">
        <v>12</v>
      </c>
      <c r="I502" s="1">
        <v>0</v>
      </c>
      <c r="J502" s="1">
        <v>271.48</v>
      </c>
      <c r="K502" s="1">
        <v>0</v>
      </c>
      <c r="L502" s="1">
        <v>-30.79</v>
      </c>
      <c r="M502" s="1">
        <v>54.21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1" cm="1">
        <f t="array" ref="U502">SUM(ABS(B502:T502))</f>
        <v>1178.8900000000001</v>
      </c>
    </row>
    <row r="503" spans="1:21" x14ac:dyDescent="0.3">
      <c r="A503" s="14">
        <v>45935.208333333336</v>
      </c>
      <c r="B503" s="1">
        <v>-692.18</v>
      </c>
      <c r="C503" s="1">
        <v>-54.45</v>
      </c>
      <c r="D503" s="1">
        <v>35.76</v>
      </c>
      <c r="E503" s="1">
        <v>0</v>
      </c>
      <c r="F503" s="1">
        <v>0</v>
      </c>
      <c r="G503" s="1">
        <v>-33.57</v>
      </c>
      <c r="H503" s="1">
        <v>12</v>
      </c>
      <c r="I503" s="1">
        <v>0</v>
      </c>
      <c r="J503" s="1">
        <v>272.10000000000002</v>
      </c>
      <c r="K503" s="1">
        <v>0</v>
      </c>
      <c r="L503" s="1">
        <v>-30.8</v>
      </c>
      <c r="M503" s="1">
        <v>54.21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1" cm="1">
        <f t="array" ref="U503">SUM(ABS(B503:T503))</f>
        <v>1185.07</v>
      </c>
    </row>
    <row r="504" spans="1:21" x14ac:dyDescent="0.3">
      <c r="A504" s="14">
        <v>45935.21875</v>
      </c>
      <c r="B504" s="1">
        <v>-701.63</v>
      </c>
      <c r="C504" s="1">
        <v>-54.46</v>
      </c>
      <c r="D504" s="1">
        <v>35.78</v>
      </c>
      <c r="E504" s="1">
        <v>0</v>
      </c>
      <c r="F504" s="1">
        <v>0</v>
      </c>
      <c r="G504" s="1">
        <v>-33.75</v>
      </c>
      <c r="H504" s="1">
        <v>12</v>
      </c>
      <c r="I504" s="1">
        <v>0</v>
      </c>
      <c r="J504" s="1">
        <v>272.68</v>
      </c>
      <c r="K504" s="1">
        <v>0</v>
      </c>
      <c r="L504" s="1">
        <v>-30.78</v>
      </c>
      <c r="M504" s="1">
        <v>54.21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1" cm="1">
        <f t="array" ref="U504">SUM(ABS(B504:T504))</f>
        <v>1195.29</v>
      </c>
    </row>
    <row r="505" spans="1:21" x14ac:dyDescent="0.3">
      <c r="A505" s="14">
        <v>45935.229166666664</v>
      </c>
      <c r="B505" s="1">
        <v>-695.11</v>
      </c>
      <c r="C505" s="1">
        <v>-54.44</v>
      </c>
      <c r="D505" s="1">
        <v>35.79</v>
      </c>
      <c r="E505" s="1">
        <v>0</v>
      </c>
      <c r="F505" s="1">
        <v>0</v>
      </c>
      <c r="G505" s="1">
        <v>-33.56</v>
      </c>
      <c r="H505" s="1">
        <v>12</v>
      </c>
      <c r="I505" s="1">
        <v>0</v>
      </c>
      <c r="J505" s="1">
        <v>212.89</v>
      </c>
      <c r="K505" s="1">
        <v>0</v>
      </c>
      <c r="L505" s="1">
        <v>-30.77</v>
      </c>
      <c r="M505" s="1">
        <v>54.21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1" cm="1">
        <f t="array" ref="U505">SUM(ABS(B505:T505))</f>
        <v>1128.77</v>
      </c>
    </row>
    <row r="506" spans="1:21" x14ac:dyDescent="0.3">
      <c r="A506" s="14">
        <v>45935.239583333336</v>
      </c>
      <c r="B506" s="1">
        <v>-682.8</v>
      </c>
      <c r="C506" s="1">
        <v>-54.43</v>
      </c>
      <c r="D506" s="1">
        <v>35.75</v>
      </c>
      <c r="E506" s="1">
        <v>0</v>
      </c>
      <c r="F506" s="1">
        <v>0</v>
      </c>
      <c r="G506" s="1">
        <v>-33.19</v>
      </c>
      <c r="H506" s="1">
        <v>12</v>
      </c>
      <c r="I506" s="1">
        <v>0</v>
      </c>
      <c r="J506" s="1">
        <v>184.8</v>
      </c>
      <c r="K506" s="1">
        <v>0</v>
      </c>
      <c r="L506" s="1">
        <v>-30.76</v>
      </c>
      <c r="M506" s="1">
        <v>54.21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1" cm="1">
        <f t="array" ref="U506">SUM(ABS(B506:T506))</f>
        <v>1087.9399999999998</v>
      </c>
    </row>
    <row r="507" spans="1:21" x14ac:dyDescent="0.3">
      <c r="A507" s="14">
        <v>45935.25</v>
      </c>
      <c r="B507" s="1">
        <v>-617.54</v>
      </c>
      <c r="C507" s="1">
        <v>-54.42</v>
      </c>
      <c r="D507" s="1">
        <v>35.729999999999997</v>
      </c>
      <c r="E507" s="1">
        <v>0</v>
      </c>
      <c r="F507" s="1">
        <v>0</v>
      </c>
      <c r="G507" s="1">
        <v>-32.909999999999997</v>
      </c>
      <c r="H507" s="1">
        <v>12</v>
      </c>
      <c r="I507" s="1">
        <v>0</v>
      </c>
      <c r="J507" s="1">
        <v>266.98</v>
      </c>
      <c r="K507" s="1">
        <v>0</v>
      </c>
      <c r="L507" s="1">
        <v>-30.77</v>
      </c>
      <c r="M507" s="1">
        <v>54.22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1" cm="1">
        <f t="array" ref="U507">SUM(ABS(B507:T507))</f>
        <v>1104.57</v>
      </c>
    </row>
    <row r="508" spans="1:21" x14ac:dyDescent="0.3">
      <c r="A508" s="14">
        <v>45935.260416666664</v>
      </c>
      <c r="B508" s="1">
        <v>-610.73</v>
      </c>
      <c r="C508" s="1">
        <v>-54.4</v>
      </c>
      <c r="D508" s="1">
        <v>35.71</v>
      </c>
      <c r="E508" s="1">
        <v>0</v>
      </c>
      <c r="F508" s="1">
        <v>0</v>
      </c>
      <c r="G508" s="1">
        <v>-32.79</v>
      </c>
      <c r="H508" s="1">
        <v>12</v>
      </c>
      <c r="I508" s="1">
        <v>0</v>
      </c>
      <c r="J508" s="1">
        <v>267</v>
      </c>
      <c r="K508" s="1">
        <v>0</v>
      </c>
      <c r="L508" s="1">
        <v>-30.74</v>
      </c>
      <c r="M508" s="1">
        <v>54.2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1" cm="1">
        <f t="array" ref="U508">SUM(ABS(B508:T508))</f>
        <v>1097.57</v>
      </c>
    </row>
    <row r="509" spans="1:21" x14ac:dyDescent="0.3">
      <c r="A509" s="14">
        <v>45935.270833333336</v>
      </c>
      <c r="B509" s="1">
        <v>-617.29</v>
      </c>
      <c r="C509" s="1">
        <v>-54.43</v>
      </c>
      <c r="D509" s="1">
        <v>35.71</v>
      </c>
      <c r="E509" s="1">
        <v>0</v>
      </c>
      <c r="F509" s="1">
        <v>0</v>
      </c>
      <c r="G509" s="1">
        <v>-33.04</v>
      </c>
      <c r="H509" s="1">
        <v>12</v>
      </c>
      <c r="I509" s="1">
        <v>0</v>
      </c>
      <c r="J509" s="1">
        <v>255.62</v>
      </c>
      <c r="K509" s="1">
        <v>0</v>
      </c>
      <c r="L509" s="1">
        <v>-30.78</v>
      </c>
      <c r="M509" s="1">
        <v>50.6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1" cm="1">
        <f t="array" ref="U509">SUM(ABS(B509:T509))</f>
        <v>1089.4699999999998</v>
      </c>
    </row>
    <row r="510" spans="1:21" x14ac:dyDescent="0.3">
      <c r="A510" s="14">
        <v>45935.28125</v>
      </c>
      <c r="B510" s="1">
        <v>-630.25</v>
      </c>
      <c r="C510" s="1">
        <v>-54.41</v>
      </c>
      <c r="D510" s="1">
        <v>35.74</v>
      </c>
      <c r="E510" s="1">
        <v>0</v>
      </c>
      <c r="F510" s="1">
        <v>0</v>
      </c>
      <c r="G510" s="1">
        <v>-33.35</v>
      </c>
      <c r="H510" s="1">
        <v>12</v>
      </c>
      <c r="I510" s="1">
        <v>0</v>
      </c>
      <c r="J510" s="1">
        <v>241.93</v>
      </c>
      <c r="K510" s="1">
        <v>0</v>
      </c>
      <c r="L510" s="1">
        <v>-30.77</v>
      </c>
      <c r="M510" s="1">
        <v>46.24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1" cm="1">
        <f t="array" ref="U510">SUM(ABS(B510:T510))</f>
        <v>1084.69</v>
      </c>
    </row>
    <row r="511" spans="1:21" x14ac:dyDescent="0.3">
      <c r="A511" s="14">
        <v>45935.291666666664</v>
      </c>
      <c r="B511" s="1">
        <v>-552.29</v>
      </c>
      <c r="C511" s="1">
        <v>-54.43</v>
      </c>
      <c r="D511" s="1">
        <v>35.74</v>
      </c>
      <c r="E511" s="1">
        <v>0</v>
      </c>
      <c r="F511" s="1">
        <v>0</v>
      </c>
      <c r="G511" s="1">
        <v>-33.75</v>
      </c>
      <c r="H511" s="1">
        <v>12</v>
      </c>
      <c r="I511" s="1">
        <v>0</v>
      </c>
      <c r="J511" s="1">
        <v>243.45</v>
      </c>
      <c r="K511" s="1">
        <v>0</v>
      </c>
      <c r="L511" s="1">
        <v>-30.77</v>
      </c>
      <c r="M511" s="1">
        <v>46.23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1" cm="1">
        <f t="array" ref="U511">SUM(ABS(B511:T511))</f>
        <v>1008.6599999999999</v>
      </c>
    </row>
    <row r="512" spans="1:21" x14ac:dyDescent="0.3">
      <c r="A512" s="14">
        <v>45935.302083333336</v>
      </c>
      <c r="B512" s="1">
        <v>-500.54</v>
      </c>
      <c r="C512" s="1">
        <v>-54.41</v>
      </c>
      <c r="D512" s="1">
        <v>35.74</v>
      </c>
      <c r="E512" s="1">
        <v>0</v>
      </c>
      <c r="F512" s="1">
        <v>0</v>
      </c>
      <c r="G512" s="1">
        <v>-33.78</v>
      </c>
      <c r="H512" s="1">
        <v>12</v>
      </c>
      <c r="I512" s="1">
        <v>0</v>
      </c>
      <c r="J512" s="1">
        <v>243.37</v>
      </c>
      <c r="K512" s="1">
        <v>0</v>
      </c>
      <c r="L512" s="1">
        <v>-30.76</v>
      </c>
      <c r="M512" s="1">
        <v>46.24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1" cm="1">
        <f t="array" ref="U512">SUM(ABS(B512:T512))</f>
        <v>956.84</v>
      </c>
    </row>
    <row r="513" spans="1:21" x14ac:dyDescent="0.3">
      <c r="A513" s="14">
        <v>45935.3125</v>
      </c>
      <c r="B513" s="1">
        <v>-342.53</v>
      </c>
      <c r="C513" s="1">
        <v>-47.11</v>
      </c>
      <c r="D513" s="1">
        <v>35.729999999999997</v>
      </c>
      <c r="E513" s="1">
        <v>0</v>
      </c>
      <c r="F513" s="1">
        <v>0</v>
      </c>
      <c r="G513" s="1">
        <v>-33.909999999999997</v>
      </c>
      <c r="H513" s="1">
        <v>12</v>
      </c>
      <c r="I513" s="1">
        <v>0</v>
      </c>
      <c r="J513" s="1">
        <v>190.37</v>
      </c>
      <c r="K513" s="1">
        <v>0</v>
      </c>
      <c r="L513" s="1">
        <v>-30.74</v>
      </c>
      <c r="M513" s="1">
        <v>37.36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1" cm="1">
        <f t="array" ref="U513">SUM(ABS(B513:T513))</f>
        <v>729.75</v>
      </c>
    </row>
    <row r="514" spans="1:21" x14ac:dyDescent="0.3">
      <c r="A514" s="14">
        <v>45935.322916666664</v>
      </c>
      <c r="B514" s="1">
        <v>-176.75</v>
      </c>
      <c r="C514" s="1">
        <v>-41.91</v>
      </c>
      <c r="D514" s="1">
        <v>35.659999999999997</v>
      </c>
      <c r="E514" s="1">
        <v>0</v>
      </c>
      <c r="F514" s="1">
        <v>0</v>
      </c>
      <c r="G514" s="1">
        <v>-33.57</v>
      </c>
      <c r="H514" s="1">
        <v>12</v>
      </c>
      <c r="I514" s="1">
        <v>0</v>
      </c>
      <c r="J514" s="1">
        <v>167.25</v>
      </c>
      <c r="K514" s="1">
        <v>0</v>
      </c>
      <c r="L514" s="1">
        <v>-30.75</v>
      </c>
      <c r="M514" s="1">
        <v>30.14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1" cm="1">
        <f t="array" ref="U514">SUM(ABS(B514:T514))</f>
        <v>528.03</v>
      </c>
    </row>
    <row r="515" spans="1:21" x14ac:dyDescent="0.3">
      <c r="A515" s="14">
        <v>45935.333333333336</v>
      </c>
      <c r="B515" s="1">
        <v>-253.32</v>
      </c>
      <c r="C515" s="1">
        <v>-41.69</v>
      </c>
      <c r="D515" s="1">
        <v>35.6</v>
      </c>
      <c r="E515" s="1">
        <v>0</v>
      </c>
      <c r="F515" s="1">
        <v>0</v>
      </c>
      <c r="G515" s="1">
        <v>-33.61</v>
      </c>
      <c r="H515" s="1">
        <v>12</v>
      </c>
      <c r="I515" s="1">
        <v>0</v>
      </c>
      <c r="J515" s="1">
        <v>171.99</v>
      </c>
      <c r="K515" s="1">
        <v>0</v>
      </c>
      <c r="L515" s="1">
        <v>-30.77</v>
      </c>
      <c r="M515" s="1">
        <v>30.15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1" cm="1">
        <f t="array" ref="U515">SUM(ABS(B515:T515))</f>
        <v>609.13</v>
      </c>
    </row>
    <row r="516" spans="1:21" x14ac:dyDescent="0.3">
      <c r="A516" s="14">
        <v>45935.34375</v>
      </c>
      <c r="B516" s="1">
        <v>-199.35</v>
      </c>
      <c r="C516" s="1">
        <v>-41.63</v>
      </c>
      <c r="D516" s="1">
        <v>35.56</v>
      </c>
      <c r="E516" s="1">
        <v>0</v>
      </c>
      <c r="F516" s="1">
        <v>0</v>
      </c>
      <c r="G516" s="1">
        <v>-33.74</v>
      </c>
      <c r="H516" s="1">
        <v>12</v>
      </c>
      <c r="I516" s="1">
        <v>0</v>
      </c>
      <c r="J516" s="1">
        <v>171.69</v>
      </c>
      <c r="K516" s="1">
        <v>0</v>
      </c>
      <c r="L516" s="1">
        <v>-30.75</v>
      </c>
      <c r="M516" s="1">
        <v>30.14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1" cm="1">
        <f t="array" ref="U516">SUM(ABS(B516:T516))</f>
        <v>554.86</v>
      </c>
    </row>
    <row r="517" spans="1:21" x14ac:dyDescent="0.3">
      <c r="A517" s="14">
        <v>45935.354166666664</v>
      </c>
      <c r="B517" s="1">
        <v>-160.71</v>
      </c>
      <c r="C517" s="1">
        <v>-41.56</v>
      </c>
      <c r="D517" s="1">
        <v>35.5</v>
      </c>
      <c r="E517" s="1">
        <v>0</v>
      </c>
      <c r="F517" s="1">
        <v>0</v>
      </c>
      <c r="G517" s="1">
        <v>-33.43</v>
      </c>
      <c r="H517" s="1">
        <v>12</v>
      </c>
      <c r="I517" s="1">
        <v>0</v>
      </c>
      <c r="J517" s="1">
        <v>172.01</v>
      </c>
      <c r="K517" s="1">
        <v>0</v>
      </c>
      <c r="L517" s="1">
        <v>-30.75</v>
      </c>
      <c r="M517" s="1">
        <v>30.14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1" cm="1">
        <f t="array" ref="U517">SUM(ABS(B517:T517))</f>
        <v>516.1</v>
      </c>
    </row>
    <row r="518" spans="1:21" x14ac:dyDescent="0.3">
      <c r="A518" s="14">
        <v>45935.364583333336</v>
      </c>
      <c r="B518" s="1">
        <v>-153.02000000000001</v>
      </c>
      <c r="C518" s="1">
        <v>-41.55</v>
      </c>
      <c r="D518" s="1">
        <v>35.42</v>
      </c>
      <c r="E518" s="1">
        <v>0</v>
      </c>
      <c r="F518" s="1">
        <v>0</v>
      </c>
      <c r="G518" s="1">
        <v>-32.840000000000003</v>
      </c>
      <c r="H518" s="1">
        <v>12</v>
      </c>
      <c r="I518" s="1">
        <v>0</v>
      </c>
      <c r="J518" s="1">
        <v>128.38999999999999</v>
      </c>
      <c r="K518" s="1">
        <v>0</v>
      </c>
      <c r="L518" s="1">
        <v>-30.73</v>
      </c>
      <c r="M518" s="1">
        <v>21.47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1" cm="1">
        <f t="array" ref="U518">SUM(ABS(B518:T518))</f>
        <v>455.42000000000007</v>
      </c>
    </row>
    <row r="519" spans="1:21" x14ac:dyDescent="0.3">
      <c r="A519" s="14">
        <v>45935.375</v>
      </c>
      <c r="B519" s="1">
        <v>-153.04</v>
      </c>
      <c r="C519" s="1">
        <v>-33.549999999999997</v>
      </c>
      <c r="D519" s="1">
        <v>35.299999999999997</v>
      </c>
      <c r="E519" s="1">
        <v>0</v>
      </c>
      <c r="F519" s="1">
        <v>0</v>
      </c>
      <c r="G519" s="1">
        <v>-32.79</v>
      </c>
      <c r="H519" s="1">
        <v>12</v>
      </c>
      <c r="I519" s="1">
        <v>0</v>
      </c>
      <c r="J519" s="1">
        <v>124.59</v>
      </c>
      <c r="K519" s="1">
        <v>0</v>
      </c>
      <c r="L519" s="1">
        <v>-30.77</v>
      </c>
      <c r="M519" s="1">
        <v>20.100000000000001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1" cm="1">
        <f t="array" ref="U519">SUM(ABS(B519:T519))</f>
        <v>442.14</v>
      </c>
    </row>
    <row r="520" spans="1:21" x14ac:dyDescent="0.3">
      <c r="A520" s="14">
        <v>45935.385416666664</v>
      </c>
      <c r="B520" s="1">
        <v>-281.57</v>
      </c>
      <c r="C520" s="1">
        <v>-20.45</v>
      </c>
      <c r="D520" s="1">
        <v>35.229999999999997</v>
      </c>
      <c r="E520" s="1">
        <v>0</v>
      </c>
      <c r="F520" s="1">
        <v>0</v>
      </c>
      <c r="G520" s="1">
        <v>-33.049999999999997</v>
      </c>
      <c r="H520" s="1">
        <v>12</v>
      </c>
      <c r="I520" s="1">
        <v>0</v>
      </c>
      <c r="J520" s="1">
        <v>169.88</v>
      </c>
      <c r="K520" s="1">
        <v>0</v>
      </c>
      <c r="L520" s="1">
        <v>-30.75</v>
      </c>
      <c r="M520" s="1">
        <v>20.09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1" cm="1">
        <f t="array" ref="U520">SUM(ABS(B520:T520))</f>
        <v>603.0200000000001</v>
      </c>
    </row>
    <row r="521" spans="1:21" x14ac:dyDescent="0.3">
      <c r="A521" s="14">
        <v>45935.395833333336</v>
      </c>
      <c r="B521" s="1">
        <v>-260.64</v>
      </c>
      <c r="C521" s="1">
        <v>-20.41</v>
      </c>
      <c r="D521" s="1">
        <v>35.18</v>
      </c>
      <c r="E521" s="1">
        <v>0</v>
      </c>
      <c r="F521" s="1">
        <v>0</v>
      </c>
      <c r="G521" s="1">
        <v>-33.21</v>
      </c>
      <c r="H521" s="1">
        <v>12</v>
      </c>
      <c r="I521" s="1">
        <v>0</v>
      </c>
      <c r="J521" s="1">
        <v>171.17</v>
      </c>
      <c r="K521" s="1">
        <v>0</v>
      </c>
      <c r="L521" s="1">
        <v>-30.77</v>
      </c>
      <c r="M521" s="1">
        <v>20.09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1" cm="1">
        <f t="array" ref="U521">SUM(ABS(B521:T521))</f>
        <v>583.47</v>
      </c>
    </row>
    <row r="522" spans="1:21" x14ac:dyDescent="0.3">
      <c r="A522" s="14">
        <v>45935.40625</v>
      </c>
      <c r="B522" s="1">
        <v>-215.37</v>
      </c>
      <c r="C522" s="1">
        <v>-20.440000000000001</v>
      </c>
      <c r="D522" s="1">
        <v>35.07</v>
      </c>
      <c r="E522" s="1">
        <v>0</v>
      </c>
      <c r="F522" s="1">
        <v>0</v>
      </c>
      <c r="G522" s="1">
        <v>-32.950000000000003</v>
      </c>
      <c r="H522" s="1">
        <v>12</v>
      </c>
      <c r="I522" s="1">
        <v>0</v>
      </c>
      <c r="J522" s="1">
        <v>169.06</v>
      </c>
      <c r="K522" s="1">
        <v>0</v>
      </c>
      <c r="L522" s="1">
        <v>-30.74</v>
      </c>
      <c r="M522" s="1">
        <v>20.100000000000001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1" cm="1">
        <f t="array" ref="U522">SUM(ABS(B522:T522))</f>
        <v>535.73</v>
      </c>
    </row>
    <row r="523" spans="1:21" x14ac:dyDescent="0.3">
      <c r="A523" s="14">
        <v>45935.416666666664</v>
      </c>
      <c r="B523" s="1">
        <v>-187.42</v>
      </c>
      <c r="C523" s="1">
        <v>-20.48</v>
      </c>
      <c r="D523" s="1">
        <v>35.020000000000003</v>
      </c>
      <c r="E523" s="1">
        <v>0</v>
      </c>
      <c r="F523" s="1">
        <v>0</v>
      </c>
      <c r="G523" s="1">
        <v>-33.299999999999997</v>
      </c>
      <c r="H523" s="1">
        <v>12</v>
      </c>
      <c r="I523" s="1">
        <v>0</v>
      </c>
      <c r="J523" s="1">
        <v>170.62</v>
      </c>
      <c r="K523" s="1">
        <v>0</v>
      </c>
      <c r="L523" s="1">
        <v>-30.79</v>
      </c>
      <c r="M523" s="1">
        <v>20.09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1" cm="1">
        <f t="array" ref="U523">SUM(ABS(B523:T523))</f>
        <v>509.71999999999997</v>
      </c>
    </row>
    <row r="524" spans="1:21" x14ac:dyDescent="0.3">
      <c r="A524" s="14">
        <v>45935.427083333336</v>
      </c>
      <c r="B524" s="1">
        <v>-244.19</v>
      </c>
      <c r="C524" s="1">
        <v>-20.51</v>
      </c>
      <c r="D524" s="1">
        <v>34.96</v>
      </c>
      <c r="E524" s="1">
        <v>0</v>
      </c>
      <c r="F524" s="1">
        <v>0</v>
      </c>
      <c r="G524" s="1">
        <v>-33.64</v>
      </c>
      <c r="H524" s="1">
        <v>12</v>
      </c>
      <c r="I524" s="1">
        <v>0</v>
      </c>
      <c r="J524" s="1">
        <v>172.56</v>
      </c>
      <c r="K524" s="1">
        <v>0</v>
      </c>
      <c r="L524" s="1">
        <v>-30.69</v>
      </c>
      <c r="M524" s="1">
        <v>20.100000000000001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1" cm="1">
        <f t="array" ref="U524">SUM(ABS(B524:T524))</f>
        <v>568.65</v>
      </c>
    </row>
    <row r="525" spans="1:21" x14ac:dyDescent="0.3">
      <c r="A525" s="14">
        <v>45935.4375</v>
      </c>
      <c r="B525" s="1">
        <v>-187.47</v>
      </c>
      <c r="C525" s="1">
        <v>-20.5</v>
      </c>
      <c r="D525" s="1">
        <v>34.93</v>
      </c>
      <c r="E525" s="1">
        <v>0</v>
      </c>
      <c r="F525" s="1">
        <v>0</v>
      </c>
      <c r="G525" s="1">
        <v>-33.75</v>
      </c>
      <c r="H525" s="1">
        <v>12</v>
      </c>
      <c r="I525" s="1">
        <v>0</v>
      </c>
      <c r="J525" s="1">
        <v>196.12</v>
      </c>
      <c r="K525" s="1">
        <v>0</v>
      </c>
      <c r="L525" s="1">
        <v>-30.58</v>
      </c>
      <c r="M525" s="1">
        <v>20.100000000000001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1" cm="1">
        <f t="array" ref="U525">SUM(ABS(B525:T525))</f>
        <v>535.45000000000005</v>
      </c>
    </row>
    <row r="526" spans="1:21" x14ac:dyDescent="0.3">
      <c r="A526" s="14">
        <v>45935.447916666664</v>
      </c>
      <c r="B526" s="1">
        <v>-168.94</v>
      </c>
      <c r="C526" s="1">
        <v>-20.49</v>
      </c>
      <c r="D526" s="1">
        <v>34.9</v>
      </c>
      <c r="E526" s="1">
        <v>0</v>
      </c>
      <c r="F526" s="1">
        <v>0</v>
      </c>
      <c r="G526" s="1">
        <v>-33.659999999999997</v>
      </c>
      <c r="H526" s="1">
        <v>12</v>
      </c>
      <c r="I526" s="1">
        <v>0</v>
      </c>
      <c r="J526" s="1">
        <v>198.23</v>
      </c>
      <c r="K526" s="1">
        <v>0</v>
      </c>
      <c r="L526" s="1">
        <v>-30.54</v>
      </c>
      <c r="M526" s="1">
        <v>20.100000000000001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1" cm="1">
        <f t="array" ref="U526">SUM(ABS(B526:T526))</f>
        <v>518.86</v>
      </c>
    </row>
    <row r="527" spans="1:21" x14ac:dyDescent="0.3">
      <c r="A527" s="14">
        <v>45935.458333333336</v>
      </c>
      <c r="B527" s="1">
        <v>-167.68</v>
      </c>
      <c r="C527" s="1">
        <v>-20.5</v>
      </c>
      <c r="D527" s="1">
        <v>34.85</v>
      </c>
      <c r="E527" s="1">
        <v>0</v>
      </c>
      <c r="F527" s="1">
        <v>0</v>
      </c>
      <c r="G527" s="1">
        <v>-33.630000000000003</v>
      </c>
      <c r="H527" s="1">
        <v>12</v>
      </c>
      <c r="I527" s="1">
        <v>0</v>
      </c>
      <c r="J527" s="1">
        <v>198.26</v>
      </c>
      <c r="K527" s="1">
        <v>0</v>
      </c>
      <c r="L527" s="1">
        <v>-30.57</v>
      </c>
      <c r="M527" s="1">
        <v>20.100000000000001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1" cm="1">
        <f t="array" ref="U527">SUM(ABS(B527:T527))</f>
        <v>517.59</v>
      </c>
    </row>
    <row r="528" spans="1:21" x14ac:dyDescent="0.3">
      <c r="A528" s="14">
        <v>45935.46875</v>
      </c>
      <c r="B528" s="1">
        <v>-175.03</v>
      </c>
      <c r="C528" s="1">
        <v>-20.5</v>
      </c>
      <c r="D528" s="1">
        <v>34.799999999999997</v>
      </c>
      <c r="E528" s="1">
        <v>0</v>
      </c>
      <c r="F528" s="1">
        <v>0</v>
      </c>
      <c r="G528" s="1">
        <v>-33.869999999999997</v>
      </c>
      <c r="H528" s="1">
        <v>12</v>
      </c>
      <c r="I528" s="1">
        <v>0</v>
      </c>
      <c r="J528" s="1">
        <v>215.27</v>
      </c>
      <c r="K528" s="1">
        <v>0</v>
      </c>
      <c r="L528" s="1">
        <v>-30.57</v>
      </c>
      <c r="M528" s="1">
        <v>20.100000000000001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1" cm="1">
        <f t="array" ref="U528">SUM(ABS(B528:T528))</f>
        <v>542.1400000000001</v>
      </c>
    </row>
    <row r="529" spans="1:21" x14ac:dyDescent="0.3">
      <c r="A529" s="14">
        <v>45935.479166666664</v>
      </c>
      <c r="B529" s="1">
        <v>-140.07</v>
      </c>
      <c r="C529" s="1">
        <v>-20.49</v>
      </c>
      <c r="D529" s="1">
        <v>34.770000000000003</v>
      </c>
      <c r="E529" s="1">
        <v>0</v>
      </c>
      <c r="F529" s="1">
        <v>0</v>
      </c>
      <c r="G529" s="1">
        <v>-33.93</v>
      </c>
      <c r="H529" s="1">
        <v>12</v>
      </c>
      <c r="I529" s="1">
        <v>0</v>
      </c>
      <c r="J529" s="1">
        <v>218.55</v>
      </c>
      <c r="K529" s="1">
        <v>0</v>
      </c>
      <c r="L529" s="1">
        <v>-30.56</v>
      </c>
      <c r="M529" s="1">
        <v>20.09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1" cm="1">
        <f t="array" ref="U529">SUM(ABS(B529:T529))</f>
        <v>510.46000000000004</v>
      </c>
    </row>
    <row r="530" spans="1:21" x14ac:dyDescent="0.3">
      <c r="A530" s="14">
        <v>45935.489583333336</v>
      </c>
      <c r="B530" s="1">
        <v>-123.85</v>
      </c>
      <c r="C530" s="1">
        <v>-20.5</v>
      </c>
      <c r="D530" s="1">
        <v>34.729999999999997</v>
      </c>
      <c r="E530" s="1">
        <v>0</v>
      </c>
      <c r="F530" s="1">
        <v>0</v>
      </c>
      <c r="G530" s="1">
        <v>-33.67</v>
      </c>
      <c r="H530" s="1">
        <v>12</v>
      </c>
      <c r="I530" s="1">
        <v>0</v>
      </c>
      <c r="J530" s="1">
        <v>218.57</v>
      </c>
      <c r="K530" s="1">
        <v>0</v>
      </c>
      <c r="L530" s="1">
        <v>-30.54</v>
      </c>
      <c r="M530" s="1">
        <v>20.09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1" cm="1">
        <f t="array" ref="U530">SUM(ABS(B530:T530))</f>
        <v>493.95</v>
      </c>
    </row>
    <row r="531" spans="1:21" x14ac:dyDescent="0.3">
      <c r="A531" s="14">
        <v>45935.5</v>
      </c>
      <c r="B531" s="1">
        <v>-130.85</v>
      </c>
      <c r="C531" s="1">
        <v>-20.5</v>
      </c>
      <c r="D531" s="1">
        <v>34.69</v>
      </c>
      <c r="E531" s="1">
        <v>0</v>
      </c>
      <c r="F531" s="1">
        <v>0</v>
      </c>
      <c r="G531" s="1">
        <v>-33.340000000000003</v>
      </c>
      <c r="H531" s="1">
        <v>12</v>
      </c>
      <c r="I531" s="1">
        <v>0</v>
      </c>
      <c r="J531" s="1">
        <v>217.96</v>
      </c>
      <c r="K531" s="1">
        <v>0</v>
      </c>
      <c r="L531" s="1">
        <v>-30.57</v>
      </c>
      <c r="M531" s="1">
        <v>20.100000000000001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1" cm="1">
        <f t="array" ref="U531">SUM(ABS(B531:T531))</f>
        <v>500.01000000000005</v>
      </c>
    </row>
    <row r="532" spans="1:21" x14ac:dyDescent="0.3">
      <c r="A532" s="14">
        <v>45935.510416666664</v>
      </c>
      <c r="B532" s="1">
        <v>-140.53</v>
      </c>
      <c r="C532" s="1">
        <v>-20.51</v>
      </c>
      <c r="D532" s="1">
        <v>34.67</v>
      </c>
      <c r="E532" s="1">
        <v>0</v>
      </c>
      <c r="F532" s="1">
        <v>0</v>
      </c>
      <c r="G532" s="1">
        <v>-33.61</v>
      </c>
      <c r="H532" s="1">
        <v>12</v>
      </c>
      <c r="I532" s="1">
        <v>0</v>
      </c>
      <c r="J532" s="1">
        <v>218.59</v>
      </c>
      <c r="K532" s="1">
        <v>0</v>
      </c>
      <c r="L532" s="1">
        <v>-30.57</v>
      </c>
      <c r="M532" s="1">
        <v>28.54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1" cm="1">
        <f t="array" ref="U532">SUM(ABS(B532:T532))</f>
        <v>519.02</v>
      </c>
    </row>
    <row r="533" spans="1:21" x14ac:dyDescent="0.3">
      <c r="A533" s="14">
        <v>45935.520833333336</v>
      </c>
      <c r="B533" s="1">
        <v>-178.56</v>
      </c>
      <c r="C533" s="1">
        <v>-20.52</v>
      </c>
      <c r="D533" s="1">
        <v>34.630000000000003</v>
      </c>
      <c r="E533" s="1">
        <v>0</v>
      </c>
      <c r="F533" s="1">
        <v>0</v>
      </c>
      <c r="G533" s="1">
        <v>-33.619999999999997</v>
      </c>
      <c r="H533" s="1">
        <v>12</v>
      </c>
      <c r="I533" s="1">
        <v>0</v>
      </c>
      <c r="J533" s="1">
        <v>218.57</v>
      </c>
      <c r="K533" s="1">
        <v>0</v>
      </c>
      <c r="L533" s="1">
        <v>-30.58</v>
      </c>
      <c r="M533" s="1">
        <v>36.159999999999997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1" cm="1">
        <f t="array" ref="U533">SUM(ABS(B533:T533))</f>
        <v>564.64</v>
      </c>
    </row>
    <row r="534" spans="1:21" x14ac:dyDescent="0.3">
      <c r="A534" s="14">
        <v>45935.53125</v>
      </c>
      <c r="B534" s="1">
        <v>-184.01</v>
      </c>
      <c r="C534" s="1">
        <v>-20.53</v>
      </c>
      <c r="D534" s="1">
        <v>34.6</v>
      </c>
      <c r="E534" s="1">
        <v>0</v>
      </c>
      <c r="F534" s="1">
        <v>0</v>
      </c>
      <c r="G534" s="1">
        <v>-33.58</v>
      </c>
      <c r="H534" s="1">
        <v>12</v>
      </c>
      <c r="I534" s="1">
        <v>0</v>
      </c>
      <c r="J534" s="1">
        <v>218.3</v>
      </c>
      <c r="K534" s="1">
        <v>0</v>
      </c>
      <c r="L534" s="1">
        <v>-30.57</v>
      </c>
      <c r="M534" s="1">
        <v>36.15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1" cm="1">
        <f t="array" ref="U534">SUM(ABS(B534:T534))</f>
        <v>569.74</v>
      </c>
    </row>
    <row r="535" spans="1:21" x14ac:dyDescent="0.3">
      <c r="A535" s="14">
        <v>45935.541666666664</v>
      </c>
      <c r="B535" s="1">
        <v>-171.86</v>
      </c>
      <c r="C535" s="1">
        <v>-20.74</v>
      </c>
      <c r="D535" s="1">
        <v>30</v>
      </c>
      <c r="E535" s="1">
        <v>0</v>
      </c>
      <c r="F535" s="1">
        <v>0</v>
      </c>
      <c r="G535" s="1">
        <v>-33.11</v>
      </c>
      <c r="H535" s="1">
        <v>12</v>
      </c>
      <c r="I535" s="1">
        <v>0</v>
      </c>
      <c r="J535" s="1">
        <v>215.94</v>
      </c>
      <c r="K535" s="1">
        <v>0</v>
      </c>
      <c r="L535" s="1">
        <v>-30.6</v>
      </c>
      <c r="M535" s="1">
        <v>36.18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1" cm="1">
        <f t="array" ref="U535">SUM(ABS(B535:T535))</f>
        <v>550.42999999999995</v>
      </c>
    </row>
    <row r="536" spans="1:21" x14ac:dyDescent="0.3">
      <c r="A536" s="14">
        <v>45935.552083333336</v>
      </c>
      <c r="B536" s="1">
        <v>-179.13</v>
      </c>
      <c r="C536" s="1">
        <v>-20.76</v>
      </c>
      <c r="D536" s="1">
        <v>24.57</v>
      </c>
      <c r="E536" s="1">
        <v>0</v>
      </c>
      <c r="F536" s="1">
        <v>0</v>
      </c>
      <c r="G536" s="1">
        <v>-33.450000000000003</v>
      </c>
      <c r="H536" s="1">
        <v>12</v>
      </c>
      <c r="I536" s="1">
        <v>0</v>
      </c>
      <c r="J536" s="1">
        <v>218.19</v>
      </c>
      <c r="K536" s="1">
        <v>0</v>
      </c>
      <c r="L536" s="1">
        <v>-30.58</v>
      </c>
      <c r="M536" s="1">
        <v>36.17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1" cm="1">
        <f t="array" ref="U536">SUM(ABS(B536:T536))</f>
        <v>554.84999999999991</v>
      </c>
    </row>
    <row r="537" spans="1:21" x14ac:dyDescent="0.3">
      <c r="A537" s="14">
        <v>45935.5625</v>
      </c>
      <c r="B537" s="1">
        <v>-190.64</v>
      </c>
      <c r="C537" s="1">
        <v>-20.77</v>
      </c>
      <c r="D537" s="1">
        <v>24.59</v>
      </c>
      <c r="E537" s="1">
        <v>0</v>
      </c>
      <c r="F537" s="1">
        <v>0</v>
      </c>
      <c r="G537" s="1">
        <v>-33.76</v>
      </c>
      <c r="H537" s="1">
        <v>12</v>
      </c>
      <c r="I537" s="1">
        <v>0</v>
      </c>
      <c r="J537" s="1">
        <v>218.39</v>
      </c>
      <c r="K537" s="1">
        <v>0</v>
      </c>
      <c r="L537" s="1">
        <v>-30.61</v>
      </c>
      <c r="M537" s="1">
        <v>36.19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1" cm="1">
        <f t="array" ref="U537">SUM(ABS(B537:T537))</f>
        <v>566.95000000000005</v>
      </c>
    </row>
    <row r="538" spans="1:21" x14ac:dyDescent="0.3">
      <c r="A538" s="14">
        <v>45935.572916666664</v>
      </c>
      <c r="B538" s="1">
        <v>-238.37</v>
      </c>
      <c r="C538" s="1">
        <v>-20.77</v>
      </c>
      <c r="D538" s="1">
        <v>24.69</v>
      </c>
      <c r="E538" s="1">
        <v>0</v>
      </c>
      <c r="F538" s="1">
        <v>0</v>
      </c>
      <c r="G538" s="1">
        <v>-33.82</v>
      </c>
      <c r="H538" s="1">
        <v>12</v>
      </c>
      <c r="I538" s="1">
        <v>0</v>
      </c>
      <c r="J538" s="1">
        <v>218.47</v>
      </c>
      <c r="K538" s="1">
        <v>0</v>
      </c>
      <c r="L538" s="1">
        <v>-30.57</v>
      </c>
      <c r="M538" s="1">
        <v>36.18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1" cm="1">
        <f t="array" ref="U538">SUM(ABS(B538:T538))</f>
        <v>614.87</v>
      </c>
    </row>
    <row r="539" spans="1:21" x14ac:dyDescent="0.3">
      <c r="A539" s="14">
        <v>45935.583333333336</v>
      </c>
      <c r="B539" s="1">
        <v>-261.99</v>
      </c>
      <c r="C539" s="1">
        <v>-20.75</v>
      </c>
      <c r="D539" s="1">
        <v>24.72</v>
      </c>
      <c r="E539" s="1">
        <v>0</v>
      </c>
      <c r="F539" s="1">
        <v>0</v>
      </c>
      <c r="G539" s="1">
        <v>-33.39</v>
      </c>
      <c r="H539" s="1">
        <v>12</v>
      </c>
      <c r="I539" s="1">
        <v>0</v>
      </c>
      <c r="J539" s="1">
        <v>217.8</v>
      </c>
      <c r="K539" s="1">
        <v>0</v>
      </c>
      <c r="L539" s="1">
        <v>-30.58</v>
      </c>
      <c r="M539" s="1">
        <v>36.18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1" cm="1">
        <f t="array" ref="U539">SUM(ABS(B539:T539))</f>
        <v>637.41000000000008</v>
      </c>
    </row>
    <row r="540" spans="1:21" x14ac:dyDescent="0.3">
      <c r="A540" s="14">
        <v>45935.59375</v>
      </c>
      <c r="B540" s="1">
        <v>-283.52</v>
      </c>
      <c r="C540" s="1">
        <v>-20.76</v>
      </c>
      <c r="D540" s="1">
        <v>24.75</v>
      </c>
      <c r="E540" s="1">
        <v>0</v>
      </c>
      <c r="F540" s="1">
        <v>0</v>
      </c>
      <c r="G540" s="1">
        <v>-33.369999999999997</v>
      </c>
      <c r="H540" s="1">
        <v>12</v>
      </c>
      <c r="I540" s="1">
        <v>0</v>
      </c>
      <c r="J540" s="1">
        <v>217.36</v>
      </c>
      <c r="K540" s="1">
        <v>0</v>
      </c>
      <c r="L540" s="1">
        <v>-30.58</v>
      </c>
      <c r="M540" s="1">
        <v>36.19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1" cm="1">
        <f t="array" ref="U540">SUM(ABS(B540:T540))</f>
        <v>658.53</v>
      </c>
    </row>
    <row r="541" spans="1:21" x14ac:dyDescent="0.3">
      <c r="A541" s="14">
        <v>45935.604166666664</v>
      </c>
      <c r="B541" s="1">
        <v>-329.03</v>
      </c>
      <c r="C541" s="1">
        <v>-20.7</v>
      </c>
      <c r="D541" s="1">
        <v>24.8</v>
      </c>
      <c r="E541" s="1">
        <v>0</v>
      </c>
      <c r="F541" s="1">
        <v>0</v>
      </c>
      <c r="G541" s="1">
        <v>-22.45</v>
      </c>
      <c r="H541" s="1">
        <v>12</v>
      </c>
      <c r="I541" s="1">
        <v>0</v>
      </c>
      <c r="J541" s="1">
        <v>217.62</v>
      </c>
      <c r="K541" s="1">
        <v>0</v>
      </c>
      <c r="L541" s="1">
        <v>-20.95</v>
      </c>
      <c r="M541" s="1">
        <v>36.19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1" cm="1">
        <f t="array" ref="U541">SUM(ABS(B541:T541))</f>
        <v>683.74</v>
      </c>
    </row>
    <row r="542" spans="1:21" x14ac:dyDescent="0.3">
      <c r="A542" s="14">
        <v>45935.614583333336</v>
      </c>
      <c r="B542" s="1">
        <v>-350.27</v>
      </c>
      <c r="C542" s="1">
        <v>-20.67</v>
      </c>
      <c r="D542" s="1">
        <v>24.81</v>
      </c>
      <c r="E542" s="1">
        <v>0.87</v>
      </c>
      <c r="F542" s="1">
        <v>0</v>
      </c>
      <c r="G542" s="1">
        <v>-16.7</v>
      </c>
      <c r="H542" s="1">
        <v>12</v>
      </c>
      <c r="I542" s="1">
        <v>0</v>
      </c>
      <c r="J542" s="1">
        <v>217.83</v>
      </c>
      <c r="K542" s="1">
        <v>0</v>
      </c>
      <c r="L542" s="1">
        <v>-15.13</v>
      </c>
      <c r="M542" s="1">
        <v>36.18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1" cm="1">
        <f t="array" ref="U542">SUM(ABS(B542:T542))</f>
        <v>694.45999999999992</v>
      </c>
    </row>
    <row r="543" spans="1:21" x14ac:dyDescent="0.3">
      <c r="A543" s="14">
        <v>45935.625</v>
      </c>
      <c r="B543" s="1">
        <v>-342.86</v>
      </c>
      <c r="C543" s="1">
        <v>-20.64</v>
      </c>
      <c r="D543" s="1">
        <v>24.79</v>
      </c>
      <c r="E543" s="1">
        <v>45.82</v>
      </c>
      <c r="F543" s="1">
        <v>0</v>
      </c>
      <c r="G543" s="1">
        <v>-16.52</v>
      </c>
      <c r="H543" s="1">
        <v>12</v>
      </c>
      <c r="I543" s="1">
        <v>0</v>
      </c>
      <c r="J543" s="1">
        <v>215.32</v>
      </c>
      <c r="K543" s="1">
        <v>0</v>
      </c>
      <c r="L543" s="1">
        <v>-15.15</v>
      </c>
      <c r="M543" s="1">
        <v>36.18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1" cm="1">
        <f t="array" ref="U543">SUM(ABS(B543:T543))</f>
        <v>729.28</v>
      </c>
    </row>
    <row r="544" spans="1:21" x14ac:dyDescent="0.3">
      <c r="A544" s="14">
        <v>45935.635416666664</v>
      </c>
      <c r="B544" s="1">
        <v>-354.23</v>
      </c>
      <c r="C544" s="1">
        <v>-20.63</v>
      </c>
      <c r="D544" s="1">
        <v>25</v>
      </c>
      <c r="E544" s="1">
        <v>58.86</v>
      </c>
      <c r="F544" s="1">
        <v>0</v>
      </c>
      <c r="G544" s="1">
        <v>-16.579999999999998</v>
      </c>
      <c r="H544" s="1">
        <v>12</v>
      </c>
      <c r="I544" s="1">
        <v>0</v>
      </c>
      <c r="J544" s="1">
        <v>216.3</v>
      </c>
      <c r="K544" s="1">
        <v>0</v>
      </c>
      <c r="L544" s="1">
        <v>-15.12</v>
      </c>
      <c r="M544" s="1">
        <v>36.19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1" cm="1">
        <f t="array" ref="U544">SUM(ABS(B544:T544))</f>
        <v>754.91000000000008</v>
      </c>
    </row>
    <row r="545" spans="1:21" x14ac:dyDescent="0.3">
      <c r="A545" s="14">
        <v>45935.645833333336</v>
      </c>
      <c r="B545" s="1">
        <v>-350.53</v>
      </c>
      <c r="C545" s="1">
        <v>-20.64</v>
      </c>
      <c r="D545" s="1">
        <v>35.130000000000003</v>
      </c>
      <c r="E545" s="1">
        <v>100.42</v>
      </c>
      <c r="F545" s="1">
        <v>0</v>
      </c>
      <c r="G545" s="1">
        <v>-16.38</v>
      </c>
      <c r="H545" s="1">
        <v>12</v>
      </c>
      <c r="I545" s="1">
        <v>0</v>
      </c>
      <c r="J545" s="1">
        <v>212.66</v>
      </c>
      <c r="K545" s="1">
        <v>0</v>
      </c>
      <c r="L545" s="1">
        <v>-15.13</v>
      </c>
      <c r="M545" s="1">
        <v>36.18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1" cm="1">
        <f t="array" ref="U545">SUM(ABS(B545:T545))</f>
        <v>799.06999999999994</v>
      </c>
    </row>
    <row r="546" spans="1:21" x14ac:dyDescent="0.3">
      <c r="A546" s="14">
        <v>45935.65625</v>
      </c>
      <c r="B546" s="1">
        <v>-364.8</v>
      </c>
      <c r="C546" s="1">
        <v>-20.63</v>
      </c>
      <c r="D546" s="1">
        <v>35.18</v>
      </c>
      <c r="E546" s="1">
        <v>149.66999999999999</v>
      </c>
      <c r="F546" s="1">
        <v>0</v>
      </c>
      <c r="G546" s="1">
        <v>-16.41</v>
      </c>
      <c r="H546" s="1">
        <v>12</v>
      </c>
      <c r="I546" s="1">
        <v>0</v>
      </c>
      <c r="J546" s="1">
        <v>212.97</v>
      </c>
      <c r="K546" s="1">
        <v>0</v>
      </c>
      <c r="L546" s="1">
        <v>-15.14</v>
      </c>
      <c r="M546" s="1">
        <v>36.18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1" cm="1">
        <f t="array" ref="U546">SUM(ABS(B546:T546))</f>
        <v>862.9799999999999</v>
      </c>
    </row>
    <row r="547" spans="1:21" x14ac:dyDescent="0.3">
      <c r="A547" s="14">
        <v>45935.666666666664</v>
      </c>
      <c r="B547" s="1">
        <v>-286.77999999999997</v>
      </c>
      <c r="C547" s="1">
        <v>-20.65</v>
      </c>
      <c r="D547" s="1">
        <v>35.130000000000003</v>
      </c>
      <c r="E547" s="1">
        <v>165.61</v>
      </c>
      <c r="F547" s="1">
        <v>0</v>
      </c>
      <c r="G547" s="1">
        <v>-16.5</v>
      </c>
      <c r="H547" s="1">
        <v>12</v>
      </c>
      <c r="I547" s="1">
        <v>0</v>
      </c>
      <c r="J547" s="1">
        <v>214.35</v>
      </c>
      <c r="K547" s="1">
        <v>0</v>
      </c>
      <c r="L547" s="1">
        <v>-15.12</v>
      </c>
      <c r="M547" s="1">
        <v>36.18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1" cm="1">
        <f t="array" ref="U547">SUM(ABS(B547:T547))</f>
        <v>802.31999999999994</v>
      </c>
    </row>
    <row r="548" spans="1:21" x14ac:dyDescent="0.3">
      <c r="A548" s="14">
        <v>45935.677083333336</v>
      </c>
      <c r="B548" s="1">
        <v>-290.08999999999997</v>
      </c>
      <c r="C548" s="1">
        <v>-20.64</v>
      </c>
      <c r="D548" s="1">
        <v>35.130000000000003</v>
      </c>
      <c r="E548" s="1">
        <v>165.77</v>
      </c>
      <c r="F548" s="1">
        <v>0</v>
      </c>
      <c r="G548" s="1">
        <v>-16.510000000000002</v>
      </c>
      <c r="H548" s="1">
        <v>12</v>
      </c>
      <c r="I548" s="1">
        <v>0</v>
      </c>
      <c r="J548" s="1">
        <v>214.58</v>
      </c>
      <c r="K548" s="1">
        <v>0</v>
      </c>
      <c r="L548" s="1">
        <v>-15.09</v>
      </c>
      <c r="M548" s="1">
        <v>36.18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1" cm="1">
        <f t="array" ref="U548">SUM(ABS(B548:T548))</f>
        <v>805.99</v>
      </c>
    </row>
    <row r="549" spans="1:21" x14ac:dyDescent="0.3">
      <c r="A549" s="14">
        <v>45935.6875</v>
      </c>
      <c r="B549" s="1">
        <v>-273.02999999999997</v>
      </c>
      <c r="C549" s="1">
        <v>-20.63</v>
      </c>
      <c r="D549" s="1">
        <v>35.049999999999997</v>
      </c>
      <c r="E549" s="1">
        <v>141.6</v>
      </c>
      <c r="F549" s="1">
        <v>0</v>
      </c>
      <c r="G549" s="1">
        <v>-16.260000000000002</v>
      </c>
      <c r="H549" s="1">
        <v>12</v>
      </c>
      <c r="I549" s="1">
        <v>0</v>
      </c>
      <c r="J549" s="1">
        <v>231.66</v>
      </c>
      <c r="K549" s="1">
        <v>0</v>
      </c>
      <c r="L549" s="1">
        <v>-15.1</v>
      </c>
      <c r="M549" s="1">
        <v>36.18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1" cm="1">
        <f t="array" ref="U549">SUM(ABS(B549:T549))</f>
        <v>781.50999999999988</v>
      </c>
    </row>
    <row r="550" spans="1:21" x14ac:dyDescent="0.3">
      <c r="A550" s="14">
        <v>45935.697916666664</v>
      </c>
      <c r="B550" s="1">
        <v>-360.03</v>
      </c>
      <c r="C550" s="1">
        <v>-20.63</v>
      </c>
      <c r="D550" s="1">
        <v>35.01</v>
      </c>
      <c r="E550" s="1">
        <v>122.13</v>
      </c>
      <c r="F550" s="1">
        <v>0</v>
      </c>
      <c r="G550" s="1">
        <v>-16.29</v>
      </c>
      <c r="H550" s="1">
        <v>12</v>
      </c>
      <c r="I550" s="1">
        <v>0</v>
      </c>
      <c r="J550" s="1">
        <v>234.93</v>
      </c>
      <c r="K550" s="1">
        <v>0</v>
      </c>
      <c r="L550" s="1">
        <v>-15.08</v>
      </c>
      <c r="M550" s="1">
        <v>36.17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1" cm="1">
        <f t="array" ref="U550">SUM(ABS(B550:T550))</f>
        <v>852.27</v>
      </c>
    </row>
    <row r="551" spans="1:21" x14ac:dyDescent="0.3">
      <c r="A551" s="14">
        <v>45935.708333333336</v>
      </c>
      <c r="B551" s="1">
        <v>-345.41</v>
      </c>
      <c r="C551" s="1">
        <v>-20.63</v>
      </c>
      <c r="D551" s="1">
        <v>34.979999999999997</v>
      </c>
      <c r="E551" s="1">
        <v>133.88</v>
      </c>
      <c r="F551" s="1">
        <v>0</v>
      </c>
      <c r="G551" s="1">
        <v>-16.059999999999999</v>
      </c>
      <c r="H551" s="1">
        <v>12</v>
      </c>
      <c r="I551" s="1">
        <v>0</v>
      </c>
      <c r="J551" s="1">
        <v>230.03</v>
      </c>
      <c r="K551" s="1">
        <v>0</v>
      </c>
      <c r="L551" s="1">
        <v>-15.1</v>
      </c>
      <c r="M551" s="1">
        <v>34.380000000000003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1" cm="1">
        <f t="array" ref="U551">SUM(ABS(B551:T551))</f>
        <v>842.47</v>
      </c>
    </row>
    <row r="552" spans="1:21" x14ac:dyDescent="0.3">
      <c r="A552" s="14">
        <v>45935.71875</v>
      </c>
      <c r="B552" s="1">
        <v>-512.36</v>
      </c>
      <c r="C552" s="1">
        <v>-20.64</v>
      </c>
      <c r="D552" s="1">
        <v>34.979999999999997</v>
      </c>
      <c r="E552" s="1">
        <v>147.15</v>
      </c>
      <c r="F552" s="1">
        <v>0</v>
      </c>
      <c r="G552" s="1">
        <v>-16.55</v>
      </c>
      <c r="H552" s="1">
        <v>12</v>
      </c>
      <c r="I552" s="1">
        <v>0</v>
      </c>
      <c r="J552" s="1">
        <v>266.31</v>
      </c>
      <c r="K552" s="1">
        <v>0</v>
      </c>
      <c r="L552" s="1">
        <v>-15.12</v>
      </c>
      <c r="M552" s="1">
        <v>30.11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1" cm="1">
        <f t="array" ref="U552">SUM(ABS(B552:T552))</f>
        <v>1055.2199999999998</v>
      </c>
    </row>
    <row r="553" spans="1:21" x14ac:dyDescent="0.3">
      <c r="A553" s="14">
        <v>45935.729166666664</v>
      </c>
      <c r="B553" s="1">
        <v>-570.66</v>
      </c>
      <c r="C553" s="1">
        <v>-20.65</v>
      </c>
      <c r="D553" s="1">
        <v>35</v>
      </c>
      <c r="E553" s="1">
        <v>148.46</v>
      </c>
      <c r="F553" s="1">
        <v>0</v>
      </c>
      <c r="G553" s="1">
        <v>-16.649999999999999</v>
      </c>
      <c r="H553" s="1">
        <v>12</v>
      </c>
      <c r="I553" s="1">
        <v>0</v>
      </c>
      <c r="J553" s="1">
        <v>272.39999999999998</v>
      </c>
      <c r="K553" s="1">
        <v>0.17</v>
      </c>
      <c r="L553" s="1">
        <v>-15.13</v>
      </c>
      <c r="M553" s="1">
        <v>30.12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1" cm="1">
        <f t="array" ref="U553">SUM(ABS(B553:T553))</f>
        <v>1121.24</v>
      </c>
    </row>
    <row r="554" spans="1:21" x14ac:dyDescent="0.3">
      <c r="A554" s="14">
        <v>45935.739583333336</v>
      </c>
      <c r="B554" s="1">
        <v>-545.79</v>
      </c>
      <c r="C554" s="1">
        <v>-20.65</v>
      </c>
      <c r="D554" s="1">
        <v>35.01</v>
      </c>
      <c r="E554" s="1">
        <v>147.99</v>
      </c>
      <c r="F554" s="1">
        <v>0</v>
      </c>
      <c r="G554" s="1">
        <v>-16.66</v>
      </c>
      <c r="H554" s="1">
        <v>12</v>
      </c>
      <c r="I554" s="1">
        <v>0</v>
      </c>
      <c r="J554" s="1">
        <v>272.18</v>
      </c>
      <c r="K554" s="1">
        <v>11.44</v>
      </c>
      <c r="L554" s="1">
        <v>-15.16</v>
      </c>
      <c r="M554" s="1">
        <v>30.1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1" cm="1">
        <f t="array" ref="U554">SUM(ABS(B554:T554))</f>
        <v>1106.98</v>
      </c>
    </row>
    <row r="555" spans="1:21" x14ac:dyDescent="0.3">
      <c r="A555" s="14">
        <v>45935.75</v>
      </c>
      <c r="B555" s="1">
        <v>-333.24</v>
      </c>
      <c r="C555" s="1">
        <v>-26.97</v>
      </c>
      <c r="D555" s="1">
        <v>34.99</v>
      </c>
      <c r="E555" s="1">
        <v>142.91999999999999</v>
      </c>
      <c r="F555" s="1">
        <v>4.8499999999999996</v>
      </c>
      <c r="G555" s="1">
        <v>-16.13</v>
      </c>
      <c r="H555" s="1">
        <v>12</v>
      </c>
      <c r="I555" s="1">
        <v>0</v>
      </c>
      <c r="J555" s="1">
        <v>261</v>
      </c>
      <c r="K555" s="1">
        <v>12.71</v>
      </c>
      <c r="L555" s="1">
        <v>-15.14</v>
      </c>
      <c r="M555" s="1">
        <v>30.13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1" cm="1">
        <f t="array" ref="U555">SUM(ABS(B555:T555))</f>
        <v>890.08</v>
      </c>
    </row>
    <row r="556" spans="1:21" x14ac:dyDescent="0.3">
      <c r="A556" s="14">
        <v>45935.760416666664</v>
      </c>
      <c r="B556" s="1">
        <v>-227.77</v>
      </c>
      <c r="C556" s="1">
        <v>-41.46</v>
      </c>
      <c r="D556" s="1">
        <v>35.04</v>
      </c>
      <c r="E556" s="1">
        <v>144.69</v>
      </c>
      <c r="F556" s="1">
        <v>47.41</v>
      </c>
      <c r="G556" s="1">
        <v>-19</v>
      </c>
      <c r="H556" s="1">
        <v>22</v>
      </c>
      <c r="I556" s="1">
        <v>0</v>
      </c>
      <c r="J556" s="1">
        <v>268.52999999999997</v>
      </c>
      <c r="K556" s="1">
        <v>18.05</v>
      </c>
      <c r="L556" s="1">
        <v>-23.13</v>
      </c>
      <c r="M556" s="1">
        <v>30.12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1" cm="1">
        <f t="array" ref="U556">SUM(ABS(B556:T556))</f>
        <v>877.19999999999993</v>
      </c>
    </row>
    <row r="557" spans="1:21" x14ac:dyDescent="0.3">
      <c r="A557" s="14">
        <v>45935.770833333336</v>
      </c>
      <c r="B557" s="1">
        <v>-453.27</v>
      </c>
      <c r="C557" s="1">
        <v>-53.81</v>
      </c>
      <c r="D557" s="1">
        <v>35.06</v>
      </c>
      <c r="E557" s="1">
        <v>148.72999999999999</v>
      </c>
      <c r="F557" s="1">
        <v>58.09</v>
      </c>
      <c r="G557" s="1">
        <v>-31.24</v>
      </c>
      <c r="H557" s="1">
        <v>48.57</v>
      </c>
      <c r="I557" s="1">
        <v>0</v>
      </c>
      <c r="J557" s="1">
        <v>270.97000000000003</v>
      </c>
      <c r="K557" s="1">
        <v>19.600000000000001</v>
      </c>
      <c r="L557" s="1">
        <v>-30.71</v>
      </c>
      <c r="M557" s="1">
        <v>49.73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1" cm="1">
        <f t="array" ref="U557">SUM(ABS(B557:T557))</f>
        <v>1199.7800000000002</v>
      </c>
    </row>
    <row r="558" spans="1:21" x14ac:dyDescent="0.3">
      <c r="A558" s="14">
        <v>45935.78125</v>
      </c>
      <c r="B558" s="1">
        <v>-521.37</v>
      </c>
      <c r="C558" s="1">
        <v>-54.41</v>
      </c>
      <c r="D558" s="1">
        <v>35.08</v>
      </c>
      <c r="E558" s="1">
        <v>164.62</v>
      </c>
      <c r="F558" s="1">
        <v>104.2</v>
      </c>
      <c r="G558" s="1">
        <v>-33.049999999999997</v>
      </c>
      <c r="H558" s="1">
        <v>50.18</v>
      </c>
      <c r="I558" s="1">
        <v>0</v>
      </c>
      <c r="J558" s="1">
        <v>269.18</v>
      </c>
      <c r="K558" s="1">
        <v>32.020000000000003</v>
      </c>
      <c r="L558" s="1">
        <v>-30.71</v>
      </c>
      <c r="M558" s="1">
        <v>54.24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1" cm="1">
        <f t="array" ref="U558">SUM(ABS(B558:T558))</f>
        <v>1349.06</v>
      </c>
    </row>
    <row r="559" spans="1:21" x14ac:dyDescent="0.3">
      <c r="A559" s="14">
        <v>45935.791666666664</v>
      </c>
      <c r="B559" s="1">
        <v>-640.09</v>
      </c>
      <c r="C559" s="1">
        <v>-54.45</v>
      </c>
      <c r="D559" s="1">
        <v>35.11</v>
      </c>
      <c r="E559" s="1">
        <v>166.74</v>
      </c>
      <c r="F559" s="1">
        <v>112.72</v>
      </c>
      <c r="G559" s="1">
        <v>-33.54</v>
      </c>
      <c r="H559" s="1">
        <v>66.319999999999993</v>
      </c>
      <c r="I559" s="1">
        <v>0</v>
      </c>
      <c r="J559" s="1">
        <v>271.66000000000003</v>
      </c>
      <c r="K559" s="1">
        <v>38.01</v>
      </c>
      <c r="L559" s="1">
        <v>-30.74</v>
      </c>
      <c r="M559" s="1">
        <v>54.24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1" cm="1">
        <f t="array" ref="U559">SUM(ABS(B559:T559))</f>
        <v>1503.6200000000001</v>
      </c>
    </row>
    <row r="560" spans="1:21" x14ac:dyDescent="0.3">
      <c r="A560" s="14">
        <v>45935.802083333336</v>
      </c>
      <c r="B560" s="1">
        <v>-731.73</v>
      </c>
      <c r="C560" s="1">
        <v>-54.46</v>
      </c>
      <c r="D560" s="1">
        <v>35.119999999999997</v>
      </c>
      <c r="E560" s="1">
        <v>169.58</v>
      </c>
      <c r="F560" s="1">
        <v>112.85</v>
      </c>
      <c r="G560" s="1">
        <v>-33.79</v>
      </c>
      <c r="H560" s="1">
        <v>66.31</v>
      </c>
      <c r="I560" s="1">
        <v>0</v>
      </c>
      <c r="J560" s="1">
        <v>272.45999999999998</v>
      </c>
      <c r="K560" s="1">
        <v>38.049999999999997</v>
      </c>
      <c r="L560" s="1">
        <v>-30.74</v>
      </c>
      <c r="M560" s="1">
        <v>54.24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1" cm="1">
        <f t="array" ref="U560">SUM(ABS(B560:T560))</f>
        <v>1599.33</v>
      </c>
    </row>
    <row r="561" spans="1:21" x14ac:dyDescent="0.3">
      <c r="A561" s="14">
        <v>45935.8125</v>
      </c>
      <c r="B561" s="1">
        <v>-734.61</v>
      </c>
      <c r="C561" s="1">
        <v>-54.46</v>
      </c>
      <c r="D561" s="1">
        <v>35.130000000000003</v>
      </c>
      <c r="E561" s="1">
        <v>167.85</v>
      </c>
      <c r="F561" s="1">
        <v>112.73</v>
      </c>
      <c r="G561" s="1">
        <v>-33.74</v>
      </c>
      <c r="H561" s="1">
        <v>66.290000000000006</v>
      </c>
      <c r="I561" s="1">
        <v>0</v>
      </c>
      <c r="J561" s="1">
        <v>272.58999999999997</v>
      </c>
      <c r="K561" s="1">
        <v>38.049999999999997</v>
      </c>
      <c r="L561" s="1">
        <v>-30.72</v>
      </c>
      <c r="M561" s="1">
        <v>54.24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1" cm="1">
        <f t="array" ref="U561">SUM(ABS(B561:T561))</f>
        <v>1600.4099999999999</v>
      </c>
    </row>
    <row r="562" spans="1:21" x14ac:dyDescent="0.3">
      <c r="A562" s="14">
        <v>45935.822916666664</v>
      </c>
      <c r="B562" s="1">
        <v>-733.72</v>
      </c>
      <c r="C562" s="1">
        <v>-54.5</v>
      </c>
      <c r="D562" s="1">
        <v>35.119999999999997</v>
      </c>
      <c r="E562" s="1">
        <v>166.57</v>
      </c>
      <c r="F562" s="1">
        <v>112.62</v>
      </c>
      <c r="G562" s="1">
        <v>-33.51</v>
      </c>
      <c r="H562" s="1">
        <v>66.290000000000006</v>
      </c>
      <c r="I562" s="1">
        <v>0</v>
      </c>
      <c r="J562" s="1">
        <v>272.64</v>
      </c>
      <c r="K562" s="1">
        <v>38</v>
      </c>
      <c r="L562" s="1">
        <v>-30.73</v>
      </c>
      <c r="M562" s="1">
        <v>54.24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1" cm="1">
        <f t="array" ref="U562">SUM(ABS(B562:T562))</f>
        <v>1597.9400000000003</v>
      </c>
    </row>
    <row r="563" spans="1:21" x14ac:dyDescent="0.3">
      <c r="A563" s="14">
        <v>45935.833333333336</v>
      </c>
      <c r="B563" s="1">
        <v>-730.37</v>
      </c>
      <c r="C563" s="1">
        <v>-54.49</v>
      </c>
      <c r="D563" s="1">
        <v>35.119999999999997</v>
      </c>
      <c r="E563" s="1">
        <v>165.35</v>
      </c>
      <c r="F563" s="1">
        <v>112.5</v>
      </c>
      <c r="G563" s="1">
        <v>-33.26</v>
      </c>
      <c r="H563" s="1">
        <v>66.27</v>
      </c>
      <c r="I563" s="1">
        <v>0</v>
      </c>
      <c r="J563" s="1">
        <v>271.48</v>
      </c>
      <c r="K563" s="1">
        <v>37.97</v>
      </c>
      <c r="L563" s="1">
        <v>-30.75</v>
      </c>
      <c r="M563" s="1">
        <v>54.25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1" cm="1">
        <f t="array" ref="U563">SUM(ABS(B563:T563))</f>
        <v>1591.81</v>
      </c>
    </row>
    <row r="564" spans="1:21" x14ac:dyDescent="0.3">
      <c r="A564" s="14">
        <v>45935.84375</v>
      </c>
      <c r="B564" s="1">
        <v>-731.64</v>
      </c>
      <c r="C564" s="1">
        <v>-54.49</v>
      </c>
      <c r="D564" s="1">
        <v>35.119999999999997</v>
      </c>
      <c r="E564" s="1">
        <v>165.79</v>
      </c>
      <c r="F564" s="1">
        <v>112.35</v>
      </c>
      <c r="G564" s="1">
        <v>-33.33</v>
      </c>
      <c r="H564" s="1">
        <v>66.260000000000005</v>
      </c>
      <c r="I564" s="1">
        <v>0</v>
      </c>
      <c r="J564" s="1">
        <v>271.86</v>
      </c>
      <c r="K564" s="1">
        <v>37.979999999999997</v>
      </c>
      <c r="L564" s="1">
        <v>-30.74</v>
      </c>
      <c r="M564" s="1">
        <v>54.23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1" cm="1">
        <f t="array" ref="U564">SUM(ABS(B564:T564))</f>
        <v>1593.7899999999997</v>
      </c>
    </row>
    <row r="565" spans="1:21" x14ac:dyDescent="0.3">
      <c r="A565" s="14">
        <v>45935.854166666664</v>
      </c>
      <c r="B565" s="1">
        <v>-735.88</v>
      </c>
      <c r="C565" s="1">
        <v>-54.51</v>
      </c>
      <c r="D565" s="1">
        <v>35.15</v>
      </c>
      <c r="E565" s="1">
        <v>163.72999999999999</v>
      </c>
      <c r="F565" s="1">
        <v>111.4</v>
      </c>
      <c r="G565" s="1">
        <v>-33.61</v>
      </c>
      <c r="H565" s="1">
        <v>65.19</v>
      </c>
      <c r="I565" s="1">
        <v>0</v>
      </c>
      <c r="J565" s="1">
        <v>272.36</v>
      </c>
      <c r="K565" s="1">
        <v>37.979999999999997</v>
      </c>
      <c r="L565" s="1">
        <v>-30.77</v>
      </c>
      <c r="M565" s="1">
        <v>54.25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1" cm="1">
        <f t="array" ref="U565">SUM(ABS(B565:T565))</f>
        <v>1594.83</v>
      </c>
    </row>
    <row r="566" spans="1:21" x14ac:dyDescent="0.3">
      <c r="A566" s="14">
        <v>45935.864583333336</v>
      </c>
      <c r="B566" s="1">
        <v>-714.94</v>
      </c>
      <c r="C566" s="1">
        <v>-54.48</v>
      </c>
      <c r="D566" s="1">
        <v>35.159999999999997</v>
      </c>
      <c r="E566" s="1">
        <v>146.65</v>
      </c>
      <c r="F566" s="1">
        <v>101.54</v>
      </c>
      <c r="G566" s="1">
        <v>-33.53</v>
      </c>
      <c r="H566" s="1">
        <v>51.06</v>
      </c>
      <c r="I566" s="1">
        <v>0</v>
      </c>
      <c r="J566" s="1">
        <v>271.88</v>
      </c>
      <c r="K566" s="1">
        <v>38.049999999999997</v>
      </c>
      <c r="L566" s="1">
        <v>-30.73</v>
      </c>
      <c r="M566" s="1">
        <v>54.24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1" cm="1">
        <f t="array" ref="U566">SUM(ABS(B566:T566))</f>
        <v>1532.2599999999998</v>
      </c>
    </row>
    <row r="567" spans="1:21" x14ac:dyDescent="0.3">
      <c r="A567" s="14">
        <v>45935.875</v>
      </c>
      <c r="B567" s="1">
        <v>-729.05</v>
      </c>
      <c r="C567" s="1">
        <v>-54.46</v>
      </c>
      <c r="D567" s="1">
        <v>35.15</v>
      </c>
      <c r="E567" s="1">
        <v>144.22999999999999</v>
      </c>
      <c r="F567" s="1">
        <v>101.15</v>
      </c>
      <c r="G567" s="1">
        <v>-44.71</v>
      </c>
      <c r="H567" s="1">
        <v>48.61</v>
      </c>
      <c r="I567" s="1">
        <v>0</v>
      </c>
      <c r="J567" s="1">
        <v>268.92</v>
      </c>
      <c r="K567" s="1">
        <v>38.01</v>
      </c>
      <c r="L567" s="1">
        <v>-30.73</v>
      </c>
      <c r="M567" s="1">
        <v>54.25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1" cm="1">
        <f t="array" ref="U567">SUM(ABS(B567:T567))</f>
        <v>1549.27</v>
      </c>
    </row>
    <row r="568" spans="1:21" x14ac:dyDescent="0.3">
      <c r="A568" s="14">
        <v>45935.885416666664</v>
      </c>
      <c r="B568" s="1">
        <v>-658.62</v>
      </c>
      <c r="C568" s="1">
        <v>-54.45</v>
      </c>
      <c r="D568" s="1">
        <v>35.18</v>
      </c>
      <c r="E568" s="1">
        <v>144.07</v>
      </c>
      <c r="F568" s="1">
        <v>101.14</v>
      </c>
      <c r="G568" s="1">
        <v>-57.8</v>
      </c>
      <c r="H568" s="1">
        <v>48.61</v>
      </c>
      <c r="I568" s="1">
        <v>0</v>
      </c>
      <c r="J568" s="1">
        <v>268.54000000000002</v>
      </c>
      <c r="K568" s="1">
        <v>38.020000000000003</v>
      </c>
      <c r="L568" s="1">
        <v>-30.69</v>
      </c>
      <c r="M568" s="1">
        <v>54.26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1" cm="1">
        <f t="array" ref="U568">SUM(ABS(B568:T568))</f>
        <v>1491.3799999999999</v>
      </c>
    </row>
    <row r="569" spans="1:21" x14ac:dyDescent="0.3">
      <c r="A569" s="14">
        <v>45935.895833333336</v>
      </c>
      <c r="B569" s="1">
        <v>-717.31</v>
      </c>
      <c r="C569" s="1">
        <v>-54.47</v>
      </c>
      <c r="D569" s="1">
        <v>35.200000000000003</v>
      </c>
      <c r="E569" s="1">
        <v>143.75</v>
      </c>
      <c r="F569" s="1">
        <v>91.99</v>
      </c>
      <c r="G569" s="1">
        <v>-57.71</v>
      </c>
      <c r="H569" s="1">
        <v>48.6</v>
      </c>
      <c r="I569" s="1">
        <v>0</v>
      </c>
      <c r="J569" s="1">
        <v>268.01</v>
      </c>
      <c r="K569" s="1">
        <v>38.020000000000003</v>
      </c>
      <c r="L569" s="1">
        <v>-30.67</v>
      </c>
      <c r="M569" s="1">
        <v>54.25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1" cm="1">
        <f t="array" ref="U569">SUM(ABS(B569:T569))</f>
        <v>1539.98</v>
      </c>
    </row>
    <row r="570" spans="1:21" x14ac:dyDescent="0.3">
      <c r="A570" s="14">
        <v>45935.90625</v>
      </c>
      <c r="B570" s="1">
        <v>-734.4</v>
      </c>
      <c r="C570" s="1">
        <v>-54.46</v>
      </c>
      <c r="D570" s="1">
        <v>35.22</v>
      </c>
      <c r="E570" s="1">
        <v>161.66</v>
      </c>
      <c r="F570" s="1">
        <v>103.91</v>
      </c>
      <c r="G570" s="1">
        <v>-57.9</v>
      </c>
      <c r="H570" s="1">
        <v>59.26</v>
      </c>
      <c r="I570" s="1">
        <v>0</v>
      </c>
      <c r="J570" s="1">
        <v>270.02</v>
      </c>
      <c r="K570" s="1">
        <v>38.020000000000003</v>
      </c>
      <c r="L570" s="1">
        <v>-30.69</v>
      </c>
      <c r="M570" s="1">
        <v>54.26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1" cm="1">
        <f t="array" ref="U570">SUM(ABS(B570:T570))</f>
        <v>1599.8000000000002</v>
      </c>
    </row>
    <row r="571" spans="1:21" x14ac:dyDescent="0.3">
      <c r="A571" s="14">
        <v>45935.916666666664</v>
      </c>
      <c r="B571" s="1">
        <v>-738.05</v>
      </c>
      <c r="C571" s="1">
        <v>-54.49</v>
      </c>
      <c r="D571" s="1">
        <v>35.44</v>
      </c>
      <c r="E571" s="1">
        <v>166.22</v>
      </c>
      <c r="F571" s="1">
        <v>113.06</v>
      </c>
      <c r="G571" s="1">
        <v>-58.14</v>
      </c>
      <c r="H571" s="1">
        <v>66.3</v>
      </c>
      <c r="I571" s="1">
        <v>0</v>
      </c>
      <c r="J571" s="1">
        <v>271.32</v>
      </c>
      <c r="K571" s="1">
        <v>38.04</v>
      </c>
      <c r="L571" s="1">
        <v>-30.71</v>
      </c>
      <c r="M571" s="1">
        <v>54.27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1" cm="1">
        <f t="array" ref="U571">SUM(ABS(B571:T571))</f>
        <v>1626.04</v>
      </c>
    </row>
    <row r="572" spans="1:21" x14ac:dyDescent="0.3">
      <c r="A572" s="14">
        <v>45935.927083333336</v>
      </c>
      <c r="B572" s="1">
        <v>-739.96</v>
      </c>
      <c r="C572" s="1">
        <v>-54.51</v>
      </c>
      <c r="D572" s="1">
        <v>35.69</v>
      </c>
      <c r="E572" s="1">
        <v>168.08</v>
      </c>
      <c r="F572" s="1">
        <v>111.49</v>
      </c>
      <c r="G572" s="1">
        <v>-58.47</v>
      </c>
      <c r="H572" s="1">
        <v>66.33</v>
      </c>
      <c r="I572" s="1">
        <v>0</v>
      </c>
      <c r="J572" s="1">
        <v>272.51</v>
      </c>
      <c r="K572" s="1">
        <v>38.03</v>
      </c>
      <c r="L572" s="1">
        <v>-30.69</v>
      </c>
      <c r="M572" s="1">
        <v>54.27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1" cm="1">
        <f t="array" ref="U572">SUM(ABS(B572:T572))</f>
        <v>1630.03</v>
      </c>
    </row>
    <row r="573" spans="1:21" x14ac:dyDescent="0.3">
      <c r="A573" s="14">
        <v>45935.9375</v>
      </c>
      <c r="B573" s="1">
        <v>-740.47</v>
      </c>
      <c r="C573" s="1">
        <v>-54.56</v>
      </c>
      <c r="D573" s="1">
        <v>35.71</v>
      </c>
      <c r="E573" s="1">
        <v>168.75</v>
      </c>
      <c r="F573" s="1">
        <v>111.5</v>
      </c>
      <c r="G573" s="1">
        <v>-58.32</v>
      </c>
      <c r="H573" s="1">
        <v>66.349999999999994</v>
      </c>
      <c r="I573" s="1">
        <v>0</v>
      </c>
      <c r="J573" s="1">
        <v>272.42</v>
      </c>
      <c r="K573" s="1">
        <v>38.07</v>
      </c>
      <c r="L573" s="1">
        <v>-30.73</v>
      </c>
      <c r="M573" s="1">
        <v>54.28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1" cm="1">
        <f t="array" ref="U573">SUM(ABS(B573:T573))</f>
        <v>1631.1599999999999</v>
      </c>
    </row>
    <row r="574" spans="1:21" x14ac:dyDescent="0.3">
      <c r="A574" s="14">
        <v>45935.947916666664</v>
      </c>
      <c r="B574" s="1">
        <v>-733.92</v>
      </c>
      <c r="C574" s="1">
        <v>-54.56</v>
      </c>
      <c r="D574" s="1">
        <v>35.729999999999997</v>
      </c>
      <c r="E574" s="1">
        <v>168.15</v>
      </c>
      <c r="F574" s="1">
        <v>111.47</v>
      </c>
      <c r="G574" s="1">
        <v>-58.49</v>
      </c>
      <c r="H574" s="1">
        <v>66.349999999999994</v>
      </c>
      <c r="I574" s="1">
        <v>0</v>
      </c>
      <c r="J574" s="1">
        <v>272.54000000000002</v>
      </c>
      <c r="K574" s="1">
        <v>38.03</v>
      </c>
      <c r="L574" s="1">
        <v>-30.69</v>
      </c>
      <c r="M574" s="1">
        <v>54.27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1" cm="1">
        <f t="array" ref="U574">SUM(ABS(B574:T574))</f>
        <v>1624.1999999999998</v>
      </c>
    </row>
    <row r="575" spans="1:21" x14ac:dyDescent="0.3">
      <c r="A575" s="14">
        <v>45935.958333333336</v>
      </c>
      <c r="B575" s="1">
        <v>-731.44</v>
      </c>
      <c r="C575" s="1">
        <v>-54.52</v>
      </c>
      <c r="D575" s="1">
        <v>35.75</v>
      </c>
      <c r="E575" s="1">
        <v>166.56</v>
      </c>
      <c r="F575" s="1">
        <v>111.35</v>
      </c>
      <c r="G575" s="1">
        <v>-58.16</v>
      </c>
      <c r="H575" s="1">
        <v>66.319999999999993</v>
      </c>
      <c r="I575" s="1">
        <v>0</v>
      </c>
      <c r="J575" s="1">
        <v>272.52999999999997</v>
      </c>
      <c r="K575" s="1">
        <v>38.03</v>
      </c>
      <c r="L575" s="1">
        <v>-30.69</v>
      </c>
      <c r="M575" s="1">
        <v>54.26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1" cm="1">
        <f t="array" ref="U575">SUM(ABS(B575:T575))</f>
        <v>1619.61</v>
      </c>
    </row>
    <row r="576" spans="1:21" x14ac:dyDescent="0.3">
      <c r="A576" s="14">
        <v>45935.96875</v>
      </c>
      <c r="B576" s="1">
        <v>-730.92</v>
      </c>
      <c r="C576" s="1">
        <v>-54.48</v>
      </c>
      <c r="D576" s="1">
        <v>35.72</v>
      </c>
      <c r="E576" s="1">
        <v>165.81</v>
      </c>
      <c r="F576" s="1">
        <v>111.17</v>
      </c>
      <c r="G576" s="1">
        <v>-57.79</v>
      </c>
      <c r="H576" s="1">
        <v>66.3</v>
      </c>
      <c r="I576" s="1">
        <v>0</v>
      </c>
      <c r="J576" s="1">
        <v>272.48</v>
      </c>
      <c r="K576" s="1">
        <v>37.99</v>
      </c>
      <c r="L576" s="1">
        <v>-30.68</v>
      </c>
      <c r="M576" s="1">
        <v>54.25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1" cm="1">
        <f t="array" ref="U576">SUM(ABS(B576:T576))</f>
        <v>1617.5900000000001</v>
      </c>
    </row>
    <row r="577" spans="1:21" x14ac:dyDescent="0.3">
      <c r="A577" s="14">
        <v>45935.979166666664</v>
      </c>
      <c r="B577" s="1">
        <v>-730.02</v>
      </c>
      <c r="C577" s="1">
        <v>-54.43</v>
      </c>
      <c r="D577" s="1">
        <v>35.68</v>
      </c>
      <c r="E577" s="1">
        <v>165.13</v>
      </c>
      <c r="F577" s="1">
        <v>111.03</v>
      </c>
      <c r="G577" s="1">
        <v>-57.69</v>
      </c>
      <c r="H577" s="1">
        <v>66.28</v>
      </c>
      <c r="I577" s="1">
        <v>0</v>
      </c>
      <c r="J577" s="1">
        <v>271.83999999999997</v>
      </c>
      <c r="K577" s="1">
        <v>38.049999999999997</v>
      </c>
      <c r="L577" s="1">
        <v>-30.69</v>
      </c>
      <c r="M577" s="1">
        <v>54.24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1" cm="1">
        <f t="array" ref="U577">SUM(ABS(B577:T577))</f>
        <v>1615.08</v>
      </c>
    </row>
    <row r="578" spans="1:21" x14ac:dyDescent="0.3">
      <c r="A578" s="14">
        <v>45935.989583333336</v>
      </c>
      <c r="B578" s="1">
        <v>-728.34</v>
      </c>
      <c r="C578" s="1">
        <v>-54.42</v>
      </c>
      <c r="D578" s="1">
        <v>35.659999999999997</v>
      </c>
      <c r="E578" s="1">
        <v>164.4</v>
      </c>
      <c r="F578" s="1">
        <v>110.93</v>
      </c>
      <c r="G578" s="1">
        <v>-57.59</v>
      </c>
      <c r="H578" s="1">
        <v>66.27</v>
      </c>
      <c r="I578" s="1">
        <v>0</v>
      </c>
      <c r="J578" s="1">
        <v>270.98</v>
      </c>
      <c r="K578" s="1">
        <v>38.03</v>
      </c>
      <c r="L578" s="1">
        <v>-30.71</v>
      </c>
      <c r="M578" s="1">
        <v>54.25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1" cm="1">
        <f t="array" ref="U578">SUM(ABS(B578:T578))</f>
        <v>1611.58</v>
      </c>
    </row>
    <row r="579" spans="1:21" x14ac:dyDescent="0.3">
      <c r="A579" s="14">
        <v>45966</v>
      </c>
      <c r="B579" s="1">
        <v>-733.73</v>
      </c>
      <c r="C579" s="1">
        <v>-54.42</v>
      </c>
      <c r="D579" s="1">
        <v>35.71</v>
      </c>
      <c r="E579" s="1">
        <v>165.37</v>
      </c>
      <c r="F579" s="1">
        <v>112</v>
      </c>
      <c r="G579" s="1">
        <v>-57.67</v>
      </c>
      <c r="H579" s="1">
        <v>66.290000000000006</v>
      </c>
      <c r="I579" s="1">
        <v>0</v>
      </c>
      <c r="J579" s="1">
        <v>272.13</v>
      </c>
      <c r="K579" s="1">
        <v>38.04</v>
      </c>
      <c r="L579" s="1">
        <v>-30.72</v>
      </c>
      <c r="M579" s="1">
        <v>54.24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1" cm="1">
        <f t="array" ref="U579">SUM(ABS(B579:T579))</f>
        <v>1620.3200000000002</v>
      </c>
    </row>
    <row r="580" spans="1:21" x14ac:dyDescent="0.3">
      <c r="A580" s="14">
        <v>45966.010416666664</v>
      </c>
      <c r="B580" s="1">
        <v>-731.78</v>
      </c>
      <c r="C580" s="1">
        <v>-54.43</v>
      </c>
      <c r="D580" s="1">
        <v>35.700000000000003</v>
      </c>
      <c r="E580" s="1">
        <v>166.67</v>
      </c>
      <c r="F580" s="1">
        <v>112.19</v>
      </c>
      <c r="G580" s="1">
        <v>-57.81</v>
      </c>
      <c r="H580" s="1">
        <v>66.28</v>
      </c>
      <c r="I580" s="1">
        <v>0</v>
      </c>
      <c r="J580" s="1">
        <v>272.58</v>
      </c>
      <c r="K580" s="1">
        <v>38.020000000000003</v>
      </c>
      <c r="L580" s="1">
        <v>-30.72</v>
      </c>
      <c r="M580" s="1">
        <v>54.25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1" cm="1">
        <f t="array" ref="U580">SUM(ABS(B580:T580))</f>
        <v>1620.4299999999998</v>
      </c>
    </row>
    <row r="581" spans="1:21" x14ac:dyDescent="0.3">
      <c r="A581" s="14">
        <v>45966.020833333336</v>
      </c>
      <c r="B581" s="1">
        <v>-731.03</v>
      </c>
      <c r="C581" s="1">
        <v>-54.43</v>
      </c>
      <c r="D581" s="1">
        <v>35.68</v>
      </c>
      <c r="E581" s="1">
        <v>166.36</v>
      </c>
      <c r="F581" s="1">
        <v>112.06</v>
      </c>
      <c r="G581" s="1">
        <v>-57.78</v>
      </c>
      <c r="H581" s="1">
        <v>66.260000000000005</v>
      </c>
      <c r="I581" s="1">
        <v>0</v>
      </c>
      <c r="J581" s="1">
        <v>272.10000000000002</v>
      </c>
      <c r="K581" s="1">
        <v>38.020000000000003</v>
      </c>
      <c r="L581" s="1">
        <v>-30.72</v>
      </c>
      <c r="M581" s="1">
        <v>54.24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1" cm="1">
        <f t="array" ref="U581">SUM(ABS(B581:T581))</f>
        <v>1618.6799999999998</v>
      </c>
    </row>
    <row r="582" spans="1:21" x14ac:dyDescent="0.3">
      <c r="A582" s="14">
        <v>45966.03125</v>
      </c>
      <c r="B582" s="1">
        <v>-727.63</v>
      </c>
      <c r="C582" s="1">
        <v>-54.41</v>
      </c>
      <c r="D582" s="1">
        <v>35.69</v>
      </c>
      <c r="E582" s="1">
        <v>165.52</v>
      </c>
      <c r="F582" s="1">
        <v>112.02</v>
      </c>
      <c r="G582" s="1">
        <v>-57.54</v>
      </c>
      <c r="H582" s="1">
        <v>66.260000000000005</v>
      </c>
      <c r="I582" s="1">
        <v>0</v>
      </c>
      <c r="J582" s="1">
        <v>270.91000000000003</v>
      </c>
      <c r="K582" s="1">
        <v>38</v>
      </c>
      <c r="L582" s="1">
        <v>-30.73</v>
      </c>
      <c r="M582" s="1">
        <v>54.25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1" cm="1">
        <f t="array" ref="U582">SUM(ABS(B582:T582))</f>
        <v>1612.96</v>
      </c>
    </row>
    <row r="583" spans="1:21" x14ac:dyDescent="0.3">
      <c r="A583" s="14">
        <v>45966.041666666664</v>
      </c>
      <c r="B583" s="1">
        <v>-728.8</v>
      </c>
      <c r="C583" s="1">
        <v>-54.43</v>
      </c>
      <c r="D583" s="1">
        <v>35.729999999999997</v>
      </c>
      <c r="E583" s="1">
        <v>165.64</v>
      </c>
      <c r="F583" s="1">
        <v>111.94</v>
      </c>
      <c r="G583" s="1">
        <v>-57.57</v>
      </c>
      <c r="H583" s="1">
        <v>66.25</v>
      </c>
      <c r="I583" s="1">
        <v>0</v>
      </c>
      <c r="J583" s="1">
        <v>271.31</v>
      </c>
      <c r="K583" s="1">
        <v>37.99</v>
      </c>
      <c r="L583" s="1">
        <v>-30.73</v>
      </c>
      <c r="M583" s="1">
        <v>54.25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1" cm="1">
        <f t="array" ref="U583">SUM(ABS(B583:T583))</f>
        <v>1614.6399999999999</v>
      </c>
    </row>
    <row r="584" spans="1:21" x14ac:dyDescent="0.3">
      <c r="A584" s="14">
        <v>45966.052083333336</v>
      </c>
      <c r="B584" s="1">
        <v>-729.04</v>
      </c>
      <c r="C584" s="1">
        <v>-54.41</v>
      </c>
      <c r="D584" s="1">
        <v>35.72</v>
      </c>
      <c r="E584" s="1">
        <v>165.84</v>
      </c>
      <c r="F584" s="1">
        <v>111.85</v>
      </c>
      <c r="G584" s="1">
        <v>-57.66</v>
      </c>
      <c r="H584" s="1">
        <v>66.260000000000005</v>
      </c>
      <c r="I584" s="1">
        <v>0</v>
      </c>
      <c r="J584" s="1">
        <v>271.02999999999997</v>
      </c>
      <c r="K584" s="1">
        <v>38</v>
      </c>
      <c r="L584" s="1">
        <v>-30.73</v>
      </c>
      <c r="M584" s="1">
        <v>54.25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1" cm="1">
        <f t="array" ref="U584">SUM(ABS(B584:T584))</f>
        <v>1614.79</v>
      </c>
    </row>
    <row r="585" spans="1:21" x14ac:dyDescent="0.3">
      <c r="A585" s="14">
        <v>45966.0625</v>
      </c>
      <c r="B585" s="1">
        <v>-727.67</v>
      </c>
      <c r="C585" s="1">
        <v>-54.39</v>
      </c>
      <c r="D585" s="1">
        <v>35.76</v>
      </c>
      <c r="E585" s="1">
        <v>139.82</v>
      </c>
      <c r="F585" s="1">
        <v>96.34</v>
      </c>
      <c r="G585" s="1">
        <v>-57.45</v>
      </c>
      <c r="H585" s="1">
        <v>62.75</v>
      </c>
      <c r="I585" s="1">
        <v>0</v>
      </c>
      <c r="J585" s="1">
        <v>270.8</v>
      </c>
      <c r="K585" s="1">
        <v>37.99</v>
      </c>
      <c r="L585" s="1">
        <v>-30.73</v>
      </c>
      <c r="M585" s="1">
        <v>54.27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1" cm="1">
        <f t="array" ref="U585">SUM(ABS(B585:T585))</f>
        <v>1567.9699999999998</v>
      </c>
    </row>
    <row r="586" spans="1:21" x14ac:dyDescent="0.3">
      <c r="A586" s="14">
        <v>45966.072916666664</v>
      </c>
      <c r="B586" s="1">
        <v>-730.92</v>
      </c>
      <c r="C586" s="1">
        <v>-54.4</v>
      </c>
      <c r="D586" s="1">
        <v>35.76</v>
      </c>
      <c r="E586" s="1">
        <v>123.01</v>
      </c>
      <c r="F586" s="1">
        <v>92.13</v>
      </c>
      <c r="G586" s="1">
        <v>-57.61</v>
      </c>
      <c r="H586" s="1">
        <v>19.260000000000002</v>
      </c>
      <c r="I586" s="1">
        <v>0</v>
      </c>
      <c r="J586" s="1">
        <v>271.83</v>
      </c>
      <c r="K586" s="1">
        <v>37.99</v>
      </c>
      <c r="L586" s="1">
        <v>-30.72</v>
      </c>
      <c r="M586" s="1">
        <v>54.26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1" cm="1">
        <f t="array" ref="U586">SUM(ABS(B586:T586))</f>
        <v>1507.8899999999996</v>
      </c>
    </row>
    <row r="587" spans="1:21" x14ac:dyDescent="0.3">
      <c r="A587" s="14">
        <v>45966.083333333336</v>
      </c>
      <c r="B587" s="1">
        <v>-731.59</v>
      </c>
      <c r="C587" s="1">
        <v>-54.41</v>
      </c>
      <c r="D587" s="1">
        <v>35.76</v>
      </c>
      <c r="E587" s="1">
        <v>92.46</v>
      </c>
      <c r="F587" s="1">
        <v>92.01</v>
      </c>
      <c r="G587" s="1">
        <v>-57.73</v>
      </c>
      <c r="H587" s="1">
        <v>12</v>
      </c>
      <c r="I587" s="1">
        <v>0</v>
      </c>
      <c r="J587" s="1">
        <v>271.66000000000003</v>
      </c>
      <c r="K587" s="1">
        <v>20.6</v>
      </c>
      <c r="L587" s="1">
        <v>-30.7</v>
      </c>
      <c r="M587" s="1">
        <v>54.25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1" cm="1">
        <f t="array" ref="U587">SUM(ABS(B587:T587))</f>
        <v>1453.17</v>
      </c>
    </row>
    <row r="588" spans="1:21" x14ac:dyDescent="0.3">
      <c r="A588" s="14">
        <v>45966.09375</v>
      </c>
      <c r="B588" s="1">
        <v>-731.16</v>
      </c>
      <c r="C588" s="1">
        <v>-54.39</v>
      </c>
      <c r="D588" s="1">
        <v>35.770000000000003</v>
      </c>
      <c r="E588" s="1">
        <v>76.34</v>
      </c>
      <c r="F588" s="1">
        <v>80.16</v>
      </c>
      <c r="G588" s="1">
        <v>-57.65</v>
      </c>
      <c r="H588" s="1">
        <v>12</v>
      </c>
      <c r="I588" s="1">
        <v>0</v>
      </c>
      <c r="J588" s="1">
        <v>271.87</v>
      </c>
      <c r="K588" s="1">
        <v>19.2</v>
      </c>
      <c r="L588" s="1">
        <v>-30.68</v>
      </c>
      <c r="M588" s="1">
        <v>54.24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1" cm="1">
        <f t="array" ref="U588">SUM(ABS(B588:T588))</f>
        <v>1423.4600000000003</v>
      </c>
    </row>
    <row r="589" spans="1:21" x14ac:dyDescent="0.3">
      <c r="A589" s="14">
        <v>45966.104166666664</v>
      </c>
      <c r="B589" s="1">
        <v>-669.42</v>
      </c>
      <c r="C589" s="1">
        <v>-54.4</v>
      </c>
      <c r="D589" s="1">
        <v>35.76</v>
      </c>
      <c r="E589" s="1">
        <v>31.14</v>
      </c>
      <c r="F589" s="1">
        <v>16.7</v>
      </c>
      <c r="G589" s="1">
        <v>-57.61</v>
      </c>
      <c r="H589" s="1">
        <v>12</v>
      </c>
      <c r="I589" s="1">
        <v>0</v>
      </c>
      <c r="J589" s="1">
        <v>272.02</v>
      </c>
      <c r="K589" s="1">
        <v>19.190000000000001</v>
      </c>
      <c r="L589" s="1">
        <v>-30.68</v>
      </c>
      <c r="M589" s="1">
        <v>54.24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1" cm="1">
        <f t="array" ref="U589">SUM(ABS(B589:T589))</f>
        <v>1253.1600000000001</v>
      </c>
    </row>
    <row r="590" spans="1:21" x14ac:dyDescent="0.3">
      <c r="A590" s="14">
        <v>45966.114583333336</v>
      </c>
      <c r="B590" s="1">
        <v>-610.88</v>
      </c>
      <c r="C590" s="1">
        <v>-54.38</v>
      </c>
      <c r="D590" s="1">
        <v>35.76</v>
      </c>
      <c r="E590" s="1">
        <v>26.99</v>
      </c>
      <c r="F590" s="1">
        <v>0</v>
      </c>
      <c r="G590" s="1">
        <v>-57.64</v>
      </c>
      <c r="H590" s="1">
        <v>12</v>
      </c>
      <c r="I590" s="1">
        <v>0</v>
      </c>
      <c r="J590" s="1">
        <v>272.16000000000003</v>
      </c>
      <c r="K590" s="1">
        <v>19.18</v>
      </c>
      <c r="L590" s="1">
        <v>-30.68</v>
      </c>
      <c r="M590" s="1">
        <v>54.24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1" cm="1">
        <f t="array" ref="U590">SUM(ABS(B590:T590))</f>
        <v>1173.9100000000001</v>
      </c>
    </row>
    <row r="591" spans="1:21" x14ac:dyDescent="0.3">
      <c r="A591" s="14">
        <v>45966.125</v>
      </c>
      <c r="B591" s="1">
        <v>-614.61</v>
      </c>
      <c r="C591" s="1">
        <v>-54.4</v>
      </c>
      <c r="D591" s="1">
        <v>35.76</v>
      </c>
      <c r="E591" s="1">
        <v>11.53</v>
      </c>
      <c r="F591" s="1">
        <v>0</v>
      </c>
      <c r="G591" s="1">
        <v>-57.64</v>
      </c>
      <c r="H591" s="1">
        <v>12</v>
      </c>
      <c r="I591" s="1">
        <v>0</v>
      </c>
      <c r="J591" s="1">
        <v>271.92</v>
      </c>
      <c r="K591" s="1">
        <v>10.98</v>
      </c>
      <c r="L591" s="1">
        <v>-30.66</v>
      </c>
      <c r="M591" s="1">
        <v>54.25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1" cm="1">
        <f t="array" ref="U591">SUM(ABS(B591:T591))</f>
        <v>1153.75</v>
      </c>
    </row>
    <row r="592" spans="1:21" x14ac:dyDescent="0.3">
      <c r="A592" s="14">
        <v>45966.135416666664</v>
      </c>
      <c r="B592" s="1">
        <v>-619.80999999999995</v>
      </c>
      <c r="C592" s="1">
        <v>-54.4</v>
      </c>
      <c r="D592" s="1">
        <v>35.770000000000003</v>
      </c>
      <c r="E592" s="1">
        <v>0</v>
      </c>
      <c r="F592" s="1">
        <v>0</v>
      </c>
      <c r="G592" s="1">
        <v>-57.74</v>
      </c>
      <c r="H592" s="1">
        <v>12</v>
      </c>
      <c r="I592" s="1">
        <v>0</v>
      </c>
      <c r="J592" s="1">
        <v>272.54000000000002</v>
      </c>
      <c r="K592" s="1">
        <v>0</v>
      </c>
      <c r="L592" s="1">
        <v>-30.63</v>
      </c>
      <c r="M592" s="1">
        <v>54.25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1" cm="1">
        <f t="array" ref="U592">SUM(ABS(B592:T592))</f>
        <v>1137.1400000000001</v>
      </c>
    </row>
    <row r="593" spans="1:21" x14ac:dyDescent="0.3">
      <c r="A593" s="14">
        <v>45966.145833333336</v>
      </c>
      <c r="B593" s="1">
        <v>-620.80999999999995</v>
      </c>
      <c r="C593" s="1">
        <v>-54.38</v>
      </c>
      <c r="D593" s="1">
        <v>35.770000000000003</v>
      </c>
      <c r="E593" s="1">
        <v>0</v>
      </c>
      <c r="F593" s="1">
        <v>0</v>
      </c>
      <c r="G593" s="1">
        <v>-57.75</v>
      </c>
      <c r="H593" s="1">
        <v>12</v>
      </c>
      <c r="I593" s="1">
        <v>0</v>
      </c>
      <c r="J593" s="1">
        <v>272.33999999999997</v>
      </c>
      <c r="K593" s="1">
        <v>0</v>
      </c>
      <c r="L593" s="1">
        <v>-30.64</v>
      </c>
      <c r="M593" s="1">
        <v>54.24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1" cm="1">
        <f t="array" ref="U593">SUM(ABS(B593:T593))</f>
        <v>1137.93</v>
      </c>
    </row>
    <row r="594" spans="1:21" x14ac:dyDescent="0.3">
      <c r="A594" s="14">
        <v>45966.15625</v>
      </c>
      <c r="B594" s="1">
        <v>-650.62</v>
      </c>
      <c r="C594" s="1">
        <v>-54.38</v>
      </c>
      <c r="D594" s="1">
        <v>35.76</v>
      </c>
      <c r="E594" s="1">
        <v>0</v>
      </c>
      <c r="F594" s="1">
        <v>0</v>
      </c>
      <c r="G594" s="1">
        <v>-57.7</v>
      </c>
      <c r="H594" s="1">
        <v>12</v>
      </c>
      <c r="I594" s="1">
        <v>0</v>
      </c>
      <c r="J594" s="1">
        <v>271.7</v>
      </c>
      <c r="K594" s="1">
        <v>0</v>
      </c>
      <c r="L594" s="1">
        <v>-30.64</v>
      </c>
      <c r="M594" s="1">
        <v>54.25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1" cm="1">
        <f t="array" ref="U594">SUM(ABS(B594:T594))</f>
        <v>1167.0500000000002</v>
      </c>
    </row>
    <row r="595" spans="1:21" x14ac:dyDescent="0.3">
      <c r="A595" s="14">
        <v>45966.166666666664</v>
      </c>
      <c r="B595" s="1">
        <v>-672.9</v>
      </c>
      <c r="C595" s="1">
        <v>-54.39</v>
      </c>
      <c r="D595" s="1">
        <v>35.76</v>
      </c>
      <c r="E595" s="1">
        <v>0</v>
      </c>
      <c r="F595" s="1">
        <v>0</v>
      </c>
      <c r="G595" s="1">
        <v>-57.9</v>
      </c>
      <c r="H595" s="1">
        <v>12</v>
      </c>
      <c r="I595" s="1">
        <v>0</v>
      </c>
      <c r="J595" s="1">
        <v>272.44</v>
      </c>
      <c r="K595" s="1">
        <v>0</v>
      </c>
      <c r="L595" s="1">
        <v>-30.65</v>
      </c>
      <c r="M595" s="1">
        <v>54.25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1" cm="1">
        <f t="array" ref="U595">SUM(ABS(B595:T595))</f>
        <v>1190.29</v>
      </c>
    </row>
    <row r="596" spans="1:21" x14ac:dyDescent="0.3">
      <c r="A596" s="14">
        <v>45966.177083333336</v>
      </c>
      <c r="B596" s="1">
        <v>-679.93</v>
      </c>
      <c r="C596" s="1">
        <v>-54.39</v>
      </c>
      <c r="D596" s="1">
        <v>35.770000000000003</v>
      </c>
      <c r="E596" s="1">
        <v>0</v>
      </c>
      <c r="F596" s="1">
        <v>0</v>
      </c>
      <c r="G596" s="1">
        <v>-58.02</v>
      </c>
      <c r="H596" s="1">
        <v>12</v>
      </c>
      <c r="I596" s="1">
        <v>0</v>
      </c>
      <c r="J596" s="1">
        <v>272.14999999999998</v>
      </c>
      <c r="K596" s="1">
        <v>0</v>
      </c>
      <c r="L596" s="1">
        <v>-30.64</v>
      </c>
      <c r="M596" s="1">
        <v>54.25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1" cm="1">
        <f t="array" ref="U596">SUM(ABS(B596:T596))</f>
        <v>1197.1499999999999</v>
      </c>
    </row>
    <row r="597" spans="1:21" x14ac:dyDescent="0.3">
      <c r="A597" s="14">
        <v>45966.1875</v>
      </c>
      <c r="B597" s="1">
        <v>-677.42</v>
      </c>
      <c r="C597" s="1">
        <v>-54.38</v>
      </c>
      <c r="D597" s="1">
        <v>35.799999999999997</v>
      </c>
      <c r="E597" s="1">
        <v>0</v>
      </c>
      <c r="F597" s="1">
        <v>0</v>
      </c>
      <c r="G597" s="1">
        <v>-58.03</v>
      </c>
      <c r="H597" s="1">
        <v>12</v>
      </c>
      <c r="I597" s="1">
        <v>0</v>
      </c>
      <c r="J597" s="1">
        <v>272.33</v>
      </c>
      <c r="K597" s="1">
        <v>0</v>
      </c>
      <c r="L597" s="1">
        <v>-30.64</v>
      </c>
      <c r="M597" s="1">
        <v>54.25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1" cm="1">
        <f t="array" ref="U597">SUM(ABS(B597:T597))</f>
        <v>1194.8499999999999</v>
      </c>
    </row>
    <row r="598" spans="1:21" x14ac:dyDescent="0.3">
      <c r="A598" s="14">
        <v>45966.197916666664</v>
      </c>
      <c r="B598" s="1">
        <v>-667.87</v>
      </c>
      <c r="C598" s="1">
        <v>-54.36</v>
      </c>
      <c r="D598" s="1">
        <v>35.81</v>
      </c>
      <c r="E598" s="1">
        <v>0</v>
      </c>
      <c r="F598" s="1">
        <v>0</v>
      </c>
      <c r="G598" s="1">
        <v>-57.71</v>
      </c>
      <c r="H598" s="1">
        <v>12</v>
      </c>
      <c r="I598" s="1">
        <v>0</v>
      </c>
      <c r="J598" s="1">
        <v>272.06</v>
      </c>
      <c r="K598" s="1">
        <v>0</v>
      </c>
      <c r="L598" s="1">
        <v>-30.63</v>
      </c>
      <c r="M598" s="1">
        <v>54.25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1" cm="1">
        <f t="array" ref="U598">SUM(ABS(B598:T598))</f>
        <v>1184.69</v>
      </c>
    </row>
    <row r="599" spans="1:21" x14ac:dyDescent="0.3">
      <c r="A599" s="14">
        <v>45966.208333333336</v>
      </c>
      <c r="B599" s="1">
        <v>-665.72</v>
      </c>
      <c r="C599" s="1">
        <v>-54.36</v>
      </c>
      <c r="D599" s="1">
        <v>35.840000000000003</v>
      </c>
      <c r="E599" s="1">
        <v>0</v>
      </c>
      <c r="F599" s="1">
        <v>0</v>
      </c>
      <c r="G599" s="1">
        <v>-57.76</v>
      </c>
      <c r="H599" s="1">
        <v>12</v>
      </c>
      <c r="I599" s="1">
        <v>0</v>
      </c>
      <c r="J599" s="1">
        <v>271.94</v>
      </c>
      <c r="K599" s="1">
        <v>0</v>
      </c>
      <c r="L599" s="1">
        <v>-30.64</v>
      </c>
      <c r="M599" s="1">
        <v>54.26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1" cm="1">
        <f t="array" ref="U599">SUM(ABS(B599:T599))</f>
        <v>1182.5200000000002</v>
      </c>
    </row>
    <row r="600" spans="1:21" x14ac:dyDescent="0.3">
      <c r="A600" s="14">
        <v>45966.21875</v>
      </c>
      <c r="B600" s="1">
        <v>-663.23</v>
      </c>
      <c r="C600" s="1">
        <v>-54.35</v>
      </c>
      <c r="D600" s="1">
        <v>35.83</v>
      </c>
      <c r="E600" s="1">
        <v>0</v>
      </c>
      <c r="F600" s="1">
        <v>0</v>
      </c>
      <c r="G600" s="1">
        <v>-57.84</v>
      </c>
      <c r="H600" s="1">
        <v>12</v>
      </c>
      <c r="I600" s="1">
        <v>0</v>
      </c>
      <c r="J600" s="1">
        <v>272.24</v>
      </c>
      <c r="K600" s="1">
        <v>0</v>
      </c>
      <c r="L600" s="1">
        <v>-30.64</v>
      </c>
      <c r="M600" s="1">
        <v>54.26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1" cm="1">
        <f t="array" ref="U600">SUM(ABS(B600:T600))</f>
        <v>1180.3900000000003</v>
      </c>
    </row>
    <row r="601" spans="1:21" x14ac:dyDescent="0.3">
      <c r="A601" s="14">
        <v>45966.229166666664</v>
      </c>
      <c r="B601" s="1">
        <v>-709.93</v>
      </c>
      <c r="C601" s="1">
        <v>-54.33</v>
      </c>
      <c r="D601" s="1">
        <v>35.83</v>
      </c>
      <c r="E601" s="1">
        <v>0</v>
      </c>
      <c r="F601" s="1">
        <v>0</v>
      </c>
      <c r="G601" s="1">
        <v>-57.62</v>
      </c>
      <c r="H601" s="1">
        <v>12</v>
      </c>
      <c r="I601" s="1">
        <v>0</v>
      </c>
      <c r="J601" s="1">
        <v>271.99</v>
      </c>
      <c r="K601" s="1">
        <v>0</v>
      </c>
      <c r="L601" s="1">
        <v>-30.64</v>
      </c>
      <c r="M601" s="1">
        <v>54.25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1" cm="1">
        <f t="array" ref="U601">SUM(ABS(B601:T601))</f>
        <v>1226.5900000000001</v>
      </c>
    </row>
    <row r="602" spans="1:21" x14ac:dyDescent="0.3">
      <c r="A602" s="14">
        <v>45966.239583333336</v>
      </c>
      <c r="B602" s="1">
        <v>-734.68</v>
      </c>
      <c r="C602" s="1">
        <v>-54.32</v>
      </c>
      <c r="D602" s="1">
        <v>35.85</v>
      </c>
      <c r="E602" s="1">
        <v>0</v>
      </c>
      <c r="F602" s="1">
        <v>0</v>
      </c>
      <c r="G602" s="1">
        <v>-57.64</v>
      </c>
      <c r="H602" s="1">
        <v>12</v>
      </c>
      <c r="I602" s="1">
        <v>0</v>
      </c>
      <c r="J602" s="1">
        <v>271.98</v>
      </c>
      <c r="K602" s="1">
        <v>0</v>
      </c>
      <c r="L602" s="1">
        <v>-30.65</v>
      </c>
      <c r="M602" s="1">
        <v>54.26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1" cm="1">
        <f t="array" ref="U602">SUM(ABS(B602:T602))</f>
        <v>1251.3800000000001</v>
      </c>
    </row>
    <row r="603" spans="1:21" x14ac:dyDescent="0.3">
      <c r="A603" s="14">
        <v>45966.25</v>
      </c>
      <c r="B603" s="1">
        <v>-733.07</v>
      </c>
      <c r="C603" s="1">
        <v>-54.3</v>
      </c>
      <c r="D603" s="1">
        <v>35.86</v>
      </c>
      <c r="E603" s="1">
        <v>0</v>
      </c>
      <c r="F603" s="1">
        <v>0</v>
      </c>
      <c r="G603" s="1">
        <v>-57.44</v>
      </c>
      <c r="H603" s="1">
        <v>12</v>
      </c>
      <c r="I603" s="1">
        <v>0</v>
      </c>
      <c r="J603" s="1">
        <v>271.01</v>
      </c>
      <c r="K603" s="1">
        <v>0</v>
      </c>
      <c r="L603" s="1">
        <v>-30.65</v>
      </c>
      <c r="M603" s="1">
        <v>54.27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1" cm="1">
        <f t="array" ref="U603">SUM(ABS(B603:T603))</f>
        <v>1248.6000000000001</v>
      </c>
    </row>
    <row r="604" spans="1:21" x14ac:dyDescent="0.3">
      <c r="A604" s="14">
        <v>45966.260416666664</v>
      </c>
      <c r="B604" s="1">
        <v>-729.5</v>
      </c>
      <c r="C604" s="1">
        <v>-54.33</v>
      </c>
      <c r="D604" s="1">
        <v>35.89</v>
      </c>
      <c r="E604" s="1">
        <v>0</v>
      </c>
      <c r="F604" s="1">
        <v>0</v>
      </c>
      <c r="G604" s="1">
        <v>-57.29</v>
      </c>
      <c r="H604" s="1">
        <v>12</v>
      </c>
      <c r="I604" s="1">
        <v>0</v>
      </c>
      <c r="J604" s="1">
        <v>269.92</v>
      </c>
      <c r="K604" s="1">
        <v>0</v>
      </c>
      <c r="L604" s="1">
        <v>-30.64</v>
      </c>
      <c r="M604" s="1">
        <v>54.25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1" cm="1">
        <f t="array" ref="U604">SUM(ABS(B604:T604))</f>
        <v>1243.8200000000002</v>
      </c>
    </row>
    <row r="605" spans="1:21" x14ac:dyDescent="0.3">
      <c r="A605" s="14">
        <v>45966.270833333336</v>
      </c>
      <c r="B605" s="1">
        <v>-723.9</v>
      </c>
      <c r="C605" s="1">
        <v>-54.32</v>
      </c>
      <c r="D605" s="1">
        <v>35.880000000000003</v>
      </c>
      <c r="E605" s="1">
        <v>0</v>
      </c>
      <c r="F605" s="1">
        <v>0</v>
      </c>
      <c r="G605" s="1">
        <v>-57.32</v>
      </c>
      <c r="H605" s="1">
        <v>12</v>
      </c>
      <c r="I605" s="1">
        <v>0</v>
      </c>
      <c r="J605" s="1">
        <v>269.83</v>
      </c>
      <c r="K605" s="1">
        <v>0</v>
      </c>
      <c r="L605" s="1">
        <v>-30.64</v>
      </c>
      <c r="M605" s="1">
        <v>54.27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1" cm="1">
        <f t="array" ref="U605">SUM(ABS(B605:T605))</f>
        <v>1238.1600000000001</v>
      </c>
    </row>
    <row r="606" spans="1:21" x14ac:dyDescent="0.3">
      <c r="A606" s="14">
        <v>45966.28125</v>
      </c>
      <c r="B606" s="1">
        <v>-673.19</v>
      </c>
      <c r="C606" s="1">
        <v>-54.29</v>
      </c>
      <c r="D606" s="1">
        <v>35.869999999999997</v>
      </c>
      <c r="E606" s="1">
        <v>0</v>
      </c>
      <c r="F606" s="1">
        <v>0</v>
      </c>
      <c r="G606" s="1">
        <v>-43.81</v>
      </c>
      <c r="H606" s="1">
        <v>12</v>
      </c>
      <c r="I606" s="1">
        <v>0</v>
      </c>
      <c r="J606" s="1">
        <v>271.10000000000002</v>
      </c>
      <c r="K606" s="1">
        <v>0</v>
      </c>
      <c r="L606" s="1">
        <v>-13.72</v>
      </c>
      <c r="M606" s="1">
        <v>54.26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1" cm="1">
        <f t="array" ref="U606">SUM(ABS(B606:T606))</f>
        <v>1158.2400000000002</v>
      </c>
    </row>
    <row r="607" spans="1:21" x14ac:dyDescent="0.3">
      <c r="A607" s="14">
        <v>45966.291666666664</v>
      </c>
      <c r="B607" s="1">
        <v>-642.54999999999995</v>
      </c>
      <c r="C607" s="1">
        <v>-54.33</v>
      </c>
      <c r="D607" s="1">
        <v>35.9</v>
      </c>
      <c r="E607" s="1">
        <v>0</v>
      </c>
      <c r="F607" s="1">
        <v>0</v>
      </c>
      <c r="G607" s="1">
        <v>-24.41</v>
      </c>
      <c r="H607" s="1">
        <v>12</v>
      </c>
      <c r="I607" s="1">
        <v>0</v>
      </c>
      <c r="J607" s="1">
        <v>272.69</v>
      </c>
      <c r="K607" s="1">
        <v>0</v>
      </c>
      <c r="L607" s="1">
        <v>0.1</v>
      </c>
      <c r="M607" s="1">
        <v>52.2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1" cm="1">
        <f t="array" ref="U607">SUM(ABS(B607:T607))</f>
        <v>1094.1799999999998</v>
      </c>
    </row>
    <row r="608" spans="1:21" x14ac:dyDescent="0.3">
      <c r="A608" s="14">
        <v>45966.302083333336</v>
      </c>
      <c r="B608" s="1">
        <v>-600.27</v>
      </c>
      <c r="C608" s="1">
        <v>-54.34</v>
      </c>
      <c r="D608" s="1">
        <v>35.9</v>
      </c>
      <c r="E608" s="1">
        <v>0</v>
      </c>
      <c r="F608" s="1">
        <v>0</v>
      </c>
      <c r="G608" s="1">
        <v>-24.44</v>
      </c>
      <c r="H608" s="1">
        <v>12</v>
      </c>
      <c r="I608" s="1">
        <v>0</v>
      </c>
      <c r="J608" s="1">
        <v>272.63</v>
      </c>
      <c r="K608" s="1">
        <v>0</v>
      </c>
      <c r="L608" s="1">
        <v>0.05</v>
      </c>
      <c r="M608" s="1">
        <v>30.15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1" cm="1">
        <f t="array" ref="U608">SUM(ABS(B608:T608))</f>
        <v>1029.78</v>
      </c>
    </row>
    <row r="609" spans="1:21" x14ac:dyDescent="0.3">
      <c r="A609" s="14">
        <v>45966.3125</v>
      </c>
      <c r="B609" s="1">
        <v>-290.33</v>
      </c>
      <c r="C609" s="1">
        <v>-52.1</v>
      </c>
      <c r="D609" s="1">
        <v>35.9</v>
      </c>
      <c r="E609" s="1">
        <v>0</v>
      </c>
      <c r="F609" s="1">
        <v>0</v>
      </c>
      <c r="G609" s="1">
        <v>-22.29</v>
      </c>
      <c r="H609" s="1">
        <v>12</v>
      </c>
      <c r="I609" s="1">
        <v>0</v>
      </c>
      <c r="J609" s="1">
        <v>272.95999999999998</v>
      </c>
      <c r="K609" s="1">
        <v>0</v>
      </c>
      <c r="L609" s="1">
        <v>0.08</v>
      </c>
      <c r="M609" s="1">
        <v>30.12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1" cm="1">
        <f t="array" ref="U609">SUM(ABS(B609:T609))</f>
        <v>715.78</v>
      </c>
    </row>
    <row r="610" spans="1:21" x14ac:dyDescent="0.3">
      <c r="A610" s="14">
        <v>45966.322916666664</v>
      </c>
      <c r="B610" s="1">
        <v>-203.43</v>
      </c>
      <c r="C610" s="1">
        <v>-32.270000000000003</v>
      </c>
      <c r="D610" s="1">
        <v>35.880000000000003</v>
      </c>
      <c r="E610" s="1">
        <v>0</v>
      </c>
      <c r="F610" s="1">
        <v>0</v>
      </c>
      <c r="G610" s="1">
        <v>0</v>
      </c>
      <c r="H610" s="1">
        <v>12</v>
      </c>
      <c r="I610" s="1">
        <v>0</v>
      </c>
      <c r="J610" s="1">
        <v>270.13</v>
      </c>
      <c r="K610" s="1">
        <v>0</v>
      </c>
      <c r="L610" s="1">
        <v>0.16</v>
      </c>
      <c r="M610" s="1">
        <v>30.12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1" cm="1">
        <f t="array" ref="U610">SUM(ABS(B610:T610))</f>
        <v>583.99</v>
      </c>
    </row>
    <row r="611" spans="1:21" x14ac:dyDescent="0.3">
      <c r="A611" s="14">
        <v>45966.333333333336</v>
      </c>
      <c r="B611" s="1">
        <v>-173.6</v>
      </c>
      <c r="C611" s="1">
        <v>-21.07</v>
      </c>
      <c r="D611" s="1">
        <v>35.9</v>
      </c>
      <c r="E611" s="1">
        <v>0</v>
      </c>
      <c r="F611" s="1">
        <v>0</v>
      </c>
      <c r="G611" s="1">
        <v>0</v>
      </c>
      <c r="H611" s="1">
        <v>12</v>
      </c>
      <c r="I611" s="1">
        <v>0</v>
      </c>
      <c r="J611" s="1">
        <v>272.82</v>
      </c>
      <c r="K611" s="1">
        <v>0</v>
      </c>
      <c r="L611" s="1">
        <v>0.16</v>
      </c>
      <c r="M611" s="1">
        <v>23.6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1" cm="1">
        <f t="array" ref="U611">SUM(ABS(B611:T611))</f>
        <v>539.15</v>
      </c>
    </row>
    <row r="612" spans="1:21" x14ac:dyDescent="0.3">
      <c r="A612" s="14">
        <v>45966.34375</v>
      </c>
      <c r="B612" s="1">
        <v>-184.46</v>
      </c>
      <c r="C612" s="1">
        <v>-21.03</v>
      </c>
      <c r="D612" s="1">
        <v>35.92</v>
      </c>
      <c r="E612" s="1">
        <v>23.25</v>
      </c>
      <c r="F612" s="1">
        <v>0</v>
      </c>
      <c r="G612" s="1">
        <v>0</v>
      </c>
      <c r="H612" s="1">
        <v>12</v>
      </c>
      <c r="I612" s="1">
        <v>0</v>
      </c>
      <c r="J612" s="1">
        <v>259.13</v>
      </c>
      <c r="K612" s="1">
        <v>0</v>
      </c>
      <c r="L612" s="1">
        <v>0.16</v>
      </c>
      <c r="M612" s="1">
        <v>20.07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1" cm="1">
        <f t="array" ref="U612">SUM(ABS(B612:T612))</f>
        <v>556.02</v>
      </c>
    </row>
    <row r="613" spans="1:21" x14ac:dyDescent="0.3">
      <c r="A613" s="14">
        <v>45966.354166666664</v>
      </c>
      <c r="B613" s="1">
        <v>-221.51</v>
      </c>
      <c r="C613" s="1">
        <v>-21.05</v>
      </c>
      <c r="D613" s="1">
        <v>35.909999999999997</v>
      </c>
      <c r="E613" s="1">
        <v>27.04</v>
      </c>
      <c r="F613" s="1">
        <v>0</v>
      </c>
      <c r="G613" s="1">
        <v>0</v>
      </c>
      <c r="H613" s="1">
        <v>12</v>
      </c>
      <c r="I613" s="1">
        <v>0</v>
      </c>
      <c r="J613" s="1">
        <v>214.05</v>
      </c>
      <c r="K613" s="1">
        <v>0</v>
      </c>
      <c r="L613" s="1">
        <v>0.15</v>
      </c>
      <c r="M613" s="1">
        <v>20.079999999999998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1" cm="1">
        <f t="array" ref="U613">SUM(ABS(B613:T613))</f>
        <v>551.79000000000008</v>
      </c>
    </row>
    <row r="614" spans="1:21" x14ac:dyDescent="0.3">
      <c r="A614" s="14">
        <v>45966.364583333336</v>
      </c>
      <c r="B614" s="1">
        <v>-114.25</v>
      </c>
      <c r="C614" s="1">
        <v>-21.01</v>
      </c>
      <c r="D614" s="1">
        <v>35.869999999999997</v>
      </c>
      <c r="E614" s="1">
        <v>39.54</v>
      </c>
      <c r="F614" s="1">
        <v>0</v>
      </c>
      <c r="G614" s="1">
        <v>0</v>
      </c>
      <c r="H614" s="1">
        <v>12</v>
      </c>
      <c r="I614" s="1">
        <v>0</v>
      </c>
      <c r="J614" s="1">
        <v>214.19</v>
      </c>
      <c r="K614" s="1">
        <v>0</v>
      </c>
      <c r="L614" s="1">
        <v>0.16</v>
      </c>
      <c r="M614" s="1">
        <v>20.09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1" cm="1">
        <f t="array" ref="U614">SUM(ABS(B614:T614))</f>
        <v>457.11</v>
      </c>
    </row>
    <row r="615" spans="1:21" x14ac:dyDescent="0.3">
      <c r="A615" s="14">
        <v>45966.375</v>
      </c>
      <c r="B615" s="1">
        <v>-81.86</v>
      </c>
      <c r="C615" s="1">
        <v>-21.06</v>
      </c>
      <c r="D615" s="1">
        <v>35.83</v>
      </c>
      <c r="E615" s="1">
        <v>27.91</v>
      </c>
      <c r="F615" s="1">
        <v>0</v>
      </c>
      <c r="G615" s="1">
        <v>0</v>
      </c>
      <c r="H615" s="1">
        <v>12</v>
      </c>
      <c r="I615" s="1">
        <v>0</v>
      </c>
      <c r="J615" s="1">
        <v>214.26</v>
      </c>
      <c r="K615" s="1">
        <v>0</v>
      </c>
      <c r="L615" s="1">
        <v>0.15</v>
      </c>
      <c r="M615" s="1">
        <v>20.079999999999998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1" cm="1">
        <f t="array" ref="U615">SUM(ABS(B615:T615))</f>
        <v>413.14999999999992</v>
      </c>
    </row>
    <row r="616" spans="1:21" x14ac:dyDescent="0.3">
      <c r="A616" s="14">
        <v>45966.385416666664</v>
      </c>
      <c r="B616" s="1">
        <v>-159.07</v>
      </c>
      <c r="C616" s="1">
        <v>-21.04</v>
      </c>
      <c r="D616" s="1">
        <v>35.78</v>
      </c>
      <c r="E616" s="1">
        <v>26.36</v>
      </c>
      <c r="F616" s="1">
        <v>0</v>
      </c>
      <c r="G616" s="1">
        <v>0</v>
      </c>
      <c r="H616" s="1">
        <v>12</v>
      </c>
      <c r="I616" s="1">
        <v>0</v>
      </c>
      <c r="J616" s="1">
        <v>212.11</v>
      </c>
      <c r="K616" s="1">
        <v>0</v>
      </c>
      <c r="L616" s="1">
        <v>0.14000000000000001</v>
      </c>
      <c r="M616" s="1">
        <v>20.07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1" cm="1">
        <f t="array" ref="U616">SUM(ABS(B616:T616))</f>
        <v>486.57</v>
      </c>
    </row>
    <row r="617" spans="1:21" x14ac:dyDescent="0.3">
      <c r="A617" s="14">
        <v>45966.395833333336</v>
      </c>
      <c r="B617" s="1">
        <v>-213.89</v>
      </c>
      <c r="C617" s="1">
        <v>-21.05</v>
      </c>
      <c r="D617" s="1">
        <v>35.729999999999997</v>
      </c>
      <c r="E617" s="1">
        <v>27.63</v>
      </c>
      <c r="F617" s="1">
        <v>0</v>
      </c>
      <c r="G617" s="1">
        <v>0</v>
      </c>
      <c r="H617" s="1">
        <v>12</v>
      </c>
      <c r="I617" s="1">
        <v>0</v>
      </c>
      <c r="J617" s="1">
        <v>214.56</v>
      </c>
      <c r="K617" s="1">
        <v>0</v>
      </c>
      <c r="L617" s="1">
        <v>0.13</v>
      </c>
      <c r="M617" s="1">
        <v>20.07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1" cm="1">
        <f t="array" ref="U617">SUM(ABS(B617:T617))</f>
        <v>545.06000000000006</v>
      </c>
    </row>
    <row r="618" spans="1:21" x14ac:dyDescent="0.3">
      <c r="A618" s="14">
        <v>45966.40625</v>
      </c>
      <c r="B618" s="1">
        <v>-214.97</v>
      </c>
      <c r="C618" s="1">
        <v>-21.04</v>
      </c>
      <c r="D618" s="1">
        <v>35.71</v>
      </c>
      <c r="E618" s="1">
        <v>26.2</v>
      </c>
      <c r="F618" s="1">
        <v>0</v>
      </c>
      <c r="G618" s="1">
        <v>0</v>
      </c>
      <c r="H618" s="1">
        <v>12</v>
      </c>
      <c r="I618" s="1">
        <v>0</v>
      </c>
      <c r="J618" s="1">
        <v>211.88</v>
      </c>
      <c r="K618" s="1">
        <v>0</v>
      </c>
      <c r="L618" s="1">
        <v>0.13</v>
      </c>
      <c r="M618" s="1">
        <v>20.079999999999998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1" cm="1">
        <f t="array" ref="U618">SUM(ABS(B618:T618))</f>
        <v>542.01</v>
      </c>
    </row>
    <row r="619" spans="1:21" x14ac:dyDescent="0.3">
      <c r="A619" s="14">
        <v>45966.416666666664</v>
      </c>
      <c r="B619" s="1">
        <v>-110.7</v>
      </c>
      <c r="C619" s="1">
        <v>-21</v>
      </c>
      <c r="D619" s="1">
        <v>35.659999999999997</v>
      </c>
      <c r="E619" s="1">
        <v>25.36</v>
      </c>
      <c r="F619" s="1">
        <v>0</v>
      </c>
      <c r="G619" s="1">
        <v>0</v>
      </c>
      <c r="H619" s="1">
        <v>12</v>
      </c>
      <c r="I619" s="1">
        <v>0</v>
      </c>
      <c r="J619" s="1">
        <v>209.06</v>
      </c>
      <c r="K619" s="1">
        <v>0</v>
      </c>
      <c r="L619" s="1">
        <v>0.15</v>
      </c>
      <c r="M619" s="1">
        <v>20.07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1" cm="1">
        <f t="array" ref="U619">SUM(ABS(B619:T619))</f>
        <v>433.99999999999994</v>
      </c>
    </row>
    <row r="620" spans="1:21" x14ac:dyDescent="0.3">
      <c r="A620" s="14">
        <v>45966.427083333336</v>
      </c>
      <c r="B620" s="1">
        <v>-60.53</v>
      </c>
      <c r="C620" s="1">
        <v>-21</v>
      </c>
      <c r="D620" s="1">
        <v>35.619999999999997</v>
      </c>
      <c r="E620" s="1">
        <v>25.64</v>
      </c>
      <c r="F620" s="1">
        <v>0</v>
      </c>
      <c r="G620" s="1">
        <v>0</v>
      </c>
      <c r="H620" s="1">
        <v>12</v>
      </c>
      <c r="I620" s="1">
        <v>0</v>
      </c>
      <c r="J620" s="1">
        <v>209.86</v>
      </c>
      <c r="K620" s="1">
        <v>0</v>
      </c>
      <c r="L620" s="1">
        <v>0.17</v>
      </c>
      <c r="M620" s="1">
        <v>20.07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1" cm="1">
        <f t="array" ref="U620">SUM(ABS(B620:T620))</f>
        <v>384.89000000000004</v>
      </c>
    </row>
    <row r="621" spans="1:21" x14ac:dyDescent="0.3">
      <c r="A621" s="14">
        <v>45966.4375</v>
      </c>
      <c r="B621" s="1">
        <v>-104.76</v>
      </c>
      <c r="C621" s="1">
        <v>-21.06</v>
      </c>
      <c r="D621" s="1">
        <v>35.590000000000003</v>
      </c>
      <c r="E621" s="1">
        <v>26.58</v>
      </c>
      <c r="F621" s="1">
        <v>0</v>
      </c>
      <c r="G621" s="1">
        <v>0</v>
      </c>
      <c r="H621" s="1">
        <v>12</v>
      </c>
      <c r="I621" s="1">
        <v>0</v>
      </c>
      <c r="J621" s="1">
        <v>213.65</v>
      </c>
      <c r="K621" s="1">
        <v>0</v>
      </c>
      <c r="L621" s="1">
        <v>0.16</v>
      </c>
      <c r="M621" s="1">
        <v>20.079999999999998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1" cm="1">
        <f t="array" ref="U621">SUM(ABS(B621:T621))</f>
        <v>433.88</v>
      </c>
    </row>
    <row r="622" spans="1:21" x14ac:dyDescent="0.3">
      <c r="A622" s="14">
        <v>45966.447916666664</v>
      </c>
      <c r="B622" s="1">
        <v>-124.71</v>
      </c>
      <c r="C622" s="1">
        <v>-21.03</v>
      </c>
      <c r="D622" s="1">
        <v>35.549999999999997</v>
      </c>
      <c r="E622" s="1">
        <v>26.04</v>
      </c>
      <c r="F622" s="1">
        <v>0</v>
      </c>
      <c r="G622" s="1">
        <v>0</v>
      </c>
      <c r="H622" s="1">
        <v>12</v>
      </c>
      <c r="I622" s="1">
        <v>0</v>
      </c>
      <c r="J622" s="1">
        <v>211.93</v>
      </c>
      <c r="K622" s="1">
        <v>0</v>
      </c>
      <c r="L622" s="1">
        <v>0.15</v>
      </c>
      <c r="M622" s="1">
        <v>20.07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1" cm="1">
        <f t="array" ref="U622">SUM(ABS(B622:T622))</f>
        <v>451.47999999999996</v>
      </c>
    </row>
    <row r="623" spans="1:21" x14ac:dyDescent="0.3">
      <c r="A623" s="14">
        <v>45966.458333333336</v>
      </c>
      <c r="B623" s="1">
        <v>-73.06</v>
      </c>
      <c r="C623" s="1">
        <v>-21.03</v>
      </c>
      <c r="D623" s="1">
        <v>35.5</v>
      </c>
      <c r="E623" s="1">
        <v>26.03</v>
      </c>
      <c r="F623" s="1">
        <v>0</v>
      </c>
      <c r="G623" s="1">
        <v>0</v>
      </c>
      <c r="H623" s="1">
        <v>12</v>
      </c>
      <c r="I623" s="1">
        <v>0</v>
      </c>
      <c r="J623" s="1">
        <v>186.67</v>
      </c>
      <c r="K623" s="1">
        <v>0</v>
      </c>
      <c r="L623" s="1">
        <v>0.16</v>
      </c>
      <c r="M623" s="1">
        <v>20.079999999999998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1" cm="1">
        <f t="array" ref="U623">SUM(ABS(B623:T623))</f>
        <v>374.53</v>
      </c>
    </row>
    <row r="624" spans="1:21" x14ac:dyDescent="0.3">
      <c r="A624" s="14">
        <v>45966.46875</v>
      </c>
      <c r="B624" s="1">
        <v>-75.7</v>
      </c>
      <c r="C624" s="1">
        <v>-21.06</v>
      </c>
      <c r="D624" s="1">
        <v>35.44</v>
      </c>
      <c r="E624" s="1">
        <v>27.9</v>
      </c>
      <c r="F624" s="1">
        <v>0</v>
      </c>
      <c r="G624" s="1">
        <v>0</v>
      </c>
      <c r="H624" s="1">
        <v>12</v>
      </c>
      <c r="I624" s="1">
        <v>0</v>
      </c>
      <c r="J624" s="1">
        <v>210.11</v>
      </c>
      <c r="K624" s="1">
        <v>0</v>
      </c>
      <c r="L624" s="1">
        <v>0.16</v>
      </c>
      <c r="M624" s="1">
        <v>20.07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1" cm="1">
        <f t="array" ref="U624">SUM(ABS(B624:T624))</f>
        <v>402.44000000000005</v>
      </c>
    </row>
    <row r="625" spans="1:21" x14ac:dyDescent="0.3">
      <c r="A625" s="14">
        <v>45966.479166666664</v>
      </c>
      <c r="B625" s="1">
        <v>-65.87</v>
      </c>
      <c r="C625" s="1">
        <v>-21.02</v>
      </c>
      <c r="D625" s="1">
        <v>35.39</v>
      </c>
      <c r="E625" s="1">
        <v>28.29</v>
      </c>
      <c r="F625" s="1">
        <v>0</v>
      </c>
      <c r="G625" s="1">
        <v>0</v>
      </c>
      <c r="H625" s="1">
        <v>12</v>
      </c>
      <c r="I625" s="1">
        <v>0</v>
      </c>
      <c r="J625" s="1">
        <v>175.64</v>
      </c>
      <c r="K625" s="1">
        <v>0</v>
      </c>
      <c r="L625" s="1">
        <v>0.16</v>
      </c>
      <c r="M625" s="1">
        <v>20.07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1" cm="1">
        <f t="array" ref="U625">SUM(ABS(B625:T625))</f>
        <v>358.44</v>
      </c>
    </row>
    <row r="626" spans="1:21" x14ac:dyDescent="0.3">
      <c r="A626" s="14">
        <v>45966.489583333336</v>
      </c>
      <c r="B626" s="1">
        <v>-64.12</v>
      </c>
      <c r="C626" s="1">
        <v>-21.01</v>
      </c>
      <c r="D626" s="1">
        <v>35.33</v>
      </c>
      <c r="E626" s="1">
        <v>28.56</v>
      </c>
      <c r="F626" s="1">
        <v>0</v>
      </c>
      <c r="G626" s="1">
        <v>0</v>
      </c>
      <c r="H626" s="1">
        <v>12</v>
      </c>
      <c r="I626" s="1">
        <v>0</v>
      </c>
      <c r="J626" s="1">
        <v>199.66</v>
      </c>
      <c r="K626" s="1">
        <v>0</v>
      </c>
      <c r="L626" s="1">
        <v>0.16</v>
      </c>
      <c r="M626" s="1">
        <v>20.07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1" cm="1">
        <f t="array" ref="U626">SUM(ABS(B626:T626))</f>
        <v>380.91</v>
      </c>
    </row>
    <row r="627" spans="1:21" x14ac:dyDescent="0.3">
      <c r="A627" s="14">
        <v>45966.5</v>
      </c>
      <c r="B627" s="1">
        <v>-65.83</v>
      </c>
      <c r="C627" s="1">
        <v>-20.99</v>
      </c>
      <c r="D627" s="1">
        <v>32.340000000000003</v>
      </c>
      <c r="E627" s="1">
        <v>28.83</v>
      </c>
      <c r="F627" s="1">
        <v>0</v>
      </c>
      <c r="G627" s="1">
        <v>0</v>
      </c>
      <c r="H627" s="1">
        <v>12</v>
      </c>
      <c r="I627" s="1">
        <v>0</v>
      </c>
      <c r="J627" s="1">
        <v>215.24</v>
      </c>
      <c r="K627" s="1">
        <v>0</v>
      </c>
      <c r="L627" s="1">
        <v>0.15</v>
      </c>
      <c r="M627" s="1">
        <v>20.07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1" cm="1">
        <f t="array" ref="U627">SUM(ABS(B627:T627))</f>
        <v>395.45</v>
      </c>
    </row>
    <row r="628" spans="1:21" x14ac:dyDescent="0.3">
      <c r="A628" s="14">
        <v>45966.510416666664</v>
      </c>
      <c r="B628" s="1">
        <v>-114.43</v>
      </c>
      <c r="C628" s="1">
        <v>-21</v>
      </c>
      <c r="D628" s="1">
        <v>24.46</v>
      </c>
      <c r="E628" s="1">
        <v>29.26</v>
      </c>
      <c r="F628" s="1">
        <v>0</v>
      </c>
      <c r="G628" s="1">
        <v>0</v>
      </c>
      <c r="H628" s="1">
        <v>12</v>
      </c>
      <c r="I628" s="1">
        <v>0</v>
      </c>
      <c r="J628" s="1">
        <v>215.21</v>
      </c>
      <c r="K628" s="1">
        <v>0</v>
      </c>
      <c r="L628" s="1">
        <v>0.15</v>
      </c>
      <c r="M628" s="1">
        <v>20.07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1" cm="1">
        <f t="array" ref="U628">SUM(ABS(B628:T628))</f>
        <v>436.58</v>
      </c>
    </row>
    <row r="629" spans="1:21" x14ac:dyDescent="0.3">
      <c r="A629" s="14">
        <v>45966.520833333336</v>
      </c>
      <c r="B629" s="1">
        <v>-115.81</v>
      </c>
      <c r="C629" s="1">
        <v>-20.94</v>
      </c>
      <c r="D629" s="1">
        <v>24.67</v>
      </c>
      <c r="E629" s="1">
        <v>28.99</v>
      </c>
      <c r="F629" s="1">
        <v>0</v>
      </c>
      <c r="G629" s="1">
        <v>0</v>
      </c>
      <c r="H629" s="1">
        <v>12</v>
      </c>
      <c r="I629" s="1">
        <v>0</v>
      </c>
      <c r="J629" s="1">
        <v>215.01</v>
      </c>
      <c r="K629" s="1">
        <v>0</v>
      </c>
      <c r="L629" s="1">
        <v>0.15</v>
      </c>
      <c r="M629" s="1">
        <v>20.09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1" cm="1">
        <f t="array" ref="U629">SUM(ABS(B629:T629))</f>
        <v>437.65999999999997</v>
      </c>
    </row>
    <row r="630" spans="1:21" x14ac:dyDescent="0.3">
      <c r="A630" s="14">
        <v>45966.53125</v>
      </c>
      <c r="B630" s="1">
        <v>-144.16999999999999</v>
      </c>
      <c r="C630" s="1">
        <v>-20.95</v>
      </c>
      <c r="D630" s="1">
        <v>24.68</v>
      </c>
      <c r="E630" s="1">
        <v>28.79</v>
      </c>
      <c r="F630" s="1">
        <v>0</v>
      </c>
      <c r="G630" s="1">
        <v>0</v>
      </c>
      <c r="H630" s="1">
        <v>12</v>
      </c>
      <c r="I630" s="1">
        <v>0</v>
      </c>
      <c r="J630" s="1">
        <v>215.13</v>
      </c>
      <c r="K630" s="1">
        <v>0</v>
      </c>
      <c r="L630" s="1">
        <v>0.14000000000000001</v>
      </c>
      <c r="M630" s="1">
        <v>20.07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1" cm="1">
        <f t="array" ref="U630">SUM(ABS(B630:T630))</f>
        <v>465.92999999999995</v>
      </c>
    </row>
    <row r="631" spans="1:21" x14ac:dyDescent="0.3">
      <c r="A631" s="14">
        <v>45966.541666666664</v>
      </c>
      <c r="B631" s="1">
        <v>-112.82</v>
      </c>
      <c r="C631" s="1">
        <v>-20.95</v>
      </c>
      <c r="D631" s="1">
        <v>24.7</v>
      </c>
      <c r="E631" s="1">
        <v>28.67</v>
      </c>
      <c r="F631" s="1">
        <v>0</v>
      </c>
      <c r="G631" s="1">
        <v>0</v>
      </c>
      <c r="H631" s="1">
        <v>12</v>
      </c>
      <c r="I631" s="1">
        <v>0</v>
      </c>
      <c r="J631" s="1">
        <v>215.19</v>
      </c>
      <c r="K631" s="1">
        <v>0</v>
      </c>
      <c r="L631" s="1">
        <v>0.15</v>
      </c>
      <c r="M631" s="1">
        <v>20.079999999999998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1" cm="1">
        <f t="array" ref="U631">SUM(ABS(B631:T631))</f>
        <v>434.55999999999995</v>
      </c>
    </row>
    <row r="632" spans="1:21" x14ac:dyDescent="0.3">
      <c r="A632" s="14">
        <v>45966.552083333336</v>
      </c>
      <c r="B632" s="1">
        <v>-149.47</v>
      </c>
      <c r="C632" s="1">
        <v>-27.98</v>
      </c>
      <c r="D632" s="1">
        <v>24.74</v>
      </c>
      <c r="E632" s="1">
        <v>30.85</v>
      </c>
      <c r="F632" s="1">
        <v>0</v>
      </c>
      <c r="G632" s="1">
        <v>0</v>
      </c>
      <c r="H632" s="1">
        <v>12</v>
      </c>
      <c r="I632" s="1">
        <v>0</v>
      </c>
      <c r="J632" s="1">
        <v>215.18</v>
      </c>
      <c r="K632" s="1">
        <v>0</v>
      </c>
      <c r="L632" s="1">
        <v>0.13</v>
      </c>
      <c r="M632" s="1">
        <v>20.07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1" cm="1">
        <f t="array" ref="U632">SUM(ABS(B632:T632))</f>
        <v>480.42</v>
      </c>
    </row>
    <row r="633" spans="1:21" x14ac:dyDescent="0.3">
      <c r="A633" s="14">
        <v>45966.5625</v>
      </c>
      <c r="B633" s="1">
        <v>-190.51</v>
      </c>
      <c r="C633" s="1">
        <v>-29.89</v>
      </c>
      <c r="D633" s="1">
        <v>24.74</v>
      </c>
      <c r="E633" s="1">
        <v>29.72</v>
      </c>
      <c r="F633" s="1">
        <v>0</v>
      </c>
      <c r="G633" s="1">
        <v>0</v>
      </c>
      <c r="H633" s="1">
        <v>12</v>
      </c>
      <c r="I633" s="1">
        <v>0</v>
      </c>
      <c r="J633" s="1">
        <v>214.79</v>
      </c>
      <c r="K633" s="1">
        <v>0</v>
      </c>
      <c r="L633" s="1">
        <v>0.13</v>
      </c>
      <c r="M633" s="1">
        <v>20.079999999999998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1" cm="1">
        <f t="array" ref="U633">SUM(ABS(B633:T633))</f>
        <v>521.86</v>
      </c>
    </row>
    <row r="634" spans="1:21" x14ac:dyDescent="0.3">
      <c r="A634" s="14">
        <v>45966.572916666664</v>
      </c>
      <c r="B634" s="1">
        <v>-199.42</v>
      </c>
      <c r="C634" s="1">
        <v>-29.89</v>
      </c>
      <c r="D634" s="1">
        <v>24.77</v>
      </c>
      <c r="E634" s="1">
        <v>29.15</v>
      </c>
      <c r="F634" s="1">
        <v>0</v>
      </c>
      <c r="G634" s="1">
        <v>0</v>
      </c>
      <c r="H634" s="1">
        <v>12</v>
      </c>
      <c r="I634" s="1">
        <v>0</v>
      </c>
      <c r="J634" s="1">
        <v>214.89</v>
      </c>
      <c r="K634" s="1">
        <v>0</v>
      </c>
      <c r="L634" s="1">
        <v>0.13</v>
      </c>
      <c r="M634" s="1">
        <v>20.07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1" cm="1">
        <f t="array" ref="U634">SUM(ABS(B634:T634))</f>
        <v>530.32000000000005</v>
      </c>
    </row>
    <row r="635" spans="1:21" x14ac:dyDescent="0.3">
      <c r="A635" s="14">
        <v>45966.583333333336</v>
      </c>
      <c r="B635" s="1">
        <v>-250.92</v>
      </c>
      <c r="C635" s="1">
        <v>-29.89</v>
      </c>
      <c r="D635" s="1">
        <v>24.81</v>
      </c>
      <c r="E635" s="1">
        <v>27.96</v>
      </c>
      <c r="F635" s="1">
        <v>0</v>
      </c>
      <c r="G635" s="1">
        <v>0</v>
      </c>
      <c r="H635" s="1">
        <v>12</v>
      </c>
      <c r="I635" s="1">
        <v>0</v>
      </c>
      <c r="J635" s="1">
        <v>214.55</v>
      </c>
      <c r="K635" s="1">
        <v>0</v>
      </c>
      <c r="L635" s="1">
        <v>0.12</v>
      </c>
      <c r="M635" s="1">
        <v>30.81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1" cm="1">
        <f t="array" ref="U635">SUM(ABS(B635:T635))</f>
        <v>591.05999999999995</v>
      </c>
    </row>
    <row r="636" spans="1:21" x14ac:dyDescent="0.3">
      <c r="A636" s="14">
        <v>45966.59375</v>
      </c>
      <c r="B636" s="1">
        <v>-255.69</v>
      </c>
      <c r="C636" s="1">
        <v>-29.88</v>
      </c>
      <c r="D636" s="1">
        <v>24.85</v>
      </c>
      <c r="E636" s="1">
        <v>47.75</v>
      </c>
      <c r="F636" s="1">
        <v>0</v>
      </c>
      <c r="G636" s="1">
        <v>0</v>
      </c>
      <c r="H636" s="1">
        <v>12</v>
      </c>
      <c r="I636" s="1">
        <v>0</v>
      </c>
      <c r="J636" s="1">
        <v>214.59</v>
      </c>
      <c r="K636" s="1">
        <v>0</v>
      </c>
      <c r="L636" s="1">
        <v>0.2</v>
      </c>
      <c r="M636" s="1">
        <v>36.130000000000003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1" cm="1">
        <f t="array" ref="U636">SUM(ABS(B636:T636))</f>
        <v>621.09</v>
      </c>
    </row>
    <row r="637" spans="1:21" x14ac:dyDescent="0.3">
      <c r="A637" s="14">
        <v>45966.604166666664</v>
      </c>
      <c r="B637" s="1">
        <v>-204.53</v>
      </c>
      <c r="C637" s="1">
        <v>-29.87</v>
      </c>
      <c r="D637" s="1">
        <v>24.88</v>
      </c>
      <c r="E637" s="1">
        <v>29.05</v>
      </c>
      <c r="F637" s="1">
        <v>0</v>
      </c>
      <c r="G637" s="1">
        <v>0</v>
      </c>
      <c r="H637" s="1">
        <v>12</v>
      </c>
      <c r="I637" s="1">
        <v>0</v>
      </c>
      <c r="J637" s="1">
        <v>210.22</v>
      </c>
      <c r="K637" s="1">
        <v>0</v>
      </c>
      <c r="L637" s="1">
        <v>-7.81</v>
      </c>
      <c r="M637" s="1">
        <v>36.15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1" cm="1">
        <f t="array" ref="U637">SUM(ABS(B637:T637))</f>
        <v>554.51</v>
      </c>
    </row>
    <row r="638" spans="1:21" x14ac:dyDescent="0.3">
      <c r="A638" s="14">
        <v>45966.614583333336</v>
      </c>
      <c r="B638" s="1">
        <v>-225.01</v>
      </c>
      <c r="C638" s="1">
        <v>-29.89</v>
      </c>
      <c r="D638" s="1">
        <v>24.91</v>
      </c>
      <c r="E638" s="1">
        <v>28.04</v>
      </c>
      <c r="F638" s="1">
        <v>0</v>
      </c>
      <c r="G638" s="1">
        <v>0</v>
      </c>
      <c r="H638" s="1">
        <v>12</v>
      </c>
      <c r="I638" s="1">
        <v>0</v>
      </c>
      <c r="J638" s="1">
        <v>213.09</v>
      </c>
      <c r="K638" s="1">
        <v>0</v>
      </c>
      <c r="L638" s="1">
        <v>-19.059999999999999</v>
      </c>
      <c r="M638" s="1">
        <v>36.15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1" cm="1">
        <f t="array" ref="U638">SUM(ABS(B638:T638))</f>
        <v>588.15</v>
      </c>
    </row>
    <row r="639" spans="1:21" x14ac:dyDescent="0.3">
      <c r="A639" s="14">
        <v>45966.625</v>
      </c>
      <c r="B639" s="1">
        <v>-216.37</v>
      </c>
      <c r="C639" s="1">
        <v>-29.85</v>
      </c>
      <c r="D639" s="1">
        <v>24.94</v>
      </c>
      <c r="E639" s="1">
        <v>28.41</v>
      </c>
      <c r="F639" s="1">
        <v>0</v>
      </c>
      <c r="G639" s="1">
        <v>0</v>
      </c>
      <c r="H639" s="1">
        <v>12</v>
      </c>
      <c r="I639" s="1">
        <v>0</v>
      </c>
      <c r="J639" s="1">
        <v>213.13</v>
      </c>
      <c r="K639" s="1">
        <v>0</v>
      </c>
      <c r="L639" s="1">
        <v>-30.54</v>
      </c>
      <c r="M639" s="1">
        <v>36.15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1" cm="1">
        <f t="array" ref="U639">SUM(ABS(B639:T639))</f>
        <v>591.39</v>
      </c>
    </row>
    <row r="640" spans="1:21" x14ac:dyDescent="0.3">
      <c r="A640" s="14">
        <v>45966.635416666664</v>
      </c>
      <c r="B640" s="1">
        <v>-288.3</v>
      </c>
      <c r="C640" s="1">
        <v>-29.87</v>
      </c>
      <c r="D640" s="1">
        <v>5.82</v>
      </c>
      <c r="E640" s="1">
        <v>29.34</v>
      </c>
      <c r="F640" s="1">
        <v>0</v>
      </c>
      <c r="G640" s="1">
        <v>0</v>
      </c>
      <c r="H640" s="1">
        <v>12</v>
      </c>
      <c r="I640" s="1">
        <v>0</v>
      </c>
      <c r="J640" s="1">
        <v>214.33</v>
      </c>
      <c r="K640" s="1">
        <v>0</v>
      </c>
      <c r="L640" s="1">
        <v>-30.55</v>
      </c>
      <c r="M640" s="1">
        <v>36.159999999999997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1" cm="1">
        <f t="array" ref="U640">SUM(ABS(B640:T640))</f>
        <v>646.36999999999989</v>
      </c>
    </row>
    <row r="641" spans="1:21" x14ac:dyDescent="0.3">
      <c r="A641" s="14">
        <v>45966.645833333336</v>
      </c>
      <c r="B641" s="1">
        <v>-340.92</v>
      </c>
      <c r="C641" s="1">
        <v>-29.87</v>
      </c>
      <c r="D641" s="1">
        <v>0</v>
      </c>
      <c r="E641" s="1">
        <v>28.71</v>
      </c>
      <c r="F641" s="1">
        <v>0</v>
      </c>
      <c r="G641" s="1">
        <v>0</v>
      </c>
      <c r="H641" s="1">
        <v>12</v>
      </c>
      <c r="I641" s="1">
        <v>0</v>
      </c>
      <c r="J641" s="1">
        <v>214.01</v>
      </c>
      <c r="K641" s="1">
        <v>0</v>
      </c>
      <c r="L641" s="1">
        <v>-30.54</v>
      </c>
      <c r="M641" s="1">
        <v>36.15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1" cm="1">
        <f t="array" ref="U641">SUM(ABS(B641:T641))</f>
        <v>692.19999999999993</v>
      </c>
    </row>
    <row r="642" spans="1:21" x14ac:dyDescent="0.3">
      <c r="A642" s="14">
        <v>45966.65625</v>
      </c>
      <c r="B642" s="1">
        <v>-347.17</v>
      </c>
      <c r="C642" s="1">
        <v>-29.86</v>
      </c>
      <c r="D642" s="1">
        <v>3.53</v>
      </c>
      <c r="E642" s="1">
        <v>27.17</v>
      </c>
      <c r="F642" s="1">
        <v>0</v>
      </c>
      <c r="G642" s="1">
        <v>0</v>
      </c>
      <c r="H642" s="1">
        <v>12</v>
      </c>
      <c r="I642" s="1">
        <v>0</v>
      </c>
      <c r="J642" s="1">
        <v>213.18</v>
      </c>
      <c r="K642" s="1">
        <v>0</v>
      </c>
      <c r="L642" s="1">
        <v>-30.56</v>
      </c>
      <c r="M642" s="1">
        <v>36.15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1" cm="1">
        <f t="array" ref="U642">SUM(ABS(B642:T642))</f>
        <v>699.62</v>
      </c>
    </row>
    <row r="643" spans="1:21" x14ac:dyDescent="0.3">
      <c r="A643" s="14">
        <v>45966.666666666664</v>
      </c>
      <c r="B643" s="1">
        <v>-136.80000000000001</v>
      </c>
      <c r="C643" s="1">
        <v>-22.95</v>
      </c>
      <c r="D643" s="1">
        <v>24.37</v>
      </c>
      <c r="E643" s="1">
        <v>25.08</v>
      </c>
      <c r="F643" s="1">
        <v>0</v>
      </c>
      <c r="G643" s="1">
        <v>0</v>
      </c>
      <c r="H643" s="1">
        <v>12</v>
      </c>
      <c r="I643" s="1">
        <v>0</v>
      </c>
      <c r="J643" s="1">
        <v>117.45</v>
      </c>
      <c r="K643" s="1">
        <v>0</v>
      </c>
      <c r="L643" s="1">
        <v>-30.52</v>
      </c>
      <c r="M643" s="1">
        <v>24.35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1" cm="1">
        <f t="array" ref="U643">SUM(ABS(B643:T643))</f>
        <v>393.52</v>
      </c>
    </row>
    <row r="644" spans="1:21" x14ac:dyDescent="0.3">
      <c r="A644" s="14">
        <v>45966.677083333336</v>
      </c>
      <c r="B644" s="1">
        <v>-140.69999999999999</v>
      </c>
      <c r="C644" s="1">
        <v>-21.06</v>
      </c>
      <c r="D644" s="1">
        <v>24.51</v>
      </c>
      <c r="E644" s="1">
        <v>25.91</v>
      </c>
      <c r="F644" s="1">
        <v>0</v>
      </c>
      <c r="G644" s="1">
        <v>0</v>
      </c>
      <c r="H644" s="1">
        <v>12</v>
      </c>
      <c r="I644" s="1">
        <v>0</v>
      </c>
      <c r="J644" s="1">
        <v>80.67</v>
      </c>
      <c r="K644" s="1">
        <v>0</v>
      </c>
      <c r="L644" s="1">
        <v>-30.54</v>
      </c>
      <c r="M644" s="1">
        <v>20.09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1" cm="1">
        <f t="array" ref="U644">SUM(ABS(B644:T644))</f>
        <v>355.47999999999996</v>
      </c>
    </row>
    <row r="645" spans="1:21" x14ac:dyDescent="0.3">
      <c r="A645" s="14">
        <v>45966.6875</v>
      </c>
      <c r="B645" s="1">
        <v>-451.79</v>
      </c>
      <c r="C645" s="1">
        <v>-28.16</v>
      </c>
      <c r="D645" s="1">
        <v>24.49</v>
      </c>
      <c r="E645" s="1">
        <v>25.46</v>
      </c>
      <c r="F645" s="1">
        <v>0</v>
      </c>
      <c r="G645" s="1">
        <v>0</v>
      </c>
      <c r="H645" s="1">
        <v>12</v>
      </c>
      <c r="I645" s="1">
        <v>0</v>
      </c>
      <c r="J645" s="1">
        <v>93.58</v>
      </c>
      <c r="K645" s="1">
        <v>0</v>
      </c>
      <c r="L645" s="1">
        <v>-30.5</v>
      </c>
      <c r="M645" s="1">
        <v>20.079999999999998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1" cm="1">
        <f t="array" ref="U645">SUM(ABS(B645:T645))</f>
        <v>686.06000000000017</v>
      </c>
    </row>
    <row r="646" spans="1:21" x14ac:dyDescent="0.3">
      <c r="A646" s="14">
        <v>45966.697916666664</v>
      </c>
      <c r="B646" s="1">
        <v>-525.15</v>
      </c>
      <c r="C646" s="1">
        <v>-29.86</v>
      </c>
      <c r="D646" s="1">
        <v>24.68</v>
      </c>
      <c r="E646" s="1">
        <v>32.28</v>
      </c>
      <c r="F646" s="1">
        <v>0</v>
      </c>
      <c r="G646" s="1">
        <v>0</v>
      </c>
      <c r="H646" s="1">
        <v>12</v>
      </c>
      <c r="I646" s="1">
        <v>0</v>
      </c>
      <c r="J646" s="1">
        <v>130.02000000000001</v>
      </c>
      <c r="K646" s="1">
        <v>0</v>
      </c>
      <c r="L646" s="1">
        <v>-30.48</v>
      </c>
      <c r="M646" s="1">
        <v>20.07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1" cm="1">
        <f t="array" ref="U646">SUM(ABS(B646:T646))</f>
        <v>804.54</v>
      </c>
    </row>
    <row r="647" spans="1:21" x14ac:dyDescent="0.3">
      <c r="A647" s="14">
        <v>45966.708333333336</v>
      </c>
      <c r="B647" s="1">
        <v>-548.67999999999995</v>
      </c>
      <c r="C647" s="1">
        <v>-30.2</v>
      </c>
      <c r="D647" s="1">
        <v>24.7</v>
      </c>
      <c r="E647" s="1">
        <v>52.67</v>
      </c>
      <c r="F647" s="1">
        <v>0</v>
      </c>
      <c r="G647" s="1">
        <v>0</v>
      </c>
      <c r="H647" s="1">
        <v>12</v>
      </c>
      <c r="I647" s="1">
        <v>0</v>
      </c>
      <c r="J647" s="1">
        <v>160.19</v>
      </c>
      <c r="K647" s="1">
        <v>0</v>
      </c>
      <c r="L647" s="1">
        <v>-30.56</v>
      </c>
      <c r="M647" s="1">
        <v>25.02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1" cm="1">
        <f t="array" ref="U647">SUM(ABS(B647:T647))</f>
        <v>884.02</v>
      </c>
    </row>
    <row r="648" spans="1:21" x14ac:dyDescent="0.3">
      <c r="A648" s="14">
        <v>45966.71875</v>
      </c>
      <c r="B648" s="1">
        <v>-554.28</v>
      </c>
      <c r="C648" s="1">
        <v>-53.2</v>
      </c>
      <c r="D648" s="1">
        <v>24.69</v>
      </c>
      <c r="E648" s="1">
        <v>52.54</v>
      </c>
      <c r="F648" s="1">
        <v>0</v>
      </c>
      <c r="G648" s="1">
        <v>0</v>
      </c>
      <c r="H648" s="1">
        <v>12</v>
      </c>
      <c r="I648" s="1">
        <v>0</v>
      </c>
      <c r="J648" s="1">
        <v>157.78</v>
      </c>
      <c r="K648" s="1">
        <v>0</v>
      </c>
      <c r="L648" s="1">
        <v>-30.55</v>
      </c>
      <c r="M648" s="1">
        <v>30.11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1" cm="1">
        <f t="array" ref="U648">SUM(ABS(B648:T648))</f>
        <v>915.15</v>
      </c>
    </row>
    <row r="649" spans="1:21" x14ac:dyDescent="0.3">
      <c r="A649" s="14">
        <v>45966.729166666664</v>
      </c>
      <c r="B649" s="1">
        <v>-344.92</v>
      </c>
      <c r="C649" s="1">
        <v>-54.33</v>
      </c>
      <c r="D649" s="1">
        <v>24.72</v>
      </c>
      <c r="E649" s="1">
        <v>52.24</v>
      </c>
      <c r="F649" s="1">
        <v>0</v>
      </c>
      <c r="G649" s="1">
        <v>0</v>
      </c>
      <c r="H649" s="1">
        <v>12</v>
      </c>
      <c r="I649" s="1">
        <v>0</v>
      </c>
      <c r="J649" s="1">
        <v>157.19999999999999</v>
      </c>
      <c r="K649" s="1">
        <v>0</v>
      </c>
      <c r="L649" s="1">
        <v>-30.54</v>
      </c>
      <c r="M649" s="1">
        <v>30.13</v>
      </c>
      <c r="N649" s="1">
        <v>4.2699999999999996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1" cm="1">
        <f t="array" ref="U649">SUM(ABS(B649:T649))</f>
        <v>710.35</v>
      </c>
    </row>
    <row r="650" spans="1:21" x14ac:dyDescent="0.3">
      <c r="A650" s="14">
        <v>45966.739583333336</v>
      </c>
      <c r="B650" s="1">
        <v>-527.58000000000004</v>
      </c>
      <c r="C650" s="1">
        <v>-54.33</v>
      </c>
      <c r="D650" s="1">
        <v>24.71</v>
      </c>
      <c r="E650" s="1">
        <v>53.91</v>
      </c>
      <c r="F650" s="1">
        <v>0</v>
      </c>
      <c r="G650" s="1">
        <v>0</v>
      </c>
      <c r="H650" s="1">
        <v>12.02</v>
      </c>
      <c r="I650" s="1">
        <v>0</v>
      </c>
      <c r="J650" s="1">
        <v>176.66</v>
      </c>
      <c r="K650" s="1">
        <v>0</v>
      </c>
      <c r="L650" s="1">
        <v>-30.54</v>
      </c>
      <c r="M650" s="1">
        <v>30.11</v>
      </c>
      <c r="N650" s="1">
        <v>7.42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1" cm="1">
        <f t="array" ref="U650">SUM(ABS(B650:T650))</f>
        <v>917.28</v>
      </c>
    </row>
    <row r="651" spans="1:21" x14ac:dyDescent="0.3">
      <c r="A651" s="14">
        <v>45966.75</v>
      </c>
      <c r="B651" s="1">
        <v>-208.13</v>
      </c>
      <c r="C651" s="1">
        <v>-43.9</v>
      </c>
      <c r="D651" s="1">
        <v>24.73</v>
      </c>
      <c r="E651" s="1">
        <v>84.9</v>
      </c>
      <c r="F651" s="1">
        <v>0</v>
      </c>
      <c r="G651" s="1">
        <v>0</v>
      </c>
      <c r="H651" s="1">
        <v>28.07</v>
      </c>
      <c r="I651" s="1">
        <v>0</v>
      </c>
      <c r="J651" s="1">
        <v>187.1</v>
      </c>
      <c r="K651" s="1">
        <v>4.54</v>
      </c>
      <c r="L651" s="1">
        <v>-30.54</v>
      </c>
      <c r="M651" s="1">
        <v>30.12</v>
      </c>
      <c r="N651" s="1">
        <v>9.94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1" cm="1">
        <f t="array" ref="U651">SUM(ABS(B651:T651))</f>
        <v>651.96999999999991</v>
      </c>
    </row>
    <row r="652" spans="1:21" x14ac:dyDescent="0.3">
      <c r="A652" s="14">
        <v>45966.760416666664</v>
      </c>
      <c r="B652" s="1">
        <v>-171.59</v>
      </c>
      <c r="C652" s="1">
        <v>-41.78</v>
      </c>
      <c r="D652" s="1">
        <v>24.73</v>
      </c>
      <c r="E652" s="1">
        <v>103.26</v>
      </c>
      <c r="F652" s="1">
        <v>4.8600000000000003</v>
      </c>
      <c r="G652" s="1">
        <v>-17.18</v>
      </c>
      <c r="H652" s="1">
        <v>48.47</v>
      </c>
      <c r="I652" s="1">
        <v>0</v>
      </c>
      <c r="J652" s="1">
        <v>130.66</v>
      </c>
      <c r="K652" s="1">
        <v>11.38</v>
      </c>
      <c r="L652" s="1">
        <v>-30.59</v>
      </c>
      <c r="M652" s="1">
        <v>29.79</v>
      </c>
      <c r="N652" s="1">
        <v>9.9499999999999993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1" cm="1">
        <f t="array" ref="U652">SUM(ABS(B652:T652))</f>
        <v>624.24</v>
      </c>
    </row>
    <row r="653" spans="1:21" x14ac:dyDescent="0.3">
      <c r="A653" s="14">
        <v>45966.770833333336</v>
      </c>
      <c r="B653" s="1">
        <v>-221.91</v>
      </c>
      <c r="C653" s="1">
        <v>-44.22</v>
      </c>
      <c r="D653" s="1">
        <v>25.25</v>
      </c>
      <c r="E653" s="1">
        <v>101.88</v>
      </c>
      <c r="F653" s="1">
        <v>47.38</v>
      </c>
      <c r="G653" s="1">
        <v>-43.7</v>
      </c>
      <c r="H653" s="1">
        <v>48.47</v>
      </c>
      <c r="I653" s="1">
        <v>0</v>
      </c>
      <c r="J653" s="1">
        <v>242.65</v>
      </c>
      <c r="K653" s="1">
        <v>27.36</v>
      </c>
      <c r="L653" s="1">
        <v>-30.66</v>
      </c>
      <c r="M653" s="1">
        <v>30.13</v>
      </c>
      <c r="N653" s="1">
        <v>9.9600000000000009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1" cm="1">
        <f t="array" ref="U653">SUM(ABS(B653:T653))</f>
        <v>873.56999999999994</v>
      </c>
    </row>
    <row r="654" spans="1:21" x14ac:dyDescent="0.3">
      <c r="A654" s="14">
        <v>45966.78125</v>
      </c>
      <c r="B654" s="1">
        <v>-253.51</v>
      </c>
      <c r="C654" s="1">
        <v>-46.5</v>
      </c>
      <c r="D654" s="1">
        <v>29.91</v>
      </c>
      <c r="E654" s="1">
        <v>112.28</v>
      </c>
      <c r="F654" s="1">
        <v>47.23</v>
      </c>
      <c r="G654" s="1">
        <v>-57.23</v>
      </c>
      <c r="H654" s="1">
        <v>48.47</v>
      </c>
      <c r="I654" s="1">
        <v>0</v>
      </c>
      <c r="J654" s="1">
        <v>215.66</v>
      </c>
      <c r="K654" s="1">
        <v>31.69</v>
      </c>
      <c r="L654" s="1">
        <v>-30.67</v>
      </c>
      <c r="M654" s="1">
        <v>34</v>
      </c>
      <c r="N654" s="1">
        <v>9.9600000000000009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1" cm="1">
        <f t="array" ref="U654">SUM(ABS(B654:T654))</f>
        <v>917.11000000000013</v>
      </c>
    </row>
    <row r="655" spans="1:21" x14ac:dyDescent="0.3">
      <c r="A655" s="14">
        <v>45966.791666666664</v>
      </c>
      <c r="B655" s="1">
        <v>-515.57000000000005</v>
      </c>
      <c r="C655" s="1">
        <v>-54.32</v>
      </c>
      <c r="D655" s="1">
        <v>24.51</v>
      </c>
      <c r="E655" s="1">
        <v>154.69</v>
      </c>
      <c r="F655" s="1">
        <v>92.82</v>
      </c>
      <c r="G655" s="1">
        <v>-57.5</v>
      </c>
      <c r="H655" s="1">
        <v>48.47</v>
      </c>
      <c r="I655" s="1">
        <v>0</v>
      </c>
      <c r="J655" s="1">
        <v>270.61</v>
      </c>
      <c r="K655" s="1">
        <v>36.65</v>
      </c>
      <c r="L655" s="1">
        <v>-30.7</v>
      </c>
      <c r="M655" s="1">
        <v>54.24</v>
      </c>
      <c r="N655" s="1">
        <v>9.9700000000000006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1" cm="1">
        <f t="array" ref="U655">SUM(ABS(B655:T655))</f>
        <v>1350.0500000000004</v>
      </c>
    </row>
    <row r="656" spans="1:21" x14ac:dyDescent="0.3">
      <c r="A656" s="14">
        <v>45966.802083333336</v>
      </c>
      <c r="B656" s="1">
        <v>-666.3</v>
      </c>
      <c r="C656" s="1">
        <v>-54.31</v>
      </c>
      <c r="D656" s="1">
        <v>24.7</v>
      </c>
      <c r="E656" s="1">
        <v>165.61</v>
      </c>
      <c r="F656" s="1">
        <v>91.77</v>
      </c>
      <c r="G656" s="1">
        <v>-57.92</v>
      </c>
      <c r="H656" s="1">
        <v>53.04</v>
      </c>
      <c r="I656" s="1">
        <v>0</v>
      </c>
      <c r="J656" s="1">
        <v>272.51</v>
      </c>
      <c r="K656" s="1">
        <v>38.090000000000003</v>
      </c>
      <c r="L656" s="1">
        <v>-30.69</v>
      </c>
      <c r="M656" s="1">
        <v>54.26</v>
      </c>
      <c r="N656" s="1">
        <v>9.9700000000000006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1" cm="1">
        <f t="array" ref="U656">SUM(ABS(B656:T656))</f>
        <v>1519.1699999999998</v>
      </c>
    </row>
    <row r="657" spans="1:21" x14ac:dyDescent="0.3">
      <c r="A657" s="14">
        <v>45966.8125</v>
      </c>
      <c r="B657" s="1">
        <v>-619.22</v>
      </c>
      <c r="C657" s="1">
        <v>-54.33</v>
      </c>
      <c r="D657" s="1">
        <v>23.61</v>
      </c>
      <c r="E657" s="1">
        <v>167.37</v>
      </c>
      <c r="F657" s="1">
        <v>91.83</v>
      </c>
      <c r="G657" s="1">
        <v>-58.33</v>
      </c>
      <c r="H657" s="1">
        <v>66.260000000000005</v>
      </c>
      <c r="I657" s="1">
        <v>0</v>
      </c>
      <c r="J657" s="1">
        <v>272.52</v>
      </c>
      <c r="K657" s="1">
        <v>38.07</v>
      </c>
      <c r="L657" s="1">
        <v>-30.7</v>
      </c>
      <c r="M657" s="1">
        <v>54.26</v>
      </c>
      <c r="N657" s="1">
        <v>9.98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1" cm="1">
        <f t="array" ref="U657">SUM(ABS(B657:T657))</f>
        <v>1486.4800000000002</v>
      </c>
    </row>
    <row r="658" spans="1:21" x14ac:dyDescent="0.3">
      <c r="A658" s="14">
        <v>45966.822916666664</v>
      </c>
      <c r="B658" s="1">
        <v>-730.86</v>
      </c>
      <c r="C658" s="1">
        <v>-54.32</v>
      </c>
      <c r="D658" s="1">
        <v>31.58</v>
      </c>
      <c r="E658" s="1">
        <v>165.06</v>
      </c>
      <c r="F658" s="1">
        <v>91.7</v>
      </c>
      <c r="G658" s="1">
        <v>-57.7</v>
      </c>
      <c r="H658" s="1">
        <v>66.23</v>
      </c>
      <c r="I658" s="1">
        <v>0</v>
      </c>
      <c r="J658" s="1">
        <v>271.91000000000003</v>
      </c>
      <c r="K658" s="1">
        <v>38.06</v>
      </c>
      <c r="L658" s="1">
        <v>-30.69</v>
      </c>
      <c r="M658" s="1">
        <v>54.26</v>
      </c>
      <c r="N658" s="1">
        <v>9.9700000000000006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1" cm="1">
        <f t="array" ref="U658">SUM(ABS(B658:T658))</f>
        <v>1602.3400000000004</v>
      </c>
    </row>
    <row r="659" spans="1:21" x14ac:dyDescent="0.3">
      <c r="A659" s="14">
        <v>45966.833333333336</v>
      </c>
      <c r="B659" s="1">
        <v>-727.5</v>
      </c>
      <c r="C659" s="1">
        <v>-54.3</v>
      </c>
      <c r="D659" s="1">
        <v>35.6</v>
      </c>
      <c r="E659" s="1">
        <v>163.82</v>
      </c>
      <c r="F659" s="1">
        <v>91.64</v>
      </c>
      <c r="G659" s="1">
        <v>-57.24</v>
      </c>
      <c r="H659" s="1">
        <v>66.23</v>
      </c>
      <c r="I659" s="1">
        <v>0</v>
      </c>
      <c r="J659" s="1">
        <v>271.14999999999998</v>
      </c>
      <c r="K659" s="1">
        <v>38.06</v>
      </c>
      <c r="L659" s="1">
        <v>-30.71</v>
      </c>
      <c r="M659" s="1">
        <v>54.28</v>
      </c>
      <c r="N659" s="1">
        <v>9.98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1" cm="1">
        <f t="array" ref="U659">SUM(ABS(B659:T659))</f>
        <v>1600.51</v>
      </c>
    </row>
    <row r="660" spans="1:21" x14ac:dyDescent="0.3">
      <c r="A660" s="14">
        <v>45966.84375</v>
      </c>
      <c r="B660" s="1">
        <v>-706.02</v>
      </c>
      <c r="C660" s="1">
        <v>-54.28</v>
      </c>
      <c r="D660" s="1">
        <v>35.61</v>
      </c>
      <c r="E660" s="1">
        <v>162.52000000000001</v>
      </c>
      <c r="F660" s="1">
        <v>91.57</v>
      </c>
      <c r="G660" s="1">
        <v>-57.02</v>
      </c>
      <c r="H660" s="1">
        <v>66.23</v>
      </c>
      <c r="I660" s="1">
        <v>0</v>
      </c>
      <c r="J660" s="1">
        <v>268.58</v>
      </c>
      <c r="K660" s="1">
        <v>38.03</v>
      </c>
      <c r="L660" s="1">
        <v>-30.71</v>
      </c>
      <c r="M660" s="1">
        <v>54.29</v>
      </c>
      <c r="N660" s="1">
        <v>9.9700000000000006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1" cm="1">
        <f t="array" ref="U660">SUM(ABS(B660:T660))</f>
        <v>1574.83</v>
      </c>
    </row>
    <row r="661" spans="1:21" x14ac:dyDescent="0.3">
      <c r="A661" s="14">
        <v>45966.854166666664</v>
      </c>
      <c r="B661" s="1">
        <v>-737.57</v>
      </c>
      <c r="C661" s="1">
        <v>-54.31</v>
      </c>
      <c r="D661" s="1">
        <v>35.64</v>
      </c>
      <c r="E661" s="1">
        <v>164.98</v>
      </c>
      <c r="F661" s="1">
        <v>91.59</v>
      </c>
      <c r="G661" s="1">
        <v>-57.64</v>
      </c>
      <c r="H661" s="1">
        <v>66.209999999999994</v>
      </c>
      <c r="I661" s="1">
        <v>0</v>
      </c>
      <c r="J661" s="1">
        <v>272</v>
      </c>
      <c r="K661" s="1">
        <v>38.090000000000003</v>
      </c>
      <c r="L661" s="1">
        <v>-30.73</v>
      </c>
      <c r="M661" s="1">
        <v>54.28</v>
      </c>
      <c r="N661" s="1">
        <v>9.98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1" cm="1">
        <f t="array" ref="U661">SUM(ABS(B661:T661))</f>
        <v>1613.0200000000002</v>
      </c>
    </row>
    <row r="662" spans="1:21" x14ac:dyDescent="0.3">
      <c r="A662" s="14">
        <v>45966.864583333336</v>
      </c>
      <c r="B662" s="1">
        <v>-737.29</v>
      </c>
      <c r="C662" s="1">
        <v>-54.3</v>
      </c>
      <c r="D662" s="1">
        <v>35.68</v>
      </c>
      <c r="E662" s="1">
        <v>166.94</v>
      </c>
      <c r="F662" s="1">
        <v>91.61</v>
      </c>
      <c r="G662" s="1">
        <v>-58.21</v>
      </c>
      <c r="H662" s="1">
        <v>66.22</v>
      </c>
      <c r="I662" s="1">
        <v>0</v>
      </c>
      <c r="J662" s="1">
        <v>272.57</v>
      </c>
      <c r="K662" s="1">
        <v>38.119999999999997</v>
      </c>
      <c r="L662" s="1">
        <v>-30.72</v>
      </c>
      <c r="M662" s="1">
        <v>54.28</v>
      </c>
      <c r="N662" s="1">
        <v>9.9700000000000006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1" cm="1">
        <f t="array" ref="U662">SUM(ABS(B662:T662))</f>
        <v>1615.9099999999996</v>
      </c>
    </row>
    <row r="663" spans="1:21" x14ac:dyDescent="0.3">
      <c r="A663" s="14">
        <v>45966.875</v>
      </c>
      <c r="B663" s="1">
        <v>-674.75</v>
      </c>
      <c r="C663" s="1">
        <v>-54.28</v>
      </c>
      <c r="D663" s="1">
        <v>35.68</v>
      </c>
      <c r="E663" s="1">
        <v>166.1</v>
      </c>
      <c r="F663" s="1">
        <v>91.54</v>
      </c>
      <c r="G663" s="1">
        <v>-57.9</v>
      </c>
      <c r="H663" s="1">
        <v>59.21</v>
      </c>
      <c r="I663" s="1">
        <v>0</v>
      </c>
      <c r="J663" s="1">
        <v>272.38</v>
      </c>
      <c r="K663" s="1">
        <v>38.08</v>
      </c>
      <c r="L663" s="1">
        <v>-30.69</v>
      </c>
      <c r="M663" s="1">
        <v>54.27</v>
      </c>
      <c r="N663" s="1">
        <v>9.98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1" cm="1">
        <f t="array" ref="U663">SUM(ABS(B663:T663))</f>
        <v>1544.8600000000001</v>
      </c>
    </row>
    <row r="664" spans="1:21" x14ac:dyDescent="0.3">
      <c r="A664" s="14">
        <v>45966.885416666664</v>
      </c>
      <c r="B664" s="1">
        <v>-603.34</v>
      </c>
      <c r="C664" s="1">
        <v>-54.27</v>
      </c>
      <c r="D664" s="1">
        <v>35.67</v>
      </c>
      <c r="E664" s="1">
        <v>164.14</v>
      </c>
      <c r="F664" s="1">
        <v>91.46</v>
      </c>
      <c r="G664" s="1">
        <v>-57.3</v>
      </c>
      <c r="H664" s="1">
        <v>48.64</v>
      </c>
      <c r="I664" s="1">
        <v>0</v>
      </c>
      <c r="J664" s="1">
        <v>271.37</v>
      </c>
      <c r="K664" s="1">
        <v>38.04</v>
      </c>
      <c r="L664" s="1">
        <v>-30.68</v>
      </c>
      <c r="M664" s="1">
        <v>54.28</v>
      </c>
      <c r="N664" s="1">
        <v>9.9700000000000006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1" cm="1">
        <f t="array" ref="U664">SUM(ABS(B664:T664))</f>
        <v>1459.16</v>
      </c>
    </row>
    <row r="665" spans="1:21" x14ac:dyDescent="0.3">
      <c r="A665" s="14">
        <v>45966.895833333336</v>
      </c>
      <c r="B665" s="1">
        <v>-602.92999999999995</v>
      </c>
      <c r="C665" s="1">
        <v>-54.27</v>
      </c>
      <c r="D665" s="1">
        <v>35.69</v>
      </c>
      <c r="E665" s="1">
        <v>164.2</v>
      </c>
      <c r="F665" s="1">
        <v>91.41</v>
      </c>
      <c r="G665" s="1">
        <v>-57.24</v>
      </c>
      <c r="H665" s="1">
        <v>48.62</v>
      </c>
      <c r="I665" s="1">
        <v>0</v>
      </c>
      <c r="J665" s="1">
        <v>271.81</v>
      </c>
      <c r="K665" s="1">
        <v>38.06</v>
      </c>
      <c r="L665" s="1">
        <v>-30.68</v>
      </c>
      <c r="M665" s="1">
        <v>54.28</v>
      </c>
      <c r="N665" s="1">
        <v>9.9700000000000006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1" cm="1">
        <f t="array" ref="U665">SUM(ABS(B665:T665))</f>
        <v>1459.1599999999999</v>
      </c>
    </row>
    <row r="666" spans="1:21" x14ac:dyDescent="0.3">
      <c r="A666" s="14">
        <v>45966.90625</v>
      </c>
      <c r="B666" s="1">
        <v>-628.53</v>
      </c>
      <c r="C666" s="1">
        <v>-54.28</v>
      </c>
      <c r="D666" s="1">
        <v>35.700000000000003</v>
      </c>
      <c r="E666" s="1">
        <v>164.08</v>
      </c>
      <c r="F666" s="1">
        <v>91.39</v>
      </c>
      <c r="G666" s="1">
        <v>-57.33</v>
      </c>
      <c r="H666" s="1">
        <v>48.63</v>
      </c>
      <c r="I666" s="1">
        <v>0</v>
      </c>
      <c r="J666" s="1">
        <v>211.19</v>
      </c>
      <c r="K666" s="1">
        <v>38.049999999999997</v>
      </c>
      <c r="L666" s="1">
        <v>-30.68</v>
      </c>
      <c r="M666" s="1">
        <v>54.28</v>
      </c>
      <c r="N666" s="1">
        <v>9.9700000000000006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1" cm="1">
        <f t="array" ref="U666">SUM(ABS(B666:T666))</f>
        <v>1424.1100000000001</v>
      </c>
    </row>
    <row r="667" spans="1:21" x14ac:dyDescent="0.3">
      <c r="A667" s="14">
        <v>45966.916666666664</v>
      </c>
      <c r="B667" s="1">
        <v>-717.28</v>
      </c>
      <c r="C667" s="1">
        <v>-54.31</v>
      </c>
      <c r="D667" s="1">
        <v>35.700000000000003</v>
      </c>
      <c r="E667" s="1">
        <v>165.54</v>
      </c>
      <c r="F667" s="1">
        <v>91.4</v>
      </c>
      <c r="G667" s="1">
        <v>-57.75</v>
      </c>
      <c r="H667" s="1">
        <v>48.66</v>
      </c>
      <c r="I667" s="1">
        <v>0</v>
      </c>
      <c r="J667" s="1">
        <v>247.34</v>
      </c>
      <c r="K667" s="1">
        <v>38.049999999999997</v>
      </c>
      <c r="L667" s="1">
        <v>-30.71</v>
      </c>
      <c r="M667" s="1">
        <v>54.28</v>
      </c>
      <c r="N667" s="1">
        <v>9.9700000000000006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1" cm="1">
        <f t="array" ref="U667">SUM(ABS(B667:T667))</f>
        <v>1550.99</v>
      </c>
    </row>
    <row r="668" spans="1:21" x14ac:dyDescent="0.3">
      <c r="A668" s="14">
        <v>45966.927083333336</v>
      </c>
      <c r="B668" s="1">
        <v>-734.59</v>
      </c>
      <c r="C668" s="1">
        <v>-54.33</v>
      </c>
      <c r="D668" s="1">
        <v>35.69</v>
      </c>
      <c r="E668" s="1">
        <v>165.62</v>
      </c>
      <c r="F668" s="1">
        <v>91.35</v>
      </c>
      <c r="G668" s="1">
        <v>-57.78</v>
      </c>
      <c r="H668" s="1">
        <v>48.65</v>
      </c>
      <c r="I668" s="1">
        <v>0</v>
      </c>
      <c r="J668" s="1">
        <v>272.51</v>
      </c>
      <c r="K668" s="1">
        <v>38.020000000000003</v>
      </c>
      <c r="L668" s="1">
        <v>-30.67</v>
      </c>
      <c r="M668" s="1">
        <v>54.29</v>
      </c>
      <c r="N668" s="1">
        <v>9.9700000000000006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1" cm="1">
        <f t="array" ref="U668">SUM(ABS(B668:T668))</f>
        <v>1593.4700000000003</v>
      </c>
    </row>
    <row r="669" spans="1:21" x14ac:dyDescent="0.3">
      <c r="A669" s="14">
        <v>45966.9375</v>
      </c>
      <c r="B669" s="1">
        <v>-736.98</v>
      </c>
      <c r="C669" s="1">
        <v>-54.37</v>
      </c>
      <c r="D669" s="1">
        <v>35.72</v>
      </c>
      <c r="E669" s="1">
        <v>168.02</v>
      </c>
      <c r="F669" s="1">
        <v>91.36</v>
      </c>
      <c r="G669" s="1">
        <v>-58.44</v>
      </c>
      <c r="H669" s="1">
        <v>48.67</v>
      </c>
      <c r="I669" s="1">
        <v>0</v>
      </c>
      <c r="J669" s="1">
        <v>272.56</v>
      </c>
      <c r="K669" s="1">
        <v>38.04</v>
      </c>
      <c r="L669" s="1">
        <v>-30.7</v>
      </c>
      <c r="M669" s="1">
        <v>54.28</v>
      </c>
      <c r="N669" s="1">
        <v>9.9700000000000006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1" cm="1">
        <f t="array" ref="U669">SUM(ABS(B669:T669))</f>
        <v>1599.1100000000001</v>
      </c>
    </row>
    <row r="670" spans="1:21" x14ac:dyDescent="0.3">
      <c r="A670" s="14">
        <v>45966.947916666664</v>
      </c>
      <c r="B670" s="1">
        <v>-736.77</v>
      </c>
      <c r="C670" s="1">
        <v>-54.34</v>
      </c>
      <c r="D670" s="1">
        <v>35.729999999999997</v>
      </c>
      <c r="E670" s="1">
        <v>167.58</v>
      </c>
      <c r="F670" s="1">
        <v>91.3</v>
      </c>
      <c r="G670" s="1">
        <v>-58.1</v>
      </c>
      <c r="H670" s="1">
        <v>48.66</v>
      </c>
      <c r="I670" s="1">
        <v>0</v>
      </c>
      <c r="J670" s="1">
        <v>272.52</v>
      </c>
      <c r="K670" s="1">
        <v>38.020000000000003</v>
      </c>
      <c r="L670" s="1">
        <v>-30.72</v>
      </c>
      <c r="M670" s="1">
        <v>54.28</v>
      </c>
      <c r="N670" s="1">
        <v>9.9700000000000006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1" cm="1">
        <f t="array" ref="U670">SUM(ABS(B670:T670))</f>
        <v>1597.99</v>
      </c>
    </row>
    <row r="671" spans="1:21" x14ac:dyDescent="0.3">
      <c r="A671" s="14">
        <v>45966.958333333336</v>
      </c>
      <c r="B671" s="1">
        <v>-731.41</v>
      </c>
      <c r="C671" s="1">
        <v>-54.36</v>
      </c>
      <c r="D671" s="1">
        <v>35.75</v>
      </c>
      <c r="E671" s="1">
        <v>169.28</v>
      </c>
      <c r="F671" s="1">
        <v>108.61</v>
      </c>
      <c r="G671" s="1">
        <v>-58.25</v>
      </c>
      <c r="H671" s="1">
        <v>59.04</v>
      </c>
      <c r="I671" s="1">
        <v>0</v>
      </c>
      <c r="J671" s="1">
        <v>272.62</v>
      </c>
      <c r="K671" s="1">
        <v>38.049999999999997</v>
      </c>
      <c r="L671" s="1">
        <v>-30.7</v>
      </c>
      <c r="M671" s="1">
        <v>54.28</v>
      </c>
      <c r="N671" s="1">
        <v>9.9700000000000006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1" cm="1">
        <f t="array" ref="U671">SUM(ABS(B671:T671))</f>
        <v>1622.3199999999997</v>
      </c>
    </row>
    <row r="672" spans="1:21" x14ac:dyDescent="0.3">
      <c r="A672" s="14">
        <v>45966.96875</v>
      </c>
      <c r="B672" s="1">
        <v>-736.68</v>
      </c>
      <c r="C672" s="1">
        <v>-54.4</v>
      </c>
      <c r="D672" s="1">
        <v>35.78</v>
      </c>
      <c r="E672" s="1">
        <v>169.16</v>
      </c>
      <c r="F672" s="1">
        <v>112.84</v>
      </c>
      <c r="G672" s="1">
        <v>-58.59</v>
      </c>
      <c r="H672" s="1">
        <v>55.19</v>
      </c>
      <c r="I672" s="1">
        <v>0</v>
      </c>
      <c r="J672" s="1">
        <v>272.45999999999998</v>
      </c>
      <c r="K672" s="1">
        <v>37.99</v>
      </c>
      <c r="L672" s="1">
        <v>-30.73</v>
      </c>
      <c r="M672" s="1">
        <v>54.28</v>
      </c>
      <c r="N672" s="1">
        <v>9.98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1" cm="1">
        <f t="array" ref="U672">SUM(ABS(B672:T672))</f>
        <v>1628.08</v>
      </c>
    </row>
    <row r="673" spans="1:21" x14ac:dyDescent="0.3">
      <c r="A673" s="14">
        <v>45966.979166666664</v>
      </c>
      <c r="B673" s="1">
        <v>-727.15</v>
      </c>
      <c r="C673" s="1">
        <v>-54.32</v>
      </c>
      <c r="D673" s="1">
        <v>35.75</v>
      </c>
      <c r="E673" s="1">
        <v>161.80000000000001</v>
      </c>
      <c r="F673" s="1">
        <v>112.7</v>
      </c>
      <c r="G673" s="1">
        <v>-57.65</v>
      </c>
      <c r="H673" s="1">
        <v>39.18</v>
      </c>
      <c r="I673" s="1">
        <v>0</v>
      </c>
      <c r="J673" s="1">
        <v>272.27999999999997</v>
      </c>
      <c r="K673" s="1">
        <v>37.92</v>
      </c>
      <c r="L673" s="1">
        <v>-30.67</v>
      </c>
      <c r="M673" s="1">
        <v>54.27</v>
      </c>
      <c r="N673" s="1">
        <v>9.9499999999999993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1" cm="1">
        <f t="array" ref="U673">SUM(ABS(B673:T673))</f>
        <v>1593.6400000000003</v>
      </c>
    </row>
    <row r="674" spans="1:21" x14ac:dyDescent="0.3">
      <c r="A674" s="14">
        <v>45966.989583333336</v>
      </c>
      <c r="B674" s="1">
        <v>-724.42</v>
      </c>
      <c r="C674" s="1">
        <v>-54.26</v>
      </c>
      <c r="D674" s="1">
        <v>35.74</v>
      </c>
      <c r="E674" s="1">
        <v>162.49</v>
      </c>
      <c r="F674" s="1">
        <v>112.57</v>
      </c>
      <c r="G674" s="1">
        <v>-57.36</v>
      </c>
      <c r="H674" s="1">
        <v>40.04</v>
      </c>
      <c r="I674" s="1">
        <v>0</v>
      </c>
      <c r="J674" s="1">
        <v>272.10000000000002</v>
      </c>
      <c r="K674" s="1">
        <v>37.65</v>
      </c>
      <c r="L674" s="1">
        <v>-30.72</v>
      </c>
      <c r="M674" s="1">
        <v>54.28</v>
      </c>
      <c r="N674" s="1">
        <v>9.9499999999999993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1" cm="1">
        <f t="array" ref="U674">SUM(ABS(B674:T674))</f>
        <v>1591.5800000000002</v>
      </c>
    </row>
    <row r="675" spans="1:21" x14ac:dyDescent="0.3">
      <c r="A675" s="14">
        <v>45996</v>
      </c>
      <c r="B675" s="1">
        <v>-729.27</v>
      </c>
      <c r="C675" s="1">
        <v>-54.27</v>
      </c>
      <c r="D675" s="1">
        <v>35.729999999999997</v>
      </c>
      <c r="E675" s="1">
        <v>164.65</v>
      </c>
      <c r="F675" s="1">
        <v>112.5</v>
      </c>
      <c r="G675" s="1">
        <v>-57.62</v>
      </c>
      <c r="H675" s="1">
        <v>40.04</v>
      </c>
      <c r="I675" s="1">
        <v>0</v>
      </c>
      <c r="J675" s="1">
        <v>271.99</v>
      </c>
      <c r="K675" s="1">
        <v>37.299999999999997</v>
      </c>
      <c r="L675" s="1">
        <v>-30.74</v>
      </c>
      <c r="M675" s="1">
        <v>54.28</v>
      </c>
      <c r="N675" s="1">
        <v>9.9499999999999993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1" cm="1">
        <f t="array" ref="U675">SUM(ABS(B675:T675))</f>
        <v>1598.34</v>
      </c>
    </row>
    <row r="676" spans="1:21" x14ac:dyDescent="0.3">
      <c r="A676" s="14">
        <v>45996.010416666664</v>
      </c>
      <c r="B676" s="1">
        <v>-728.98</v>
      </c>
      <c r="C676" s="1">
        <v>-54.27</v>
      </c>
      <c r="D676" s="1">
        <v>35.72</v>
      </c>
      <c r="E676" s="1">
        <v>164.94</v>
      </c>
      <c r="F676" s="1">
        <v>112.4</v>
      </c>
      <c r="G676" s="1">
        <v>-57.42</v>
      </c>
      <c r="H676" s="1">
        <v>27.85</v>
      </c>
      <c r="I676" s="1">
        <v>0</v>
      </c>
      <c r="J676" s="1">
        <v>272.11</v>
      </c>
      <c r="K676" s="1">
        <v>37.32</v>
      </c>
      <c r="L676" s="1">
        <v>-30.73</v>
      </c>
      <c r="M676" s="1">
        <v>54.29</v>
      </c>
      <c r="N676" s="1">
        <v>9.94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1" cm="1">
        <f t="array" ref="U676">SUM(ABS(B676:T676))</f>
        <v>1585.97</v>
      </c>
    </row>
    <row r="677" spans="1:21" x14ac:dyDescent="0.3">
      <c r="A677" s="14">
        <v>45996.020833333336</v>
      </c>
      <c r="B677" s="1">
        <v>-724.02</v>
      </c>
      <c r="C677" s="1">
        <v>-54.26</v>
      </c>
      <c r="D677" s="1">
        <v>35.72</v>
      </c>
      <c r="E677" s="1">
        <v>164.19</v>
      </c>
      <c r="F677" s="1">
        <v>63.79</v>
      </c>
      <c r="G677" s="1">
        <v>-53.28</v>
      </c>
      <c r="H677" s="1">
        <v>12</v>
      </c>
      <c r="I677" s="1">
        <v>0</v>
      </c>
      <c r="J677" s="1">
        <v>267.8</v>
      </c>
      <c r="K677" s="1">
        <v>37.33</v>
      </c>
      <c r="L677" s="1">
        <v>-30.73</v>
      </c>
      <c r="M677" s="1">
        <v>54.28</v>
      </c>
      <c r="N677" s="1">
        <v>9.94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1" cm="1">
        <f t="array" ref="U677">SUM(ABS(B677:T677))</f>
        <v>1507.34</v>
      </c>
    </row>
    <row r="678" spans="1:21" x14ac:dyDescent="0.3">
      <c r="A678" s="14">
        <v>45996.03125</v>
      </c>
      <c r="B678" s="1">
        <v>-720.51</v>
      </c>
      <c r="C678" s="1">
        <v>-54.26</v>
      </c>
      <c r="D678" s="1">
        <v>35.72</v>
      </c>
      <c r="E678" s="1">
        <v>154.4</v>
      </c>
      <c r="F678" s="1">
        <v>47.22</v>
      </c>
      <c r="G678" s="1">
        <v>-41.16</v>
      </c>
      <c r="H678" s="1">
        <v>12</v>
      </c>
      <c r="I678" s="1">
        <v>0</v>
      </c>
      <c r="J678" s="1">
        <v>221.27</v>
      </c>
      <c r="K678" s="1">
        <v>37.340000000000003</v>
      </c>
      <c r="L678" s="1">
        <v>-30.74</v>
      </c>
      <c r="M678" s="1">
        <v>54.28</v>
      </c>
      <c r="N678" s="1">
        <v>9.9499999999999993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1" cm="1">
        <f t="array" ref="U678">SUM(ABS(B678:T678))</f>
        <v>1418.85</v>
      </c>
    </row>
    <row r="679" spans="1:21" x14ac:dyDescent="0.3">
      <c r="A679" s="14">
        <v>45996.041666666664</v>
      </c>
      <c r="B679" s="1">
        <v>-724.92</v>
      </c>
      <c r="C679" s="1">
        <v>-54.28</v>
      </c>
      <c r="D679" s="1">
        <v>35.71</v>
      </c>
      <c r="E679" s="1">
        <v>141.86000000000001</v>
      </c>
      <c r="F679" s="1">
        <v>46.9</v>
      </c>
      <c r="G679" s="1">
        <v>-41.28</v>
      </c>
      <c r="H679" s="1">
        <v>12</v>
      </c>
      <c r="I679" s="1">
        <v>0</v>
      </c>
      <c r="J679" s="1">
        <v>259.92</v>
      </c>
      <c r="K679" s="1">
        <v>29.53</v>
      </c>
      <c r="L679" s="1">
        <v>-30.75</v>
      </c>
      <c r="M679" s="1">
        <v>54.27</v>
      </c>
      <c r="N679" s="1">
        <v>9.9499999999999993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1" cm="1">
        <f t="array" ref="U679">SUM(ABS(B679:T679))</f>
        <v>1441.3700000000001</v>
      </c>
    </row>
    <row r="680" spans="1:21" x14ac:dyDescent="0.3">
      <c r="A680" s="14">
        <v>45996.052083333336</v>
      </c>
      <c r="B680" s="1">
        <v>-730.1</v>
      </c>
      <c r="C680" s="1">
        <v>-54.29</v>
      </c>
      <c r="D680" s="1">
        <v>35.72</v>
      </c>
      <c r="E680" s="1">
        <v>137.13999999999999</v>
      </c>
      <c r="F680" s="1">
        <v>46.85</v>
      </c>
      <c r="G680" s="1">
        <v>-41.3</v>
      </c>
      <c r="H680" s="1">
        <v>12</v>
      </c>
      <c r="I680" s="1">
        <v>0</v>
      </c>
      <c r="J680" s="1">
        <v>271.44</v>
      </c>
      <c r="K680" s="1">
        <v>24.64</v>
      </c>
      <c r="L680" s="1">
        <v>-30.76</v>
      </c>
      <c r="M680" s="1">
        <v>54.28</v>
      </c>
      <c r="N680" s="1">
        <v>9.94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1" cm="1">
        <f t="array" ref="U680">SUM(ABS(B680:T680))</f>
        <v>1448.4600000000003</v>
      </c>
    </row>
    <row r="681" spans="1:21" x14ac:dyDescent="0.3">
      <c r="A681" s="14">
        <v>45996.0625</v>
      </c>
      <c r="B681" s="1">
        <v>-734.84</v>
      </c>
      <c r="C681" s="1">
        <v>-54.27</v>
      </c>
      <c r="D681" s="1">
        <v>35.74</v>
      </c>
      <c r="E681" s="1">
        <v>140.99</v>
      </c>
      <c r="F681" s="1">
        <v>46.91</v>
      </c>
      <c r="G681" s="1">
        <v>-41.43</v>
      </c>
      <c r="H681" s="1">
        <v>12</v>
      </c>
      <c r="I681" s="1">
        <v>0</v>
      </c>
      <c r="J681" s="1">
        <v>272.55</v>
      </c>
      <c r="K681" s="1">
        <v>24.64</v>
      </c>
      <c r="L681" s="1">
        <v>-30.75</v>
      </c>
      <c r="M681" s="1">
        <v>54.27</v>
      </c>
      <c r="N681" s="1">
        <v>9.9499999999999993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1" cm="1">
        <f t="array" ref="U681">SUM(ABS(B681:T681))</f>
        <v>1458.3400000000001</v>
      </c>
    </row>
    <row r="682" spans="1:21" x14ac:dyDescent="0.3">
      <c r="A682" s="14">
        <v>45996.072916666664</v>
      </c>
      <c r="B682" s="1">
        <v>-735.28</v>
      </c>
      <c r="C682" s="1">
        <v>-54.27</v>
      </c>
      <c r="D682" s="1">
        <v>35.770000000000003</v>
      </c>
      <c r="E682" s="1">
        <v>98.43</v>
      </c>
      <c r="F682" s="1">
        <v>46.91</v>
      </c>
      <c r="G682" s="1">
        <v>-41.43</v>
      </c>
      <c r="H682" s="1">
        <v>12</v>
      </c>
      <c r="I682" s="1">
        <v>0</v>
      </c>
      <c r="J682" s="1">
        <v>272.61</v>
      </c>
      <c r="K682" s="1">
        <v>24.64</v>
      </c>
      <c r="L682" s="1">
        <v>-30.75</v>
      </c>
      <c r="M682" s="1">
        <v>54.27</v>
      </c>
      <c r="N682" s="1">
        <v>9.9499999999999993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1" cm="1">
        <f t="array" ref="U682">SUM(ABS(B682:T682))</f>
        <v>1416.31</v>
      </c>
    </row>
    <row r="683" spans="1:21" x14ac:dyDescent="0.3">
      <c r="A683" s="14">
        <v>45996.083333333336</v>
      </c>
      <c r="B683" s="1">
        <v>-736.47</v>
      </c>
      <c r="C683" s="1">
        <v>-54.28</v>
      </c>
      <c r="D683" s="1">
        <v>35.799999999999997</v>
      </c>
      <c r="E683" s="1">
        <v>70.8</v>
      </c>
      <c r="F683" s="1">
        <v>14.6</v>
      </c>
      <c r="G683" s="1">
        <v>-30.94</v>
      </c>
      <c r="H683" s="1">
        <v>12</v>
      </c>
      <c r="I683" s="1">
        <v>0</v>
      </c>
      <c r="J683" s="1">
        <v>272.63</v>
      </c>
      <c r="K683" s="1">
        <v>24.65</v>
      </c>
      <c r="L683" s="1">
        <v>-30.77</v>
      </c>
      <c r="M683" s="1">
        <v>48.13</v>
      </c>
      <c r="N683" s="1">
        <v>9.9499999999999993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1" cm="1">
        <f t="array" ref="U683">SUM(ABS(B683:T683))</f>
        <v>1341.0200000000002</v>
      </c>
    </row>
    <row r="684" spans="1:21" x14ac:dyDescent="0.3">
      <c r="A684" s="14">
        <v>45996.09375</v>
      </c>
      <c r="B684" s="1">
        <v>-732.03</v>
      </c>
      <c r="C684" s="1">
        <v>-54.24</v>
      </c>
      <c r="D684" s="1">
        <v>35.78</v>
      </c>
      <c r="E684" s="1">
        <v>54.3</v>
      </c>
      <c r="F684" s="1">
        <v>0</v>
      </c>
      <c r="G684" s="1">
        <v>-24.53</v>
      </c>
      <c r="H684" s="1">
        <v>12</v>
      </c>
      <c r="I684" s="1">
        <v>0</v>
      </c>
      <c r="J684" s="1">
        <v>272.58</v>
      </c>
      <c r="K684" s="1">
        <v>24.66</v>
      </c>
      <c r="L684" s="1">
        <v>-30.74</v>
      </c>
      <c r="M684" s="1">
        <v>36.19</v>
      </c>
      <c r="N684" s="1">
        <v>9.9499999999999993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1" cm="1">
        <f t="array" ref="U684">SUM(ABS(B684:T684))</f>
        <v>1287</v>
      </c>
    </row>
    <row r="685" spans="1:21" x14ac:dyDescent="0.3">
      <c r="A685" s="14">
        <v>45996.104166666664</v>
      </c>
      <c r="B685" s="1">
        <v>-730.71</v>
      </c>
      <c r="C685" s="1">
        <v>-54.24</v>
      </c>
      <c r="D685" s="1">
        <v>35.799999999999997</v>
      </c>
      <c r="E685" s="1">
        <v>54.11</v>
      </c>
      <c r="F685" s="1">
        <v>0</v>
      </c>
      <c r="G685" s="1">
        <v>-24.49</v>
      </c>
      <c r="H685" s="1">
        <v>12</v>
      </c>
      <c r="I685" s="1">
        <v>0</v>
      </c>
      <c r="J685" s="1">
        <v>272.64</v>
      </c>
      <c r="K685" s="1">
        <v>24.65</v>
      </c>
      <c r="L685" s="1">
        <v>-30.74</v>
      </c>
      <c r="M685" s="1">
        <v>36.18</v>
      </c>
      <c r="N685" s="1">
        <v>9.94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1" cm="1">
        <f t="array" ref="U685">SUM(ABS(B685:T685))</f>
        <v>1285.5000000000002</v>
      </c>
    </row>
    <row r="686" spans="1:21" x14ac:dyDescent="0.3">
      <c r="A686" s="14">
        <v>45996.114583333336</v>
      </c>
      <c r="B686" s="1">
        <v>-726.68</v>
      </c>
      <c r="C686" s="1">
        <v>-54.21</v>
      </c>
      <c r="D686" s="1">
        <v>35.799999999999997</v>
      </c>
      <c r="E686" s="1">
        <v>15</v>
      </c>
      <c r="F686" s="1">
        <v>0</v>
      </c>
      <c r="G686" s="1">
        <v>-24.56</v>
      </c>
      <c r="H686" s="1">
        <v>12</v>
      </c>
      <c r="I686" s="1">
        <v>0</v>
      </c>
      <c r="J686" s="1">
        <v>272.48</v>
      </c>
      <c r="K686" s="1">
        <v>24.64</v>
      </c>
      <c r="L686" s="1">
        <v>-30.76</v>
      </c>
      <c r="M686" s="1">
        <v>36.19</v>
      </c>
      <c r="N686" s="1">
        <v>9.93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1" cm="1">
        <f t="array" ref="U686">SUM(ABS(B686:T686))</f>
        <v>1242.2500000000002</v>
      </c>
    </row>
    <row r="687" spans="1:21" x14ac:dyDescent="0.3">
      <c r="A687" s="14">
        <v>45996.125</v>
      </c>
      <c r="B687" s="1">
        <v>-730.97</v>
      </c>
      <c r="C687" s="1">
        <v>-54.22</v>
      </c>
      <c r="D687" s="1">
        <v>35.82</v>
      </c>
      <c r="E687" s="1">
        <v>0</v>
      </c>
      <c r="F687" s="1">
        <v>0</v>
      </c>
      <c r="G687" s="1">
        <v>-24.5</v>
      </c>
      <c r="H687" s="1">
        <v>12</v>
      </c>
      <c r="I687" s="1">
        <v>0</v>
      </c>
      <c r="J687" s="1">
        <v>272.60000000000002</v>
      </c>
      <c r="K687" s="1">
        <v>24.62</v>
      </c>
      <c r="L687" s="1">
        <v>-30.76</v>
      </c>
      <c r="M687" s="1">
        <v>36.18</v>
      </c>
      <c r="N687" s="1">
        <v>9.93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1" cm="1">
        <f t="array" ref="U687">SUM(ABS(B687:T687))</f>
        <v>1231.6000000000001</v>
      </c>
    </row>
    <row r="688" spans="1:21" x14ac:dyDescent="0.3">
      <c r="A688" s="14">
        <v>45996.135416666664</v>
      </c>
      <c r="B688" s="1">
        <v>-730.22</v>
      </c>
      <c r="C688" s="1">
        <v>-54.19</v>
      </c>
      <c r="D688" s="1">
        <v>35.83</v>
      </c>
      <c r="E688" s="1">
        <v>0</v>
      </c>
      <c r="F688" s="1">
        <v>0</v>
      </c>
      <c r="G688" s="1">
        <v>-24.55</v>
      </c>
      <c r="H688" s="1">
        <v>12</v>
      </c>
      <c r="I688" s="1">
        <v>0</v>
      </c>
      <c r="J688" s="1">
        <v>272.43</v>
      </c>
      <c r="K688" s="1">
        <v>24.62</v>
      </c>
      <c r="L688" s="1">
        <v>-30.76</v>
      </c>
      <c r="M688" s="1">
        <v>36.18</v>
      </c>
      <c r="N688" s="1">
        <v>9.93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1" cm="1">
        <f t="array" ref="U688">SUM(ABS(B688:T688))</f>
        <v>1230.71</v>
      </c>
    </row>
    <row r="689" spans="1:21" x14ac:dyDescent="0.3">
      <c r="A689" s="14">
        <v>45996.145833333336</v>
      </c>
      <c r="B689" s="1">
        <v>-724.14</v>
      </c>
      <c r="C689" s="1">
        <v>-54.18</v>
      </c>
      <c r="D689" s="1">
        <v>35.85</v>
      </c>
      <c r="E689" s="1">
        <v>0</v>
      </c>
      <c r="F689" s="1">
        <v>0</v>
      </c>
      <c r="G689" s="1">
        <v>-24.5</v>
      </c>
      <c r="H689" s="1">
        <v>12</v>
      </c>
      <c r="I689" s="1">
        <v>0</v>
      </c>
      <c r="J689" s="1">
        <v>271.45999999999998</v>
      </c>
      <c r="K689" s="1">
        <v>24.6</v>
      </c>
      <c r="L689" s="1">
        <v>-30.75</v>
      </c>
      <c r="M689" s="1">
        <v>36.18</v>
      </c>
      <c r="N689" s="1">
        <v>9.92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1" cm="1">
        <f t="array" ref="U689">SUM(ABS(B689:T689))</f>
        <v>1223.58</v>
      </c>
    </row>
    <row r="690" spans="1:21" x14ac:dyDescent="0.3">
      <c r="A690" s="14">
        <v>45996.15625</v>
      </c>
      <c r="B690" s="1">
        <v>-723.81</v>
      </c>
      <c r="C690" s="1">
        <v>-54.17</v>
      </c>
      <c r="D690" s="1">
        <v>35.869999999999997</v>
      </c>
      <c r="E690" s="1">
        <v>0</v>
      </c>
      <c r="F690" s="1">
        <v>0</v>
      </c>
      <c r="G690" s="1">
        <v>-24.55</v>
      </c>
      <c r="H690" s="1">
        <v>12</v>
      </c>
      <c r="I690" s="1">
        <v>0</v>
      </c>
      <c r="J690" s="1">
        <v>271.3</v>
      </c>
      <c r="K690" s="1">
        <v>17.77</v>
      </c>
      <c r="L690" s="1">
        <v>-30.75</v>
      </c>
      <c r="M690" s="1">
        <v>36.18</v>
      </c>
      <c r="N690" s="1">
        <v>9.94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1" cm="1">
        <f t="array" ref="U690">SUM(ABS(B690:T690))</f>
        <v>1216.3399999999999</v>
      </c>
    </row>
    <row r="691" spans="1:21" x14ac:dyDescent="0.3">
      <c r="A691" s="14">
        <v>45996.166666666664</v>
      </c>
      <c r="B691" s="1">
        <v>-721.17</v>
      </c>
      <c r="C691" s="1">
        <v>-54.15</v>
      </c>
      <c r="D691" s="1">
        <v>35.869999999999997</v>
      </c>
      <c r="E691" s="1">
        <v>0</v>
      </c>
      <c r="F691" s="1">
        <v>0</v>
      </c>
      <c r="G691" s="1">
        <v>-24.52</v>
      </c>
      <c r="H691" s="1">
        <v>12</v>
      </c>
      <c r="I691" s="1">
        <v>0</v>
      </c>
      <c r="J691" s="1">
        <v>270.79000000000002</v>
      </c>
      <c r="K691" s="1">
        <v>12.82</v>
      </c>
      <c r="L691" s="1">
        <v>-30.73</v>
      </c>
      <c r="M691" s="1">
        <v>36.19</v>
      </c>
      <c r="N691" s="1">
        <v>9.94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1" cm="1">
        <f t="array" ref="U691">SUM(ABS(B691:T691))</f>
        <v>1208.18</v>
      </c>
    </row>
    <row r="692" spans="1:21" x14ac:dyDescent="0.3">
      <c r="A692" s="14">
        <v>45996.177083333336</v>
      </c>
      <c r="B692" s="1">
        <v>-719.31</v>
      </c>
      <c r="C692" s="1">
        <v>-54.16</v>
      </c>
      <c r="D692" s="1">
        <v>35.880000000000003</v>
      </c>
      <c r="E692" s="1">
        <v>0</v>
      </c>
      <c r="F692" s="1">
        <v>0</v>
      </c>
      <c r="G692" s="1">
        <v>-24.53</v>
      </c>
      <c r="H692" s="1">
        <v>12</v>
      </c>
      <c r="I692" s="1">
        <v>0</v>
      </c>
      <c r="J692" s="1">
        <v>270.2</v>
      </c>
      <c r="K692" s="1">
        <v>12.84</v>
      </c>
      <c r="L692" s="1">
        <v>-30.72</v>
      </c>
      <c r="M692" s="1">
        <v>36.18</v>
      </c>
      <c r="N692" s="1">
        <v>9.93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1" cm="1">
        <f t="array" ref="U692">SUM(ABS(B692:T692))</f>
        <v>1205.75</v>
      </c>
    </row>
    <row r="693" spans="1:21" x14ac:dyDescent="0.3">
      <c r="A693" s="14">
        <v>45996.1875</v>
      </c>
      <c r="B693" s="1">
        <v>-720.17</v>
      </c>
      <c r="C693" s="1">
        <v>-54.16</v>
      </c>
      <c r="D693" s="1">
        <v>35.89</v>
      </c>
      <c r="E693" s="1">
        <v>0</v>
      </c>
      <c r="F693" s="1">
        <v>0</v>
      </c>
      <c r="G693" s="1">
        <v>-24.55</v>
      </c>
      <c r="H693" s="1">
        <v>12</v>
      </c>
      <c r="I693" s="1">
        <v>0</v>
      </c>
      <c r="J693" s="1">
        <v>270.24</v>
      </c>
      <c r="K693" s="1">
        <v>12.86</v>
      </c>
      <c r="L693" s="1">
        <v>-30.73</v>
      </c>
      <c r="M693" s="1">
        <v>36.200000000000003</v>
      </c>
      <c r="N693" s="1">
        <v>9.93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1" cm="1">
        <f t="array" ref="U693">SUM(ABS(B693:T693))</f>
        <v>1206.7299999999998</v>
      </c>
    </row>
    <row r="694" spans="1:21" x14ac:dyDescent="0.3">
      <c r="A694" s="14">
        <v>45996.197916666664</v>
      </c>
      <c r="B694" s="1">
        <v>-720.47</v>
      </c>
      <c r="C694" s="1">
        <v>-54.15</v>
      </c>
      <c r="D694" s="1">
        <v>35.9</v>
      </c>
      <c r="E694" s="1">
        <v>0</v>
      </c>
      <c r="F694" s="1">
        <v>0</v>
      </c>
      <c r="G694" s="1">
        <v>-24.57</v>
      </c>
      <c r="H694" s="1">
        <v>12</v>
      </c>
      <c r="I694" s="1">
        <v>0</v>
      </c>
      <c r="J694" s="1">
        <v>270.01</v>
      </c>
      <c r="K694" s="1">
        <v>12.85</v>
      </c>
      <c r="L694" s="1">
        <v>-30.71</v>
      </c>
      <c r="M694" s="1">
        <v>36.19</v>
      </c>
      <c r="N694" s="1">
        <v>9.93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1" cm="1">
        <f t="array" ref="U694">SUM(ABS(B694:T694))</f>
        <v>1206.78</v>
      </c>
    </row>
    <row r="695" spans="1:21" x14ac:dyDescent="0.3">
      <c r="A695" s="14">
        <v>45996.208333333336</v>
      </c>
      <c r="B695" s="1">
        <v>-726.96</v>
      </c>
      <c r="C695" s="1">
        <v>-54.16</v>
      </c>
      <c r="D695" s="1">
        <v>35.93</v>
      </c>
      <c r="E695" s="1">
        <v>0</v>
      </c>
      <c r="F695" s="1">
        <v>0</v>
      </c>
      <c r="G695" s="1">
        <v>-24.48</v>
      </c>
      <c r="H695" s="1">
        <v>12</v>
      </c>
      <c r="I695" s="1">
        <v>0</v>
      </c>
      <c r="J695" s="1">
        <v>271.72000000000003</v>
      </c>
      <c r="K695" s="1">
        <v>12.84</v>
      </c>
      <c r="L695" s="1">
        <v>-30.73</v>
      </c>
      <c r="M695" s="1">
        <v>36.200000000000003</v>
      </c>
      <c r="N695" s="1">
        <v>9.94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1" cm="1">
        <f t="array" ref="U695">SUM(ABS(B695:T695))</f>
        <v>1214.96</v>
      </c>
    </row>
    <row r="696" spans="1:21" x14ac:dyDescent="0.3">
      <c r="A696" s="14">
        <v>45996.21875</v>
      </c>
      <c r="B696" s="1">
        <v>-730.63</v>
      </c>
      <c r="C696" s="1">
        <v>-54.17</v>
      </c>
      <c r="D696" s="1">
        <v>35.950000000000003</v>
      </c>
      <c r="E696" s="1">
        <v>0</v>
      </c>
      <c r="F696" s="1">
        <v>0</v>
      </c>
      <c r="G696" s="1">
        <v>-24.51</v>
      </c>
      <c r="H696" s="1">
        <v>12</v>
      </c>
      <c r="I696" s="1">
        <v>0</v>
      </c>
      <c r="J696" s="1">
        <v>272.52999999999997</v>
      </c>
      <c r="K696" s="1">
        <v>12.84</v>
      </c>
      <c r="L696" s="1">
        <v>-30.7</v>
      </c>
      <c r="M696" s="1">
        <v>36.19</v>
      </c>
      <c r="N696" s="1">
        <v>9.9600000000000009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1" cm="1">
        <f t="array" ref="U696">SUM(ABS(B696:T696))</f>
        <v>1219.48</v>
      </c>
    </row>
    <row r="697" spans="1:21" x14ac:dyDescent="0.3">
      <c r="A697" s="14">
        <v>45996.229166666664</v>
      </c>
      <c r="B697" s="1">
        <v>-731.78</v>
      </c>
      <c r="C697" s="1">
        <v>-54.19</v>
      </c>
      <c r="D697" s="1">
        <v>35.97</v>
      </c>
      <c r="E697" s="1">
        <v>0</v>
      </c>
      <c r="F697" s="1">
        <v>0</v>
      </c>
      <c r="G697" s="1">
        <v>-24.52</v>
      </c>
      <c r="H697" s="1">
        <v>12</v>
      </c>
      <c r="I697" s="1">
        <v>0</v>
      </c>
      <c r="J697" s="1">
        <v>272.44</v>
      </c>
      <c r="K697" s="1">
        <v>12.83</v>
      </c>
      <c r="L697" s="1">
        <v>-30.71</v>
      </c>
      <c r="M697" s="1">
        <v>36.200000000000003</v>
      </c>
      <c r="N697" s="1">
        <v>9.9600000000000009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1" cm="1">
        <f t="array" ref="U697">SUM(ABS(B697:T697))</f>
        <v>1220.6000000000001</v>
      </c>
    </row>
    <row r="698" spans="1:21" x14ac:dyDescent="0.3">
      <c r="A698" s="14">
        <v>45996.239583333336</v>
      </c>
      <c r="B698" s="1">
        <v>-733.29</v>
      </c>
      <c r="C698" s="1">
        <v>-54.2</v>
      </c>
      <c r="D698" s="1">
        <v>35.979999999999997</v>
      </c>
      <c r="E698" s="1">
        <v>0</v>
      </c>
      <c r="F698" s="1">
        <v>0</v>
      </c>
      <c r="G698" s="1">
        <v>-24.47</v>
      </c>
      <c r="H698" s="1">
        <v>12</v>
      </c>
      <c r="I698" s="1">
        <v>0</v>
      </c>
      <c r="J698" s="1">
        <v>272.41000000000003</v>
      </c>
      <c r="K698" s="1">
        <v>12.82</v>
      </c>
      <c r="L698" s="1">
        <v>-30.69</v>
      </c>
      <c r="M698" s="1">
        <v>32.93</v>
      </c>
      <c r="N698" s="1">
        <v>9.9600000000000009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1" cm="1">
        <f t="array" ref="U698">SUM(ABS(B698:T698))</f>
        <v>1218.7500000000002</v>
      </c>
    </row>
    <row r="699" spans="1:21" x14ac:dyDescent="0.3">
      <c r="A699" s="14">
        <v>45996.25</v>
      </c>
      <c r="B699" s="1">
        <v>-730.56</v>
      </c>
      <c r="C699" s="1">
        <v>-54.21</v>
      </c>
      <c r="D699" s="1">
        <v>35.99</v>
      </c>
      <c r="E699" s="1">
        <v>0</v>
      </c>
      <c r="F699" s="1">
        <v>0</v>
      </c>
      <c r="G699" s="1">
        <v>-24.56</v>
      </c>
      <c r="H699" s="1">
        <v>18.8</v>
      </c>
      <c r="I699" s="1">
        <v>0</v>
      </c>
      <c r="J699" s="1">
        <v>271.41000000000003</v>
      </c>
      <c r="K699" s="1">
        <v>14.2</v>
      </c>
      <c r="L699" s="1">
        <v>-30.7</v>
      </c>
      <c r="M699" s="1">
        <v>0</v>
      </c>
      <c r="N699" s="1">
        <v>9.9600000000000009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1" cm="1">
        <f t="array" ref="U699">SUM(ABS(B699:T699))</f>
        <v>1190.3900000000001</v>
      </c>
    </row>
    <row r="700" spans="1:21" x14ac:dyDescent="0.3">
      <c r="A700" s="14">
        <v>45996.260416666664</v>
      </c>
      <c r="B700" s="1">
        <v>-736.61</v>
      </c>
      <c r="C700" s="1">
        <v>-54.21</v>
      </c>
      <c r="D700" s="1">
        <v>36.01</v>
      </c>
      <c r="E700" s="1">
        <v>0</v>
      </c>
      <c r="F700" s="1">
        <v>0</v>
      </c>
      <c r="G700" s="1">
        <v>-24.52</v>
      </c>
      <c r="H700" s="1">
        <v>24</v>
      </c>
      <c r="I700" s="1">
        <v>0</v>
      </c>
      <c r="J700" s="1">
        <v>272.43</v>
      </c>
      <c r="K700" s="1">
        <v>25.2</v>
      </c>
      <c r="L700" s="1">
        <v>-30.71</v>
      </c>
      <c r="M700" s="1">
        <v>0</v>
      </c>
      <c r="N700" s="1">
        <v>9.9700000000000006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1" cm="1">
        <f t="array" ref="U700">SUM(ABS(B700:T700))</f>
        <v>1213.6600000000001</v>
      </c>
    </row>
    <row r="701" spans="1:21" x14ac:dyDescent="0.3">
      <c r="A701" s="14">
        <v>45996.270833333336</v>
      </c>
      <c r="B701" s="1">
        <v>-738.12</v>
      </c>
      <c r="C701" s="1">
        <v>-54.18</v>
      </c>
      <c r="D701" s="1">
        <v>36.03</v>
      </c>
      <c r="E701" s="1">
        <v>0</v>
      </c>
      <c r="F701" s="1">
        <v>0</v>
      </c>
      <c r="G701" s="1">
        <v>-24.53</v>
      </c>
      <c r="H701" s="1">
        <v>23.92</v>
      </c>
      <c r="I701" s="1">
        <v>0</v>
      </c>
      <c r="J701" s="1">
        <v>272.51</v>
      </c>
      <c r="K701" s="1">
        <v>25.32</v>
      </c>
      <c r="L701" s="1">
        <v>-30.72</v>
      </c>
      <c r="M701" s="1">
        <v>26.62</v>
      </c>
      <c r="N701" s="1">
        <v>9.9600000000000009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1" cm="1">
        <f t="array" ref="U701">SUM(ABS(B701:T701))</f>
        <v>1241.9099999999999</v>
      </c>
    </row>
    <row r="702" spans="1:21" x14ac:dyDescent="0.3">
      <c r="A702" s="14">
        <v>45996.28125</v>
      </c>
      <c r="B702" s="1">
        <v>-622.12</v>
      </c>
      <c r="C702" s="1">
        <v>-54.19</v>
      </c>
      <c r="D702" s="1">
        <v>36.020000000000003</v>
      </c>
      <c r="E702" s="1">
        <v>0</v>
      </c>
      <c r="F702" s="1">
        <v>0</v>
      </c>
      <c r="G702" s="1">
        <v>-24.52</v>
      </c>
      <c r="H702" s="1">
        <v>12</v>
      </c>
      <c r="I702" s="1">
        <v>0</v>
      </c>
      <c r="J702" s="1">
        <v>272</v>
      </c>
      <c r="K702" s="1">
        <v>25.33</v>
      </c>
      <c r="L702" s="1">
        <v>-30.7</v>
      </c>
      <c r="M702" s="1">
        <v>36</v>
      </c>
      <c r="N702" s="1">
        <v>9.9499999999999993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1" cm="1">
        <f t="array" ref="U702">SUM(ABS(B702:T702))</f>
        <v>1122.83</v>
      </c>
    </row>
    <row r="703" spans="1:21" x14ac:dyDescent="0.3">
      <c r="A703" s="14">
        <v>45996.291666666664</v>
      </c>
      <c r="B703" s="1">
        <v>-536.88</v>
      </c>
      <c r="C703" s="1">
        <v>-51.65</v>
      </c>
      <c r="D703" s="1">
        <v>36.04</v>
      </c>
      <c r="E703" s="1">
        <v>0</v>
      </c>
      <c r="F703" s="1">
        <v>0</v>
      </c>
      <c r="G703" s="1">
        <v>-24.49</v>
      </c>
      <c r="H703" s="1">
        <v>12</v>
      </c>
      <c r="I703" s="1">
        <v>0</v>
      </c>
      <c r="J703" s="1">
        <v>272.07</v>
      </c>
      <c r="K703" s="1">
        <v>25.34</v>
      </c>
      <c r="L703" s="1">
        <v>-30.72</v>
      </c>
      <c r="M703" s="1">
        <v>36</v>
      </c>
      <c r="N703" s="1">
        <v>9.9600000000000009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1" cm="1">
        <f t="array" ref="U703">SUM(ABS(B703:T703))</f>
        <v>1035.1500000000001</v>
      </c>
    </row>
    <row r="704" spans="1:21" x14ac:dyDescent="0.3">
      <c r="A704" s="14">
        <v>45996.302083333336</v>
      </c>
      <c r="B704" s="1">
        <v>-435.94</v>
      </c>
      <c r="C704" s="1">
        <v>-40.619999999999997</v>
      </c>
      <c r="D704" s="1">
        <v>36.049999999999997</v>
      </c>
      <c r="E704" s="1">
        <v>0</v>
      </c>
      <c r="F704" s="1">
        <v>0</v>
      </c>
      <c r="G704" s="1">
        <v>-24.51</v>
      </c>
      <c r="H704" s="1">
        <v>12</v>
      </c>
      <c r="I704" s="1">
        <v>0</v>
      </c>
      <c r="J704" s="1">
        <v>272.51</v>
      </c>
      <c r="K704" s="1">
        <v>17.260000000000002</v>
      </c>
      <c r="L704" s="1">
        <v>-30.65</v>
      </c>
      <c r="M704" s="1">
        <v>36</v>
      </c>
      <c r="N704" s="1">
        <v>9.9600000000000009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1" cm="1">
        <f t="array" ref="U704">SUM(ABS(B704:T704))</f>
        <v>915.5</v>
      </c>
    </row>
    <row r="705" spans="1:21" x14ac:dyDescent="0.3">
      <c r="A705" s="14">
        <v>45996.3125</v>
      </c>
      <c r="B705" s="1">
        <v>-403.8</v>
      </c>
      <c r="C705" s="1">
        <v>-40.72</v>
      </c>
      <c r="D705" s="1">
        <v>36.06</v>
      </c>
      <c r="E705" s="1">
        <v>0</v>
      </c>
      <c r="F705" s="1">
        <v>0</v>
      </c>
      <c r="G705" s="1">
        <v>-24.46</v>
      </c>
      <c r="H705" s="1">
        <v>12</v>
      </c>
      <c r="I705" s="1">
        <v>0</v>
      </c>
      <c r="J705" s="1">
        <v>271.67</v>
      </c>
      <c r="K705" s="1">
        <v>12.78</v>
      </c>
      <c r="L705" s="1">
        <v>-30.65</v>
      </c>
      <c r="M705" s="1">
        <v>36</v>
      </c>
      <c r="N705" s="1">
        <v>9.9600000000000009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1" cm="1">
        <f t="array" ref="U705">SUM(ABS(B705:T705))</f>
        <v>878.1</v>
      </c>
    </row>
    <row r="706" spans="1:21" x14ac:dyDescent="0.3">
      <c r="A706" s="14">
        <v>45996.322916666664</v>
      </c>
      <c r="B706" s="1">
        <v>-159.75</v>
      </c>
      <c r="C706" s="1">
        <v>-37.17</v>
      </c>
      <c r="D706" s="1">
        <v>36.03</v>
      </c>
      <c r="E706" s="1">
        <v>0</v>
      </c>
      <c r="F706" s="1">
        <v>0</v>
      </c>
      <c r="G706" s="1">
        <v>-24.47</v>
      </c>
      <c r="H706" s="1">
        <v>12</v>
      </c>
      <c r="I706" s="1">
        <v>0</v>
      </c>
      <c r="J706" s="1">
        <v>264.20999999999998</v>
      </c>
      <c r="K706" s="1">
        <v>24.19</v>
      </c>
      <c r="L706" s="1">
        <v>-30.68</v>
      </c>
      <c r="M706" s="1">
        <v>36</v>
      </c>
      <c r="N706" s="1">
        <v>9.9499999999999993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1" cm="1">
        <f t="array" ref="U706">SUM(ABS(B706:T706))</f>
        <v>634.45000000000005</v>
      </c>
    </row>
    <row r="707" spans="1:21" x14ac:dyDescent="0.3">
      <c r="A707" s="14">
        <v>45996.333333333336</v>
      </c>
      <c r="B707" s="1">
        <v>-211.94</v>
      </c>
      <c r="C707" s="1">
        <v>-26.97</v>
      </c>
      <c r="D707" s="1">
        <v>36.06</v>
      </c>
      <c r="E707" s="1">
        <v>0</v>
      </c>
      <c r="F707" s="1">
        <v>0</v>
      </c>
      <c r="G707" s="1">
        <v>-24.51</v>
      </c>
      <c r="H707" s="1">
        <v>12</v>
      </c>
      <c r="I707" s="1">
        <v>0</v>
      </c>
      <c r="J707" s="1">
        <v>266.17</v>
      </c>
      <c r="K707" s="1">
        <v>25.25</v>
      </c>
      <c r="L707" s="1">
        <v>-19.29</v>
      </c>
      <c r="M707" s="1">
        <v>36</v>
      </c>
      <c r="N707" s="1">
        <v>9.9499999999999993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1" cm="1">
        <f t="array" ref="U707">SUM(ABS(B707:T707))</f>
        <v>668.1400000000001</v>
      </c>
    </row>
    <row r="708" spans="1:21" x14ac:dyDescent="0.3">
      <c r="A708" s="14">
        <v>45996.34375</v>
      </c>
      <c r="B708" s="1">
        <v>-248.33</v>
      </c>
      <c r="C708" s="1">
        <v>-28.85</v>
      </c>
      <c r="D708" s="1">
        <v>36.090000000000003</v>
      </c>
      <c r="E708" s="1">
        <v>0</v>
      </c>
      <c r="F708" s="1">
        <v>0</v>
      </c>
      <c r="G708" s="1">
        <v>-24.46</v>
      </c>
      <c r="H708" s="1">
        <v>12</v>
      </c>
      <c r="I708" s="1">
        <v>0</v>
      </c>
      <c r="J708" s="1">
        <v>273.37</v>
      </c>
      <c r="K708" s="1">
        <v>25.18</v>
      </c>
      <c r="L708" s="1">
        <v>-15.63</v>
      </c>
      <c r="M708" s="1">
        <v>36</v>
      </c>
      <c r="N708" s="1">
        <v>9.9600000000000009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1" cm="1">
        <f t="array" ref="U708">SUM(ABS(B708:T708))</f>
        <v>709.86999999999989</v>
      </c>
    </row>
    <row r="709" spans="1:21" x14ac:dyDescent="0.3">
      <c r="A709" s="14">
        <v>45996.354166666664</v>
      </c>
      <c r="B709" s="1">
        <v>-127.92</v>
      </c>
      <c r="C709" s="1">
        <v>-22.41</v>
      </c>
      <c r="D709" s="1">
        <v>36.1</v>
      </c>
      <c r="E709" s="1">
        <v>0</v>
      </c>
      <c r="F709" s="1">
        <v>0</v>
      </c>
      <c r="G709" s="1">
        <v>-24.48</v>
      </c>
      <c r="H709" s="1">
        <v>12</v>
      </c>
      <c r="I709" s="1">
        <v>0</v>
      </c>
      <c r="J709" s="1">
        <v>239.09</v>
      </c>
      <c r="K709" s="1">
        <v>25.19</v>
      </c>
      <c r="L709" s="1">
        <v>-5.07</v>
      </c>
      <c r="M709" s="1">
        <v>36</v>
      </c>
      <c r="N709" s="1">
        <v>9.9499999999999993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1" cm="1">
        <f t="array" ref="U709">SUM(ABS(B709:T709))</f>
        <v>538.21</v>
      </c>
    </row>
    <row r="710" spans="1:21" x14ac:dyDescent="0.3">
      <c r="A710" s="14">
        <v>45996.364583333336</v>
      </c>
      <c r="B710" s="1">
        <v>-115.72</v>
      </c>
      <c r="C710" s="1">
        <v>-20.46</v>
      </c>
      <c r="D710" s="1">
        <v>36.049999999999997</v>
      </c>
      <c r="E710" s="1">
        <v>0</v>
      </c>
      <c r="F710" s="1">
        <v>0</v>
      </c>
      <c r="G710" s="1">
        <v>-24.42</v>
      </c>
      <c r="H710" s="1">
        <v>12</v>
      </c>
      <c r="I710" s="1">
        <v>0</v>
      </c>
      <c r="J710" s="1">
        <v>193.58</v>
      </c>
      <c r="K710" s="1">
        <v>25.18</v>
      </c>
      <c r="L710" s="1">
        <v>0.04</v>
      </c>
      <c r="M710" s="1">
        <v>36</v>
      </c>
      <c r="N710" s="1">
        <v>9.9499999999999993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1" cm="1">
        <f t="array" ref="U710">SUM(ABS(B710:T710))</f>
        <v>473.40000000000003</v>
      </c>
    </row>
    <row r="711" spans="1:21" x14ac:dyDescent="0.3">
      <c r="A711" s="14">
        <v>45996.375</v>
      </c>
      <c r="B711" s="1">
        <v>-248.52</v>
      </c>
      <c r="C711" s="1">
        <v>-20.5</v>
      </c>
      <c r="D711" s="1">
        <v>36.04</v>
      </c>
      <c r="E711" s="1">
        <v>0</v>
      </c>
      <c r="F711" s="1">
        <v>0</v>
      </c>
      <c r="G711" s="1">
        <v>-24.49</v>
      </c>
      <c r="H711" s="1">
        <v>12</v>
      </c>
      <c r="I711" s="1">
        <v>0</v>
      </c>
      <c r="J711" s="1">
        <v>185.08</v>
      </c>
      <c r="K711" s="1">
        <v>16.07</v>
      </c>
      <c r="L711" s="1">
        <v>0.01</v>
      </c>
      <c r="M711" s="1">
        <v>36</v>
      </c>
      <c r="N711" s="1">
        <v>9.9499999999999993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1" cm="1">
        <f t="array" ref="U711">SUM(ABS(B711:T711))</f>
        <v>588.66000000000008</v>
      </c>
    </row>
    <row r="712" spans="1:21" x14ac:dyDescent="0.3">
      <c r="A712" s="14">
        <v>45996.385416666664</v>
      </c>
      <c r="B712" s="1">
        <v>-306.97000000000003</v>
      </c>
      <c r="C712" s="1">
        <v>-20.49</v>
      </c>
      <c r="D712" s="1">
        <v>36.020000000000003</v>
      </c>
      <c r="E712" s="1">
        <v>0</v>
      </c>
      <c r="F712" s="1">
        <v>0</v>
      </c>
      <c r="G712" s="1">
        <v>-24.44</v>
      </c>
      <c r="H712" s="1">
        <v>12</v>
      </c>
      <c r="I712" s="1">
        <v>0</v>
      </c>
      <c r="J712" s="1">
        <v>188.75</v>
      </c>
      <c r="K712" s="1">
        <v>12.78</v>
      </c>
      <c r="L712" s="1">
        <v>0.02</v>
      </c>
      <c r="M712" s="1">
        <v>36</v>
      </c>
      <c r="N712" s="1">
        <v>9.9600000000000009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1" cm="1">
        <f t="array" ref="U712">SUM(ABS(B712:T712))</f>
        <v>647.43000000000006</v>
      </c>
    </row>
    <row r="713" spans="1:21" x14ac:dyDescent="0.3">
      <c r="A713" s="14">
        <v>45996.395833333336</v>
      </c>
      <c r="B713" s="1">
        <v>-387.39</v>
      </c>
      <c r="C713" s="1">
        <v>-21.8</v>
      </c>
      <c r="D713" s="1">
        <v>35.99</v>
      </c>
      <c r="E713" s="1">
        <v>0</v>
      </c>
      <c r="F713" s="1">
        <v>0</v>
      </c>
      <c r="G713" s="1">
        <v>-24.44</v>
      </c>
      <c r="H713" s="1">
        <v>12</v>
      </c>
      <c r="I713" s="1">
        <v>0</v>
      </c>
      <c r="J713" s="1">
        <v>190.08</v>
      </c>
      <c r="K713" s="1">
        <v>12.76</v>
      </c>
      <c r="L713" s="1">
        <v>0.01</v>
      </c>
      <c r="M713" s="1">
        <v>36</v>
      </c>
      <c r="N713" s="1">
        <v>9.9600000000000009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1" cm="1">
        <f t="array" ref="U713">SUM(ABS(B713:T713))</f>
        <v>730.43000000000006</v>
      </c>
    </row>
    <row r="714" spans="1:21" x14ac:dyDescent="0.3">
      <c r="A714" s="14">
        <v>45996.40625</v>
      </c>
      <c r="B714" s="1">
        <v>-490.68</v>
      </c>
      <c r="C714" s="1">
        <v>-28.85</v>
      </c>
      <c r="D714" s="1">
        <v>35.909999999999997</v>
      </c>
      <c r="E714" s="1">
        <v>0</v>
      </c>
      <c r="F714" s="1">
        <v>0</v>
      </c>
      <c r="G714" s="1">
        <v>-24.45</v>
      </c>
      <c r="H714" s="1">
        <v>12</v>
      </c>
      <c r="I714" s="1">
        <v>0</v>
      </c>
      <c r="J714" s="1">
        <v>200.67</v>
      </c>
      <c r="K714" s="1">
        <v>11.33</v>
      </c>
      <c r="L714" s="1">
        <v>-0.01</v>
      </c>
      <c r="M714" s="1">
        <v>36</v>
      </c>
      <c r="N714" s="1">
        <v>9.94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1" cm="1">
        <f t="array" ref="U714">SUM(ABS(B714:T714))</f>
        <v>849.84</v>
      </c>
    </row>
    <row r="715" spans="1:21" x14ac:dyDescent="0.3">
      <c r="A715" s="14">
        <v>45996.416666666664</v>
      </c>
      <c r="B715" s="1">
        <v>-480.51</v>
      </c>
      <c r="C715" s="1">
        <v>-28.82</v>
      </c>
      <c r="D715" s="1">
        <v>35.85</v>
      </c>
      <c r="E715" s="1">
        <v>0</v>
      </c>
      <c r="F715" s="1">
        <v>0</v>
      </c>
      <c r="G715" s="1">
        <v>-24.51</v>
      </c>
      <c r="H715" s="1">
        <v>12</v>
      </c>
      <c r="I715" s="1">
        <v>0</v>
      </c>
      <c r="J715" s="1">
        <v>198.52</v>
      </c>
      <c r="K715" s="1">
        <v>6.32</v>
      </c>
      <c r="L715" s="1">
        <v>0</v>
      </c>
      <c r="M715" s="1">
        <v>36</v>
      </c>
      <c r="N715" s="1">
        <v>9.94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1" cm="1">
        <f t="array" ref="U715">SUM(ABS(B715:T715))</f>
        <v>832.47</v>
      </c>
    </row>
    <row r="716" spans="1:21" x14ac:dyDescent="0.3">
      <c r="A716" s="14">
        <v>45996.427083333336</v>
      </c>
      <c r="B716" s="1">
        <v>-477.1</v>
      </c>
      <c r="C716" s="1">
        <v>-28.82</v>
      </c>
      <c r="D716" s="1">
        <v>35.799999999999997</v>
      </c>
      <c r="E716" s="1">
        <v>0</v>
      </c>
      <c r="F716" s="1">
        <v>0</v>
      </c>
      <c r="G716" s="1">
        <v>-23.24</v>
      </c>
      <c r="H716" s="1">
        <v>12</v>
      </c>
      <c r="I716" s="1">
        <v>0</v>
      </c>
      <c r="J716" s="1">
        <v>172.3</v>
      </c>
      <c r="K716" s="1">
        <v>6.38</v>
      </c>
      <c r="L716" s="1">
        <v>0.01</v>
      </c>
      <c r="M716" s="1">
        <v>36</v>
      </c>
      <c r="N716" s="1">
        <v>9.94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1" cm="1">
        <f t="array" ref="U716">SUM(ABS(B716:T716))</f>
        <v>801.59</v>
      </c>
    </row>
    <row r="717" spans="1:21" x14ac:dyDescent="0.3">
      <c r="A717" s="14">
        <v>45996.4375</v>
      </c>
      <c r="B717" s="1">
        <v>-478.63</v>
      </c>
      <c r="C717" s="1">
        <v>-28.81</v>
      </c>
      <c r="D717" s="1">
        <v>35.76</v>
      </c>
      <c r="E717" s="1">
        <v>0</v>
      </c>
      <c r="F717" s="1">
        <v>0</v>
      </c>
      <c r="G717" s="1">
        <v>-24.46</v>
      </c>
      <c r="H717" s="1">
        <v>12</v>
      </c>
      <c r="I717" s="1">
        <v>0</v>
      </c>
      <c r="J717" s="1">
        <v>181.64</v>
      </c>
      <c r="K717" s="1">
        <v>6.4</v>
      </c>
      <c r="L717" s="1">
        <v>0</v>
      </c>
      <c r="M717" s="1">
        <v>36</v>
      </c>
      <c r="N717" s="1">
        <v>9.9499999999999993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1" cm="1">
        <f t="array" ref="U717">SUM(ABS(B717:T717))</f>
        <v>813.65000000000009</v>
      </c>
    </row>
    <row r="718" spans="1:21" x14ac:dyDescent="0.3">
      <c r="A718" s="14">
        <v>45996.447916666664</v>
      </c>
      <c r="B718" s="1">
        <v>-488.95</v>
      </c>
      <c r="C718" s="1">
        <v>-28.8</v>
      </c>
      <c r="D718" s="1">
        <v>35.729999999999997</v>
      </c>
      <c r="E718" s="1">
        <v>0</v>
      </c>
      <c r="F718" s="1">
        <v>0</v>
      </c>
      <c r="G718" s="1">
        <v>-24.5</v>
      </c>
      <c r="H718" s="1">
        <v>12</v>
      </c>
      <c r="I718" s="1">
        <v>0</v>
      </c>
      <c r="J718" s="1">
        <v>139.41999999999999</v>
      </c>
      <c r="K718" s="1">
        <v>6.42</v>
      </c>
      <c r="L718" s="1">
        <v>0.01</v>
      </c>
      <c r="M718" s="1">
        <v>36</v>
      </c>
      <c r="N718" s="1">
        <v>9.94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1" cm="1">
        <f t="array" ref="U718">SUM(ABS(B718:T718))</f>
        <v>781.77</v>
      </c>
    </row>
    <row r="719" spans="1:21" x14ac:dyDescent="0.3">
      <c r="A719" s="14">
        <v>45996.458333333336</v>
      </c>
      <c r="B719" s="1">
        <v>-472.53</v>
      </c>
      <c r="C719" s="1">
        <v>-28.82</v>
      </c>
      <c r="D719" s="1">
        <v>35.65</v>
      </c>
      <c r="E719" s="1">
        <v>0</v>
      </c>
      <c r="F719" s="1">
        <v>0</v>
      </c>
      <c r="G719" s="1">
        <v>-24.46</v>
      </c>
      <c r="H719" s="1">
        <v>12</v>
      </c>
      <c r="I719" s="1">
        <v>0</v>
      </c>
      <c r="J719" s="1">
        <v>133.58000000000001</v>
      </c>
      <c r="K719" s="1">
        <v>6.44</v>
      </c>
      <c r="L719" s="1">
        <v>0.01</v>
      </c>
      <c r="M719" s="1">
        <v>36</v>
      </c>
      <c r="N719" s="1">
        <v>9.9499999999999993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1" cm="1">
        <f t="array" ref="U719">SUM(ABS(B719:T719))</f>
        <v>759.44000000000017</v>
      </c>
    </row>
    <row r="720" spans="1:21" x14ac:dyDescent="0.3">
      <c r="A720" s="14">
        <v>45996.46875</v>
      </c>
      <c r="B720" s="1">
        <v>-464.33</v>
      </c>
      <c r="C720" s="1">
        <v>-23.56</v>
      </c>
      <c r="D720" s="1">
        <v>35.6</v>
      </c>
      <c r="E720" s="1">
        <v>0</v>
      </c>
      <c r="F720" s="1">
        <v>0</v>
      </c>
      <c r="G720" s="1">
        <v>-24.41</v>
      </c>
      <c r="H720" s="1">
        <v>12</v>
      </c>
      <c r="I720" s="1">
        <v>0</v>
      </c>
      <c r="J720" s="1">
        <v>133.75</v>
      </c>
      <c r="K720" s="1">
        <v>6.43</v>
      </c>
      <c r="L720" s="1">
        <v>0.02</v>
      </c>
      <c r="M720" s="1">
        <v>36</v>
      </c>
      <c r="N720" s="1">
        <v>9.9499999999999993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1" cm="1">
        <f t="array" ref="U720">SUM(ABS(B720:T720))</f>
        <v>746.05</v>
      </c>
    </row>
    <row r="721" spans="1:21" x14ac:dyDescent="0.3">
      <c r="A721" s="14">
        <v>45996.479166666664</v>
      </c>
      <c r="B721" s="1">
        <v>-422.17</v>
      </c>
      <c r="C721" s="1">
        <v>-20.5</v>
      </c>
      <c r="D721" s="1">
        <v>35.65</v>
      </c>
      <c r="E721" s="1">
        <v>0</v>
      </c>
      <c r="F721" s="1">
        <v>0</v>
      </c>
      <c r="G721" s="1">
        <v>-24.43</v>
      </c>
      <c r="H721" s="1">
        <v>12</v>
      </c>
      <c r="I721" s="1">
        <v>0</v>
      </c>
      <c r="J721" s="1">
        <v>134.25</v>
      </c>
      <c r="K721" s="1">
        <v>6.42</v>
      </c>
      <c r="L721" s="1">
        <v>0.02</v>
      </c>
      <c r="M721" s="1">
        <v>36</v>
      </c>
      <c r="N721" s="1">
        <v>9.94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1" cm="1">
        <f t="array" ref="U721">SUM(ABS(B721:T721))</f>
        <v>701.38</v>
      </c>
    </row>
    <row r="722" spans="1:21" x14ac:dyDescent="0.3">
      <c r="A722" s="14">
        <v>45996.489583333336</v>
      </c>
      <c r="B722" s="1">
        <v>-414.28</v>
      </c>
      <c r="C722" s="1">
        <v>-20.46</v>
      </c>
      <c r="D722" s="1">
        <v>35.65</v>
      </c>
      <c r="E722" s="1">
        <v>0</v>
      </c>
      <c r="F722" s="1">
        <v>0</v>
      </c>
      <c r="G722" s="1">
        <v>-24.39</v>
      </c>
      <c r="H722" s="1">
        <v>12</v>
      </c>
      <c r="I722" s="1">
        <v>0</v>
      </c>
      <c r="J722" s="1">
        <v>134.35</v>
      </c>
      <c r="K722" s="1">
        <v>1.99</v>
      </c>
      <c r="L722" s="1">
        <v>0.04</v>
      </c>
      <c r="M722" s="1">
        <v>36</v>
      </c>
      <c r="N722" s="1">
        <v>9.94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1" cm="1">
        <f t="array" ref="U722">SUM(ABS(B722:T722))</f>
        <v>689.09999999999991</v>
      </c>
    </row>
    <row r="723" spans="1:21" x14ac:dyDescent="0.3">
      <c r="A723" s="14">
        <v>45996.5</v>
      </c>
      <c r="B723" s="1">
        <v>-280.47000000000003</v>
      </c>
      <c r="C723" s="1">
        <v>-20.41</v>
      </c>
      <c r="D723" s="1">
        <v>35.65</v>
      </c>
      <c r="E723" s="1">
        <v>0</v>
      </c>
      <c r="F723" s="1">
        <v>0</v>
      </c>
      <c r="G723" s="1">
        <v>-24.42</v>
      </c>
      <c r="H723" s="1">
        <v>12</v>
      </c>
      <c r="I723" s="1">
        <v>0</v>
      </c>
      <c r="J723" s="1">
        <v>134.35</v>
      </c>
      <c r="K723" s="1">
        <v>0</v>
      </c>
      <c r="L723" s="1">
        <v>7.0000000000000007E-2</v>
      </c>
      <c r="M723" s="1">
        <v>22.6</v>
      </c>
      <c r="N723" s="1">
        <v>9.93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1" cm="1">
        <f t="array" ref="U723">SUM(ABS(B723:T723))</f>
        <v>539.9</v>
      </c>
    </row>
    <row r="724" spans="1:21" x14ac:dyDescent="0.3">
      <c r="A724" s="14">
        <v>45996.510416666664</v>
      </c>
      <c r="B724" s="1">
        <v>-385.77</v>
      </c>
      <c r="C724" s="1">
        <v>-20.52</v>
      </c>
      <c r="D724" s="1">
        <v>35.65</v>
      </c>
      <c r="E724" s="1">
        <v>0</v>
      </c>
      <c r="F724" s="1">
        <v>0</v>
      </c>
      <c r="G724" s="1">
        <v>-24.43</v>
      </c>
      <c r="H724" s="1">
        <v>12</v>
      </c>
      <c r="I724" s="1">
        <v>0</v>
      </c>
      <c r="J724" s="1">
        <v>134.35</v>
      </c>
      <c r="K724" s="1">
        <v>0</v>
      </c>
      <c r="L724" s="1">
        <v>0.05</v>
      </c>
      <c r="M724" s="1">
        <v>20</v>
      </c>
      <c r="N724" s="1">
        <v>9.93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1" cm="1">
        <f t="array" ref="U724">SUM(ABS(B724:T724))</f>
        <v>642.69999999999982</v>
      </c>
    </row>
    <row r="725" spans="1:21" x14ac:dyDescent="0.3">
      <c r="A725" s="14">
        <v>45996.520833333336</v>
      </c>
      <c r="B725" s="1">
        <v>-268.77999999999997</v>
      </c>
      <c r="C725" s="1">
        <v>-20.51</v>
      </c>
      <c r="D725" s="1">
        <v>35.65</v>
      </c>
      <c r="E725" s="1">
        <v>0</v>
      </c>
      <c r="F725" s="1">
        <v>0</v>
      </c>
      <c r="G725" s="1">
        <v>-24.39</v>
      </c>
      <c r="H725" s="1">
        <v>12</v>
      </c>
      <c r="I725" s="1">
        <v>0</v>
      </c>
      <c r="J725" s="1">
        <v>134.35</v>
      </c>
      <c r="K725" s="1">
        <v>0</v>
      </c>
      <c r="L725" s="1">
        <v>0.06</v>
      </c>
      <c r="M725" s="1">
        <v>20</v>
      </c>
      <c r="N725" s="1">
        <v>9.93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1" cm="1">
        <f t="array" ref="U725">SUM(ABS(B725:T725))</f>
        <v>525.66999999999996</v>
      </c>
    </row>
    <row r="726" spans="1:21" x14ac:dyDescent="0.3">
      <c r="A726" s="14">
        <v>45996.53125</v>
      </c>
      <c r="B726" s="1">
        <v>-257.02</v>
      </c>
      <c r="C726" s="1">
        <v>-20.5</v>
      </c>
      <c r="D726" s="1">
        <v>35.65</v>
      </c>
      <c r="E726" s="1">
        <v>0</v>
      </c>
      <c r="F726" s="1">
        <v>0</v>
      </c>
      <c r="G726" s="1">
        <v>-24.45</v>
      </c>
      <c r="H726" s="1">
        <v>12</v>
      </c>
      <c r="I726" s="1">
        <v>0</v>
      </c>
      <c r="J726" s="1">
        <v>134.35</v>
      </c>
      <c r="K726" s="1">
        <v>0</v>
      </c>
      <c r="L726" s="1">
        <v>0.06</v>
      </c>
      <c r="M726" s="1">
        <v>20</v>
      </c>
      <c r="N726" s="1">
        <v>9.92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1" cm="1">
        <f t="array" ref="U726">SUM(ABS(B726:T726))</f>
        <v>513.94999999999993</v>
      </c>
    </row>
    <row r="727" spans="1:21" x14ac:dyDescent="0.3">
      <c r="A727" s="14">
        <v>45996.541666666664</v>
      </c>
      <c r="B727" s="1">
        <v>-155.84</v>
      </c>
      <c r="C727" s="1">
        <v>-20.51</v>
      </c>
      <c r="D727" s="1">
        <v>35.65</v>
      </c>
      <c r="E727" s="1">
        <v>0</v>
      </c>
      <c r="F727" s="1">
        <v>0</v>
      </c>
      <c r="G727" s="1">
        <v>-24.4</v>
      </c>
      <c r="H727" s="1">
        <v>12</v>
      </c>
      <c r="I727" s="1">
        <v>0</v>
      </c>
      <c r="J727" s="1">
        <v>134.35</v>
      </c>
      <c r="K727" s="1">
        <v>0</v>
      </c>
      <c r="L727" s="1">
        <v>0.08</v>
      </c>
      <c r="M727" s="1">
        <v>20</v>
      </c>
      <c r="N727" s="1">
        <v>9.92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1" cm="1">
        <f t="array" ref="U727">SUM(ABS(B727:T727))</f>
        <v>412.75</v>
      </c>
    </row>
    <row r="728" spans="1:21" x14ac:dyDescent="0.3">
      <c r="A728" s="14">
        <v>45996.552083333336</v>
      </c>
      <c r="B728" s="1">
        <v>-139.99</v>
      </c>
      <c r="C728" s="1">
        <v>-20.52</v>
      </c>
      <c r="D728" s="1">
        <v>35.65</v>
      </c>
      <c r="E728" s="1">
        <v>0</v>
      </c>
      <c r="F728" s="1">
        <v>0</v>
      </c>
      <c r="G728" s="1">
        <v>-24.43</v>
      </c>
      <c r="H728" s="1">
        <v>12</v>
      </c>
      <c r="I728" s="1">
        <v>0</v>
      </c>
      <c r="J728" s="1">
        <v>134.35</v>
      </c>
      <c r="K728" s="1">
        <v>0</v>
      </c>
      <c r="L728" s="1">
        <v>0.08</v>
      </c>
      <c r="M728" s="1">
        <v>20</v>
      </c>
      <c r="N728" s="1">
        <v>9.93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1" cm="1">
        <f t="array" ref="U728">SUM(ABS(B728:T728))</f>
        <v>396.95000000000005</v>
      </c>
    </row>
    <row r="729" spans="1:21" x14ac:dyDescent="0.3">
      <c r="A729" s="14">
        <v>45996.5625</v>
      </c>
      <c r="B729" s="1">
        <v>-150.04</v>
      </c>
      <c r="C729" s="1">
        <v>-20.52</v>
      </c>
      <c r="D729" s="1">
        <v>35.65</v>
      </c>
      <c r="E729" s="1">
        <v>0</v>
      </c>
      <c r="F729" s="1">
        <v>0</v>
      </c>
      <c r="G729" s="1">
        <v>-24.38</v>
      </c>
      <c r="H729" s="1">
        <v>12</v>
      </c>
      <c r="I729" s="1">
        <v>0</v>
      </c>
      <c r="J729" s="1">
        <v>263.41000000000003</v>
      </c>
      <c r="K729" s="1">
        <v>0</v>
      </c>
      <c r="L729" s="1">
        <v>0.09</v>
      </c>
      <c r="M729" s="1">
        <v>20</v>
      </c>
      <c r="N729" s="1">
        <v>9.92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1" cm="1">
        <f t="array" ref="U729">SUM(ABS(B729:T729))</f>
        <v>536.00999999999988</v>
      </c>
    </row>
    <row r="730" spans="1:21" x14ac:dyDescent="0.3">
      <c r="A730" s="14">
        <v>45996.572916666664</v>
      </c>
      <c r="B730" s="1">
        <v>-195.54</v>
      </c>
      <c r="C730" s="1">
        <v>-28.03</v>
      </c>
      <c r="D730" s="1">
        <v>35.65</v>
      </c>
      <c r="E730" s="1">
        <v>0</v>
      </c>
      <c r="F730" s="1">
        <v>0</v>
      </c>
      <c r="G730" s="1">
        <v>-24.4</v>
      </c>
      <c r="H730" s="1">
        <v>12</v>
      </c>
      <c r="I730" s="1">
        <v>0</v>
      </c>
      <c r="J730" s="1">
        <v>270</v>
      </c>
      <c r="K730" s="1">
        <v>0</v>
      </c>
      <c r="L730" s="1">
        <v>0.08</v>
      </c>
      <c r="M730" s="1">
        <v>20</v>
      </c>
      <c r="N730" s="1">
        <v>9.93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1" cm="1">
        <f t="array" ref="U730">SUM(ABS(B730:T730))</f>
        <v>595.62999999999988</v>
      </c>
    </row>
    <row r="731" spans="1:21" x14ac:dyDescent="0.3">
      <c r="A731" s="14">
        <v>45996.583333333336</v>
      </c>
      <c r="B731" s="1">
        <v>-365.21</v>
      </c>
      <c r="C731" s="1">
        <v>-28.66</v>
      </c>
      <c r="D731" s="1">
        <v>35.65</v>
      </c>
      <c r="E731" s="1">
        <v>0</v>
      </c>
      <c r="F731" s="1">
        <v>0</v>
      </c>
      <c r="G731" s="1">
        <v>-24.42</v>
      </c>
      <c r="H731" s="1">
        <v>12</v>
      </c>
      <c r="I731" s="1">
        <v>0</v>
      </c>
      <c r="J731" s="1">
        <v>270</v>
      </c>
      <c r="K731" s="1">
        <v>0</v>
      </c>
      <c r="L731" s="1">
        <v>0.06</v>
      </c>
      <c r="M731" s="1">
        <v>20</v>
      </c>
      <c r="N731" s="1">
        <v>9.93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1" cm="1">
        <f t="array" ref="U731">SUM(ABS(B731:T731))</f>
        <v>765.93</v>
      </c>
    </row>
    <row r="732" spans="1:21" x14ac:dyDescent="0.3">
      <c r="A732" s="14">
        <v>45996.59375</v>
      </c>
      <c r="B732" s="1">
        <v>-500.72</v>
      </c>
      <c r="C732" s="1">
        <v>-35.81</v>
      </c>
      <c r="D732" s="1">
        <v>35.65</v>
      </c>
      <c r="E732" s="1">
        <v>0</v>
      </c>
      <c r="F732" s="1">
        <v>0</v>
      </c>
      <c r="G732" s="1">
        <v>-24.5</v>
      </c>
      <c r="H732" s="1">
        <v>12</v>
      </c>
      <c r="I732" s="1">
        <v>0</v>
      </c>
      <c r="J732" s="1">
        <v>270</v>
      </c>
      <c r="K732" s="1">
        <v>0</v>
      </c>
      <c r="L732" s="1">
        <v>0.05</v>
      </c>
      <c r="M732" s="1">
        <v>20</v>
      </c>
      <c r="N732" s="1">
        <v>9.94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1" cm="1">
        <f t="array" ref="U732">SUM(ABS(B732:T732))</f>
        <v>908.67</v>
      </c>
    </row>
    <row r="733" spans="1:21" x14ac:dyDescent="0.3">
      <c r="A733" s="14">
        <v>45996.604166666664</v>
      </c>
      <c r="B733" s="1">
        <v>-590.15</v>
      </c>
      <c r="C733" s="1">
        <v>-53.99</v>
      </c>
      <c r="D733" s="1">
        <v>35.65</v>
      </c>
      <c r="E733" s="1">
        <v>0</v>
      </c>
      <c r="F733" s="1">
        <v>0</v>
      </c>
      <c r="G733" s="1">
        <v>-24.36</v>
      </c>
      <c r="H733" s="1">
        <v>12</v>
      </c>
      <c r="I733" s="1">
        <v>0</v>
      </c>
      <c r="J733" s="1">
        <v>270.60000000000002</v>
      </c>
      <c r="K733" s="1">
        <v>0</v>
      </c>
      <c r="L733" s="1">
        <v>0.06</v>
      </c>
      <c r="M733" s="1">
        <v>20</v>
      </c>
      <c r="N733" s="1">
        <v>9.94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1" cm="1">
        <f t="array" ref="U733">SUM(ABS(B733:T733))</f>
        <v>1016.75</v>
      </c>
    </row>
    <row r="734" spans="1:21" x14ac:dyDescent="0.3">
      <c r="A734" s="14">
        <v>45996.614583333336</v>
      </c>
      <c r="B734" s="1">
        <v>-682.89</v>
      </c>
      <c r="C734" s="1">
        <v>-54.23</v>
      </c>
      <c r="D734" s="1">
        <v>35.65</v>
      </c>
      <c r="E734" s="1">
        <v>2.83</v>
      </c>
      <c r="F734" s="1">
        <v>0</v>
      </c>
      <c r="G734" s="1">
        <v>-24.36</v>
      </c>
      <c r="H734" s="1">
        <v>12</v>
      </c>
      <c r="I734" s="1">
        <v>0</v>
      </c>
      <c r="J734" s="1">
        <v>273.57</v>
      </c>
      <c r="K734" s="1">
        <v>0</v>
      </c>
      <c r="L734" s="1">
        <v>0.06</v>
      </c>
      <c r="M734" s="1">
        <v>20</v>
      </c>
      <c r="N734" s="1">
        <v>9.93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1" cm="1">
        <f t="array" ref="U734">SUM(ABS(B734:T734))</f>
        <v>1115.52</v>
      </c>
    </row>
    <row r="735" spans="1:21" x14ac:dyDescent="0.3">
      <c r="A735" s="14">
        <v>45996.625</v>
      </c>
      <c r="B735" s="1">
        <v>-719.02</v>
      </c>
      <c r="C735" s="1">
        <v>-54.17</v>
      </c>
      <c r="D735" s="1">
        <v>35.520000000000003</v>
      </c>
      <c r="E735" s="1">
        <v>25.46</v>
      </c>
      <c r="F735" s="1">
        <v>0</v>
      </c>
      <c r="G735" s="1">
        <v>-24.37</v>
      </c>
      <c r="H735" s="1">
        <v>12</v>
      </c>
      <c r="I735" s="1">
        <v>0</v>
      </c>
      <c r="J735" s="1">
        <v>269.01</v>
      </c>
      <c r="K735" s="1">
        <v>0</v>
      </c>
      <c r="L735" s="1">
        <v>0.05</v>
      </c>
      <c r="M735" s="1">
        <v>20</v>
      </c>
      <c r="N735" s="1">
        <v>9.92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1" cm="1">
        <f t="array" ref="U735">SUM(ABS(B735:T735))</f>
        <v>1169.52</v>
      </c>
    </row>
    <row r="736" spans="1:21" x14ac:dyDescent="0.3">
      <c r="A736" s="14">
        <v>45996.635416666664</v>
      </c>
      <c r="B736" s="1">
        <v>-733.84</v>
      </c>
      <c r="C736" s="1">
        <v>-54.19</v>
      </c>
      <c r="D736" s="1">
        <v>34.9</v>
      </c>
      <c r="E736" s="1">
        <v>26.57</v>
      </c>
      <c r="F736" s="1">
        <v>0</v>
      </c>
      <c r="G736" s="1">
        <v>-24.31</v>
      </c>
      <c r="H736" s="1">
        <v>12</v>
      </c>
      <c r="I736" s="1">
        <v>0</v>
      </c>
      <c r="J736" s="1">
        <v>273.39999999999998</v>
      </c>
      <c r="K736" s="1">
        <v>0</v>
      </c>
      <c r="L736" s="1">
        <v>0.12</v>
      </c>
      <c r="M736" s="1">
        <v>20</v>
      </c>
      <c r="N736" s="1">
        <v>9.92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1" cm="1">
        <f t="array" ref="U736">SUM(ABS(B736:T736))</f>
        <v>1189.25</v>
      </c>
    </row>
    <row r="737" spans="1:21" x14ac:dyDescent="0.3">
      <c r="A737" s="14">
        <v>45996.645833333336</v>
      </c>
      <c r="B737" s="1">
        <v>-651.41</v>
      </c>
      <c r="C737" s="1">
        <v>-54.19</v>
      </c>
      <c r="D737" s="1">
        <v>34.86</v>
      </c>
      <c r="E737" s="1">
        <v>26.04</v>
      </c>
      <c r="F737" s="1">
        <v>0</v>
      </c>
      <c r="G737" s="1">
        <v>-24.44</v>
      </c>
      <c r="H737" s="1">
        <v>12</v>
      </c>
      <c r="I737" s="1">
        <v>0</v>
      </c>
      <c r="J737" s="1">
        <v>272.93</v>
      </c>
      <c r="K737" s="1">
        <v>0</v>
      </c>
      <c r="L737" s="1">
        <v>-3.07</v>
      </c>
      <c r="M737" s="1">
        <v>20</v>
      </c>
      <c r="N737" s="1">
        <v>9.91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1" cm="1">
        <f t="array" ref="U737">SUM(ABS(B737:T737))</f>
        <v>1108.8499999999999</v>
      </c>
    </row>
    <row r="738" spans="1:21" x14ac:dyDescent="0.3">
      <c r="A738" s="14">
        <v>45996.65625</v>
      </c>
      <c r="B738" s="1">
        <v>-596.71</v>
      </c>
      <c r="C738" s="1">
        <v>-54.16</v>
      </c>
      <c r="D738" s="1">
        <v>34.85</v>
      </c>
      <c r="E738" s="1">
        <v>26</v>
      </c>
      <c r="F738" s="1">
        <v>0</v>
      </c>
      <c r="G738" s="1">
        <v>-24.43</v>
      </c>
      <c r="H738" s="1">
        <v>12</v>
      </c>
      <c r="I738" s="1">
        <v>0</v>
      </c>
      <c r="J738" s="1">
        <v>272.48</v>
      </c>
      <c r="K738" s="1">
        <v>0</v>
      </c>
      <c r="L738" s="1">
        <v>-15.35</v>
      </c>
      <c r="M738" s="1">
        <v>20</v>
      </c>
      <c r="N738" s="1">
        <v>9.92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1" cm="1">
        <f t="array" ref="U738">SUM(ABS(B738:T738))</f>
        <v>1065.9000000000001</v>
      </c>
    </row>
    <row r="739" spans="1:21" x14ac:dyDescent="0.3">
      <c r="A739" s="14">
        <v>45996.666666666664</v>
      </c>
      <c r="B739" s="1">
        <v>-487.6</v>
      </c>
      <c r="C739" s="1">
        <v>-54.19</v>
      </c>
      <c r="D739" s="1">
        <v>34.86</v>
      </c>
      <c r="E739" s="1">
        <v>47.62</v>
      </c>
      <c r="F739" s="1">
        <v>0</v>
      </c>
      <c r="G739" s="1">
        <v>-24.45</v>
      </c>
      <c r="H739" s="1">
        <v>12</v>
      </c>
      <c r="I739" s="1">
        <v>0</v>
      </c>
      <c r="J739" s="1">
        <v>270.06</v>
      </c>
      <c r="K739" s="1">
        <v>0</v>
      </c>
      <c r="L739" s="1">
        <v>-21.4</v>
      </c>
      <c r="M739" s="1">
        <v>20</v>
      </c>
      <c r="N739" s="1">
        <v>9.9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1" cm="1">
        <f t="array" ref="U739">SUM(ABS(B739:T739))</f>
        <v>982.07999999999993</v>
      </c>
    </row>
    <row r="740" spans="1:21" x14ac:dyDescent="0.3">
      <c r="A740" s="14">
        <v>45996.677083333336</v>
      </c>
      <c r="B740" s="1">
        <v>-512.64</v>
      </c>
      <c r="C740" s="1">
        <v>-54.19</v>
      </c>
      <c r="D740" s="1">
        <v>34.9</v>
      </c>
      <c r="E740" s="1">
        <v>52.25</v>
      </c>
      <c r="F740" s="1">
        <v>0</v>
      </c>
      <c r="G740" s="1">
        <v>-24.37</v>
      </c>
      <c r="H740" s="1">
        <v>12</v>
      </c>
      <c r="I740" s="1">
        <v>0</v>
      </c>
      <c r="J740" s="1">
        <v>273.06</v>
      </c>
      <c r="K740" s="1">
        <v>0</v>
      </c>
      <c r="L740" s="1">
        <v>-30.71</v>
      </c>
      <c r="M740" s="1">
        <v>20</v>
      </c>
      <c r="N740" s="1">
        <v>9.92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1" cm="1">
        <f t="array" ref="U740">SUM(ABS(B740:T740))</f>
        <v>1024.04</v>
      </c>
    </row>
    <row r="741" spans="1:21" x14ac:dyDescent="0.3">
      <c r="A741" s="14">
        <v>45996.6875</v>
      </c>
      <c r="B741" s="1">
        <v>-534.64</v>
      </c>
      <c r="C741" s="1">
        <v>-54.21</v>
      </c>
      <c r="D741" s="1">
        <v>34.950000000000003</v>
      </c>
      <c r="E741" s="1">
        <v>52.73</v>
      </c>
      <c r="F741" s="1">
        <v>0</v>
      </c>
      <c r="G741" s="1">
        <v>-24.37</v>
      </c>
      <c r="H741" s="1">
        <v>12</v>
      </c>
      <c r="I741" s="1">
        <v>0</v>
      </c>
      <c r="J741" s="1">
        <v>273.43</v>
      </c>
      <c r="K741" s="1">
        <v>0</v>
      </c>
      <c r="L741" s="1">
        <v>-30.72</v>
      </c>
      <c r="M741" s="1">
        <v>20</v>
      </c>
      <c r="N741" s="1">
        <v>9.92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1" cm="1">
        <f t="array" ref="U741">SUM(ABS(B741:T741))</f>
        <v>1046.9700000000003</v>
      </c>
    </row>
    <row r="742" spans="1:21" x14ac:dyDescent="0.3">
      <c r="A742" s="14">
        <v>45996.697916666664</v>
      </c>
      <c r="B742" s="1">
        <v>-563.73</v>
      </c>
      <c r="C742" s="1">
        <v>-54.22</v>
      </c>
      <c r="D742" s="1">
        <v>35</v>
      </c>
      <c r="E742" s="1">
        <v>56.39</v>
      </c>
      <c r="F742" s="1">
        <v>0</v>
      </c>
      <c r="G742" s="1">
        <v>-24.38</v>
      </c>
      <c r="H742" s="1">
        <v>12</v>
      </c>
      <c r="I742" s="1">
        <v>0</v>
      </c>
      <c r="J742" s="1">
        <v>273.27</v>
      </c>
      <c r="K742" s="1">
        <v>0</v>
      </c>
      <c r="L742" s="1">
        <v>-30.7</v>
      </c>
      <c r="M742" s="1">
        <v>20</v>
      </c>
      <c r="N742" s="1">
        <v>9.91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1" cm="1">
        <f t="array" ref="U742">SUM(ABS(B742:T742))</f>
        <v>1079.6000000000001</v>
      </c>
    </row>
    <row r="743" spans="1:21" x14ac:dyDescent="0.3">
      <c r="A743" s="14">
        <v>45996.708333333336</v>
      </c>
      <c r="B743" s="1">
        <v>-517.04999999999995</v>
      </c>
      <c r="C743" s="1">
        <v>-54.17</v>
      </c>
      <c r="D743" s="1">
        <v>34.979999999999997</v>
      </c>
      <c r="E743" s="1">
        <v>50.75</v>
      </c>
      <c r="F743" s="1">
        <v>0</v>
      </c>
      <c r="G743" s="1">
        <v>-24.43</v>
      </c>
      <c r="H743" s="1">
        <v>12</v>
      </c>
      <c r="I743" s="1">
        <v>0</v>
      </c>
      <c r="J743" s="1">
        <v>271.39999999999998</v>
      </c>
      <c r="K743" s="1">
        <v>0</v>
      </c>
      <c r="L743" s="1">
        <v>-30.63</v>
      </c>
      <c r="M743" s="1">
        <v>20</v>
      </c>
      <c r="N743" s="1">
        <v>9.9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1" cm="1">
        <f t="array" ref="U743">SUM(ABS(B743:T743))</f>
        <v>1025.31</v>
      </c>
    </row>
    <row r="744" spans="1:21" x14ac:dyDescent="0.3">
      <c r="A744" s="14">
        <v>45996.71875</v>
      </c>
      <c r="B744" s="1">
        <v>-526.51</v>
      </c>
      <c r="C744" s="1">
        <v>-54.17</v>
      </c>
      <c r="D744" s="1">
        <v>35.020000000000003</v>
      </c>
      <c r="E744" s="1">
        <v>51.4</v>
      </c>
      <c r="F744" s="1">
        <v>0</v>
      </c>
      <c r="G744" s="1">
        <v>-24.46</v>
      </c>
      <c r="H744" s="1">
        <v>12</v>
      </c>
      <c r="I744" s="1">
        <v>0</v>
      </c>
      <c r="J744" s="1">
        <v>272.25</v>
      </c>
      <c r="K744" s="1">
        <v>0</v>
      </c>
      <c r="L744" s="1">
        <v>-30.66</v>
      </c>
      <c r="M744" s="1">
        <v>26.15</v>
      </c>
      <c r="N744" s="1">
        <v>9.9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1" cm="1">
        <f t="array" ref="U744">SUM(ABS(B744:T744))</f>
        <v>1042.52</v>
      </c>
    </row>
    <row r="745" spans="1:21" x14ac:dyDescent="0.3">
      <c r="A745" s="14">
        <v>45996.729166666664</v>
      </c>
      <c r="B745" s="1">
        <v>-581.22</v>
      </c>
      <c r="C745" s="1">
        <v>-54.18</v>
      </c>
      <c r="D745" s="1">
        <v>35.020000000000003</v>
      </c>
      <c r="E745" s="1">
        <v>71.89</v>
      </c>
      <c r="F745" s="1">
        <v>0</v>
      </c>
      <c r="G745" s="1">
        <v>-28.37</v>
      </c>
      <c r="H745" s="1">
        <v>12</v>
      </c>
      <c r="I745" s="1">
        <v>0</v>
      </c>
      <c r="J745" s="1">
        <v>270.99</v>
      </c>
      <c r="K745" s="1">
        <v>2.0099999999999998</v>
      </c>
      <c r="L745" s="1">
        <v>-30.68</v>
      </c>
      <c r="M745" s="1">
        <v>30.04</v>
      </c>
      <c r="N745" s="1">
        <v>9.89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1" cm="1">
        <f t="array" ref="U745">SUM(ABS(B745:T745))</f>
        <v>1126.2900000000002</v>
      </c>
    </row>
    <row r="746" spans="1:21" x14ac:dyDescent="0.3">
      <c r="A746" s="14">
        <v>45996.739583333336</v>
      </c>
      <c r="B746" s="1">
        <v>-549.45000000000005</v>
      </c>
      <c r="C746" s="1">
        <v>-54.16</v>
      </c>
      <c r="D746" s="1">
        <v>35</v>
      </c>
      <c r="E746" s="1">
        <v>89.65</v>
      </c>
      <c r="F746" s="1">
        <v>0</v>
      </c>
      <c r="G746" s="1">
        <v>-49.41</v>
      </c>
      <c r="H746" s="1">
        <v>26.1</v>
      </c>
      <c r="I746" s="1">
        <v>0</v>
      </c>
      <c r="J746" s="1">
        <v>269.3</v>
      </c>
      <c r="K746" s="1">
        <v>16.14</v>
      </c>
      <c r="L746" s="1">
        <v>-30.69</v>
      </c>
      <c r="M746" s="1">
        <v>30.04</v>
      </c>
      <c r="N746" s="1">
        <v>9.9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1" cm="1">
        <f t="array" ref="U746">SUM(ABS(B746:T746))</f>
        <v>1159.8400000000001</v>
      </c>
    </row>
    <row r="747" spans="1:21" x14ac:dyDescent="0.3">
      <c r="A747" s="14">
        <v>45996.75</v>
      </c>
      <c r="B747" s="1">
        <v>-381.07</v>
      </c>
      <c r="C747" s="1">
        <v>-54.12</v>
      </c>
      <c r="D747" s="1">
        <v>34.979999999999997</v>
      </c>
      <c r="E747" s="1">
        <v>98.75</v>
      </c>
      <c r="F747" s="1">
        <v>0</v>
      </c>
      <c r="G747" s="1">
        <v>-56.57</v>
      </c>
      <c r="H747" s="1">
        <v>46.3</v>
      </c>
      <c r="I747" s="1">
        <v>0</v>
      </c>
      <c r="J747" s="1">
        <v>263.2</v>
      </c>
      <c r="K747" s="1">
        <v>31.64</v>
      </c>
      <c r="L747" s="1">
        <v>-30.72</v>
      </c>
      <c r="M747" s="1">
        <v>30.05</v>
      </c>
      <c r="N747" s="1">
        <v>9.9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1" cm="1">
        <f t="array" ref="U747">SUM(ABS(B747:T747))</f>
        <v>1037.3000000000002</v>
      </c>
    </row>
    <row r="748" spans="1:21" x14ac:dyDescent="0.3">
      <c r="A748" s="14">
        <v>45996.760416666664</v>
      </c>
      <c r="B748" s="1">
        <v>-350.13</v>
      </c>
      <c r="C748" s="1">
        <v>-54.14</v>
      </c>
      <c r="D748" s="1">
        <v>35.01</v>
      </c>
      <c r="E748" s="1">
        <v>101.01</v>
      </c>
      <c r="F748" s="1">
        <v>0</v>
      </c>
      <c r="G748" s="1">
        <v>-56.8</v>
      </c>
      <c r="H748" s="1">
        <v>48.51</v>
      </c>
      <c r="I748" s="1">
        <v>0</v>
      </c>
      <c r="J748" s="1">
        <v>265.55</v>
      </c>
      <c r="K748" s="1">
        <v>32.380000000000003</v>
      </c>
      <c r="L748" s="1">
        <v>-30.71</v>
      </c>
      <c r="M748" s="1">
        <v>33.03</v>
      </c>
      <c r="N748" s="1">
        <v>9.9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1" cm="1">
        <f t="array" ref="U748">SUM(ABS(B748:T748))</f>
        <v>1017.1699999999998</v>
      </c>
    </row>
    <row r="749" spans="1:21" x14ac:dyDescent="0.3">
      <c r="A749" s="14">
        <v>45996.770833333336</v>
      </c>
      <c r="B749" s="1">
        <v>-635.21</v>
      </c>
      <c r="C749" s="1">
        <v>-54.15</v>
      </c>
      <c r="D749" s="1">
        <v>35.03</v>
      </c>
      <c r="E749" s="1">
        <v>106.94</v>
      </c>
      <c r="F749" s="1">
        <v>1.87</v>
      </c>
      <c r="G749" s="1">
        <v>-57.09</v>
      </c>
      <c r="H749" s="1">
        <v>54.11</v>
      </c>
      <c r="I749" s="1">
        <v>0</v>
      </c>
      <c r="J749" s="1">
        <v>268.41000000000003</v>
      </c>
      <c r="K749" s="1">
        <v>37.979999999999997</v>
      </c>
      <c r="L749" s="1">
        <v>-30.74</v>
      </c>
      <c r="M749" s="1">
        <v>54.23</v>
      </c>
      <c r="N749" s="1">
        <v>9.9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1" cm="1">
        <f t="array" ref="U749">SUM(ABS(B749:T749))</f>
        <v>1345.66</v>
      </c>
    </row>
    <row r="750" spans="1:21" x14ac:dyDescent="0.3">
      <c r="A750" s="14">
        <v>45996.78125</v>
      </c>
      <c r="B750" s="1">
        <v>-731.02</v>
      </c>
      <c r="C750" s="1">
        <v>-54.17</v>
      </c>
      <c r="D750" s="1">
        <v>35.03</v>
      </c>
      <c r="E750" s="1">
        <v>163.57</v>
      </c>
      <c r="F750" s="1">
        <v>53.88</v>
      </c>
      <c r="G750" s="1">
        <v>-57.91</v>
      </c>
      <c r="H750" s="1">
        <v>66.209999999999994</v>
      </c>
      <c r="I750" s="1">
        <v>0</v>
      </c>
      <c r="J750" s="1">
        <v>270.87</v>
      </c>
      <c r="K750" s="1">
        <v>38.03</v>
      </c>
      <c r="L750" s="1">
        <v>-30.77</v>
      </c>
      <c r="M750" s="1">
        <v>54.24</v>
      </c>
      <c r="N750" s="1">
        <v>9.9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1" cm="1">
        <f t="array" ref="U750">SUM(ABS(B750:T750))</f>
        <v>1565.6000000000004</v>
      </c>
    </row>
    <row r="751" spans="1:21" x14ac:dyDescent="0.3">
      <c r="A751" s="14">
        <v>45996.791666666664</v>
      </c>
      <c r="B751" s="1">
        <v>-732.07</v>
      </c>
      <c r="C751" s="1">
        <v>-54.15</v>
      </c>
      <c r="D751" s="1">
        <v>35.03</v>
      </c>
      <c r="E751" s="1">
        <v>168.92</v>
      </c>
      <c r="F751" s="1">
        <v>110.95</v>
      </c>
      <c r="G751" s="1">
        <v>-57.93</v>
      </c>
      <c r="H751" s="1">
        <v>66.209999999999994</v>
      </c>
      <c r="I751" s="1">
        <v>0</v>
      </c>
      <c r="J751" s="1">
        <v>272.37</v>
      </c>
      <c r="K751" s="1">
        <v>38.04</v>
      </c>
      <c r="L751" s="1">
        <v>-30.74</v>
      </c>
      <c r="M751" s="1">
        <v>54.24</v>
      </c>
      <c r="N751" s="1">
        <v>9.9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1" cm="1">
        <f t="array" ref="U751">SUM(ABS(B751:T751))</f>
        <v>1630.5500000000002</v>
      </c>
    </row>
    <row r="752" spans="1:21" x14ac:dyDescent="0.3">
      <c r="A752" s="14">
        <v>45996.802083333336</v>
      </c>
      <c r="B752" s="1">
        <v>-730.41</v>
      </c>
      <c r="C752" s="1">
        <v>-54.15</v>
      </c>
      <c r="D752" s="1">
        <v>35.03</v>
      </c>
      <c r="E752" s="1">
        <v>168.17</v>
      </c>
      <c r="F752" s="1">
        <v>113.91</v>
      </c>
      <c r="G752" s="1">
        <v>-57.73</v>
      </c>
      <c r="H752" s="1">
        <v>66.19</v>
      </c>
      <c r="I752" s="1">
        <v>0</v>
      </c>
      <c r="J752" s="1">
        <v>272.5</v>
      </c>
      <c r="K752" s="1">
        <v>38.04</v>
      </c>
      <c r="L752" s="1">
        <v>-30.74</v>
      </c>
      <c r="M752" s="1">
        <v>54.25</v>
      </c>
      <c r="N752" s="1">
        <v>9.9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1" cm="1">
        <f t="array" ref="U752">SUM(ABS(B752:T752))</f>
        <v>1631.02</v>
      </c>
    </row>
    <row r="753" spans="1:21" x14ac:dyDescent="0.3">
      <c r="A753" s="14">
        <v>45996.8125</v>
      </c>
      <c r="B753" s="1">
        <v>-735.4</v>
      </c>
      <c r="C753" s="1">
        <v>-54.13</v>
      </c>
      <c r="D753" s="1">
        <v>35.03</v>
      </c>
      <c r="E753" s="1">
        <v>168.83</v>
      </c>
      <c r="F753" s="1">
        <v>114.19</v>
      </c>
      <c r="G753" s="1">
        <v>-58.02</v>
      </c>
      <c r="H753" s="1">
        <v>66.19</v>
      </c>
      <c r="I753" s="1">
        <v>0</v>
      </c>
      <c r="J753" s="1">
        <v>272.58</v>
      </c>
      <c r="K753" s="1">
        <v>38.049999999999997</v>
      </c>
      <c r="L753" s="1">
        <v>-30.75</v>
      </c>
      <c r="M753" s="1">
        <v>54.24</v>
      </c>
      <c r="N753" s="1">
        <v>9.9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1" cm="1">
        <f t="array" ref="U753">SUM(ABS(B753:T753))</f>
        <v>1637.31</v>
      </c>
    </row>
    <row r="754" spans="1:21" x14ac:dyDescent="0.3">
      <c r="A754" s="14">
        <v>45996.822916666664</v>
      </c>
      <c r="B754" s="1">
        <v>-736.65</v>
      </c>
      <c r="C754" s="1">
        <v>-54.13</v>
      </c>
      <c r="D754" s="1">
        <v>35.03</v>
      </c>
      <c r="E754" s="1">
        <v>169.66</v>
      </c>
      <c r="F754" s="1">
        <v>114.14</v>
      </c>
      <c r="G754" s="1">
        <v>-58.2</v>
      </c>
      <c r="H754" s="1">
        <v>66.180000000000007</v>
      </c>
      <c r="I754" s="1">
        <v>0</v>
      </c>
      <c r="J754" s="1">
        <v>272.48</v>
      </c>
      <c r="K754" s="1">
        <v>38.01</v>
      </c>
      <c r="L754" s="1">
        <v>-30.76</v>
      </c>
      <c r="M754" s="1">
        <v>54.23</v>
      </c>
      <c r="N754" s="1">
        <v>9.9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1" cm="1">
        <f t="array" ref="U754">SUM(ABS(B754:T754))</f>
        <v>1639.3700000000001</v>
      </c>
    </row>
    <row r="755" spans="1:21" x14ac:dyDescent="0.3">
      <c r="A755" s="14">
        <v>45996.833333333336</v>
      </c>
      <c r="B755" s="1">
        <v>-729.65</v>
      </c>
      <c r="C755" s="1">
        <v>-54.12</v>
      </c>
      <c r="D755" s="1">
        <v>35.03</v>
      </c>
      <c r="E755" s="1">
        <v>167.28</v>
      </c>
      <c r="F755" s="1">
        <v>114.03</v>
      </c>
      <c r="G755" s="1">
        <v>-57.8</v>
      </c>
      <c r="H755" s="1">
        <v>66.17</v>
      </c>
      <c r="I755" s="1">
        <v>0</v>
      </c>
      <c r="J755" s="1">
        <v>272.41000000000003</v>
      </c>
      <c r="K755" s="1">
        <v>38.01</v>
      </c>
      <c r="L755" s="1">
        <v>-30.75</v>
      </c>
      <c r="M755" s="1">
        <v>54.26</v>
      </c>
      <c r="N755" s="1">
        <v>9.9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1" cm="1">
        <f t="array" ref="U755">SUM(ABS(B755:T755))</f>
        <v>1629.41</v>
      </c>
    </row>
    <row r="756" spans="1:21" x14ac:dyDescent="0.3">
      <c r="A756" s="14">
        <v>45996.84375</v>
      </c>
      <c r="B756" s="1">
        <v>-729.6</v>
      </c>
      <c r="C756" s="1">
        <v>-54.11</v>
      </c>
      <c r="D756" s="1">
        <v>35.03</v>
      </c>
      <c r="E756" s="1">
        <v>167.35</v>
      </c>
      <c r="F756" s="1">
        <v>113.93</v>
      </c>
      <c r="G756" s="1">
        <v>-57.75</v>
      </c>
      <c r="H756" s="1">
        <v>66.180000000000007</v>
      </c>
      <c r="I756" s="1">
        <v>0</v>
      </c>
      <c r="J756" s="1">
        <v>272.48</v>
      </c>
      <c r="K756" s="1">
        <v>37.979999999999997</v>
      </c>
      <c r="L756" s="1">
        <v>-30.74</v>
      </c>
      <c r="M756" s="1">
        <v>54.25</v>
      </c>
      <c r="N756" s="1">
        <v>9.89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1" cm="1">
        <f t="array" ref="U756">SUM(ABS(B756:T756))</f>
        <v>1629.2900000000002</v>
      </c>
    </row>
    <row r="757" spans="1:21" x14ac:dyDescent="0.3">
      <c r="A757" s="14">
        <v>45996.854166666664</v>
      </c>
      <c r="B757" s="1">
        <v>-732.29</v>
      </c>
      <c r="C757" s="1">
        <v>-54.11</v>
      </c>
      <c r="D757" s="1">
        <v>35.03</v>
      </c>
      <c r="E757" s="1">
        <v>168.26</v>
      </c>
      <c r="F757" s="1">
        <v>113.93</v>
      </c>
      <c r="G757" s="1">
        <v>-58.19</v>
      </c>
      <c r="H757" s="1">
        <v>66.14</v>
      </c>
      <c r="I757" s="1">
        <v>0</v>
      </c>
      <c r="J757" s="1">
        <v>272.44</v>
      </c>
      <c r="K757" s="1">
        <v>38.01</v>
      </c>
      <c r="L757" s="1">
        <v>-30.77</v>
      </c>
      <c r="M757" s="1">
        <v>54.25</v>
      </c>
      <c r="N757" s="1">
        <v>9.89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1" cm="1">
        <f t="array" ref="U757">SUM(ABS(B757:T757))</f>
        <v>1633.3100000000002</v>
      </c>
    </row>
    <row r="758" spans="1:21" x14ac:dyDescent="0.3">
      <c r="A758" s="14">
        <v>45996.864583333336</v>
      </c>
      <c r="B758" s="1">
        <v>-722.49</v>
      </c>
      <c r="C758" s="1">
        <v>-54.14</v>
      </c>
      <c r="D758" s="1">
        <v>35.03</v>
      </c>
      <c r="E758" s="1">
        <v>166.65</v>
      </c>
      <c r="F758" s="1">
        <v>113.78</v>
      </c>
      <c r="G758" s="1">
        <v>-57.84</v>
      </c>
      <c r="H758" s="1">
        <v>66.14</v>
      </c>
      <c r="I758" s="1">
        <v>0</v>
      </c>
      <c r="J758" s="1">
        <v>272.37</v>
      </c>
      <c r="K758" s="1">
        <v>38.03</v>
      </c>
      <c r="L758" s="1">
        <v>-30.76</v>
      </c>
      <c r="M758" s="1">
        <v>54.25</v>
      </c>
      <c r="N758" s="1">
        <v>9.89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1" cm="1">
        <f t="array" ref="U758">SUM(ABS(B758:T758))</f>
        <v>1621.3700000000001</v>
      </c>
    </row>
    <row r="759" spans="1:21" x14ac:dyDescent="0.3">
      <c r="A759" s="14">
        <v>45996.875</v>
      </c>
      <c r="B759" s="1">
        <v>-590.35</v>
      </c>
      <c r="C759" s="1">
        <v>-54.12</v>
      </c>
      <c r="D759" s="1">
        <v>35.03</v>
      </c>
      <c r="E759" s="1">
        <v>166.56</v>
      </c>
      <c r="F759" s="1">
        <v>113.67</v>
      </c>
      <c r="G759" s="1">
        <v>-57.57</v>
      </c>
      <c r="H759" s="1">
        <v>66.150000000000006</v>
      </c>
      <c r="I759" s="1">
        <v>0</v>
      </c>
      <c r="J759" s="1">
        <v>271.86</v>
      </c>
      <c r="K759" s="1">
        <v>37.96</v>
      </c>
      <c r="L759" s="1">
        <v>-30.76</v>
      </c>
      <c r="M759" s="1">
        <v>54.25</v>
      </c>
      <c r="N759" s="1">
        <v>9.8800000000000008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1" cm="1">
        <f t="array" ref="U759">SUM(ABS(B759:T759))</f>
        <v>1488.16</v>
      </c>
    </row>
    <row r="760" spans="1:21" x14ac:dyDescent="0.3">
      <c r="A760" s="14">
        <v>45996.885416666664</v>
      </c>
      <c r="B760" s="1">
        <v>-544.66</v>
      </c>
      <c r="C760" s="1">
        <v>-54.11</v>
      </c>
      <c r="D760" s="1">
        <v>35.03</v>
      </c>
      <c r="E760" s="1">
        <v>166.77</v>
      </c>
      <c r="F760" s="1">
        <v>113.61</v>
      </c>
      <c r="G760" s="1">
        <v>-57.62</v>
      </c>
      <c r="H760" s="1">
        <v>66.14</v>
      </c>
      <c r="I760" s="1">
        <v>0</v>
      </c>
      <c r="J760" s="1">
        <v>271.77999999999997</v>
      </c>
      <c r="K760" s="1">
        <v>38</v>
      </c>
      <c r="L760" s="1">
        <v>-30.52</v>
      </c>
      <c r="M760" s="1">
        <v>54.26</v>
      </c>
      <c r="N760" s="1">
        <v>9.89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1" cm="1">
        <f t="array" ref="U760">SUM(ABS(B760:T760))</f>
        <v>1442.39</v>
      </c>
    </row>
    <row r="761" spans="1:21" x14ac:dyDescent="0.3">
      <c r="A761" s="14">
        <v>45996.895833333336</v>
      </c>
      <c r="B761" s="1">
        <v>-567.45000000000005</v>
      </c>
      <c r="C761" s="1">
        <v>-54.1</v>
      </c>
      <c r="D761" s="1">
        <v>35.03</v>
      </c>
      <c r="E761" s="1">
        <v>167.4</v>
      </c>
      <c r="F761" s="1">
        <v>113.58</v>
      </c>
      <c r="G761" s="1">
        <v>-57.81</v>
      </c>
      <c r="H761" s="1">
        <v>66.14</v>
      </c>
      <c r="I761" s="1">
        <v>0</v>
      </c>
      <c r="J761" s="1">
        <v>272.37</v>
      </c>
      <c r="K761" s="1">
        <v>37.950000000000003</v>
      </c>
      <c r="L761" s="1">
        <v>-30.39</v>
      </c>
      <c r="M761" s="1">
        <v>54.27</v>
      </c>
      <c r="N761" s="1">
        <v>9.8800000000000008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1" cm="1">
        <f t="array" ref="U761">SUM(ABS(B761:T761))</f>
        <v>1466.3700000000003</v>
      </c>
    </row>
    <row r="762" spans="1:21" x14ac:dyDescent="0.3">
      <c r="A762" s="14">
        <v>45996.90625</v>
      </c>
      <c r="B762" s="1">
        <v>-682.78</v>
      </c>
      <c r="C762" s="1">
        <v>-54.12</v>
      </c>
      <c r="D762" s="1">
        <v>35.03</v>
      </c>
      <c r="E762" s="1">
        <v>167.9</v>
      </c>
      <c r="F762" s="1">
        <v>113.54</v>
      </c>
      <c r="G762" s="1">
        <v>-57.84</v>
      </c>
      <c r="H762" s="1">
        <v>66.14</v>
      </c>
      <c r="I762" s="1">
        <v>0</v>
      </c>
      <c r="J762" s="1">
        <v>272.36</v>
      </c>
      <c r="K762" s="1">
        <v>37.950000000000003</v>
      </c>
      <c r="L762" s="1">
        <v>-30.4</v>
      </c>
      <c r="M762" s="1">
        <v>54.26</v>
      </c>
      <c r="N762" s="1">
        <v>9.89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1" cm="1">
        <f t="array" ref="U762">SUM(ABS(B762:T762))</f>
        <v>1582.2100000000003</v>
      </c>
    </row>
    <row r="763" spans="1:21" x14ac:dyDescent="0.3">
      <c r="A763" s="14">
        <v>45996.916666666664</v>
      </c>
      <c r="B763" s="1">
        <v>-734.96</v>
      </c>
      <c r="C763" s="1">
        <v>-54.15</v>
      </c>
      <c r="D763" s="1">
        <v>35.03</v>
      </c>
      <c r="E763" s="1">
        <v>169.38</v>
      </c>
      <c r="F763" s="1">
        <v>113.5</v>
      </c>
      <c r="G763" s="1">
        <v>-58.14</v>
      </c>
      <c r="H763" s="1">
        <v>66.150000000000006</v>
      </c>
      <c r="I763" s="1">
        <v>0</v>
      </c>
      <c r="J763" s="1">
        <v>272.12</v>
      </c>
      <c r="K763" s="1">
        <v>37.96</v>
      </c>
      <c r="L763" s="1">
        <v>-30.43</v>
      </c>
      <c r="M763" s="1">
        <v>54.29</v>
      </c>
      <c r="N763" s="1">
        <v>9.9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1" cm="1">
        <f t="array" ref="U763">SUM(ABS(B763:T763))</f>
        <v>1636.0100000000004</v>
      </c>
    </row>
    <row r="764" spans="1:21" x14ac:dyDescent="0.3">
      <c r="A764" s="14">
        <v>45996.927083333336</v>
      </c>
      <c r="B764" s="1">
        <v>-736.25</v>
      </c>
      <c r="C764" s="1">
        <v>-54.17</v>
      </c>
      <c r="D764" s="1">
        <v>35.03</v>
      </c>
      <c r="E764" s="1">
        <v>167.87</v>
      </c>
      <c r="F764" s="1">
        <v>113.36</v>
      </c>
      <c r="G764" s="1">
        <v>-58.5</v>
      </c>
      <c r="H764" s="1">
        <v>66.150000000000006</v>
      </c>
      <c r="I764" s="1">
        <v>0</v>
      </c>
      <c r="J764" s="1">
        <v>272.36</v>
      </c>
      <c r="K764" s="1">
        <v>37.96</v>
      </c>
      <c r="L764" s="1">
        <v>-30.38</v>
      </c>
      <c r="M764" s="1">
        <v>54.28</v>
      </c>
      <c r="N764" s="1">
        <v>9.89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1" cm="1">
        <f t="array" ref="U764">SUM(ABS(B764:T764))</f>
        <v>1636.2000000000003</v>
      </c>
    </row>
    <row r="765" spans="1:21" x14ac:dyDescent="0.3">
      <c r="A765" s="14">
        <v>45996.9375</v>
      </c>
      <c r="B765" s="1">
        <v>-730.36</v>
      </c>
      <c r="C765" s="1">
        <v>-54.17</v>
      </c>
      <c r="D765" s="1">
        <v>35.03</v>
      </c>
      <c r="E765" s="1">
        <v>165.62</v>
      </c>
      <c r="F765" s="1">
        <v>113.26</v>
      </c>
      <c r="G765" s="1">
        <v>-58.13</v>
      </c>
      <c r="H765" s="1">
        <v>66.13</v>
      </c>
      <c r="I765" s="1">
        <v>0</v>
      </c>
      <c r="J765" s="1">
        <v>272.51</v>
      </c>
      <c r="K765" s="1">
        <v>37.979999999999997</v>
      </c>
      <c r="L765" s="1">
        <v>-30.4</v>
      </c>
      <c r="M765" s="1">
        <v>54.27</v>
      </c>
      <c r="N765" s="1">
        <v>9.89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1" cm="1">
        <f t="array" ref="U765">SUM(ABS(B765:T765))</f>
        <v>1627.7500000000005</v>
      </c>
    </row>
    <row r="766" spans="1:21" x14ac:dyDescent="0.3">
      <c r="A766" s="14">
        <v>45996.947916666664</v>
      </c>
      <c r="B766" s="1">
        <v>-726.21</v>
      </c>
      <c r="C766" s="1">
        <v>-54.12</v>
      </c>
      <c r="D766" s="1">
        <v>35.03</v>
      </c>
      <c r="E766" s="1">
        <v>165.14</v>
      </c>
      <c r="F766" s="1">
        <v>113.17</v>
      </c>
      <c r="G766" s="1">
        <v>-57.82</v>
      </c>
      <c r="H766" s="1">
        <v>66.13</v>
      </c>
      <c r="I766" s="1">
        <v>0</v>
      </c>
      <c r="J766" s="1">
        <v>272.66000000000003</v>
      </c>
      <c r="K766" s="1">
        <v>37.979999999999997</v>
      </c>
      <c r="L766" s="1">
        <v>-30.42</v>
      </c>
      <c r="M766" s="1">
        <v>54.27</v>
      </c>
      <c r="N766" s="1">
        <v>9.8800000000000008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1" cm="1">
        <f t="array" ref="U766">SUM(ABS(B766:T766))</f>
        <v>1622.8300000000002</v>
      </c>
    </row>
    <row r="767" spans="1:21" x14ac:dyDescent="0.3">
      <c r="A767" s="14">
        <v>45996.958333333336</v>
      </c>
      <c r="B767" s="1">
        <v>-730.13</v>
      </c>
      <c r="C767" s="1">
        <v>-54.13</v>
      </c>
      <c r="D767" s="1">
        <v>35.03</v>
      </c>
      <c r="E767" s="1">
        <v>165.19</v>
      </c>
      <c r="F767" s="1">
        <v>113.18</v>
      </c>
      <c r="G767" s="1">
        <v>-57.82</v>
      </c>
      <c r="H767" s="1">
        <v>66.13</v>
      </c>
      <c r="I767" s="1">
        <v>0</v>
      </c>
      <c r="J767" s="1">
        <v>272.57</v>
      </c>
      <c r="K767" s="1">
        <v>37.96</v>
      </c>
      <c r="L767" s="1">
        <v>-30.41</v>
      </c>
      <c r="M767" s="1">
        <v>54.25</v>
      </c>
      <c r="N767" s="1">
        <v>9.8800000000000008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1" cm="1">
        <f t="array" ref="U767">SUM(ABS(B767:T767))</f>
        <v>1626.6800000000003</v>
      </c>
    </row>
    <row r="768" spans="1:21" x14ac:dyDescent="0.3">
      <c r="A768" s="14">
        <v>45996.96875</v>
      </c>
      <c r="B768" s="1">
        <v>-730.98</v>
      </c>
      <c r="C768" s="1">
        <v>-54.06</v>
      </c>
      <c r="D768" s="1">
        <v>35.03</v>
      </c>
      <c r="E768" s="1">
        <v>166.44</v>
      </c>
      <c r="F768" s="1">
        <v>113.11</v>
      </c>
      <c r="G768" s="1">
        <v>-57.63</v>
      </c>
      <c r="H768" s="1">
        <v>66.14</v>
      </c>
      <c r="I768" s="1">
        <v>0</v>
      </c>
      <c r="J768" s="1">
        <v>272.29000000000002</v>
      </c>
      <c r="K768" s="1">
        <v>37.96</v>
      </c>
      <c r="L768" s="1">
        <v>-30.42</v>
      </c>
      <c r="M768" s="1">
        <v>54.26</v>
      </c>
      <c r="N768" s="1">
        <v>9.8699999999999992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1" cm="1">
        <f t="array" ref="U768">SUM(ABS(B768:T768))</f>
        <v>1628.19</v>
      </c>
    </row>
    <row r="769" spans="1:21" x14ac:dyDescent="0.3">
      <c r="A769" s="14">
        <v>45996.979166666664</v>
      </c>
      <c r="B769" s="1">
        <v>-733.87</v>
      </c>
      <c r="C769" s="1">
        <v>-54.07</v>
      </c>
      <c r="D769" s="1">
        <v>35.03</v>
      </c>
      <c r="E769" s="1">
        <v>166</v>
      </c>
      <c r="F769" s="1">
        <v>113</v>
      </c>
      <c r="G769" s="1">
        <v>-57.65</v>
      </c>
      <c r="H769" s="1">
        <v>66.12</v>
      </c>
      <c r="I769" s="1">
        <v>0</v>
      </c>
      <c r="J769" s="1">
        <v>271.77999999999997</v>
      </c>
      <c r="K769" s="1">
        <v>37.950000000000003</v>
      </c>
      <c r="L769" s="1">
        <v>-30.43</v>
      </c>
      <c r="M769" s="1">
        <v>54.26</v>
      </c>
      <c r="N769" s="1">
        <v>9.8699999999999992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1" cm="1">
        <f t="array" ref="U769">SUM(ABS(B769:T769))</f>
        <v>1630.0300000000002</v>
      </c>
    </row>
    <row r="770" spans="1:21" x14ac:dyDescent="0.3">
      <c r="A770" s="15">
        <v>45996.989583333336</v>
      </c>
      <c r="B770" s="2">
        <v>-730.61</v>
      </c>
      <c r="C770" s="2">
        <v>-54.06</v>
      </c>
      <c r="D770" s="2">
        <v>35.03</v>
      </c>
      <c r="E770" s="2">
        <v>165.14</v>
      </c>
      <c r="F770" s="2">
        <v>112.92</v>
      </c>
      <c r="G770" s="2">
        <v>-57.42</v>
      </c>
      <c r="H770" s="2">
        <v>66.12</v>
      </c>
      <c r="I770" s="2">
        <v>0</v>
      </c>
      <c r="J770" s="2">
        <v>270.31</v>
      </c>
      <c r="K770" s="2">
        <v>37.93</v>
      </c>
      <c r="L770" s="2">
        <v>-30.44</v>
      </c>
      <c r="M770" s="2">
        <v>54.26</v>
      </c>
      <c r="N770" s="2">
        <v>9.8699999999999992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11" cm="1">
        <f t="array" ref="U770">SUM(ABS(B770:T770))</f>
        <v>1624.1100000000001</v>
      </c>
    </row>
    <row r="771" spans="1:2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</sheetData>
  <mergeCells count="1">
    <mergeCell ref="B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CEE6-EC52-4E62-9486-A5D6313D1056}">
  <dimension ref="A1:AO772"/>
  <sheetViews>
    <sheetView tabSelected="1" topLeftCell="A745" zoomScale="89" zoomScaleNormal="89" workbookViewId="0">
      <pane xSplit="1" topLeftCell="B1" activePane="topRight" state="frozen"/>
      <selection pane="topRight" sqref="A1:XFD1"/>
    </sheetView>
  </sheetViews>
  <sheetFormatPr defaultColWidth="8.88671875" defaultRowHeight="14.4" x14ac:dyDescent="0.3"/>
  <cols>
    <col min="1" max="1" width="19" style="37" customWidth="1"/>
    <col min="2" max="2" width="16.88671875" customWidth="1"/>
    <col min="3" max="3" width="16.88671875" style="12" customWidth="1"/>
    <col min="5" max="5" width="10" style="12" customWidth="1"/>
    <col min="7" max="7" width="9.6640625" style="12" customWidth="1"/>
    <col min="9" max="9" width="9.6640625" style="12" customWidth="1"/>
    <col min="10" max="10" width="16" customWidth="1"/>
    <col min="11" max="11" width="9.88671875" style="12" customWidth="1"/>
    <col min="13" max="13" width="10.109375" style="12" customWidth="1"/>
    <col min="15" max="15" width="9.33203125" style="12" customWidth="1"/>
    <col min="16" max="16" width="9.33203125" customWidth="1"/>
    <col min="18" max="18" width="9.6640625" style="12" customWidth="1"/>
    <col min="19" max="22" width="10.6640625" customWidth="1"/>
    <col min="24" max="25" width="10.88671875" style="12" customWidth="1"/>
    <col min="26" max="27" width="10" style="22" customWidth="1"/>
    <col min="28" max="28" width="12.44140625" style="22" customWidth="1"/>
    <col min="29" max="29" width="8.88671875" style="22"/>
    <col min="30" max="30" width="8.88671875" style="7"/>
    <col min="31" max="33" width="10.88671875" style="12" customWidth="1"/>
    <col min="34" max="34" width="16.77734375" bestFit="1" customWidth="1"/>
    <col min="35" max="35" width="18.44140625" customWidth="1"/>
    <col min="36" max="36" width="17.77734375" customWidth="1"/>
    <col min="39" max="39" width="18.44140625" style="1" customWidth="1"/>
    <col min="40" max="40" width="19.77734375" customWidth="1"/>
  </cols>
  <sheetData>
    <row r="1" spans="1:39" x14ac:dyDescent="0.3">
      <c r="H1" s="4"/>
      <c r="J1" s="2"/>
      <c r="S1" s="43"/>
      <c r="T1" s="43"/>
      <c r="U1" s="43"/>
      <c r="V1" s="43"/>
      <c r="W1" s="44"/>
      <c r="X1" s="45"/>
      <c r="Y1" s="45"/>
      <c r="Z1" s="46"/>
      <c r="AA1" s="46"/>
      <c r="AB1" s="45"/>
      <c r="AC1" s="45"/>
      <c r="AD1" s="45"/>
      <c r="AE1" s="45"/>
      <c r="AF1" s="45"/>
      <c r="AG1" s="45"/>
      <c r="AH1" s="48"/>
      <c r="AM1"/>
    </row>
    <row r="2" spans="1:39" x14ac:dyDescent="0.3">
      <c r="B2" s="55" t="s">
        <v>26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6"/>
      <c r="S2" s="52" t="s">
        <v>71</v>
      </c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4"/>
      <c r="AH2" s="50" t="s">
        <v>27</v>
      </c>
      <c r="AI2" s="51"/>
      <c r="AJ2" s="51"/>
      <c r="AK2" s="51"/>
      <c r="AL2" s="51"/>
    </row>
    <row r="3" spans="1:39" ht="100.8" x14ac:dyDescent="0.3">
      <c r="A3" s="38" t="s">
        <v>0</v>
      </c>
      <c r="B3" s="3" t="s">
        <v>1</v>
      </c>
      <c r="C3" s="5" t="s">
        <v>2</v>
      </c>
      <c r="D3" s="3" t="s">
        <v>3</v>
      </c>
      <c r="E3" s="5" t="s">
        <v>4</v>
      </c>
      <c r="F3" s="3" t="s">
        <v>5</v>
      </c>
      <c r="G3" s="5" t="s">
        <v>6</v>
      </c>
      <c r="H3" s="6" t="s">
        <v>7</v>
      </c>
      <c r="I3" s="10" t="s">
        <v>8</v>
      </c>
      <c r="J3" s="27" t="s">
        <v>9</v>
      </c>
      <c r="K3" s="10" t="s">
        <v>10</v>
      </c>
      <c r="L3" s="3" t="s">
        <v>11</v>
      </c>
      <c r="M3" s="49" t="s">
        <v>12</v>
      </c>
      <c r="N3" s="3" t="s">
        <v>13</v>
      </c>
      <c r="O3" s="5" t="s">
        <v>14</v>
      </c>
      <c r="P3" s="17" t="s">
        <v>26</v>
      </c>
      <c r="Q3" s="3" t="s">
        <v>19</v>
      </c>
      <c r="R3" s="28" t="s">
        <v>48</v>
      </c>
      <c r="S3" s="27" t="s">
        <v>29</v>
      </c>
      <c r="T3" s="27" t="s">
        <v>63</v>
      </c>
      <c r="U3" s="27" t="s">
        <v>62</v>
      </c>
      <c r="V3" s="36" t="s">
        <v>64</v>
      </c>
      <c r="W3" s="3" t="s">
        <v>51</v>
      </c>
      <c r="X3" s="5" t="s">
        <v>16</v>
      </c>
      <c r="Y3" s="28" t="s">
        <v>68</v>
      </c>
      <c r="Z3" s="18" t="s">
        <v>52</v>
      </c>
      <c r="AA3" s="18" t="s">
        <v>23</v>
      </c>
      <c r="AB3" s="17" t="s">
        <v>24</v>
      </c>
      <c r="AC3" s="19" t="s">
        <v>25</v>
      </c>
      <c r="AD3" s="9" t="s">
        <v>69</v>
      </c>
      <c r="AE3" s="5" t="s">
        <v>16</v>
      </c>
      <c r="AF3" s="5" t="s">
        <v>70</v>
      </c>
      <c r="AG3" s="5" t="s">
        <v>49</v>
      </c>
      <c r="AH3" s="3" t="s">
        <v>18</v>
      </c>
      <c r="AI3" s="3" t="s">
        <v>22</v>
      </c>
      <c r="AJ3" s="3" t="s">
        <v>17</v>
      </c>
      <c r="AK3" s="3" t="s">
        <v>20</v>
      </c>
      <c r="AL3" s="13" t="s">
        <v>21</v>
      </c>
      <c r="AM3" s="49" t="s">
        <v>50</v>
      </c>
    </row>
    <row r="4" spans="1:39" x14ac:dyDescent="0.3">
      <c r="A4" s="39">
        <v>45782</v>
      </c>
      <c r="B4" s="1">
        <v>1397.98</v>
      </c>
      <c r="C4" s="11">
        <v>3.2732000000000001</v>
      </c>
      <c r="D4" s="1">
        <v>627.54</v>
      </c>
      <c r="E4" s="11">
        <v>3.0760000000000001</v>
      </c>
      <c r="F4" s="1">
        <v>443.21</v>
      </c>
      <c r="G4" s="11">
        <v>3.53</v>
      </c>
      <c r="H4" s="1">
        <v>-4.8</v>
      </c>
      <c r="I4" s="11">
        <v>4.0705999999999998</v>
      </c>
      <c r="J4" s="1">
        <v>305.87</v>
      </c>
      <c r="K4" s="11">
        <v>3.3670200000000001</v>
      </c>
      <c r="L4" s="1">
        <v>0</v>
      </c>
      <c r="M4" s="11">
        <v>6.2</v>
      </c>
      <c r="N4" s="1">
        <v>60.42</v>
      </c>
      <c r="O4" s="11">
        <v>2.8224999999999998</v>
      </c>
      <c r="P4" s="1">
        <f>(B4+D4+F4+H4+J4+L4+N4)</f>
        <v>2830.22</v>
      </c>
      <c r="Q4" s="1">
        <v>2807.67</v>
      </c>
      <c r="R4" s="16">
        <f>(((B4*C4)+(D4*E4)+(F4*G4)+(H4*I4)+(J4*K4)+(L4*M4)+(N4*O4))*(1000/4))</f>
        <v>2312894.8633499998</v>
      </c>
      <c r="S4" s="1">
        <v>-715.11</v>
      </c>
      <c r="T4" s="1">
        <v>35.86</v>
      </c>
      <c r="U4" s="1">
        <v>66.89</v>
      </c>
      <c r="V4" s="1">
        <v>33.340000000000003</v>
      </c>
      <c r="W4" s="1" cm="1">
        <f t="array" ref="W4">SUM(ABS(S4:V4))</f>
        <v>851.2</v>
      </c>
      <c r="X4" s="25">
        <v>1.238</v>
      </c>
      <c r="Y4" s="42">
        <f>((W4*X4)*1000)/4</f>
        <v>263446.40000000002</v>
      </c>
      <c r="Z4" s="20">
        <v>787.4</v>
      </c>
      <c r="AA4" s="20">
        <f>W4+Z4</f>
        <v>1638.6</v>
      </c>
      <c r="AB4" s="21">
        <v>0.24</v>
      </c>
      <c r="AC4" s="21">
        <v>6.0799999999999992</v>
      </c>
      <c r="AD4" s="8">
        <f>Z4+AB4+AC4</f>
        <v>793.72</v>
      </c>
      <c r="AE4" s="25">
        <v>1.238</v>
      </c>
      <c r="AF4" s="25">
        <f>((AD4*AE4*1000)/4)</f>
        <v>245656.34</v>
      </c>
      <c r="AG4" s="25">
        <f>Y4+AF4</f>
        <v>509102.74</v>
      </c>
      <c r="AH4" s="1">
        <f t="shared" ref="AH4:AH67" si="0">B4+D4+F4+H4+J4+L4+N4+AD4</f>
        <v>3623.9399999999996</v>
      </c>
      <c r="AI4" s="1">
        <f t="shared" ref="AI4:AI67" si="1">Q4+AD4</f>
        <v>3601.3900000000003</v>
      </c>
      <c r="AJ4" s="1">
        <v>4477.38</v>
      </c>
      <c r="AK4" s="1">
        <f t="shared" ref="AK4:AK67" si="2">AH4-AJ4</f>
        <v>-853.44000000000051</v>
      </c>
      <c r="AL4" s="29">
        <f>AJ4-AI4</f>
        <v>875.98999999999978</v>
      </c>
      <c r="AM4" s="47">
        <f t="shared" ref="AM4:AM67" si="3">(R4+AG4)</f>
        <v>2821997.6033499995</v>
      </c>
    </row>
    <row r="5" spans="1:39" x14ac:dyDescent="0.3">
      <c r="A5" s="39">
        <v>45782.010416666664</v>
      </c>
      <c r="B5" s="1">
        <v>1398.23</v>
      </c>
      <c r="C5" s="11">
        <v>3.2732000000000001</v>
      </c>
      <c r="D5" s="1">
        <v>627.63</v>
      </c>
      <c r="E5" s="11">
        <v>3.0760000000000001</v>
      </c>
      <c r="F5" s="1">
        <v>422.7</v>
      </c>
      <c r="G5" s="11">
        <v>3.53</v>
      </c>
      <c r="H5" s="1">
        <v>-4.8</v>
      </c>
      <c r="I5" s="11">
        <v>4.0003700000000002</v>
      </c>
      <c r="J5" s="1">
        <v>286.24</v>
      </c>
      <c r="K5" s="11">
        <v>3.41493</v>
      </c>
      <c r="L5" s="1">
        <v>0</v>
      </c>
      <c r="M5" s="11">
        <v>6.2</v>
      </c>
      <c r="N5" s="1">
        <v>60.06</v>
      </c>
      <c r="O5" s="11">
        <v>2.8224999999999998</v>
      </c>
      <c r="P5" s="1">
        <f t="shared" ref="P5:P68" si="4">(B5+D5+F5+H5+J5+L5+N5)</f>
        <v>2790.06</v>
      </c>
      <c r="Q5" s="1">
        <v>2802.32</v>
      </c>
      <c r="R5" s="16">
        <f t="shared" ref="R5:R68" si="5">(((B5*C5)+(D5*E5)+(F5*G5)+(H5*I5)+(J5*K5)+(L5*M5)+(N5*O5))*(1000/4))</f>
        <v>2281803.6132999999</v>
      </c>
      <c r="S5" s="1">
        <v>-684.21</v>
      </c>
      <c r="T5" s="1">
        <v>35.869999999999997</v>
      </c>
      <c r="U5" s="1">
        <v>63.45</v>
      </c>
      <c r="V5" s="1">
        <v>25.67</v>
      </c>
      <c r="W5" s="1" cm="1">
        <f t="array" ref="W5">SUM(ABS(S5:V5))</f>
        <v>809.2</v>
      </c>
      <c r="X5" s="25">
        <v>1.238</v>
      </c>
      <c r="Y5" s="42">
        <f t="shared" ref="Y5:Y68" si="6">((W5*X5)*1000)/4</f>
        <v>250447.40000000002</v>
      </c>
      <c r="Z5" s="20">
        <v>783.43999999999994</v>
      </c>
      <c r="AA5" s="20">
        <f t="shared" ref="AA5:AA68" si="7">W5+Z5</f>
        <v>1592.6399999999999</v>
      </c>
      <c r="AB5" s="21">
        <v>0.24</v>
      </c>
      <c r="AC5" s="21">
        <v>5.67</v>
      </c>
      <c r="AD5" s="8">
        <f t="shared" ref="AD5:AD68" si="8">Z5+AB5+AC5</f>
        <v>789.34999999999991</v>
      </c>
      <c r="AE5" s="25">
        <v>1.238</v>
      </c>
      <c r="AF5" s="25">
        <f t="shared" ref="AF5:AF68" si="9">((AD5*AE5*1000)/4)</f>
        <v>244303.82499999995</v>
      </c>
      <c r="AG5" s="25">
        <f t="shared" ref="AG5:AG68" si="10">Y5+AF5</f>
        <v>494751.22499999998</v>
      </c>
      <c r="AH5" s="1">
        <f t="shared" si="0"/>
        <v>3579.41</v>
      </c>
      <c r="AI5" s="1">
        <f t="shared" si="1"/>
        <v>3591.67</v>
      </c>
      <c r="AJ5" s="1">
        <v>4403.97</v>
      </c>
      <c r="AK5" s="1">
        <f t="shared" si="2"/>
        <v>-824.5600000000004</v>
      </c>
      <c r="AL5" s="29">
        <f t="shared" ref="AL5:AL68" si="11">AJ5-AI5</f>
        <v>812.30000000000018</v>
      </c>
      <c r="AM5" s="11">
        <f t="shared" si="3"/>
        <v>2776554.8382999999</v>
      </c>
    </row>
    <row r="6" spans="1:39" x14ac:dyDescent="0.3">
      <c r="A6" s="39">
        <v>45782.020833333336</v>
      </c>
      <c r="B6" s="1">
        <v>1398.23</v>
      </c>
      <c r="C6" s="11">
        <v>3.2732000000000001</v>
      </c>
      <c r="D6" s="1">
        <v>627.63</v>
      </c>
      <c r="E6" s="11">
        <v>3.0760000000000001</v>
      </c>
      <c r="F6" s="1">
        <v>422.7</v>
      </c>
      <c r="G6" s="11">
        <v>3.53</v>
      </c>
      <c r="H6" s="1">
        <v>-4.8</v>
      </c>
      <c r="I6" s="11">
        <v>3.96997</v>
      </c>
      <c r="J6" s="1">
        <v>203.27</v>
      </c>
      <c r="K6" s="11">
        <v>3.2901400000000001</v>
      </c>
      <c r="L6" s="1">
        <v>0</v>
      </c>
      <c r="M6" s="11">
        <v>6.2</v>
      </c>
      <c r="N6" s="1">
        <v>37.840000000000003</v>
      </c>
      <c r="O6" s="11">
        <v>2.8224999999999998</v>
      </c>
      <c r="P6" s="1">
        <f t="shared" si="4"/>
        <v>2684.87</v>
      </c>
      <c r="Q6" s="1">
        <v>2772.19</v>
      </c>
      <c r="R6" s="16">
        <f t="shared" si="5"/>
        <v>2188985.4044499998</v>
      </c>
      <c r="S6" s="1">
        <v>-685.33</v>
      </c>
      <c r="T6" s="1">
        <v>35.86</v>
      </c>
      <c r="U6" s="1">
        <v>31.92</v>
      </c>
      <c r="V6" s="1">
        <v>25.65</v>
      </c>
      <c r="W6" s="1" cm="1">
        <f t="array" ref="W6">SUM(ABS(S6:V6))</f>
        <v>778.76</v>
      </c>
      <c r="X6" s="25">
        <v>1.238</v>
      </c>
      <c r="Y6" s="42">
        <f t="shared" si="6"/>
        <v>241026.22</v>
      </c>
      <c r="Z6" s="20">
        <v>784.31999999999994</v>
      </c>
      <c r="AA6" s="20">
        <f t="shared" si="7"/>
        <v>1563.08</v>
      </c>
      <c r="AB6" s="21">
        <v>0.25</v>
      </c>
      <c r="AC6" s="21">
        <v>4.8099999999999996</v>
      </c>
      <c r="AD6" s="8">
        <f t="shared" si="8"/>
        <v>789.37999999999988</v>
      </c>
      <c r="AE6" s="25">
        <v>1.238</v>
      </c>
      <c r="AF6" s="25">
        <f t="shared" si="9"/>
        <v>244313.10999999996</v>
      </c>
      <c r="AG6" s="25">
        <f t="shared" si="10"/>
        <v>485339.32999999996</v>
      </c>
      <c r="AH6" s="1">
        <f t="shared" si="0"/>
        <v>3474.25</v>
      </c>
      <c r="AI6" s="1">
        <f t="shared" si="1"/>
        <v>3561.5699999999997</v>
      </c>
      <c r="AJ6" s="1">
        <v>4345.54</v>
      </c>
      <c r="AK6" s="1">
        <f t="shared" si="2"/>
        <v>-871.29</v>
      </c>
      <c r="AL6" s="29">
        <f t="shared" si="11"/>
        <v>783.97000000000025</v>
      </c>
      <c r="AM6" s="11">
        <f t="shared" si="3"/>
        <v>2674324.7344499999</v>
      </c>
    </row>
    <row r="7" spans="1:39" x14ac:dyDescent="0.3">
      <c r="A7" s="39">
        <v>45782.03125</v>
      </c>
      <c r="B7" s="1">
        <v>1398.23</v>
      </c>
      <c r="C7" s="11">
        <v>3.2732000000000001</v>
      </c>
      <c r="D7" s="1">
        <v>627.63</v>
      </c>
      <c r="E7" s="11">
        <v>3.0760000000000001</v>
      </c>
      <c r="F7" s="1">
        <v>422.7</v>
      </c>
      <c r="G7" s="11">
        <v>3.53</v>
      </c>
      <c r="H7" s="1">
        <v>-4.8</v>
      </c>
      <c r="I7" s="11">
        <v>4.0002899999999997</v>
      </c>
      <c r="J7" s="1">
        <v>143.19999999999999</v>
      </c>
      <c r="K7" s="11">
        <v>2.9808499999999998</v>
      </c>
      <c r="L7" s="1">
        <v>0</v>
      </c>
      <c r="M7" s="11">
        <v>6.2</v>
      </c>
      <c r="N7" s="1">
        <v>34.6</v>
      </c>
      <c r="O7" s="11">
        <v>2.8224999999999998</v>
      </c>
      <c r="P7" s="1">
        <f t="shared" si="4"/>
        <v>2621.5599999999995</v>
      </c>
      <c r="Q7" s="1">
        <v>2696.36</v>
      </c>
      <c r="R7" s="16">
        <f t="shared" si="5"/>
        <v>2126180.5359999994</v>
      </c>
      <c r="S7" s="1">
        <v>-687.02</v>
      </c>
      <c r="T7" s="1">
        <v>35.840000000000003</v>
      </c>
      <c r="U7" s="1">
        <v>12</v>
      </c>
      <c r="V7" s="1">
        <v>25.65</v>
      </c>
      <c r="W7" s="1" cm="1">
        <f t="array" ref="W7">SUM(ABS(S7:V7))</f>
        <v>760.51</v>
      </c>
      <c r="X7" s="25">
        <v>1.238</v>
      </c>
      <c r="Y7" s="42">
        <f t="shared" si="6"/>
        <v>235377.845</v>
      </c>
      <c r="Z7" s="20">
        <v>785.31999999999994</v>
      </c>
      <c r="AA7" s="20">
        <f t="shared" si="7"/>
        <v>1545.83</v>
      </c>
      <c r="AB7" s="21">
        <v>0.25</v>
      </c>
      <c r="AC7" s="21">
        <v>0.69000000000000006</v>
      </c>
      <c r="AD7" s="8">
        <f t="shared" si="8"/>
        <v>786.26</v>
      </c>
      <c r="AE7" s="25">
        <v>1.238</v>
      </c>
      <c r="AF7" s="25">
        <f t="shared" si="9"/>
        <v>243347.47</v>
      </c>
      <c r="AG7" s="25">
        <f t="shared" si="10"/>
        <v>478725.315</v>
      </c>
      <c r="AH7" s="1">
        <f t="shared" si="0"/>
        <v>3407.8199999999997</v>
      </c>
      <c r="AI7" s="1">
        <f t="shared" si="1"/>
        <v>3482.62</v>
      </c>
      <c r="AJ7" s="1">
        <v>4242.91</v>
      </c>
      <c r="AK7" s="1">
        <f t="shared" si="2"/>
        <v>-835.09000000000015</v>
      </c>
      <c r="AL7" s="29">
        <f t="shared" si="11"/>
        <v>760.29</v>
      </c>
      <c r="AM7" s="11">
        <f t="shared" si="3"/>
        <v>2604905.8509999993</v>
      </c>
    </row>
    <row r="8" spans="1:39" x14ac:dyDescent="0.3">
      <c r="A8" s="39">
        <v>45782.041666666664</v>
      </c>
      <c r="B8" s="1">
        <v>1402.27</v>
      </c>
      <c r="C8" s="11">
        <v>3.2732000000000001</v>
      </c>
      <c r="D8" s="1">
        <v>627.63</v>
      </c>
      <c r="E8" s="11">
        <v>3.0760000000000001</v>
      </c>
      <c r="F8" s="1">
        <v>422.7</v>
      </c>
      <c r="G8" s="11">
        <v>3.53</v>
      </c>
      <c r="H8" s="1">
        <v>-4.8</v>
      </c>
      <c r="I8" s="11">
        <v>3.9365799999999997</v>
      </c>
      <c r="J8" s="1">
        <v>138.69999999999999</v>
      </c>
      <c r="K8" s="11">
        <v>2.4002300000000001</v>
      </c>
      <c r="L8" s="1">
        <v>0</v>
      </c>
      <c r="M8" s="11">
        <v>6.2</v>
      </c>
      <c r="N8" s="1">
        <v>34.5</v>
      </c>
      <c r="O8" s="11">
        <v>2.8224999999999998</v>
      </c>
      <c r="P8" s="1">
        <f t="shared" si="4"/>
        <v>2620.9999999999995</v>
      </c>
      <c r="Q8" s="1">
        <v>2624.24</v>
      </c>
      <c r="R8" s="16">
        <f t="shared" si="5"/>
        <v>2106005.9027499999</v>
      </c>
      <c r="S8" s="1">
        <v>-703.57</v>
      </c>
      <c r="T8" s="1">
        <v>35.869999999999997</v>
      </c>
      <c r="U8" s="1">
        <v>12</v>
      </c>
      <c r="V8" s="1">
        <v>17.95</v>
      </c>
      <c r="W8" s="1" cm="1">
        <f t="array" ref="W8">SUM(ABS(S8:V8))</f>
        <v>769.3900000000001</v>
      </c>
      <c r="X8" s="25">
        <v>1.238</v>
      </c>
      <c r="Y8" s="42">
        <f t="shared" si="6"/>
        <v>238126.20500000002</v>
      </c>
      <c r="Z8" s="20">
        <v>768.94999999999993</v>
      </c>
      <c r="AA8" s="20">
        <f t="shared" si="7"/>
        <v>1538.3400000000001</v>
      </c>
      <c r="AB8" s="21">
        <v>0.24</v>
      </c>
      <c r="AC8" s="21">
        <v>0.14000000000000001</v>
      </c>
      <c r="AD8" s="8">
        <f t="shared" si="8"/>
        <v>769.32999999999993</v>
      </c>
      <c r="AE8" s="25">
        <v>1.238</v>
      </c>
      <c r="AF8" s="25">
        <f t="shared" si="9"/>
        <v>238107.63499999998</v>
      </c>
      <c r="AG8" s="25">
        <f t="shared" si="10"/>
        <v>476233.83999999997</v>
      </c>
      <c r="AH8" s="1">
        <f t="shared" si="0"/>
        <v>3390.3299999999995</v>
      </c>
      <c r="AI8" s="1">
        <f t="shared" si="1"/>
        <v>3393.5699999999997</v>
      </c>
      <c r="AJ8" s="1">
        <v>4167.46</v>
      </c>
      <c r="AK8" s="1">
        <f t="shared" si="2"/>
        <v>-777.13000000000056</v>
      </c>
      <c r="AL8" s="29">
        <f t="shared" si="11"/>
        <v>773.89000000000033</v>
      </c>
      <c r="AM8" s="11">
        <f t="shared" si="3"/>
        <v>2582239.7427499997</v>
      </c>
    </row>
    <row r="9" spans="1:39" x14ac:dyDescent="0.3">
      <c r="A9" s="39">
        <v>45782.052083333336</v>
      </c>
      <c r="B9" s="1">
        <v>1402.58</v>
      </c>
      <c r="C9" s="11">
        <v>3.2732000000000001</v>
      </c>
      <c r="D9" s="1">
        <v>627.63</v>
      </c>
      <c r="E9" s="11">
        <v>3.0760000000000001</v>
      </c>
      <c r="F9" s="1">
        <v>422.7</v>
      </c>
      <c r="G9" s="11">
        <v>3.53</v>
      </c>
      <c r="H9" s="1">
        <v>-4.8</v>
      </c>
      <c r="I9" s="11">
        <v>3.6107100000000001</v>
      </c>
      <c r="J9" s="1">
        <v>138.69999999999999</v>
      </c>
      <c r="K9" s="11">
        <v>2.34911</v>
      </c>
      <c r="L9" s="1">
        <v>0</v>
      </c>
      <c r="M9" s="11">
        <v>6.2</v>
      </c>
      <c r="N9" s="1">
        <v>34.5</v>
      </c>
      <c r="O9" s="11">
        <v>2.8224999999999998</v>
      </c>
      <c r="P9" s="1">
        <f t="shared" si="4"/>
        <v>2621.3099999999995</v>
      </c>
      <c r="Q9" s="1">
        <v>2593.94</v>
      </c>
      <c r="R9" s="16">
        <f t="shared" si="5"/>
        <v>2104878.0337499995</v>
      </c>
      <c r="S9" s="1">
        <v>-723.14</v>
      </c>
      <c r="T9" s="1">
        <v>35.89</v>
      </c>
      <c r="U9" s="1">
        <v>12</v>
      </c>
      <c r="V9" s="1">
        <v>12.79</v>
      </c>
      <c r="W9" s="1" cm="1">
        <f t="array" ref="W9">SUM(ABS(S9:V9))</f>
        <v>783.81999999999994</v>
      </c>
      <c r="X9" s="25">
        <v>1.238</v>
      </c>
      <c r="Y9" s="42">
        <f t="shared" si="6"/>
        <v>242592.28999999998</v>
      </c>
      <c r="Z9" s="20">
        <v>728.27</v>
      </c>
      <c r="AA9" s="20">
        <f t="shared" si="7"/>
        <v>1512.09</v>
      </c>
      <c r="AB9" s="21">
        <v>0.24</v>
      </c>
      <c r="AC9" s="21">
        <v>0.13999999999999999</v>
      </c>
      <c r="AD9" s="8">
        <f t="shared" si="8"/>
        <v>728.65</v>
      </c>
      <c r="AE9" s="25">
        <v>1.238</v>
      </c>
      <c r="AF9" s="25">
        <f t="shared" si="9"/>
        <v>225517.17499999999</v>
      </c>
      <c r="AG9" s="25">
        <f t="shared" si="10"/>
        <v>468109.46499999997</v>
      </c>
      <c r="AH9" s="1">
        <f t="shared" si="0"/>
        <v>3349.9599999999996</v>
      </c>
      <c r="AI9" s="1">
        <f t="shared" si="1"/>
        <v>3322.59</v>
      </c>
      <c r="AJ9" s="1">
        <v>4109.08</v>
      </c>
      <c r="AK9" s="1">
        <f t="shared" si="2"/>
        <v>-759.12000000000035</v>
      </c>
      <c r="AL9" s="29">
        <f t="shared" si="11"/>
        <v>786.48999999999978</v>
      </c>
      <c r="AM9" s="11">
        <f t="shared" si="3"/>
        <v>2572987.4987499993</v>
      </c>
    </row>
    <row r="10" spans="1:39" x14ac:dyDescent="0.3">
      <c r="A10" s="39">
        <v>45782.0625</v>
      </c>
      <c r="B10" s="1">
        <v>1402.58</v>
      </c>
      <c r="C10" s="11">
        <v>3.2732000000000001</v>
      </c>
      <c r="D10" s="1">
        <v>627.63</v>
      </c>
      <c r="E10" s="11">
        <v>3.0760000000000001</v>
      </c>
      <c r="F10" s="1">
        <v>422.7</v>
      </c>
      <c r="G10" s="11">
        <v>3.53</v>
      </c>
      <c r="H10" s="1">
        <v>-4.8</v>
      </c>
      <c r="I10" s="11">
        <v>3.5516900000000002</v>
      </c>
      <c r="J10" s="1">
        <v>94.02</v>
      </c>
      <c r="K10" s="11">
        <v>2.4004099999999999</v>
      </c>
      <c r="L10" s="1">
        <v>0</v>
      </c>
      <c r="M10" s="11">
        <v>6.2</v>
      </c>
      <c r="N10" s="1">
        <v>59.49</v>
      </c>
      <c r="O10" s="11">
        <v>2.8224999999999998</v>
      </c>
      <c r="P10" s="1">
        <f t="shared" si="4"/>
        <v>2601.6199999999994</v>
      </c>
      <c r="Q10" s="1">
        <v>2583.98</v>
      </c>
      <c r="R10" s="16">
        <f t="shared" si="5"/>
        <v>2097548.6742999991</v>
      </c>
      <c r="S10" s="1">
        <v>-716.72</v>
      </c>
      <c r="T10" s="1">
        <v>35.880000000000003</v>
      </c>
      <c r="U10" s="1">
        <v>12</v>
      </c>
      <c r="V10" s="1">
        <v>11.43</v>
      </c>
      <c r="W10" s="1" cm="1">
        <f t="array" ref="W10">SUM(ABS(S10:V10))</f>
        <v>776.03</v>
      </c>
      <c r="X10" s="25">
        <v>1.238</v>
      </c>
      <c r="Y10" s="42">
        <f t="shared" si="6"/>
        <v>240181.285</v>
      </c>
      <c r="Z10" s="20">
        <v>687.5</v>
      </c>
      <c r="AA10" s="20">
        <f t="shared" si="7"/>
        <v>1463.53</v>
      </c>
      <c r="AB10" s="21">
        <v>0.24</v>
      </c>
      <c r="AC10" s="21">
        <v>0.9900000000000001</v>
      </c>
      <c r="AD10" s="8">
        <f t="shared" si="8"/>
        <v>688.73</v>
      </c>
      <c r="AE10" s="25">
        <v>1.238</v>
      </c>
      <c r="AF10" s="25">
        <f t="shared" si="9"/>
        <v>213161.935</v>
      </c>
      <c r="AG10" s="25">
        <f t="shared" si="10"/>
        <v>453343.22</v>
      </c>
      <c r="AH10" s="1">
        <f t="shared" si="0"/>
        <v>3290.3499999999995</v>
      </c>
      <c r="AI10" s="1">
        <f t="shared" si="1"/>
        <v>3272.71</v>
      </c>
      <c r="AJ10" s="1">
        <v>4052.77</v>
      </c>
      <c r="AK10" s="1">
        <f t="shared" si="2"/>
        <v>-762.42000000000053</v>
      </c>
      <c r="AL10" s="29">
        <f t="shared" si="11"/>
        <v>780.06</v>
      </c>
      <c r="AM10" s="11">
        <f t="shared" si="3"/>
        <v>2550891.8942999989</v>
      </c>
    </row>
    <row r="11" spans="1:39" x14ac:dyDescent="0.3">
      <c r="A11" s="39">
        <v>45782.072916666664</v>
      </c>
      <c r="B11" s="1">
        <v>1402.58</v>
      </c>
      <c r="C11" s="11">
        <v>3.2732000000000001</v>
      </c>
      <c r="D11" s="1">
        <v>627.63</v>
      </c>
      <c r="E11" s="11">
        <v>3.0760000000000001</v>
      </c>
      <c r="F11" s="1">
        <v>422.7</v>
      </c>
      <c r="G11" s="11">
        <v>3.53</v>
      </c>
      <c r="H11" s="1">
        <v>-4.8</v>
      </c>
      <c r="I11" s="11">
        <v>3.5609600000000001</v>
      </c>
      <c r="J11" s="1">
        <v>90.43</v>
      </c>
      <c r="K11" s="11">
        <v>2.3003</v>
      </c>
      <c r="L11" s="1">
        <v>0</v>
      </c>
      <c r="M11" s="11">
        <v>6.2</v>
      </c>
      <c r="N11" s="1">
        <v>60.1</v>
      </c>
      <c r="O11" s="11">
        <v>2.8224999999999998</v>
      </c>
      <c r="P11" s="1">
        <f t="shared" si="4"/>
        <v>2598.6399999999994</v>
      </c>
      <c r="Q11" s="1">
        <v>2560.69</v>
      </c>
      <c r="R11" s="16">
        <f t="shared" si="5"/>
        <v>2093550.3767500001</v>
      </c>
      <c r="S11" s="1">
        <v>-710.01</v>
      </c>
      <c r="T11" s="1">
        <v>35.880000000000003</v>
      </c>
      <c r="U11" s="1">
        <v>12</v>
      </c>
      <c r="V11" s="1">
        <v>6.42</v>
      </c>
      <c r="W11" s="1" cm="1">
        <f t="array" ref="W11">SUM(ABS(S11:V11))</f>
        <v>764.31</v>
      </c>
      <c r="X11" s="25">
        <v>1.238</v>
      </c>
      <c r="Y11" s="42">
        <f t="shared" si="6"/>
        <v>236553.94499999998</v>
      </c>
      <c r="Z11" s="20">
        <v>644.99999999999989</v>
      </c>
      <c r="AA11" s="20">
        <f t="shared" si="7"/>
        <v>1409.31</v>
      </c>
      <c r="AB11" s="21">
        <v>0.25</v>
      </c>
      <c r="AC11" s="21">
        <v>11.750000000000002</v>
      </c>
      <c r="AD11" s="8">
        <f t="shared" si="8"/>
        <v>656.99999999999989</v>
      </c>
      <c r="AE11" s="25">
        <v>1.238</v>
      </c>
      <c r="AF11" s="25">
        <f t="shared" si="9"/>
        <v>203341.49999999997</v>
      </c>
      <c r="AG11" s="25">
        <f t="shared" si="10"/>
        <v>439895.44499999995</v>
      </c>
      <c r="AH11" s="1">
        <f t="shared" si="0"/>
        <v>3255.6399999999994</v>
      </c>
      <c r="AI11" s="1">
        <f t="shared" si="1"/>
        <v>3217.69</v>
      </c>
      <c r="AJ11" s="1">
        <v>3985.22</v>
      </c>
      <c r="AK11" s="1">
        <f t="shared" si="2"/>
        <v>-729.58000000000038</v>
      </c>
      <c r="AL11" s="29">
        <f t="shared" si="11"/>
        <v>767.52999999999975</v>
      </c>
      <c r="AM11" s="11">
        <f t="shared" si="3"/>
        <v>2533445.8217500001</v>
      </c>
    </row>
    <row r="12" spans="1:39" x14ac:dyDescent="0.3">
      <c r="A12" s="39">
        <v>45782.083333333336</v>
      </c>
      <c r="B12" s="1">
        <v>1400.94</v>
      </c>
      <c r="C12" s="11">
        <v>3.2732000000000001</v>
      </c>
      <c r="D12" s="1">
        <v>627.63</v>
      </c>
      <c r="E12" s="11">
        <v>3.0760000000000001</v>
      </c>
      <c r="F12" s="1">
        <v>400.29</v>
      </c>
      <c r="G12" s="11">
        <v>3.53</v>
      </c>
      <c r="H12" s="1">
        <v>-4.8</v>
      </c>
      <c r="I12" s="11">
        <v>3.5541</v>
      </c>
      <c r="J12" s="1">
        <v>6.53</v>
      </c>
      <c r="K12" s="11">
        <v>1.9407000000000001</v>
      </c>
      <c r="L12" s="1">
        <v>0</v>
      </c>
      <c r="M12" s="11">
        <v>6.2</v>
      </c>
      <c r="N12" s="1">
        <v>58.61</v>
      </c>
      <c r="O12" s="11">
        <v>2.8224999999999998</v>
      </c>
      <c r="P12" s="1">
        <f t="shared" si="4"/>
        <v>2489.2000000000003</v>
      </c>
      <c r="Q12" s="1">
        <v>2505.5300000000002</v>
      </c>
      <c r="R12" s="16">
        <f t="shared" si="5"/>
        <v>2022552.551</v>
      </c>
      <c r="S12" s="1">
        <v>-727.74</v>
      </c>
      <c r="T12" s="1">
        <v>35.909999999999997</v>
      </c>
      <c r="U12" s="1">
        <v>12</v>
      </c>
      <c r="V12" s="1">
        <v>6.41</v>
      </c>
      <c r="W12" s="1" cm="1">
        <f t="array" ref="W12">SUM(ABS(S12:V12))</f>
        <v>782.06</v>
      </c>
      <c r="X12" s="25">
        <v>1.238</v>
      </c>
      <c r="Y12" s="42">
        <f t="shared" si="6"/>
        <v>242047.56999999998</v>
      </c>
      <c r="Z12" s="20">
        <v>628.65</v>
      </c>
      <c r="AA12" s="20">
        <f t="shared" si="7"/>
        <v>1410.71</v>
      </c>
      <c r="AB12" s="21">
        <v>0.24999999999999997</v>
      </c>
      <c r="AC12" s="21">
        <v>12.02</v>
      </c>
      <c r="AD12" s="8">
        <f t="shared" si="8"/>
        <v>640.91999999999996</v>
      </c>
      <c r="AE12" s="25">
        <v>1.238</v>
      </c>
      <c r="AF12" s="25">
        <f t="shared" si="9"/>
        <v>198364.74</v>
      </c>
      <c r="AG12" s="25">
        <f t="shared" si="10"/>
        <v>440412.30999999994</v>
      </c>
      <c r="AH12" s="1">
        <f t="shared" si="0"/>
        <v>3130.1200000000003</v>
      </c>
      <c r="AI12" s="1">
        <f t="shared" si="1"/>
        <v>3146.4500000000003</v>
      </c>
      <c r="AJ12" s="1">
        <v>3926.71</v>
      </c>
      <c r="AK12" s="1">
        <f t="shared" si="2"/>
        <v>-796.58999999999969</v>
      </c>
      <c r="AL12" s="29">
        <f t="shared" si="11"/>
        <v>780.25999999999976</v>
      </c>
      <c r="AM12" s="11">
        <f t="shared" si="3"/>
        <v>2462964.861</v>
      </c>
    </row>
    <row r="13" spans="1:39" x14ac:dyDescent="0.3">
      <c r="A13" s="39">
        <v>45782.09375</v>
      </c>
      <c r="B13" s="1">
        <v>1400.81</v>
      </c>
      <c r="C13" s="11">
        <v>3.2732000000000001</v>
      </c>
      <c r="D13" s="1">
        <v>627.63</v>
      </c>
      <c r="E13" s="11">
        <v>3.0760000000000001</v>
      </c>
      <c r="F13" s="1">
        <v>398.57</v>
      </c>
      <c r="G13" s="11">
        <v>3.53</v>
      </c>
      <c r="H13" s="1">
        <v>-4.8</v>
      </c>
      <c r="I13" s="11">
        <v>3.5546199999999999</v>
      </c>
      <c r="J13" s="1">
        <v>47.98</v>
      </c>
      <c r="K13" s="11">
        <v>1.9994000000000001</v>
      </c>
      <c r="L13" s="1">
        <v>0</v>
      </c>
      <c r="M13" s="11">
        <v>6.2</v>
      </c>
      <c r="N13" s="1">
        <v>57.11</v>
      </c>
      <c r="O13" s="11">
        <v>2.8224999999999998</v>
      </c>
      <c r="P13" s="1">
        <f t="shared" si="4"/>
        <v>2527.3000000000002</v>
      </c>
      <c r="Q13" s="1">
        <v>2464.19</v>
      </c>
      <c r="R13" s="16">
        <f t="shared" si="5"/>
        <v>2040683.82075</v>
      </c>
      <c r="S13" s="1">
        <v>-724</v>
      </c>
      <c r="T13" s="1">
        <v>35.909999999999997</v>
      </c>
      <c r="U13" s="1">
        <v>12</v>
      </c>
      <c r="V13" s="1">
        <v>6.4</v>
      </c>
      <c r="W13" s="1" cm="1">
        <f t="array" ref="W13">SUM(ABS(S13:V13))</f>
        <v>778.31</v>
      </c>
      <c r="X13" s="25">
        <v>1.238</v>
      </c>
      <c r="Y13" s="42">
        <f t="shared" si="6"/>
        <v>240886.94499999998</v>
      </c>
      <c r="Z13" s="20">
        <v>625.93000000000006</v>
      </c>
      <c r="AA13" s="20">
        <f t="shared" si="7"/>
        <v>1404.24</v>
      </c>
      <c r="AB13" s="21">
        <v>0.24</v>
      </c>
      <c r="AC13" s="21">
        <v>5.38</v>
      </c>
      <c r="AD13" s="8">
        <f t="shared" si="8"/>
        <v>631.55000000000007</v>
      </c>
      <c r="AE13" s="25">
        <v>1.238</v>
      </c>
      <c r="AF13" s="25">
        <f t="shared" si="9"/>
        <v>195464.72500000001</v>
      </c>
      <c r="AG13" s="25">
        <f t="shared" si="10"/>
        <v>436351.67</v>
      </c>
      <c r="AH13" s="1">
        <f t="shared" si="0"/>
        <v>3158.8500000000004</v>
      </c>
      <c r="AI13" s="1">
        <f t="shared" si="1"/>
        <v>3095.7400000000002</v>
      </c>
      <c r="AJ13" s="1">
        <v>3872.18</v>
      </c>
      <c r="AK13" s="1">
        <f t="shared" si="2"/>
        <v>-713.32999999999947</v>
      </c>
      <c r="AL13" s="29">
        <f t="shared" si="11"/>
        <v>776.4399999999996</v>
      </c>
      <c r="AM13" s="11">
        <f t="shared" si="3"/>
        <v>2477035.4907499999</v>
      </c>
    </row>
    <row r="14" spans="1:39" x14ac:dyDescent="0.3">
      <c r="A14" s="39">
        <v>45782.104166666664</v>
      </c>
      <c r="B14" s="1">
        <v>1400.81</v>
      </c>
      <c r="C14" s="11">
        <v>3.2732000000000001</v>
      </c>
      <c r="D14" s="1">
        <v>627.63</v>
      </c>
      <c r="E14" s="11">
        <v>3.0760000000000001</v>
      </c>
      <c r="F14" s="1">
        <v>398.57</v>
      </c>
      <c r="G14" s="11">
        <v>3.53</v>
      </c>
      <c r="H14" s="1">
        <v>-4.8</v>
      </c>
      <c r="I14" s="11">
        <v>3.56704</v>
      </c>
      <c r="J14" s="1">
        <v>142.11000000000001</v>
      </c>
      <c r="K14" s="11">
        <v>2.4995500000000002</v>
      </c>
      <c r="L14" s="1">
        <v>0</v>
      </c>
      <c r="M14" s="11">
        <v>6.2</v>
      </c>
      <c r="N14" s="1">
        <v>50.07</v>
      </c>
      <c r="O14" s="11">
        <v>2.8224999999999998</v>
      </c>
      <c r="P14" s="1">
        <f t="shared" si="4"/>
        <v>2614.3900000000003</v>
      </c>
      <c r="Q14" s="1">
        <v>2621.38</v>
      </c>
      <c r="R14" s="16">
        <f t="shared" si="5"/>
        <v>2100521.2763749999</v>
      </c>
      <c r="S14" s="1">
        <v>-552.41</v>
      </c>
      <c r="T14" s="1">
        <v>35.92</v>
      </c>
      <c r="U14" s="1">
        <v>12</v>
      </c>
      <c r="V14" s="1">
        <v>6.36</v>
      </c>
      <c r="W14" s="1" cm="1">
        <f t="array" ref="W14">SUM(ABS(S14:V14))</f>
        <v>606.68999999999994</v>
      </c>
      <c r="X14" s="25">
        <v>1.238</v>
      </c>
      <c r="Y14" s="42">
        <f t="shared" si="6"/>
        <v>187770.55499999996</v>
      </c>
      <c r="Z14" s="20">
        <v>577.34</v>
      </c>
      <c r="AA14" s="20">
        <f t="shared" si="7"/>
        <v>1184.03</v>
      </c>
      <c r="AB14" s="21">
        <v>0.24</v>
      </c>
      <c r="AC14" s="21">
        <v>7.0600000000000005</v>
      </c>
      <c r="AD14" s="8">
        <f t="shared" si="8"/>
        <v>584.64</v>
      </c>
      <c r="AE14" s="25">
        <v>1.238</v>
      </c>
      <c r="AF14" s="25">
        <f t="shared" si="9"/>
        <v>180946.08</v>
      </c>
      <c r="AG14" s="25">
        <f t="shared" si="10"/>
        <v>368716.63499999995</v>
      </c>
      <c r="AH14" s="1">
        <f t="shared" si="0"/>
        <v>3199.03</v>
      </c>
      <c r="AI14" s="1">
        <f t="shared" si="1"/>
        <v>3206.02</v>
      </c>
      <c r="AJ14" s="1">
        <v>3818.41</v>
      </c>
      <c r="AK14" s="1">
        <f t="shared" si="2"/>
        <v>-619.37999999999965</v>
      </c>
      <c r="AL14" s="29">
        <f t="shared" si="11"/>
        <v>612.38999999999987</v>
      </c>
      <c r="AM14" s="11">
        <f t="shared" si="3"/>
        <v>2469237.9113749997</v>
      </c>
    </row>
    <row r="15" spans="1:39" x14ac:dyDescent="0.3">
      <c r="A15" s="39">
        <v>45782.114583333336</v>
      </c>
      <c r="B15" s="1">
        <v>1400.81</v>
      </c>
      <c r="C15" s="11">
        <v>3.2732000000000001</v>
      </c>
      <c r="D15" s="1">
        <v>627.63</v>
      </c>
      <c r="E15" s="11">
        <v>3.0760000000000001</v>
      </c>
      <c r="F15" s="1">
        <v>398.57</v>
      </c>
      <c r="G15" s="11">
        <v>3.53</v>
      </c>
      <c r="H15" s="1">
        <v>-4.8</v>
      </c>
      <c r="I15" s="11">
        <v>3.55125</v>
      </c>
      <c r="J15" s="1">
        <v>138.69999999999999</v>
      </c>
      <c r="K15" s="11">
        <v>2.3004600000000002</v>
      </c>
      <c r="L15" s="1">
        <v>0</v>
      </c>
      <c r="M15" s="11">
        <v>6.2</v>
      </c>
      <c r="N15" s="1">
        <v>48.38</v>
      </c>
      <c r="O15" s="11">
        <v>2.8224999999999998</v>
      </c>
      <c r="P15" s="1">
        <f t="shared" si="4"/>
        <v>2609.29</v>
      </c>
      <c r="Q15" s="1">
        <v>2616.67</v>
      </c>
      <c r="R15" s="16">
        <f t="shared" si="5"/>
        <v>2090313.4060000002</v>
      </c>
      <c r="S15" s="1">
        <v>-547.37</v>
      </c>
      <c r="T15" s="1">
        <v>35.93</v>
      </c>
      <c r="U15" s="1">
        <v>12</v>
      </c>
      <c r="V15" s="1">
        <v>6.35</v>
      </c>
      <c r="W15" s="1" cm="1">
        <f t="array" ref="W15">SUM(ABS(S15:V15))</f>
        <v>601.65</v>
      </c>
      <c r="X15" s="25">
        <v>1.238</v>
      </c>
      <c r="Y15" s="42">
        <f t="shared" si="6"/>
        <v>186210.67499999999</v>
      </c>
      <c r="Z15" s="20">
        <v>533.66</v>
      </c>
      <c r="AA15" s="20">
        <f t="shared" si="7"/>
        <v>1135.31</v>
      </c>
      <c r="AB15" s="21">
        <v>0.24</v>
      </c>
      <c r="AC15" s="21">
        <v>5.9200000000000008</v>
      </c>
      <c r="AD15" s="8">
        <f t="shared" si="8"/>
        <v>539.81999999999994</v>
      </c>
      <c r="AE15" s="25">
        <v>1.238</v>
      </c>
      <c r="AF15" s="25">
        <f t="shared" si="9"/>
        <v>167074.28999999998</v>
      </c>
      <c r="AG15" s="25">
        <f t="shared" si="10"/>
        <v>353284.96499999997</v>
      </c>
      <c r="AH15" s="1">
        <f t="shared" si="0"/>
        <v>3149.1099999999997</v>
      </c>
      <c r="AI15" s="1">
        <f t="shared" si="1"/>
        <v>3156.49</v>
      </c>
      <c r="AJ15" s="1">
        <v>3750.84</v>
      </c>
      <c r="AK15" s="1">
        <f t="shared" si="2"/>
        <v>-601.73000000000047</v>
      </c>
      <c r="AL15" s="29">
        <f t="shared" si="11"/>
        <v>594.35000000000036</v>
      </c>
      <c r="AM15" s="11">
        <f t="shared" si="3"/>
        <v>2443598.3710000003</v>
      </c>
    </row>
    <row r="16" spans="1:39" x14ac:dyDescent="0.3">
      <c r="A16" s="39">
        <v>45782.125</v>
      </c>
      <c r="B16" s="1">
        <v>1415.93</v>
      </c>
      <c r="C16" s="11">
        <v>3.2732000000000001</v>
      </c>
      <c r="D16" s="1">
        <v>994.31</v>
      </c>
      <c r="E16" s="11">
        <v>3.0760000000000001</v>
      </c>
      <c r="F16" s="1">
        <v>31.89</v>
      </c>
      <c r="G16" s="11">
        <v>3.53</v>
      </c>
      <c r="H16" s="1">
        <v>-4.8</v>
      </c>
      <c r="I16" s="11">
        <v>3.4099699999999999</v>
      </c>
      <c r="J16" s="1">
        <v>112.06</v>
      </c>
      <c r="K16" s="11">
        <v>2.6495500000000001</v>
      </c>
      <c r="L16" s="1">
        <v>0</v>
      </c>
      <c r="M16" s="11">
        <v>6.2</v>
      </c>
      <c r="N16" s="1">
        <v>30.08</v>
      </c>
      <c r="O16" s="11">
        <v>2.8224999999999998</v>
      </c>
      <c r="P16" s="1">
        <f t="shared" si="4"/>
        <v>2579.4699999999993</v>
      </c>
      <c r="Q16" s="1">
        <v>2582.14</v>
      </c>
      <c r="R16" s="16">
        <f t="shared" si="5"/>
        <v>2042783.2132500003</v>
      </c>
      <c r="S16" s="1">
        <v>-530.1</v>
      </c>
      <c r="T16" s="1">
        <v>35.9</v>
      </c>
      <c r="U16" s="1">
        <v>12</v>
      </c>
      <c r="V16" s="1">
        <v>2.86</v>
      </c>
      <c r="W16" s="1" cm="1">
        <f t="array" ref="W16">SUM(ABS(S16:V16))</f>
        <v>580.86</v>
      </c>
      <c r="X16" s="25">
        <v>1.238</v>
      </c>
      <c r="Y16" s="42">
        <f t="shared" si="6"/>
        <v>179776.17</v>
      </c>
      <c r="Z16" s="20">
        <v>530.89</v>
      </c>
      <c r="AA16" s="20">
        <f t="shared" si="7"/>
        <v>1111.75</v>
      </c>
      <c r="AB16" s="21">
        <v>0.24</v>
      </c>
      <c r="AC16" s="21">
        <v>3.35</v>
      </c>
      <c r="AD16" s="8">
        <f t="shared" si="8"/>
        <v>534.48</v>
      </c>
      <c r="AE16" s="25">
        <v>1.238</v>
      </c>
      <c r="AF16" s="25">
        <f t="shared" si="9"/>
        <v>165421.56</v>
      </c>
      <c r="AG16" s="25">
        <f t="shared" si="10"/>
        <v>345197.73</v>
      </c>
      <c r="AH16" s="1">
        <f t="shared" si="0"/>
        <v>3113.9499999999994</v>
      </c>
      <c r="AI16" s="1">
        <f t="shared" si="1"/>
        <v>3116.62</v>
      </c>
      <c r="AJ16" s="1">
        <v>3693.07</v>
      </c>
      <c r="AK16" s="1">
        <f t="shared" si="2"/>
        <v>-579.1200000000008</v>
      </c>
      <c r="AL16" s="29">
        <f t="shared" si="11"/>
        <v>576.45000000000027</v>
      </c>
      <c r="AM16" s="11">
        <f t="shared" si="3"/>
        <v>2387980.9432500005</v>
      </c>
    </row>
    <row r="17" spans="1:39" x14ac:dyDescent="0.3">
      <c r="A17" s="39">
        <v>45782.135416666664</v>
      </c>
      <c r="B17" s="1">
        <v>1427.8</v>
      </c>
      <c r="C17" s="11">
        <v>3.2732000000000001</v>
      </c>
      <c r="D17" s="1">
        <v>1026.2</v>
      </c>
      <c r="E17" s="11">
        <v>3.0760000000000001</v>
      </c>
      <c r="F17" s="1">
        <v>0</v>
      </c>
      <c r="G17" s="11">
        <v>3.53</v>
      </c>
      <c r="H17" s="1">
        <v>-4.8</v>
      </c>
      <c r="I17" s="11">
        <v>3.4091499999999999</v>
      </c>
      <c r="J17" s="1">
        <v>91.78</v>
      </c>
      <c r="K17" s="11">
        <v>2.4998299999999998</v>
      </c>
      <c r="L17" s="1">
        <v>0</v>
      </c>
      <c r="M17" s="11">
        <v>6.2</v>
      </c>
      <c r="N17" s="1">
        <v>27.1</v>
      </c>
      <c r="O17" s="11">
        <v>2.8224999999999998</v>
      </c>
      <c r="P17" s="1">
        <f t="shared" si="4"/>
        <v>2568.08</v>
      </c>
      <c r="Q17" s="1">
        <v>2549.17</v>
      </c>
      <c r="R17" s="16">
        <f t="shared" si="5"/>
        <v>2029906.5968500001</v>
      </c>
      <c r="S17" s="1">
        <v>-507.85</v>
      </c>
      <c r="T17" s="1">
        <v>35.909999999999997</v>
      </c>
      <c r="U17" s="1">
        <v>12</v>
      </c>
      <c r="V17" s="1">
        <v>0</v>
      </c>
      <c r="W17" s="1" cm="1">
        <f t="array" ref="W17">SUM(ABS(S17:V17))</f>
        <v>555.76</v>
      </c>
      <c r="X17" s="25">
        <v>1.238</v>
      </c>
      <c r="Y17" s="42">
        <f t="shared" si="6"/>
        <v>172007.72</v>
      </c>
      <c r="Z17" s="20">
        <v>510.55999999999995</v>
      </c>
      <c r="AA17" s="20">
        <f t="shared" si="7"/>
        <v>1066.32</v>
      </c>
      <c r="AB17" s="21">
        <v>0.25</v>
      </c>
      <c r="AC17" s="21">
        <v>2.5100000000000002</v>
      </c>
      <c r="AD17" s="8">
        <f t="shared" si="8"/>
        <v>513.31999999999994</v>
      </c>
      <c r="AE17" s="25">
        <v>1.238</v>
      </c>
      <c r="AF17" s="25">
        <f t="shared" si="9"/>
        <v>158872.53999999998</v>
      </c>
      <c r="AG17" s="25">
        <f t="shared" si="10"/>
        <v>330880.26</v>
      </c>
      <c r="AH17" s="1">
        <f t="shared" si="0"/>
        <v>3081.3999999999996</v>
      </c>
      <c r="AI17" s="1">
        <f t="shared" si="1"/>
        <v>3062.49</v>
      </c>
      <c r="AJ17" s="1">
        <v>3617.06</v>
      </c>
      <c r="AK17" s="1">
        <f t="shared" si="2"/>
        <v>-535.66000000000031</v>
      </c>
      <c r="AL17" s="29">
        <f t="shared" si="11"/>
        <v>554.57000000000016</v>
      </c>
      <c r="AM17" s="11">
        <f t="shared" si="3"/>
        <v>2360786.8568500001</v>
      </c>
    </row>
    <row r="18" spans="1:39" x14ac:dyDescent="0.3">
      <c r="A18" s="39">
        <v>45782.145833333336</v>
      </c>
      <c r="B18" s="1">
        <v>1439.09</v>
      </c>
      <c r="C18" s="11">
        <v>3.2732000000000001</v>
      </c>
      <c r="D18" s="1">
        <v>1026.2</v>
      </c>
      <c r="E18" s="11">
        <v>3.0760000000000001</v>
      </c>
      <c r="F18" s="1">
        <v>0</v>
      </c>
      <c r="G18" s="11">
        <v>3.53</v>
      </c>
      <c r="H18" s="1">
        <v>-4.8</v>
      </c>
      <c r="I18" s="11">
        <v>3.34192</v>
      </c>
      <c r="J18" s="1">
        <v>72.58</v>
      </c>
      <c r="K18" s="11">
        <v>2.8494699999999997</v>
      </c>
      <c r="L18" s="1">
        <v>0</v>
      </c>
      <c r="M18" s="11">
        <v>6.2</v>
      </c>
      <c r="N18" s="1">
        <v>10.36</v>
      </c>
      <c r="O18" s="11">
        <v>2.8224999999999998</v>
      </c>
      <c r="P18" s="1">
        <f t="shared" si="4"/>
        <v>2543.4299999999998</v>
      </c>
      <c r="Q18" s="1">
        <v>2532.16</v>
      </c>
      <c r="R18" s="16">
        <f t="shared" si="5"/>
        <v>2021758.7511500001</v>
      </c>
      <c r="S18" s="1">
        <v>-483.25</v>
      </c>
      <c r="T18" s="1">
        <v>35.92</v>
      </c>
      <c r="U18" s="1">
        <v>12</v>
      </c>
      <c r="V18" s="1">
        <v>0</v>
      </c>
      <c r="W18" s="1" cm="1">
        <f t="array" ref="W18">SUM(ABS(S18:V18))</f>
        <v>531.16999999999996</v>
      </c>
      <c r="X18" s="25">
        <v>1.238</v>
      </c>
      <c r="Y18" s="42">
        <f t="shared" si="6"/>
        <v>164397.11499999999</v>
      </c>
      <c r="Z18" s="20">
        <v>505.08000000000004</v>
      </c>
      <c r="AA18" s="20">
        <f t="shared" si="7"/>
        <v>1036.25</v>
      </c>
      <c r="AB18" s="21">
        <v>0.25</v>
      </c>
      <c r="AC18" s="21">
        <v>0.96</v>
      </c>
      <c r="AD18" s="8">
        <f t="shared" si="8"/>
        <v>506.29</v>
      </c>
      <c r="AE18" s="25">
        <v>1.238</v>
      </c>
      <c r="AF18" s="25">
        <f t="shared" si="9"/>
        <v>156696.755</v>
      </c>
      <c r="AG18" s="25">
        <f t="shared" si="10"/>
        <v>321093.87</v>
      </c>
      <c r="AH18" s="1">
        <f t="shared" si="0"/>
        <v>3049.72</v>
      </c>
      <c r="AI18" s="1">
        <f t="shared" si="1"/>
        <v>3038.45</v>
      </c>
      <c r="AJ18" s="1">
        <v>3566.94</v>
      </c>
      <c r="AK18" s="1">
        <f t="shared" si="2"/>
        <v>-517.22000000000025</v>
      </c>
      <c r="AL18" s="29">
        <f t="shared" si="11"/>
        <v>528.49000000000024</v>
      </c>
      <c r="AM18" s="11">
        <f t="shared" si="3"/>
        <v>2342852.62115</v>
      </c>
    </row>
    <row r="19" spans="1:39" x14ac:dyDescent="0.3">
      <c r="A19" s="39">
        <v>45782.15625</v>
      </c>
      <c r="B19" s="1">
        <v>1449.93</v>
      </c>
      <c r="C19" s="11">
        <v>3.2732000000000001</v>
      </c>
      <c r="D19" s="1">
        <v>1026.2</v>
      </c>
      <c r="E19" s="11">
        <v>3.0760000000000001</v>
      </c>
      <c r="F19" s="1">
        <v>0</v>
      </c>
      <c r="G19" s="11">
        <v>3.53</v>
      </c>
      <c r="H19" s="1">
        <v>-4.8</v>
      </c>
      <c r="I19" s="11">
        <v>3.34152</v>
      </c>
      <c r="J19" s="1">
        <v>71.12</v>
      </c>
      <c r="K19" s="11">
        <v>2.79915</v>
      </c>
      <c r="L19" s="1">
        <v>0</v>
      </c>
      <c r="M19" s="11">
        <v>6.2</v>
      </c>
      <c r="N19" s="1">
        <v>9</v>
      </c>
      <c r="O19" s="11">
        <v>2.8224999999999998</v>
      </c>
      <c r="P19" s="1">
        <f t="shared" si="4"/>
        <v>2551.4499999999998</v>
      </c>
      <c r="Q19" s="1">
        <v>2488.23</v>
      </c>
      <c r="R19" s="16">
        <f t="shared" si="5"/>
        <v>2027735.2070000002</v>
      </c>
      <c r="S19" s="1">
        <v>-467.9</v>
      </c>
      <c r="T19" s="1">
        <v>35.92</v>
      </c>
      <c r="U19" s="1">
        <v>12</v>
      </c>
      <c r="V19" s="1">
        <v>0</v>
      </c>
      <c r="W19" s="1" cm="1">
        <f t="array" ref="W19">SUM(ABS(S19:V19))</f>
        <v>515.81999999999994</v>
      </c>
      <c r="X19" s="25">
        <v>1.238</v>
      </c>
      <c r="Y19" s="42">
        <f t="shared" si="6"/>
        <v>159646.28999999998</v>
      </c>
      <c r="Z19" s="20">
        <v>506.00000000000006</v>
      </c>
      <c r="AA19" s="20">
        <f t="shared" si="7"/>
        <v>1021.8199999999999</v>
      </c>
      <c r="AB19" s="21">
        <v>0.25</v>
      </c>
      <c r="AC19" s="21">
        <v>1.98</v>
      </c>
      <c r="AD19" s="8">
        <f t="shared" si="8"/>
        <v>508.23000000000008</v>
      </c>
      <c r="AE19" s="25">
        <v>1.238</v>
      </c>
      <c r="AF19" s="25">
        <f t="shared" si="9"/>
        <v>157297.18500000003</v>
      </c>
      <c r="AG19" s="25">
        <f t="shared" si="10"/>
        <v>316943.47499999998</v>
      </c>
      <c r="AH19" s="1">
        <f t="shared" si="0"/>
        <v>3059.68</v>
      </c>
      <c r="AI19" s="1">
        <f t="shared" si="1"/>
        <v>2996.46</v>
      </c>
      <c r="AJ19" s="1">
        <v>3510.06</v>
      </c>
      <c r="AK19" s="1">
        <f t="shared" si="2"/>
        <v>-450.38000000000011</v>
      </c>
      <c r="AL19" s="29">
        <f t="shared" si="11"/>
        <v>513.59999999999991</v>
      </c>
      <c r="AM19" s="11">
        <f t="shared" si="3"/>
        <v>2344678.682</v>
      </c>
    </row>
    <row r="20" spans="1:39" x14ac:dyDescent="0.3">
      <c r="A20" s="39">
        <v>45782.166666666664</v>
      </c>
      <c r="B20" s="1">
        <v>1454.66</v>
      </c>
      <c r="C20" s="11">
        <v>3.2732000000000001</v>
      </c>
      <c r="D20" s="1">
        <v>1026.2</v>
      </c>
      <c r="E20" s="11">
        <v>3.0760000000000001</v>
      </c>
      <c r="F20" s="1">
        <v>0</v>
      </c>
      <c r="G20" s="11">
        <v>3.53</v>
      </c>
      <c r="H20" s="1">
        <v>-4.8</v>
      </c>
      <c r="I20" s="11">
        <v>3.3247199999999997</v>
      </c>
      <c r="J20" s="1">
        <v>5.77</v>
      </c>
      <c r="K20" s="11">
        <v>2.98068</v>
      </c>
      <c r="L20" s="1">
        <v>0</v>
      </c>
      <c r="M20" s="11">
        <v>6.2</v>
      </c>
      <c r="N20" s="1">
        <v>9</v>
      </c>
      <c r="O20" s="11">
        <v>2.8224999999999998</v>
      </c>
      <c r="P20" s="1">
        <f t="shared" si="4"/>
        <v>2490.83</v>
      </c>
      <c r="Q20" s="1">
        <v>2503.1</v>
      </c>
      <c r="R20" s="16">
        <f t="shared" si="5"/>
        <v>1986156.6699000003</v>
      </c>
      <c r="S20" s="1">
        <v>-372.34</v>
      </c>
      <c r="T20" s="1">
        <v>35.93</v>
      </c>
      <c r="U20" s="1">
        <v>12</v>
      </c>
      <c r="V20" s="1">
        <v>0</v>
      </c>
      <c r="W20" s="1" cm="1">
        <f t="array" ref="W20">SUM(ABS(S20:V20))</f>
        <v>420.27</v>
      </c>
      <c r="X20" s="25">
        <v>1.238</v>
      </c>
      <c r="Y20" s="42">
        <f t="shared" si="6"/>
        <v>130073.565</v>
      </c>
      <c r="Z20" s="20">
        <v>500.06</v>
      </c>
      <c r="AA20" s="20">
        <f t="shared" si="7"/>
        <v>920.32999999999993</v>
      </c>
      <c r="AB20" s="21">
        <v>0.25</v>
      </c>
      <c r="AC20" s="21">
        <v>1.81</v>
      </c>
      <c r="AD20" s="8">
        <f t="shared" si="8"/>
        <v>502.12</v>
      </c>
      <c r="AE20" s="25">
        <v>1.238</v>
      </c>
      <c r="AF20" s="25">
        <f t="shared" si="9"/>
        <v>155406.13999999998</v>
      </c>
      <c r="AG20" s="25">
        <f t="shared" si="10"/>
        <v>285479.70499999996</v>
      </c>
      <c r="AH20" s="1">
        <f t="shared" si="0"/>
        <v>2992.95</v>
      </c>
      <c r="AI20" s="1">
        <f t="shared" si="1"/>
        <v>3005.22</v>
      </c>
      <c r="AJ20" s="1">
        <v>3430.48</v>
      </c>
      <c r="AK20" s="1">
        <f t="shared" si="2"/>
        <v>-437.5300000000002</v>
      </c>
      <c r="AL20" s="29">
        <f t="shared" si="11"/>
        <v>425.26000000000022</v>
      </c>
      <c r="AM20" s="11">
        <f t="shared" si="3"/>
        <v>2271636.3749000002</v>
      </c>
    </row>
    <row r="21" spans="1:39" x14ac:dyDescent="0.3">
      <c r="A21" s="39">
        <v>45782.177083333336</v>
      </c>
      <c r="B21" s="1">
        <v>1455.04</v>
      </c>
      <c r="C21" s="11">
        <v>3.2732000000000001</v>
      </c>
      <c r="D21" s="1">
        <v>1026.2</v>
      </c>
      <c r="E21" s="11">
        <v>3.0760000000000001</v>
      </c>
      <c r="F21" s="1">
        <v>0</v>
      </c>
      <c r="G21" s="11">
        <v>3.53</v>
      </c>
      <c r="H21" s="1">
        <v>-4.8</v>
      </c>
      <c r="I21" s="11">
        <v>3.3244000000000002</v>
      </c>
      <c r="J21" s="1">
        <v>0</v>
      </c>
      <c r="K21" s="11">
        <v>3.05552</v>
      </c>
      <c r="L21" s="1">
        <v>0</v>
      </c>
      <c r="M21" s="11">
        <v>6.2</v>
      </c>
      <c r="N21" s="1">
        <v>9</v>
      </c>
      <c r="O21" s="11">
        <v>2.8224999999999998</v>
      </c>
      <c r="P21" s="1">
        <f t="shared" si="4"/>
        <v>2485.4399999999996</v>
      </c>
      <c r="Q21" s="1">
        <v>2526.27</v>
      </c>
      <c r="R21" s="16">
        <f t="shared" si="5"/>
        <v>1982168.3770000001</v>
      </c>
      <c r="S21" s="1">
        <v>-317.81</v>
      </c>
      <c r="T21" s="1">
        <v>35.950000000000003</v>
      </c>
      <c r="U21" s="1">
        <v>12</v>
      </c>
      <c r="V21" s="1">
        <v>0</v>
      </c>
      <c r="W21" s="1" cm="1">
        <f t="array" ref="W21">SUM(ABS(S21:V21))</f>
        <v>365.76</v>
      </c>
      <c r="X21" s="25">
        <v>1.238</v>
      </c>
      <c r="Y21" s="42">
        <f t="shared" si="6"/>
        <v>113202.72</v>
      </c>
      <c r="Z21" s="20">
        <v>499.01</v>
      </c>
      <c r="AA21" s="20">
        <f t="shared" si="7"/>
        <v>864.77</v>
      </c>
      <c r="AB21" s="21">
        <v>0.25</v>
      </c>
      <c r="AC21" s="21">
        <v>3.72</v>
      </c>
      <c r="AD21" s="8">
        <f t="shared" si="8"/>
        <v>502.98</v>
      </c>
      <c r="AE21" s="25">
        <v>1.238</v>
      </c>
      <c r="AF21" s="25">
        <f t="shared" si="9"/>
        <v>155672.31</v>
      </c>
      <c r="AG21" s="25">
        <f t="shared" si="10"/>
        <v>268875.03000000003</v>
      </c>
      <c r="AH21" s="1">
        <f t="shared" si="0"/>
        <v>2988.4199999999996</v>
      </c>
      <c r="AI21" s="1">
        <f t="shared" si="1"/>
        <v>3029.25</v>
      </c>
      <c r="AJ21" s="1">
        <v>3396.17</v>
      </c>
      <c r="AK21" s="1">
        <f t="shared" si="2"/>
        <v>-407.75000000000045</v>
      </c>
      <c r="AL21" s="29">
        <f t="shared" si="11"/>
        <v>366.92000000000007</v>
      </c>
      <c r="AM21" s="11">
        <f t="shared" si="3"/>
        <v>2251043.4070000001</v>
      </c>
    </row>
    <row r="22" spans="1:39" x14ac:dyDescent="0.3">
      <c r="A22" s="39">
        <v>45782.1875</v>
      </c>
      <c r="B22" s="1">
        <v>1455.04</v>
      </c>
      <c r="C22" s="11">
        <v>3.2732000000000001</v>
      </c>
      <c r="D22" s="1">
        <v>1026.2</v>
      </c>
      <c r="E22" s="11">
        <v>3.0760000000000001</v>
      </c>
      <c r="F22" s="1">
        <v>0</v>
      </c>
      <c r="G22" s="11">
        <v>3.53</v>
      </c>
      <c r="H22" s="1">
        <v>-4.8</v>
      </c>
      <c r="I22" s="11">
        <v>3.3241999999999998</v>
      </c>
      <c r="J22" s="1">
        <v>0</v>
      </c>
      <c r="K22" s="11">
        <v>3.2959899999999998</v>
      </c>
      <c r="L22" s="1">
        <v>0</v>
      </c>
      <c r="M22" s="11">
        <v>6.2</v>
      </c>
      <c r="N22" s="1">
        <v>9</v>
      </c>
      <c r="O22" s="11">
        <v>2.8224999999999998</v>
      </c>
      <c r="P22" s="1">
        <f t="shared" si="4"/>
        <v>2485.4399999999996</v>
      </c>
      <c r="Q22" s="1">
        <v>2510.81</v>
      </c>
      <c r="R22" s="16">
        <f t="shared" si="5"/>
        <v>1982168.6170000003</v>
      </c>
      <c r="S22" s="1">
        <v>-311.91000000000003</v>
      </c>
      <c r="T22" s="1">
        <v>35.96</v>
      </c>
      <c r="U22" s="1">
        <v>12</v>
      </c>
      <c r="V22" s="1">
        <v>0</v>
      </c>
      <c r="W22" s="1" cm="1">
        <f t="array" ref="W22">SUM(ABS(S22:V22))</f>
        <v>359.87</v>
      </c>
      <c r="X22" s="25">
        <v>1.238</v>
      </c>
      <c r="Y22" s="42">
        <f t="shared" si="6"/>
        <v>111379.765</v>
      </c>
      <c r="Z22" s="20">
        <v>500.88</v>
      </c>
      <c r="AA22" s="20">
        <f t="shared" si="7"/>
        <v>860.75</v>
      </c>
      <c r="AB22" s="21">
        <v>0.24</v>
      </c>
      <c r="AC22" s="21">
        <v>6.2899999999999991</v>
      </c>
      <c r="AD22" s="8">
        <f t="shared" si="8"/>
        <v>507.41</v>
      </c>
      <c r="AE22" s="25">
        <v>1.238</v>
      </c>
      <c r="AF22" s="25">
        <f t="shared" si="9"/>
        <v>157043.39499999999</v>
      </c>
      <c r="AG22" s="25">
        <f t="shared" si="10"/>
        <v>268423.15999999997</v>
      </c>
      <c r="AH22" s="1">
        <f t="shared" si="0"/>
        <v>2992.8499999999995</v>
      </c>
      <c r="AI22" s="1">
        <f t="shared" si="1"/>
        <v>3018.22</v>
      </c>
      <c r="AJ22" s="1">
        <v>3384.6</v>
      </c>
      <c r="AK22" s="1">
        <f t="shared" si="2"/>
        <v>-391.75000000000045</v>
      </c>
      <c r="AL22" s="29">
        <f t="shared" si="11"/>
        <v>366.38000000000011</v>
      </c>
      <c r="AM22" s="11">
        <f t="shared" si="3"/>
        <v>2250591.7770000002</v>
      </c>
    </row>
    <row r="23" spans="1:39" x14ac:dyDescent="0.3">
      <c r="A23" s="39">
        <v>45782.197916666664</v>
      </c>
      <c r="B23" s="1">
        <v>1455.04</v>
      </c>
      <c r="C23" s="11">
        <v>3.2732000000000001</v>
      </c>
      <c r="D23" s="1">
        <v>1026.2</v>
      </c>
      <c r="E23" s="11">
        <v>3.0760000000000001</v>
      </c>
      <c r="F23" s="1">
        <v>0</v>
      </c>
      <c r="G23" s="11">
        <v>3.53</v>
      </c>
      <c r="H23" s="1">
        <v>-4.8</v>
      </c>
      <c r="I23" s="11">
        <v>3.3242399999999996</v>
      </c>
      <c r="J23" s="1">
        <v>0</v>
      </c>
      <c r="K23" s="11">
        <v>3.3219000000000003</v>
      </c>
      <c r="L23" s="1">
        <v>0</v>
      </c>
      <c r="M23" s="11">
        <v>6.2</v>
      </c>
      <c r="N23" s="1">
        <v>9</v>
      </c>
      <c r="O23" s="11">
        <v>2.8224999999999998</v>
      </c>
      <c r="P23" s="1">
        <f t="shared" si="4"/>
        <v>2485.4399999999996</v>
      </c>
      <c r="Q23" s="1">
        <v>2524</v>
      </c>
      <c r="R23" s="16">
        <f t="shared" si="5"/>
        <v>1982168.5690000001</v>
      </c>
      <c r="S23" s="1">
        <v>-244.99</v>
      </c>
      <c r="T23" s="1">
        <v>36</v>
      </c>
      <c r="U23" s="1">
        <v>12</v>
      </c>
      <c r="V23" s="1">
        <v>0</v>
      </c>
      <c r="W23" s="1" cm="1">
        <f t="array" ref="W23">SUM(ABS(S23:V23))</f>
        <v>292.99</v>
      </c>
      <c r="X23" s="25">
        <v>1.238</v>
      </c>
      <c r="Y23" s="42">
        <f t="shared" si="6"/>
        <v>90680.405000000013</v>
      </c>
      <c r="Z23" s="20">
        <v>508.72999999999996</v>
      </c>
      <c r="AA23" s="20">
        <f t="shared" si="7"/>
        <v>801.72</v>
      </c>
      <c r="AB23" s="21">
        <v>0.24</v>
      </c>
      <c r="AC23" s="21">
        <v>6.25</v>
      </c>
      <c r="AD23" s="8">
        <f t="shared" si="8"/>
        <v>515.22</v>
      </c>
      <c r="AE23" s="25">
        <v>1.238</v>
      </c>
      <c r="AF23" s="25">
        <f t="shared" si="9"/>
        <v>159460.59</v>
      </c>
      <c r="AG23" s="25">
        <f t="shared" si="10"/>
        <v>250140.995</v>
      </c>
      <c r="AH23" s="1">
        <f t="shared" si="0"/>
        <v>3000.66</v>
      </c>
      <c r="AI23" s="1">
        <f t="shared" si="1"/>
        <v>3039.2200000000003</v>
      </c>
      <c r="AJ23" s="1">
        <v>3335.14</v>
      </c>
      <c r="AK23" s="1">
        <f t="shared" si="2"/>
        <v>-334.48</v>
      </c>
      <c r="AL23" s="29">
        <f t="shared" si="11"/>
        <v>295.91999999999962</v>
      </c>
      <c r="AM23" s="11">
        <f t="shared" si="3"/>
        <v>2232309.5640000002</v>
      </c>
    </row>
    <row r="24" spans="1:39" x14ac:dyDescent="0.3">
      <c r="A24" s="39">
        <v>45782.208333333336</v>
      </c>
      <c r="B24" s="1">
        <v>1455.04</v>
      </c>
      <c r="C24" s="11">
        <v>3.2732000000000001</v>
      </c>
      <c r="D24" s="1">
        <v>1026.2</v>
      </c>
      <c r="E24" s="11">
        <v>3.0760000000000001</v>
      </c>
      <c r="F24" s="1">
        <v>0</v>
      </c>
      <c r="G24" s="11">
        <v>3.53</v>
      </c>
      <c r="H24" s="1">
        <v>-4.8</v>
      </c>
      <c r="I24" s="11">
        <v>3.0808200000000001</v>
      </c>
      <c r="J24" s="1">
        <v>0</v>
      </c>
      <c r="K24" s="11">
        <v>2.62906</v>
      </c>
      <c r="L24" s="1">
        <v>0</v>
      </c>
      <c r="M24" s="11">
        <v>6.2</v>
      </c>
      <c r="N24" s="1">
        <v>9</v>
      </c>
      <c r="O24" s="11">
        <v>2.8224999999999998</v>
      </c>
      <c r="P24" s="1">
        <f t="shared" si="4"/>
        <v>2485.4399999999996</v>
      </c>
      <c r="Q24" s="1">
        <v>2528.6999999999998</v>
      </c>
      <c r="R24" s="16">
        <f t="shared" si="5"/>
        <v>1982460.6730000002</v>
      </c>
      <c r="S24" s="1">
        <v>-232.32</v>
      </c>
      <c r="T24" s="1">
        <v>36.01</v>
      </c>
      <c r="U24" s="1">
        <v>12</v>
      </c>
      <c r="V24" s="1">
        <v>0</v>
      </c>
      <c r="W24" s="1" cm="1">
        <f t="array" ref="W24">SUM(ABS(S24:V24))</f>
        <v>280.33</v>
      </c>
      <c r="X24" s="25">
        <v>1.238</v>
      </c>
      <c r="Y24" s="42">
        <f t="shared" si="6"/>
        <v>86762.134999999995</v>
      </c>
      <c r="Z24" s="20">
        <v>509.87999999999994</v>
      </c>
      <c r="AA24" s="20">
        <f t="shared" si="7"/>
        <v>790.20999999999992</v>
      </c>
      <c r="AB24" s="21">
        <v>0.23</v>
      </c>
      <c r="AC24" s="21">
        <v>3.2800000000000002</v>
      </c>
      <c r="AD24" s="8">
        <f t="shared" si="8"/>
        <v>513.39</v>
      </c>
      <c r="AE24" s="25">
        <v>1.238</v>
      </c>
      <c r="AF24" s="25">
        <f t="shared" si="9"/>
        <v>158894.20499999999</v>
      </c>
      <c r="AG24" s="25">
        <f t="shared" si="10"/>
        <v>245656.33999999997</v>
      </c>
      <c r="AH24" s="1">
        <f t="shared" si="0"/>
        <v>2998.8299999999995</v>
      </c>
      <c r="AI24" s="1">
        <f t="shared" si="1"/>
        <v>3042.0899999999997</v>
      </c>
      <c r="AJ24" s="1">
        <v>3324.17</v>
      </c>
      <c r="AK24" s="1">
        <f t="shared" si="2"/>
        <v>-325.3400000000006</v>
      </c>
      <c r="AL24" s="29">
        <f t="shared" si="11"/>
        <v>282.08000000000038</v>
      </c>
      <c r="AM24" s="11">
        <f t="shared" si="3"/>
        <v>2228117.0130000003</v>
      </c>
    </row>
    <row r="25" spans="1:39" x14ac:dyDescent="0.3">
      <c r="A25" s="39">
        <v>45782.21875</v>
      </c>
      <c r="B25" s="1">
        <v>1455.04</v>
      </c>
      <c r="C25" s="11">
        <v>3.2732000000000001</v>
      </c>
      <c r="D25" s="1">
        <v>1026.2</v>
      </c>
      <c r="E25" s="11">
        <v>3.0760000000000001</v>
      </c>
      <c r="F25" s="1">
        <v>0</v>
      </c>
      <c r="G25" s="11">
        <v>3.53</v>
      </c>
      <c r="H25" s="1">
        <v>-4.8</v>
      </c>
      <c r="I25" s="11">
        <v>3.2717199999999997</v>
      </c>
      <c r="J25" s="1">
        <v>10.87</v>
      </c>
      <c r="K25" s="11">
        <v>2.98075</v>
      </c>
      <c r="L25" s="1">
        <v>0</v>
      </c>
      <c r="M25" s="11">
        <v>6.2</v>
      </c>
      <c r="N25" s="1">
        <v>18.12</v>
      </c>
      <c r="O25" s="11">
        <v>2.8224999999999998</v>
      </c>
      <c r="P25" s="1">
        <f t="shared" si="4"/>
        <v>2505.4299999999994</v>
      </c>
      <c r="Q25" s="1">
        <v>2531.6799999999998</v>
      </c>
      <c r="R25" s="16">
        <f t="shared" si="5"/>
        <v>1996767.081125</v>
      </c>
      <c r="S25" s="1">
        <v>-231.23</v>
      </c>
      <c r="T25" s="1">
        <v>36.06</v>
      </c>
      <c r="U25" s="1">
        <v>12</v>
      </c>
      <c r="V25" s="1">
        <v>0</v>
      </c>
      <c r="W25" s="1" cm="1">
        <f t="array" ref="W25">SUM(ABS(S25:V25))</f>
        <v>279.28999999999996</v>
      </c>
      <c r="X25" s="25">
        <v>1.238</v>
      </c>
      <c r="Y25" s="42">
        <f t="shared" si="6"/>
        <v>86440.25499999999</v>
      </c>
      <c r="Z25" s="20">
        <v>510.45000000000005</v>
      </c>
      <c r="AA25" s="20">
        <f t="shared" si="7"/>
        <v>789.74</v>
      </c>
      <c r="AB25" s="21">
        <v>0.22000000000000003</v>
      </c>
      <c r="AC25" s="21">
        <v>3.8299999999999996</v>
      </c>
      <c r="AD25" s="8">
        <f t="shared" si="8"/>
        <v>514.50000000000011</v>
      </c>
      <c r="AE25" s="25">
        <v>1.238</v>
      </c>
      <c r="AF25" s="25">
        <f t="shared" si="9"/>
        <v>159237.75000000003</v>
      </c>
      <c r="AG25" s="25">
        <f t="shared" si="10"/>
        <v>245678.005</v>
      </c>
      <c r="AH25" s="1">
        <f t="shared" si="0"/>
        <v>3019.9299999999994</v>
      </c>
      <c r="AI25" s="1">
        <f t="shared" si="1"/>
        <v>3046.18</v>
      </c>
      <c r="AJ25" s="1">
        <v>3329.08</v>
      </c>
      <c r="AK25" s="1">
        <f t="shared" si="2"/>
        <v>-309.15000000000055</v>
      </c>
      <c r="AL25" s="29">
        <f t="shared" si="11"/>
        <v>282.90000000000009</v>
      </c>
      <c r="AM25" s="11">
        <f t="shared" si="3"/>
        <v>2242445.0861249999</v>
      </c>
    </row>
    <row r="26" spans="1:39" x14ac:dyDescent="0.3">
      <c r="A26" s="39">
        <v>45782.229166666664</v>
      </c>
      <c r="B26" s="1">
        <v>1455.04</v>
      </c>
      <c r="C26" s="11">
        <v>3.2732000000000001</v>
      </c>
      <c r="D26" s="1">
        <v>1026.2</v>
      </c>
      <c r="E26" s="11">
        <v>3.0760000000000001</v>
      </c>
      <c r="F26" s="1">
        <v>0</v>
      </c>
      <c r="G26" s="11">
        <v>3.53</v>
      </c>
      <c r="H26" s="1">
        <v>-4.8</v>
      </c>
      <c r="I26" s="11">
        <v>3.4001900000000003</v>
      </c>
      <c r="J26" s="1">
        <v>42.16</v>
      </c>
      <c r="K26" s="11">
        <v>2.85093</v>
      </c>
      <c r="L26" s="1">
        <v>0</v>
      </c>
      <c r="M26" s="11">
        <v>6.2</v>
      </c>
      <c r="N26" s="1">
        <v>31.02</v>
      </c>
      <c r="O26" s="11">
        <v>2.8224999999999998</v>
      </c>
      <c r="P26" s="1">
        <f t="shared" si="4"/>
        <v>2549.6199999999994</v>
      </c>
      <c r="Q26" s="1">
        <v>2580.9</v>
      </c>
      <c r="R26" s="16">
        <f t="shared" si="5"/>
        <v>2027664.0937000001</v>
      </c>
      <c r="S26" s="1">
        <v>-219.54</v>
      </c>
      <c r="T26" s="1">
        <v>36.07</v>
      </c>
      <c r="U26" s="1">
        <v>12</v>
      </c>
      <c r="V26" s="1">
        <v>0</v>
      </c>
      <c r="W26" s="1" cm="1">
        <f t="array" ref="W26">SUM(ABS(S26:V26))</f>
        <v>267.61</v>
      </c>
      <c r="X26" s="25">
        <v>1.238</v>
      </c>
      <c r="Y26" s="42">
        <f t="shared" si="6"/>
        <v>82825.294999999998</v>
      </c>
      <c r="Z26" s="20">
        <v>509.08</v>
      </c>
      <c r="AA26" s="20">
        <f t="shared" si="7"/>
        <v>776.69</v>
      </c>
      <c r="AB26" s="21">
        <v>0.22000000000000003</v>
      </c>
      <c r="AC26" s="21">
        <v>6.41</v>
      </c>
      <c r="AD26" s="8">
        <f t="shared" si="8"/>
        <v>515.71</v>
      </c>
      <c r="AE26" s="25">
        <v>1.238</v>
      </c>
      <c r="AF26" s="25">
        <f t="shared" si="9"/>
        <v>159612.245</v>
      </c>
      <c r="AG26" s="25">
        <f t="shared" si="10"/>
        <v>242437.53999999998</v>
      </c>
      <c r="AH26" s="1">
        <f t="shared" si="0"/>
        <v>3065.3299999999995</v>
      </c>
      <c r="AI26" s="1">
        <f t="shared" si="1"/>
        <v>3096.61</v>
      </c>
      <c r="AJ26" s="1">
        <v>3367.66</v>
      </c>
      <c r="AK26" s="1">
        <f t="shared" si="2"/>
        <v>-302.33000000000038</v>
      </c>
      <c r="AL26" s="29">
        <f t="shared" si="11"/>
        <v>271.04999999999973</v>
      </c>
      <c r="AM26" s="11">
        <f t="shared" si="3"/>
        <v>2270101.6337000001</v>
      </c>
    </row>
    <row r="27" spans="1:39" x14ac:dyDescent="0.3">
      <c r="A27" s="39">
        <v>45782.239583333336</v>
      </c>
      <c r="B27" s="1">
        <v>1456.73</v>
      </c>
      <c r="C27" s="11">
        <v>3.2732000000000001</v>
      </c>
      <c r="D27" s="1">
        <v>1026.2</v>
      </c>
      <c r="E27" s="11">
        <v>3.0760000000000001</v>
      </c>
      <c r="F27" s="1">
        <v>0</v>
      </c>
      <c r="G27" s="11">
        <v>3.53</v>
      </c>
      <c r="H27" s="1">
        <v>-4.8</v>
      </c>
      <c r="I27" s="11">
        <v>3.4375300000000002</v>
      </c>
      <c r="J27" s="1">
        <v>42.16</v>
      </c>
      <c r="K27" s="11">
        <v>2.7739699999999998</v>
      </c>
      <c r="L27" s="1">
        <v>0</v>
      </c>
      <c r="M27" s="11">
        <v>6.2</v>
      </c>
      <c r="N27" s="1">
        <v>29.07</v>
      </c>
      <c r="O27" s="11">
        <v>2.8224999999999998</v>
      </c>
      <c r="P27" s="1">
        <f t="shared" si="4"/>
        <v>2549.36</v>
      </c>
      <c r="Q27" s="1">
        <v>2552.9</v>
      </c>
      <c r="R27" s="16">
        <f t="shared" si="5"/>
        <v>2026815.0855500002</v>
      </c>
      <c r="S27" s="1">
        <v>-276.49</v>
      </c>
      <c r="T27" s="1">
        <v>36.06</v>
      </c>
      <c r="U27" s="1">
        <v>12</v>
      </c>
      <c r="V27" s="1">
        <v>0</v>
      </c>
      <c r="W27" s="1" cm="1">
        <f t="array" ref="W27">SUM(ABS(S27:V27))</f>
        <v>324.55</v>
      </c>
      <c r="X27" s="25">
        <v>1.238</v>
      </c>
      <c r="Y27" s="42">
        <f t="shared" si="6"/>
        <v>100448.22500000001</v>
      </c>
      <c r="Z27" s="20">
        <v>516.7700000000001</v>
      </c>
      <c r="AA27" s="20">
        <f t="shared" si="7"/>
        <v>841.32000000000016</v>
      </c>
      <c r="AB27" s="21">
        <v>0.22999999999999998</v>
      </c>
      <c r="AC27" s="21">
        <v>2.93</v>
      </c>
      <c r="AD27" s="8">
        <f t="shared" si="8"/>
        <v>519.93000000000006</v>
      </c>
      <c r="AE27" s="25">
        <v>1.238</v>
      </c>
      <c r="AF27" s="25">
        <f t="shared" si="9"/>
        <v>160918.33500000002</v>
      </c>
      <c r="AG27" s="25">
        <f t="shared" si="10"/>
        <v>261366.56000000003</v>
      </c>
      <c r="AH27" s="1">
        <f t="shared" si="0"/>
        <v>3069.29</v>
      </c>
      <c r="AI27" s="1">
        <f t="shared" si="1"/>
        <v>3072.83</v>
      </c>
      <c r="AJ27" s="1">
        <v>3397.96</v>
      </c>
      <c r="AK27" s="1">
        <f t="shared" si="2"/>
        <v>-328.67000000000007</v>
      </c>
      <c r="AL27" s="29">
        <f t="shared" si="11"/>
        <v>325.13000000000011</v>
      </c>
      <c r="AM27" s="11">
        <f t="shared" si="3"/>
        <v>2288181.64555</v>
      </c>
    </row>
    <row r="28" spans="1:39" x14ac:dyDescent="0.3">
      <c r="A28" s="39">
        <v>45782.25</v>
      </c>
      <c r="B28" s="1">
        <v>1459.99</v>
      </c>
      <c r="C28" s="11">
        <v>3.2732000000000001</v>
      </c>
      <c r="D28" s="1">
        <v>654.64</v>
      </c>
      <c r="E28" s="11">
        <v>3.0760000000000001</v>
      </c>
      <c r="F28" s="1">
        <v>371.56</v>
      </c>
      <c r="G28" s="11">
        <v>3.53</v>
      </c>
      <c r="H28" s="1">
        <v>-0.87</v>
      </c>
      <c r="I28" s="11">
        <v>3.9300700000000002</v>
      </c>
      <c r="J28" s="1">
        <v>55.14</v>
      </c>
      <c r="K28" s="11">
        <v>3.0940700000000003</v>
      </c>
      <c r="L28" s="1">
        <v>0</v>
      </c>
      <c r="M28" s="11">
        <v>6.2</v>
      </c>
      <c r="N28" s="1">
        <v>40.090000000000003</v>
      </c>
      <c r="O28" s="11">
        <v>2.8224999999999998</v>
      </c>
      <c r="P28" s="1">
        <f t="shared" si="4"/>
        <v>2580.5500000000002</v>
      </c>
      <c r="Q28" s="1">
        <v>2573.56</v>
      </c>
      <c r="R28" s="16">
        <f t="shared" si="5"/>
        <v>2096115.1479750001</v>
      </c>
      <c r="S28" s="1">
        <v>-293.58999999999997</v>
      </c>
      <c r="T28" s="1">
        <v>36.07</v>
      </c>
      <c r="U28" s="1">
        <v>12</v>
      </c>
      <c r="V28" s="1">
        <v>0</v>
      </c>
      <c r="W28" s="1" cm="1">
        <f t="array" ref="W28">SUM(ABS(S28:V28))</f>
        <v>341.65999999999997</v>
      </c>
      <c r="X28" s="25">
        <v>1.238</v>
      </c>
      <c r="Y28" s="42">
        <f t="shared" si="6"/>
        <v>105743.76999999999</v>
      </c>
      <c r="Z28" s="20">
        <v>529.76</v>
      </c>
      <c r="AA28" s="20">
        <f t="shared" si="7"/>
        <v>871.42</v>
      </c>
      <c r="AB28" s="21">
        <v>0.24</v>
      </c>
      <c r="AC28" s="21">
        <v>1.53</v>
      </c>
      <c r="AD28" s="8">
        <f t="shared" si="8"/>
        <v>531.53</v>
      </c>
      <c r="AE28" s="25">
        <v>1.238</v>
      </c>
      <c r="AF28" s="25">
        <f t="shared" si="9"/>
        <v>164508.535</v>
      </c>
      <c r="AG28" s="25">
        <f t="shared" si="10"/>
        <v>270252.30499999999</v>
      </c>
      <c r="AH28" s="1">
        <f t="shared" si="0"/>
        <v>3112.08</v>
      </c>
      <c r="AI28" s="1">
        <f t="shared" si="1"/>
        <v>3105.09</v>
      </c>
      <c r="AJ28" s="1">
        <v>3448.95</v>
      </c>
      <c r="AK28" s="1">
        <f t="shared" si="2"/>
        <v>-336.86999999999989</v>
      </c>
      <c r="AL28" s="29">
        <f t="shared" si="11"/>
        <v>343.85999999999967</v>
      </c>
      <c r="AM28" s="11">
        <f t="shared" si="3"/>
        <v>2366367.4529750003</v>
      </c>
    </row>
    <row r="29" spans="1:39" x14ac:dyDescent="0.3">
      <c r="A29" s="39">
        <v>45782.260416666664</v>
      </c>
      <c r="B29" s="1">
        <v>1467.14</v>
      </c>
      <c r="C29" s="11">
        <v>3.2732000000000001</v>
      </c>
      <c r="D29" s="1">
        <v>627.63</v>
      </c>
      <c r="E29" s="11">
        <v>3.0760000000000001</v>
      </c>
      <c r="F29" s="1">
        <v>398.57</v>
      </c>
      <c r="G29" s="11">
        <v>3.53</v>
      </c>
      <c r="H29" s="1">
        <v>19.329999999999998</v>
      </c>
      <c r="I29" s="11">
        <v>3.65</v>
      </c>
      <c r="J29" s="1">
        <v>44.44</v>
      </c>
      <c r="K29" s="11">
        <v>3.1057299999999999</v>
      </c>
      <c r="L29" s="1">
        <v>0</v>
      </c>
      <c r="M29" s="11">
        <v>6.2</v>
      </c>
      <c r="N29" s="1">
        <v>44.3</v>
      </c>
      <c r="O29" s="11">
        <v>2.8224999999999998</v>
      </c>
      <c r="P29" s="1">
        <f t="shared" si="4"/>
        <v>2601.4100000000003</v>
      </c>
      <c r="Q29" s="1">
        <v>2597.1999999999998</v>
      </c>
      <c r="R29" s="16">
        <f t="shared" si="5"/>
        <v>2118348.6298000002</v>
      </c>
      <c r="S29" s="1">
        <v>-293.75</v>
      </c>
      <c r="T29" s="1">
        <v>36.08</v>
      </c>
      <c r="U29" s="1">
        <v>12</v>
      </c>
      <c r="V29" s="1">
        <v>0</v>
      </c>
      <c r="W29" s="1" cm="1">
        <f t="array" ref="W29">SUM(ABS(S29:V29))</f>
        <v>341.83</v>
      </c>
      <c r="X29" s="25">
        <v>1.238</v>
      </c>
      <c r="Y29" s="42">
        <f t="shared" si="6"/>
        <v>105796.38499999999</v>
      </c>
      <c r="Z29" s="20">
        <v>530.57000000000005</v>
      </c>
      <c r="AA29" s="20">
        <f t="shared" si="7"/>
        <v>872.40000000000009</v>
      </c>
      <c r="AB29" s="21">
        <v>2.34</v>
      </c>
      <c r="AC29" s="21">
        <v>1.58</v>
      </c>
      <c r="AD29" s="8">
        <f t="shared" si="8"/>
        <v>534.49000000000012</v>
      </c>
      <c r="AE29" s="25">
        <v>1.238</v>
      </c>
      <c r="AF29" s="25">
        <f t="shared" si="9"/>
        <v>165424.65500000003</v>
      </c>
      <c r="AG29" s="25">
        <f t="shared" si="10"/>
        <v>271221.04000000004</v>
      </c>
      <c r="AH29" s="1">
        <f t="shared" si="0"/>
        <v>3135.9000000000005</v>
      </c>
      <c r="AI29" s="1">
        <f t="shared" si="1"/>
        <v>3131.69</v>
      </c>
      <c r="AJ29" s="1">
        <v>3476.21</v>
      </c>
      <c r="AK29" s="1">
        <f t="shared" si="2"/>
        <v>-340.30999999999949</v>
      </c>
      <c r="AL29" s="29">
        <f t="shared" si="11"/>
        <v>344.52</v>
      </c>
      <c r="AM29" s="11">
        <f t="shared" si="3"/>
        <v>2389569.6698000003</v>
      </c>
    </row>
    <row r="30" spans="1:39" x14ac:dyDescent="0.3">
      <c r="A30" s="39">
        <v>45782.270833333336</v>
      </c>
      <c r="B30" s="1">
        <v>1470.85</v>
      </c>
      <c r="C30" s="11">
        <v>3.2732000000000001</v>
      </c>
      <c r="D30" s="1">
        <v>627.63</v>
      </c>
      <c r="E30" s="11">
        <v>3.0760000000000001</v>
      </c>
      <c r="F30" s="1">
        <v>398.57</v>
      </c>
      <c r="G30" s="11">
        <v>3.53</v>
      </c>
      <c r="H30" s="1">
        <v>26.46</v>
      </c>
      <c r="I30" s="11">
        <v>3.5102699999999998</v>
      </c>
      <c r="J30" s="1">
        <v>89.43</v>
      </c>
      <c r="K30" s="11">
        <v>2.98082</v>
      </c>
      <c r="L30" s="1">
        <v>0</v>
      </c>
      <c r="M30" s="11">
        <v>6.2</v>
      </c>
      <c r="N30" s="1">
        <v>49.37</v>
      </c>
      <c r="O30" s="11">
        <v>2.8224999999999998</v>
      </c>
      <c r="P30" s="1">
        <f t="shared" si="4"/>
        <v>2662.31</v>
      </c>
      <c r="Q30" s="1">
        <v>2588.84</v>
      </c>
      <c r="R30" s="16">
        <f t="shared" si="5"/>
        <v>2162682.8754500002</v>
      </c>
      <c r="S30" s="1">
        <v>-307.64999999999998</v>
      </c>
      <c r="T30" s="1">
        <v>36.07</v>
      </c>
      <c r="U30" s="1">
        <v>12</v>
      </c>
      <c r="V30" s="1">
        <v>0</v>
      </c>
      <c r="W30" s="1" cm="1">
        <f t="array" ref="W30">SUM(ABS(S30:V30))</f>
        <v>355.71999999999997</v>
      </c>
      <c r="X30" s="25">
        <v>1.238</v>
      </c>
      <c r="Y30" s="42">
        <f t="shared" si="6"/>
        <v>110095.34</v>
      </c>
      <c r="Z30" s="20">
        <v>532.01</v>
      </c>
      <c r="AA30" s="20">
        <f t="shared" si="7"/>
        <v>887.73</v>
      </c>
      <c r="AB30" s="21">
        <v>7.8900000000000006</v>
      </c>
      <c r="AC30" s="21">
        <v>1.3</v>
      </c>
      <c r="AD30" s="8">
        <f t="shared" si="8"/>
        <v>541.19999999999993</v>
      </c>
      <c r="AE30" s="25">
        <v>1.238</v>
      </c>
      <c r="AF30" s="25">
        <f t="shared" si="9"/>
        <v>167501.4</v>
      </c>
      <c r="AG30" s="25">
        <f t="shared" si="10"/>
        <v>277596.74</v>
      </c>
      <c r="AH30" s="1">
        <f t="shared" si="0"/>
        <v>3203.5099999999998</v>
      </c>
      <c r="AI30" s="1">
        <f t="shared" si="1"/>
        <v>3130.04</v>
      </c>
      <c r="AJ30" s="1">
        <v>3486.14</v>
      </c>
      <c r="AK30" s="1">
        <f t="shared" si="2"/>
        <v>-282.63000000000011</v>
      </c>
      <c r="AL30" s="29">
        <f t="shared" si="11"/>
        <v>356.09999999999991</v>
      </c>
      <c r="AM30" s="11">
        <f t="shared" si="3"/>
        <v>2440279.6154500004</v>
      </c>
    </row>
    <row r="31" spans="1:39" x14ac:dyDescent="0.3">
      <c r="A31" s="39">
        <v>45782.28125</v>
      </c>
      <c r="B31" s="1">
        <v>1471.12</v>
      </c>
      <c r="C31" s="11">
        <v>3.2732000000000001</v>
      </c>
      <c r="D31" s="1">
        <v>627.63</v>
      </c>
      <c r="E31" s="11">
        <v>3.0760000000000001</v>
      </c>
      <c r="F31" s="1">
        <v>398.57</v>
      </c>
      <c r="G31" s="11">
        <v>3.53</v>
      </c>
      <c r="H31" s="1">
        <v>48.77</v>
      </c>
      <c r="I31" s="11">
        <v>3.4220199999999998</v>
      </c>
      <c r="J31" s="1">
        <v>75.150000000000006</v>
      </c>
      <c r="K31" s="11">
        <v>2.6291199999999999</v>
      </c>
      <c r="L31" s="1">
        <v>0</v>
      </c>
      <c r="M31" s="11">
        <v>6.2</v>
      </c>
      <c r="N31" s="1">
        <v>58.68</v>
      </c>
      <c r="O31" s="11">
        <v>2.8224999999999998</v>
      </c>
      <c r="P31" s="1">
        <f t="shared" si="4"/>
        <v>2679.92</v>
      </c>
      <c r="Q31" s="1">
        <v>2670.35</v>
      </c>
      <c r="R31" s="16">
        <f t="shared" si="5"/>
        <v>2170726.6368499999</v>
      </c>
      <c r="S31" s="1">
        <v>-250.29</v>
      </c>
      <c r="T31" s="1">
        <v>36.08</v>
      </c>
      <c r="U31" s="1">
        <v>12</v>
      </c>
      <c r="V31" s="1">
        <v>0</v>
      </c>
      <c r="W31" s="1" cm="1">
        <f t="array" ref="W31">SUM(ABS(S31:V31))</f>
        <v>298.37</v>
      </c>
      <c r="X31" s="25">
        <v>1.238</v>
      </c>
      <c r="Y31" s="42">
        <f t="shared" si="6"/>
        <v>92345.514999999999</v>
      </c>
      <c r="Z31" s="20">
        <v>528.81999999999994</v>
      </c>
      <c r="AA31" s="20">
        <f t="shared" si="7"/>
        <v>827.18999999999994</v>
      </c>
      <c r="AB31" s="21">
        <v>13.82</v>
      </c>
      <c r="AC31" s="21">
        <v>0.88</v>
      </c>
      <c r="AD31" s="8">
        <f t="shared" si="8"/>
        <v>543.52</v>
      </c>
      <c r="AE31" s="25">
        <v>1.238</v>
      </c>
      <c r="AF31" s="25">
        <f t="shared" si="9"/>
        <v>168219.44</v>
      </c>
      <c r="AG31" s="25">
        <f t="shared" si="10"/>
        <v>260564.95500000002</v>
      </c>
      <c r="AH31" s="1">
        <f t="shared" si="0"/>
        <v>3223.44</v>
      </c>
      <c r="AI31" s="1">
        <f t="shared" si="1"/>
        <v>3213.87</v>
      </c>
      <c r="AJ31" s="1">
        <v>3515.68</v>
      </c>
      <c r="AK31" s="1">
        <f t="shared" si="2"/>
        <v>-292.23999999999978</v>
      </c>
      <c r="AL31" s="29">
        <f t="shared" si="11"/>
        <v>301.80999999999995</v>
      </c>
      <c r="AM31" s="11">
        <f t="shared" si="3"/>
        <v>2431291.59185</v>
      </c>
    </row>
    <row r="32" spans="1:39" x14ac:dyDescent="0.3">
      <c r="A32" s="39">
        <v>45782.291666666664</v>
      </c>
      <c r="B32" s="1">
        <v>1469.82</v>
      </c>
      <c r="C32" s="11">
        <v>3.2732000000000001</v>
      </c>
      <c r="D32" s="1">
        <v>627.63</v>
      </c>
      <c r="E32" s="11">
        <v>3.0760000000000001</v>
      </c>
      <c r="F32" s="1">
        <v>398.57</v>
      </c>
      <c r="G32" s="11">
        <v>3.53</v>
      </c>
      <c r="H32" s="1">
        <v>67.73</v>
      </c>
      <c r="I32" s="11">
        <v>3.1889600000000002</v>
      </c>
      <c r="J32" s="1">
        <v>96.87</v>
      </c>
      <c r="K32" s="11">
        <v>2.49932</v>
      </c>
      <c r="L32" s="1">
        <v>0</v>
      </c>
      <c r="M32" s="11">
        <v>6.2</v>
      </c>
      <c r="N32" s="1">
        <v>66.92</v>
      </c>
      <c r="O32" s="11">
        <v>2.8224999999999998</v>
      </c>
      <c r="P32" s="1">
        <f t="shared" si="4"/>
        <v>2727.54</v>
      </c>
      <c r="Q32" s="1">
        <v>2674.3</v>
      </c>
      <c r="R32" s="16">
        <f t="shared" si="5"/>
        <v>2198883.9733000002</v>
      </c>
      <c r="S32" s="1">
        <v>-257.08999999999997</v>
      </c>
      <c r="T32" s="1">
        <v>36.090000000000003</v>
      </c>
      <c r="U32" s="1">
        <v>12</v>
      </c>
      <c r="V32" s="1">
        <v>0</v>
      </c>
      <c r="W32" s="1" cm="1">
        <f t="array" ref="W32">SUM(ABS(S32:V32))</f>
        <v>305.17999999999995</v>
      </c>
      <c r="X32" s="25">
        <v>1.238</v>
      </c>
      <c r="Y32" s="42">
        <f t="shared" si="6"/>
        <v>94453.209999999977</v>
      </c>
      <c r="Z32" s="20">
        <v>508.68</v>
      </c>
      <c r="AA32" s="20">
        <f t="shared" si="7"/>
        <v>813.8599999999999</v>
      </c>
      <c r="AB32" s="21">
        <v>18.850000000000001</v>
      </c>
      <c r="AC32" s="21">
        <v>1</v>
      </c>
      <c r="AD32" s="8">
        <f t="shared" si="8"/>
        <v>528.53</v>
      </c>
      <c r="AE32" s="25">
        <v>1.238</v>
      </c>
      <c r="AF32" s="25">
        <f t="shared" si="9"/>
        <v>163580.03499999997</v>
      </c>
      <c r="AG32" s="25">
        <f t="shared" si="10"/>
        <v>258033.24499999994</v>
      </c>
      <c r="AH32" s="1">
        <f t="shared" si="0"/>
        <v>3256.0699999999997</v>
      </c>
      <c r="AI32" s="1">
        <f t="shared" si="1"/>
        <v>3202.83</v>
      </c>
      <c r="AJ32" s="1">
        <v>3504.97</v>
      </c>
      <c r="AK32" s="1">
        <f t="shared" si="2"/>
        <v>-248.90000000000009</v>
      </c>
      <c r="AL32" s="29">
        <f t="shared" si="11"/>
        <v>302.13999999999987</v>
      </c>
      <c r="AM32" s="11">
        <f t="shared" si="3"/>
        <v>2456917.2183000003</v>
      </c>
    </row>
    <row r="33" spans="1:39" x14ac:dyDescent="0.3">
      <c r="A33" s="39">
        <v>45782.302083333336</v>
      </c>
      <c r="B33" s="1">
        <v>1469.71</v>
      </c>
      <c r="C33" s="11">
        <v>3.2732000000000001</v>
      </c>
      <c r="D33" s="1">
        <v>627.63</v>
      </c>
      <c r="E33" s="11">
        <v>3.0760000000000001</v>
      </c>
      <c r="F33" s="1">
        <v>398.57</v>
      </c>
      <c r="G33" s="11">
        <v>3.53</v>
      </c>
      <c r="H33" s="1">
        <v>74.22</v>
      </c>
      <c r="I33" s="11">
        <v>2.9482399999999997</v>
      </c>
      <c r="J33" s="1">
        <v>93.83</v>
      </c>
      <c r="K33" s="11">
        <v>2.266</v>
      </c>
      <c r="L33" s="1">
        <v>0</v>
      </c>
      <c r="M33" s="11">
        <v>6.2</v>
      </c>
      <c r="N33" s="1">
        <v>85.97</v>
      </c>
      <c r="O33" s="11">
        <v>2.8224999999999998</v>
      </c>
      <c r="P33" s="1">
        <f t="shared" si="4"/>
        <v>2749.93</v>
      </c>
      <c r="Q33" s="1">
        <v>2652.71</v>
      </c>
      <c r="R33" s="16">
        <f t="shared" si="5"/>
        <v>2205571.0574500002</v>
      </c>
      <c r="S33" s="1">
        <v>-251.28</v>
      </c>
      <c r="T33" s="1">
        <v>36.1</v>
      </c>
      <c r="U33" s="1">
        <v>12</v>
      </c>
      <c r="V33" s="1">
        <v>0</v>
      </c>
      <c r="W33" s="1" cm="1">
        <f t="array" ref="W33">SUM(ABS(S33:V33))</f>
        <v>299.38</v>
      </c>
      <c r="X33" s="25">
        <v>1.238</v>
      </c>
      <c r="Y33" s="42">
        <f t="shared" si="6"/>
        <v>92658.11</v>
      </c>
      <c r="Z33" s="20">
        <v>514.11</v>
      </c>
      <c r="AA33" s="20">
        <f t="shared" si="7"/>
        <v>813.49</v>
      </c>
      <c r="AB33" s="21">
        <v>27.4</v>
      </c>
      <c r="AC33" s="21">
        <v>0.31000000000000005</v>
      </c>
      <c r="AD33" s="8">
        <f t="shared" si="8"/>
        <v>541.81999999999994</v>
      </c>
      <c r="AE33" s="25">
        <v>1.238</v>
      </c>
      <c r="AF33" s="25">
        <f t="shared" si="9"/>
        <v>167693.28999999998</v>
      </c>
      <c r="AG33" s="25">
        <f t="shared" si="10"/>
        <v>260351.39999999997</v>
      </c>
      <c r="AH33" s="1">
        <f t="shared" si="0"/>
        <v>3291.75</v>
      </c>
      <c r="AI33" s="1">
        <f t="shared" si="1"/>
        <v>3194.5299999999997</v>
      </c>
      <c r="AJ33" s="1">
        <v>3490.98</v>
      </c>
      <c r="AK33" s="1">
        <f t="shared" si="2"/>
        <v>-199.23000000000002</v>
      </c>
      <c r="AL33" s="29">
        <f t="shared" si="11"/>
        <v>296.45000000000027</v>
      </c>
      <c r="AM33" s="11">
        <f t="shared" si="3"/>
        <v>2465922.4574500001</v>
      </c>
    </row>
    <row r="34" spans="1:39" x14ac:dyDescent="0.3">
      <c r="A34" s="39">
        <v>45782.3125</v>
      </c>
      <c r="B34" s="1">
        <v>1467.86</v>
      </c>
      <c r="C34" s="11">
        <v>3.2732000000000001</v>
      </c>
      <c r="D34" s="1">
        <v>627.63</v>
      </c>
      <c r="E34" s="11">
        <v>3.0760000000000001</v>
      </c>
      <c r="F34" s="1">
        <v>398.57</v>
      </c>
      <c r="G34" s="11">
        <v>3.53</v>
      </c>
      <c r="H34" s="1">
        <v>75.849999999999994</v>
      </c>
      <c r="I34" s="11">
        <v>2.7506399999999998</v>
      </c>
      <c r="J34" s="1">
        <v>93.45</v>
      </c>
      <c r="K34" s="11">
        <v>1.9952999999999999</v>
      </c>
      <c r="L34" s="1">
        <v>0</v>
      </c>
      <c r="M34" s="11">
        <v>6.2</v>
      </c>
      <c r="N34" s="1">
        <v>99.34</v>
      </c>
      <c r="O34" s="11">
        <v>2.8224999999999998</v>
      </c>
      <c r="P34" s="1">
        <f t="shared" si="4"/>
        <v>2762.7</v>
      </c>
      <c r="Q34" s="1">
        <v>2779.35</v>
      </c>
      <c r="R34" s="16">
        <f t="shared" si="5"/>
        <v>2204406.3277500002</v>
      </c>
      <c r="S34" s="1">
        <v>-221.26</v>
      </c>
      <c r="T34" s="1">
        <v>36.11</v>
      </c>
      <c r="U34" s="1">
        <v>12</v>
      </c>
      <c r="V34" s="1">
        <v>0</v>
      </c>
      <c r="W34" s="1" cm="1">
        <f t="array" ref="W34">SUM(ABS(S34:V34))</f>
        <v>269.37</v>
      </c>
      <c r="X34" s="25">
        <v>1.238</v>
      </c>
      <c r="Y34" s="42">
        <f t="shared" si="6"/>
        <v>83370.014999999999</v>
      </c>
      <c r="Z34" s="20">
        <v>372.25000000000006</v>
      </c>
      <c r="AA34" s="20">
        <f t="shared" si="7"/>
        <v>641.62000000000012</v>
      </c>
      <c r="AB34" s="21">
        <v>38.279999999999994</v>
      </c>
      <c r="AC34" s="21">
        <v>0.05</v>
      </c>
      <c r="AD34" s="8">
        <f t="shared" si="8"/>
        <v>410.58000000000004</v>
      </c>
      <c r="AE34" s="25">
        <v>1.238</v>
      </c>
      <c r="AF34" s="25">
        <f t="shared" si="9"/>
        <v>127074.51000000002</v>
      </c>
      <c r="AG34" s="25">
        <f t="shared" si="10"/>
        <v>210444.52500000002</v>
      </c>
      <c r="AH34" s="1">
        <f t="shared" si="0"/>
        <v>3173.2799999999997</v>
      </c>
      <c r="AI34" s="1">
        <f t="shared" si="1"/>
        <v>3189.93</v>
      </c>
      <c r="AJ34" s="1">
        <v>3461.86</v>
      </c>
      <c r="AK34" s="1">
        <f t="shared" si="2"/>
        <v>-288.58000000000038</v>
      </c>
      <c r="AL34" s="29">
        <f t="shared" si="11"/>
        <v>271.93000000000029</v>
      </c>
      <c r="AM34" s="11">
        <f t="shared" si="3"/>
        <v>2414850.8527500001</v>
      </c>
    </row>
    <row r="35" spans="1:39" x14ac:dyDescent="0.3">
      <c r="A35" s="39">
        <v>45782.322916666664</v>
      </c>
      <c r="B35" s="1">
        <v>1467.68</v>
      </c>
      <c r="C35" s="11">
        <v>3.2732000000000001</v>
      </c>
      <c r="D35" s="1">
        <v>627.63</v>
      </c>
      <c r="E35" s="11">
        <v>3.0760000000000001</v>
      </c>
      <c r="F35" s="1">
        <v>398.57</v>
      </c>
      <c r="G35" s="11">
        <v>3.53</v>
      </c>
      <c r="H35" s="1">
        <v>75.88</v>
      </c>
      <c r="I35" s="11">
        <v>2.3962300000000001</v>
      </c>
      <c r="J35" s="1">
        <v>93.45</v>
      </c>
      <c r="K35" s="11">
        <v>1.79721</v>
      </c>
      <c r="L35" s="1">
        <v>0</v>
      </c>
      <c r="M35" s="11">
        <v>6.2</v>
      </c>
      <c r="N35" s="1">
        <v>120.66</v>
      </c>
      <c r="O35" s="11">
        <v>2.8224999999999998</v>
      </c>
      <c r="P35" s="1">
        <f t="shared" si="4"/>
        <v>2783.87</v>
      </c>
      <c r="Q35" s="1">
        <v>2742.31</v>
      </c>
      <c r="R35" s="16">
        <f t="shared" si="5"/>
        <v>2207972.5532250004</v>
      </c>
      <c r="S35" s="1">
        <v>-252.75</v>
      </c>
      <c r="T35" s="1">
        <v>36.090000000000003</v>
      </c>
      <c r="U35" s="1">
        <v>12</v>
      </c>
      <c r="V35" s="1">
        <v>0</v>
      </c>
      <c r="W35" s="1" cm="1">
        <f t="array" ref="W35">SUM(ABS(S35:V35))</f>
        <v>300.84000000000003</v>
      </c>
      <c r="X35" s="25">
        <v>1.238</v>
      </c>
      <c r="Y35" s="42">
        <f t="shared" si="6"/>
        <v>93109.98000000001</v>
      </c>
      <c r="Z35" s="20">
        <v>343.24</v>
      </c>
      <c r="AA35" s="20">
        <f t="shared" si="7"/>
        <v>644.08000000000004</v>
      </c>
      <c r="AB35" s="21">
        <v>55.7</v>
      </c>
      <c r="AC35" s="21">
        <v>0.12</v>
      </c>
      <c r="AD35" s="8">
        <f t="shared" si="8"/>
        <v>399.06</v>
      </c>
      <c r="AE35" s="25">
        <v>1.238</v>
      </c>
      <c r="AF35" s="25">
        <f t="shared" si="9"/>
        <v>123509.06999999999</v>
      </c>
      <c r="AG35" s="25">
        <f t="shared" si="10"/>
        <v>216619.05</v>
      </c>
      <c r="AH35" s="1">
        <f t="shared" si="0"/>
        <v>3182.93</v>
      </c>
      <c r="AI35" s="1">
        <f t="shared" si="1"/>
        <v>3141.37</v>
      </c>
      <c r="AJ35" s="1">
        <v>3440.71</v>
      </c>
      <c r="AK35" s="1">
        <f t="shared" si="2"/>
        <v>-257.7800000000002</v>
      </c>
      <c r="AL35" s="29">
        <f t="shared" si="11"/>
        <v>299.34000000000015</v>
      </c>
      <c r="AM35" s="11">
        <f t="shared" si="3"/>
        <v>2424591.6032250002</v>
      </c>
    </row>
    <row r="36" spans="1:39" x14ac:dyDescent="0.3">
      <c r="A36" s="39">
        <v>45782.333333333336</v>
      </c>
      <c r="B36" s="1">
        <v>1445.54</v>
      </c>
      <c r="C36" s="11">
        <v>3.2732000000000001</v>
      </c>
      <c r="D36" s="1">
        <v>627.63</v>
      </c>
      <c r="E36" s="11">
        <v>3.0760000000000001</v>
      </c>
      <c r="F36" s="1">
        <v>398.57</v>
      </c>
      <c r="G36" s="11">
        <v>3.53</v>
      </c>
      <c r="H36" s="1">
        <v>58.78</v>
      </c>
      <c r="I36" s="11">
        <v>1.9994400000000001</v>
      </c>
      <c r="J36" s="1">
        <v>62.9</v>
      </c>
      <c r="K36" s="11">
        <v>1.7669000000000001</v>
      </c>
      <c r="L36" s="1">
        <v>51.08</v>
      </c>
      <c r="M36" s="11">
        <v>6.2</v>
      </c>
      <c r="N36" s="1">
        <v>145.35</v>
      </c>
      <c r="O36" s="11">
        <v>2.8224999999999998</v>
      </c>
      <c r="P36" s="1">
        <f t="shared" si="4"/>
        <v>2789.8500000000004</v>
      </c>
      <c r="Q36" s="1">
        <v>2745.12</v>
      </c>
      <c r="R36" s="16">
        <f t="shared" si="5"/>
        <v>2256173.7440499999</v>
      </c>
      <c r="S36" s="1">
        <v>-268.52999999999997</v>
      </c>
      <c r="T36" s="1">
        <v>36.049999999999997</v>
      </c>
      <c r="U36" s="1">
        <v>12</v>
      </c>
      <c r="V36" s="1">
        <v>0</v>
      </c>
      <c r="W36" s="1" cm="1">
        <f t="array" ref="W36">SUM(ABS(S36:V36))</f>
        <v>316.58</v>
      </c>
      <c r="X36" s="25">
        <v>1.238</v>
      </c>
      <c r="Y36" s="42">
        <f t="shared" si="6"/>
        <v>97981.51</v>
      </c>
      <c r="Z36" s="20">
        <v>325.87000000000006</v>
      </c>
      <c r="AA36" s="20">
        <f t="shared" si="7"/>
        <v>642.45000000000005</v>
      </c>
      <c r="AB36" s="21">
        <v>68.23</v>
      </c>
      <c r="AC36" s="21">
        <v>0.12</v>
      </c>
      <c r="AD36" s="8">
        <f t="shared" si="8"/>
        <v>394.22000000000008</v>
      </c>
      <c r="AE36" s="25">
        <v>1.238</v>
      </c>
      <c r="AF36" s="25">
        <f t="shared" si="9"/>
        <v>122011.09000000003</v>
      </c>
      <c r="AG36" s="25">
        <f t="shared" si="10"/>
        <v>219992.60000000003</v>
      </c>
      <c r="AH36" s="1">
        <f t="shared" si="0"/>
        <v>3184.0700000000006</v>
      </c>
      <c r="AI36" s="1">
        <f t="shared" si="1"/>
        <v>3139.34</v>
      </c>
      <c r="AJ36" s="1">
        <v>3452.78</v>
      </c>
      <c r="AK36" s="1">
        <f t="shared" si="2"/>
        <v>-268.70999999999958</v>
      </c>
      <c r="AL36" s="29">
        <f t="shared" si="11"/>
        <v>313.44000000000005</v>
      </c>
      <c r="AM36" s="11">
        <f t="shared" si="3"/>
        <v>2476166.34405</v>
      </c>
    </row>
    <row r="37" spans="1:39" x14ac:dyDescent="0.3">
      <c r="A37" s="39">
        <v>45782.34375</v>
      </c>
      <c r="B37" s="1">
        <v>1418.52</v>
      </c>
      <c r="C37" s="11">
        <v>3.2732000000000001</v>
      </c>
      <c r="D37" s="1">
        <v>627.63</v>
      </c>
      <c r="E37" s="11">
        <v>3.0760000000000001</v>
      </c>
      <c r="F37" s="1">
        <v>398.57</v>
      </c>
      <c r="G37" s="11">
        <v>3.53</v>
      </c>
      <c r="H37" s="1">
        <v>49.99</v>
      </c>
      <c r="I37" s="11">
        <v>1.9996099999999999</v>
      </c>
      <c r="J37" s="1">
        <v>59.96</v>
      </c>
      <c r="K37" s="11">
        <v>1.9758900000000001</v>
      </c>
      <c r="L37" s="1">
        <v>62.88</v>
      </c>
      <c r="M37" s="11">
        <v>6.2</v>
      </c>
      <c r="N37" s="1">
        <v>172.21</v>
      </c>
      <c r="O37" s="11">
        <v>2.8224999999999998</v>
      </c>
      <c r="P37" s="1">
        <f t="shared" si="4"/>
        <v>2789.76</v>
      </c>
      <c r="Q37" s="1">
        <v>2764.53</v>
      </c>
      <c r="R37" s="16">
        <f t="shared" si="5"/>
        <v>2268748.8093250003</v>
      </c>
      <c r="S37" s="1">
        <v>-264.17</v>
      </c>
      <c r="T37" s="1">
        <v>36.01</v>
      </c>
      <c r="U37" s="1">
        <v>12</v>
      </c>
      <c r="V37" s="1">
        <v>0</v>
      </c>
      <c r="W37" s="1" cm="1">
        <f t="array" ref="W37">SUM(ABS(S37:V37))</f>
        <v>312.18</v>
      </c>
      <c r="X37" s="25">
        <v>1.238</v>
      </c>
      <c r="Y37" s="42">
        <f t="shared" si="6"/>
        <v>96619.709999999992</v>
      </c>
      <c r="Z37" s="20">
        <v>321.34000000000003</v>
      </c>
      <c r="AA37" s="20">
        <f t="shared" si="7"/>
        <v>633.52</v>
      </c>
      <c r="AB37" s="21">
        <v>79.84</v>
      </c>
      <c r="AC37" s="21">
        <v>0.1</v>
      </c>
      <c r="AD37" s="8">
        <f t="shared" si="8"/>
        <v>401.28000000000009</v>
      </c>
      <c r="AE37" s="25">
        <v>1.238</v>
      </c>
      <c r="AF37" s="25">
        <f t="shared" si="9"/>
        <v>124196.16000000002</v>
      </c>
      <c r="AG37" s="25">
        <f t="shared" si="10"/>
        <v>220815.87</v>
      </c>
      <c r="AH37" s="1">
        <f t="shared" si="0"/>
        <v>3191.0400000000004</v>
      </c>
      <c r="AI37" s="1">
        <f t="shared" si="1"/>
        <v>3165.8100000000004</v>
      </c>
      <c r="AJ37" s="1">
        <v>3479.82</v>
      </c>
      <c r="AK37" s="1">
        <f t="shared" si="2"/>
        <v>-288.77999999999975</v>
      </c>
      <c r="AL37" s="29">
        <f t="shared" si="11"/>
        <v>314.00999999999976</v>
      </c>
      <c r="AM37" s="11">
        <f t="shared" si="3"/>
        <v>2489564.6793250004</v>
      </c>
    </row>
    <row r="38" spans="1:39" x14ac:dyDescent="0.3">
      <c r="A38" s="39">
        <v>45782.354166666664</v>
      </c>
      <c r="B38" s="1">
        <v>1349.17</v>
      </c>
      <c r="C38" s="11">
        <v>3.2732000000000001</v>
      </c>
      <c r="D38" s="1">
        <v>627.63</v>
      </c>
      <c r="E38" s="11">
        <v>3.0760000000000001</v>
      </c>
      <c r="F38" s="1">
        <v>398.57</v>
      </c>
      <c r="G38" s="11">
        <v>3.53</v>
      </c>
      <c r="H38" s="1">
        <v>49.42</v>
      </c>
      <c r="I38" s="11">
        <v>1.8045199999999999</v>
      </c>
      <c r="J38" s="1">
        <v>59.96</v>
      </c>
      <c r="K38" s="11">
        <v>2.02135</v>
      </c>
      <c r="L38" s="1">
        <v>63.96</v>
      </c>
      <c r="M38" s="11">
        <v>6.2</v>
      </c>
      <c r="N38" s="1">
        <v>200.31</v>
      </c>
      <c r="O38" s="11">
        <v>2.8224999999999998</v>
      </c>
      <c r="P38" s="1">
        <f t="shared" si="4"/>
        <v>2749.0200000000004</v>
      </c>
      <c r="Q38" s="1">
        <v>2766.52</v>
      </c>
      <c r="R38" s="16">
        <f t="shared" si="5"/>
        <v>2231487.9308500006</v>
      </c>
      <c r="S38" s="1">
        <v>-257.77</v>
      </c>
      <c r="T38" s="1">
        <v>35.979999999999997</v>
      </c>
      <c r="U38" s="1">
        <v>12</v>
      </c>
      <c r="V38" s="1">
        <v>0</v>
      </c>
      <c r="W38" s="1" cm="1">
        <f t="array" ref="W38">SUM(ABS(S38:V38))</f>
        <v>305.75</v>
      </c>
      <c r="X38" s="25">
        <v>1.238</v>
      </c>
      <c r="Y38" s="42">
        <f t="shared" si="6"/>
        <v>94629.625</v>
      </c>
      <c r="Z38" s="20">
        <v>318.32</v>
      </c>
      <c r="AA38" s="20">
        <f t="shared" si="7"/>
        <v>624.06999999999994</v>
      </c>
      <c r="AB38" s="21">
        <v>94.02000000000001</v>
      </c>
      <c r="AC38" s="21">
        <v>0.21999999999999997</v>
      </c>
      <c r="AD38" s="8">
        <f t="shared" si="8"/>
        <v>412.56000000000006</v>
      </c>
      <c r="AE38" s="25">
        <v>1.238</v>
      </c>
      <c r="AF38" s="25">
        <f t="shared" si="9"/>
        <v>127687.32</v>
      </c>
      <c r="AG38" s="25">
        <f t="shared" si="10"/>
        <v>222316.94500000001</v>
      </c>
      <c r="AH38" s="1">
        <f t="shared" si="0"/>
        <v>3161.5800000000004</v>
      </c>
      <c r="AI38" s="1">
        <f t="shared" si="1"/>
        <v>3179.08</v>
      </c>
      <c r="AJ38" s="1">
        <v>3486.59</v>
      </c>
      <c r="AK38" s="1">
        <f t="shared" si="2"/>
        <v>-325.00999999999976</v>
      </c>
      <c r="AL38" s="29">
        <f t="shared" si="11"/>
        <v>307.51000000000022</v>
      </c>
      <c r="AM38" s="11">
        <f t="shared" si="3"/>
        <v>2453804.8758500004</v>
      </c>
    </row>
    <row r="39" spans="1:39" x14ac:dyDescent="0.3">
      <c r="A39" s="39">
        <v>45782.364583333336</v>
      </c>
      <c r="B39" s="1">
        <v>1328.54</v>
      </c>
      <c r="C39" s="11">
        <v>3.2732000000000001</v>
      </c>
      <c r="D39" s="1">
        <v>627.63</v>
      </c>
      <c r="E39" s="11">
        <v>3.0760000000000001</v>
      </c>
      <c r="F39" s="1">
        <v>398.57</v>
      </c>
      <c r="G39" s="11">
        <v>3.53</v>
      </c>
      <c r="H39" s="1">
        <v>31.15</v>
      </c>
      <c r="I39" s="11">
        <v>1.7940199999999999</v>
      </c>
      <c r="J39" s="1">
        <v>59.96</v>
      </c>
      <c r="K39" s="11">
        <v>2.0354999999999999</v>
      </c>
      <c r="L39" s="1">
        <v>82</v>
      </c>
      <c r="M39" s="11">
        <v>6.2</v>
      </c>
      <c r="N39" s="1">
        <v>215.73</v>
      </c>
      <c r="O39" s="11">
        <v>2.8224999999999998</v>
      </c>
      <c r="P39" s="1">
        <f t="shared" si="4"/>
        <v>2743.5800000000004</v>
      </c>
      <c r="Q39" s="1">
        <v>2802.58</v>
      </c>
      <c r="R39" s="16">
        <f t="shared" si="5"/>
        <v>2245337.3339999998</v>
      </c>
      <c r="S39" s="1">
        <v>-225.2</v>
      </c>
      <c r="T39" s="1">
        <v>35.93</v>
      </c>
      <c r="U39" s="1">
        <v>12</v>
      </c>
      <c r="V39" s="1">
        <v>0</v>
      </c>
      <c r="W39" s="1" cm="1">
        <f t="array" ref="W39">SUM(ABS(S39:V39))</f>
        <v>273.13</v>
      </c>
      <c r="X39" s="25">
        <v>1.238</v>
      </c>
      <c r="Y39" s="42">
        <f t="shared" si="6"/>
        <v>84533.734999999986</v>
      </c>
      <c r="Z39" s="20">
        <v>314.24</v>
      </c>
      <c r="AA39" s="20">
        <f t="shared" si="7"/>
        <v>587.37</v>
      </c>
      <c r="AB39" s="21">
        <v>106.89999999999999</v>
      </c>
      <c r="AC39" s="21">
        <v>0.2</v>
      </c>
      <c r="AD39" s="8">
        <f t="shared" si="8"/>
        <v>421.34</v>
      </c>
      <c r="AE39" s="25">
        <v>1.238</v>
      </c>
      <c r="AF39" s="25">
        <f t="shared" si="9"/>
        <v>130404.73</v>
      </c>
      <c r="AG39" s="25">
        <f t="shared" si="10"/>
        <v>214938.46499999997</v>
      </c>
      <c r="AH39" s="1">
        <f t="shared" si="0"/>
        <v>3164.9200000000005</v>
      </c>
      <c r="AI39" s="1">
        <f t="shared" si="1"/>
        <v>3223.92</v>
      </c>
      <c r="AJ39" s="1">
        <v>3506.4</v>
      </c>
      <c r="AK39" s="1">
        <f t="shared" si="2"/>
        <v>-341.47999999999956</v>
      </c>
      <c r="AL39" s="29">
        <f t="shared" si="11"/>
        <v>282.48</v>
      </c>
      <c r="AM39" s="11">
        <f t="shared" si="3"/>
        <v>2460275.7989999996</v>
      </c>
    </row>
    <row r="40" spans="1:39" x14ac:dyDescent="0.3">
      <c r="A40" s="39">
        <v>45782.375</v>
      </c>
      <c r="B40" s="1">
        <v>1132.95</v>
      </c>
      <c r="C40" s="11">
        <v>3.2732000000000001</v>
      </c>
      <c r="D40" s="1">
        <v>627.63</v>
      </c>
      <c r="E40" s="11">
        <v>3.0760000000000001</v>
      </c>
      <c r="F40" s="1">
        <v>398.57</v>
      </c>
      <c r="G40" s="11">
        <v>3.53</v>
      </c>
      <c r="H40" s="1">
        <v>32.06</v>
      </c>
      <c r="I40" s="11">
        <v>1.75708</v>
      </c>
      <c r="J40" s="1">
        <v>122.58</v>
      </c>
      <c r="K40" s="11">
        <v>2.27536</v>
      </c>
      <c r="L40" s="1">
        <v>83.85</v>
      </c>
      <c r="M40" s="11">
        <v>6.2</v>
      </c>
      <c r="N40" s="1">
        <v>241.84</v>
      </c>
      <c r="O40" s="11">
        <v>2.8224999999999998</v>
      </c>
      <c r="P40" s="1">
        <f t="shared" si="4"/>
        <v>2639.48</v>
      </c>
      <c r="Q40" s="1">
        <v>2806.04</v>
      </c>
      <c r="R40" s="16">
        <f t="shared" si="5"/>
        <v>2145905.7334000003</v>
      </c>
      <c r="S40" s="1">
        <v>-196.85</v>
      </c>
      <c r="T40" s="1">
        <v>35.9</v>
      </c>
      <c r="U40" s="1">
        <v>12</v>
      </c>
      <c r="V40" s="1">
        <v>0</v>
      </c>
      <c r="W40" s="1" cm="1">
        <f t="array" ref="W40">SUM(ABS(S40:V40))</f>
        <v>244.75</v>
      </c>
      <c r="X40" s="25">
        <v>1.238</v>
      </c>
      <c r="Y40" s="42">
        <f t="shared" si="6"/>
        <v>75750.125</v>
      </c>
      <c r="Z40" s="20">
        <v>369.79000000000008</v>
      </c>
      <c r="AA40" s="20">
        <f t="shared" si="7"/>
        <v>614.54000000000008</v>
      </c>
      <c r="AB40" s="21">
        <v>120.23</v>
      </c>
      <c r="AC40" s="21">
        <v>0.12000000000000001</v>
      </c>
      <c r="AD40" s="8">
        <f t="shared" si="8"/>
        <v>490.1400000000001</v>
      </c>
      <c r="AE40" s="25">
        <v>1.238</v>
      </c>
      <c r="AF40" s="25">
        <f t="shared" si="9"/>
        <v>151698.33000000002</v>
      </c>
      <c r="AG40" s="25">
        <f t="shared" si="10"/>
        <v>227448.45500000002</v>
      </c>
      <c r="AH40" s="1">
        <f t="shared" si="0"/>
        <v>3129.62</v>
      </c>
      <c r="AI40" s="1">
        <f t="shared" si="1"/>
        <v>3296.1800000000003</v>
      </c>
      <c r="AJ40" s="1">
        <v>3546.37</v>
      </c>
      <c r="AK40" s="1">
        <f t="shared" si="2"/>
        <v>-416.75</v>
      </c>
      <c r="AL40" s="29">
        <f t="shared" si="11"/>
        <v>250.1899999999996</v>
      </c>
      <c r="AM40" s="11">
        <f t="shared" si="3"/>
        <v>2373354.1884000003</v>
      </c>
    </row>
    <row r="41" spans="1:39" x14ac:dyDescent="0.3">
      <c r="A41" s="39">
        <v>45782.385416666664</v>
      </c>
      <c r="B41" s="1">
        <v>1075.3</v>
      </c>
      <c r="C41" s="11">
        <v>3.2732000000000001</v>
      </c>
      <c r="D41" s="1">
        <v>627.63</v>
      </c>
      <c r="E41" s="11">
        <v>3.0760000000000001</v>
      </c>
      <c r="F41" s="1">
        <v>398.57</v>
      </c>
      <c r="G41" s="11">
        <v>3.53</v>
      </c>
      <c r="H41" s="1">
        <v>32.24</v>
      </c>
      <c r="I41" s="11">
        <v>1.76633</v>
      </c>
      <c r="J41" s="1">
        <v>178.22</v>
      </c>
      <c r="K41" s="11">
        <v>2.5103200000000001</v>
      </c>
      <c r="L41" s="1">
        <v>84.07</v>
      </c>
      <c r="M41" s="11">
        <v>6.2</v>
      </c>
      <c r="N41" s="1">
        <v>262.89999999999998</v>
      </c>
      <c r="O41" s="11">
        <v>2.8224999999999998</v>
      </c>
      <c r="P41" s="1">
        <f t="shared" si="4"/>
        <v>2658.93</v>
      </c>
      <c r="Q41" s="1">
        <v>2879.38</v>
      </c>
      <c r="R41" s="16">
        <f t="shared" si="5"/>
        <v>2156204.7248999998</v>
      </c>
      <c r="S41" s="1">
        <v>-174.18</v>
      </c>
      <c r="T41" s="1">
        <v>35.840000000000003</v>
      </c>
      <c r="U41" s="1">
        <v>12</v>
      </c>
      <c r="V41" s="1">
        <v>0</v>
      </c>
      <c r="W41" s="1" cm="1">
        <f t="array" ref="W41">SUM(ABS(S41:V41))</f>
        <v>222.02</v>
      </c>
      <c r="X41" s="25">
        <v>1.238</v>
      </c>
      <c r="Y41" s="42">
        <f t="shared" si="6"/>
        <v>68715.19</v>
      </c>
      <c r="Z41" s="20">
        <v>365.69000000000005</v>
      </c>
      <c r="AA41" s="20">
        <f t="shared" si="7"/>
        <v>587.71</v>
      </c>
      <c r="AB41" s="21">
        <v>132.35000000000002</v>
      </c>
      <c r="AC41" s="21">
        <v>0.09</v>
      </c>
      <c r="AD41" s="8">
        <f t="shared" si="8"/>
        <v>498.13000000000005</v>
      </c>
      <c r="AE41" s="25">
        <v>1.238</v>
      </c>
      <c r="AF41" s="25">
        <f t="shared" si="9"/>
        <v>154171.23500000002</v>
      </c>
      <c r="AG41" s="25">
        <f t="shared" si="10"/>
        <v>222886.42500000002</v>
      </c>
      <c r="AH41" s="1">
        <f t="shared" si="0"/>
        <v>3157.06</v>
      </c>
      <c r="AI41" s="1">
        <f t="shared" si="1"/>
        <v>3377.51</v>
      </c>
      <c r="AJ41" s="1">
        <v>3604.39</v>
      </c>
      <c r="AK41" s="1">
        <f t="shared" si="2"/>
        <v>-447.32999999999993</v>
      </c>
      <c r="AL41" s="29">
        <f t="shared" si="11"/>
        <v>226.87999999999965</v>
      </c>
      <c r="AM41" s="11">
        <f t="shared" si="3"/>
        <v>2379091.1498999996</v>
      </c>
    </row>
    <row r="42" spans="1:39" x14ac:dyDescent="0.3">
      <c r="A42" s="39">
        <v>45782.395833333336</v>
      </c>
      <c r="B42" s="1">
        <v>1072.1199999999999</v>
      </c>
      <c r="C42" s="11">
        <v>3.2732000000000001</v>
      </c>
      <c r="D42" s="1">
        <v>627.63</v>
      </c>
      <c r="E42" s="11">
        <v>3.0760000000000001</v>
      </c>
      <c r="F42" s="1">
        <v>398.57</v>
      </c>
      <c r="G42" s="11">
        <v>3.53</v>
      </c>
      <c r="H42" s="1">
        <v>27.76</v>
      </c>
      <c r="I42" s="11">
        <v>1.6995100000000001</v>
      </c>
      <c r="J42" s="1">
        <v>24.46</v>
      </c>
      <c r="K42" s="11">
        <v>2.5257299999999998</v>
      </c>
      <c r="L42" s="1">
        <v>84.35</v>
      </c>
      <c r="M42" s="11">
        <v>6.2</v>
      </c>
      <c r="N42" s="1">
        <v>318.26</v>
      </c>
      <c r="O42" s="11">
        <v>2.8224999999999998</v>
      </c>
      <c r="P42" s="1">
        <f t="shared" si="4"/>
        <v>2553.1500000000005</v>
      </c>
      <c r="Q42" s="1">
        <v>2838.02</v>
      </c>
      <c r="R42" s="16">
        <f t="shared" si="5"/>
        <v>2094255.4418499998</v>
      </c>
      <c r="S42" s="1">
        <v>-216.98</v>
      </c>
      <c r="T42" s="1">
        <v>35.9</v>
      </c>
      <c r="U42" s="1">
        <v>12</v>
      </c>
      <c r="V42" s="1">
        <v>0</v>
      </c>
      <c r="W42" s="1" cm="1">
        <f t="array" ref="W42">SUM(ABS(S42:V42))</f>
        <v>264.88</v>
      </c>
      <c r="X42" s="25">
        <v>1.238</v>
      </c>
      <c r="Y42" s="42">
        <f t="shared" si="6"/>
        <v>81980.36</v>
      </c>
      <c r="Z42" s="20">
        <v>372.24</v>
      </c>
      <c r="AA42" s="20">
        <f t="shared" si="7"/>
        <v>637.12</v>
      </c>
      <c r="AB42" s="21">
        <v>143.40999999999997</v>
      </c>
      <c r="AC42" s="21">
        <v>0.09</v>
      </c>
      <c r="AD42" s="8">
        <f t="shared" si="8"/>
        <v>515.74</v>
      </c>
      <c r="AE42" s="25">
        <v>1.238</v>
      </c>
      <c r="AF42" s="25">
        <f t="shared" si="9"/>
        <v>159621.53</v>
      </c>
      <c r="AG42" s="25">
        <f t="shared" si="10"/>
        <v>241601.89</v>
      </c>
      <c r="AH42" s="1">
        <f t="shared" si="0"/>
        <v>3068.8900000000003</v>
      </c>
      <c r="AI42" s="1">
        <f t="shared" si="1"/>
        <v>3353.76</v>
      </c>
      <c r="AJ42" s="1">
        <v>3615.37</v>
      </c>
      <c r="AK42" s="1">
        <f t="shared" si="2"/>
        <v>-546.47999999999956</v>
      </c>
      <c r="AL42" s="29">
        <f t="shared" si="11"/>
        <v>261.60999999999967</v>
      </c>
      <c r="AM42" s="11">
        <f t="shared" si="3"/>
        <v>2335857.3318499997</v>
      </c>
    </row>
    <row r="43" spans="1:39" x14ac:dyDescent="0.3">
      <c r="A43" s="39">
        <v>45782.40625</v>
      </c>
      <c r="B43" s="1">
        <v>1073.3499999999999</v>
      </c>
      <c r="C43" s="11">
        <v>3.2732000000000001</v>
      </c>
      <c r="D43" s="1">
        <v>627.63</v>
      </c>
      <c r="E43" s="11">
        <v>3.0760000000000001</v>
      </c>
      <c r="F43" s="1">
        <v>398.57</v>
      </c>
      <c r="G43" s="11">
        <v>3.53</v>
      </c>
      <c r="H43" s="1">
        <v>28.31</v>
      </c>
      <c r="I43" s="11">
        <v>1.6996600000000002</v>
      </c>
      <c r="J43" s="1">
        <v>101.24</v>
      </c>
      <c r="K43" s="11">
        <v>2.0766399999999998</v>
      </c>
      <c r="L43" s="1">
        <v>84.28</v>
      </c>
      <c r="M43" s="11">
        <v>6.2</v>
      </c>
      <c r="N43" s="1">
        <v>349.43</v>
      </c>
      <c r="O43" s="11">
        <v>2.8224999999999998</v>
      </c>
      <c r="P43" s="1">
        <f t="shared" si="4"/>
        <v>2662.81</v>
      </c>
      <c r="Q43" s="1">
        <v>2687.64</v>
      </c>
      <c r="R43" s="16">
        <f t="shared" si="5"/>
        <v>2154497.4458000003</v>
      </c>
      <c r="S43" s="1">
        <v>-368.02</v>
      </c>
      <c r="T43" s="1">
        <v>35.92</v>
      </c>
      <c r="U43" s="1">
        <v>12</v>
      </c>
      <c r="V43" s="1">
        <v>0</v>
      </c>
      <c r="W43" s="1" cm="1">
        <f t="array" ref="W43">SUM(ABS(S43:V43))</f>
        <v>415.94</v>
      </c>
      <c r="X43" s="25">
        <v>1.238</v>
      </c>
      <c r="Y43" s="42">
        <f t="shared" si="6"/>
        <v>128733.43</v>
      </c>
      <c r="Z43" s="20">
        <v>372.13</v>
      </c>
      <c r="AA43" s="20">
        <f t="shared" si="7"/>
        <v>788.06999999999994</v>
      </c>
      <c r="AB43" s="21">
        <v>148.97000000000003</v>
      </c>
      <c r="AC43" s="21">
        <v>0.09</v>
      </c>
      <c r="AD43" s="8">
        <f t="shared" si="8"/>
        <v>521.19000000000005</v>
      </c>
      <c r="AE43" s="25">
        <v>1.238</v>
      </c>
      <c r="AF43" s="25">
        <f t="shared" si="9"/>
        <v>161308.30500000002</v>
      </c>
      <c r="AG43" s="25">
        <f t="shared" si="10"/>
        <v>290041.73499999999</v>
      </c>
      <c r="AH43" s="1">
        <f t="shared" si="0"/>
        <v>3184</v>
      </c>
      <c r="AI43" s="1">
        <f t="shared" si="1"/>
        <v>3208.83</v>
      </c>
      <c r="AJ43" s="1">
        <v>3640.08</v>
      </c>
      <c r="AK43" s="1">
        <f t="shared" si="2"/>
        <v>-456.07999999999993</v>
      </c>
      <c r="AL43" s="29">
        <f t="shared" si="11"/>
        <v>431.25</v>
      </c>
      <c r="AM43" s="11">
        <f t="shared" si="3"/>
        <v>2444539.1808000002</v>
      </c>
    </row>
    <row r="44" spans="1:39" x14ac:dyDescent="0.3">
      <c r="A44" s="39">
        <v>45782.416666666664</v>
      </c>
      <c r="B44" s="1">
        <v>1072.5</v>
      </c>
      <c r="C44" s="11">
        <v>3.2732000000000001</v>
      </c>
      <c r="D44" s="1">
        <v>627.63</v>
      </c>
      <c r="E44" s="11">
        <v>3.0760000000000001</v>
      </c>
      <c r="F44" s="1">
        <v>398.57</v>
      </c>
      <c r="G44" s="11">
        <v>3.53</v>
      </c>
      <c r="H44" s="1">
        <v>26.67</v>
      </c>
      <c r="I44" s="11">
        <v>1.69922</v>
      </c>
      <c r="J44" s="1">
        <v>66.13</v>
      </c>
      <c r="K44" s="11">
        <v>2.0769499999999996</v>
      </c>
      <c r="L44" s="1">
        <v>84.54</v>
      </c>
      <c r="M44" s="11">
        <v>6.2</v>
      </c>
      <c r="N44" s="1">
        <v>398.08</v>
      </c>
      <c r="O44" s="11">
        <v>2.8224999999999998</v>
      </c>
      <c r="P44" s="1">
        <f t="shared" si="4"/>
        <v>2674.1200000000003</v>
      </c>
      <c r="Q44" s="1">
        <v>2850.98</v>
      </c>
      <c r="R44" s="16">
        <f t="shared" si="5"/>
        <v>2169611.170225</v>
      </c>
      <c r="S44" s="1">
        <v>-250.38</v>
      </c>
      <c r="T44" s="1">
        <v>35.94</v>
      </c>
      <c r="U44" s="1">
        <v>12</v>
      </c>
      <c r="V44" s="1">
        <v>0</v>
      </c>
      <c r="W44" s="1" cm="1">
        <f t="array" ref="W44">SUM(ABS(S44:V44))</f>
        <v>298.32</v>
      </c>
      <c r="X44" s="25">
        <v>1.238</v>
      </c>
      <c r="Y44" s="42">
        <f t="shared" si="6"/>
        <v>92330.04</v>
      </c>
      <c r="Z44" s="20">
        <v>329.57000000000005</v>
      </c>
      <c r="AA44" s="20">
        <f t="shared" si="7"/>
        <v>627.8900000000001</v>
      </c>
      <c r="AB44" s="21">
        <v>163.67000000000002</v>
      </c>
      <c r="AC44" s="21">
        <v>0.09</v>
      </c>
      <c r="AD44" s="8">
        <f t="shared" si="8"/>
        <v>493.33000000000004</v>
      </c>
      <c r="AE44" s="25">
        <v>1.238</v>
      </c>
      <c r="AF44" s="25">
        <f t="shared" si="9"/>
        <v>152685.63500000001</v>
      </c>
      <c r="AG44" s="25">
        <f t="shared" si="10"/>
        <v>245015.67499999999</v>
      </c>
      <c r="AH44" s="1">
        <f t="shared" si="0"/>
        <v>3167.4500000000003</v>
      </c>
      <c r="AI44" s="1">
        <f t="shared" si="1"/>
        <v>3344.31</v>
      </c>
      <c r="AJ44" s="1">
        <v>3643.65</v>
      </c>
      <c r="AK44" s="1">
        <f t="shared" si="2"/>
        <v>-476.19999999999982</v>
      </c>
      <c r="AL44" s="29">
        <f t="shared" si="11"/>
        <v>299.34000000000015</v>
      </c>
      <c r="AM44" s="11">
        <f t="shared" si="3"/>
        <v>2414626.8452249998</v>
      </c>
    </row>
    <row r="45" spans="1:39" x14ac:dyDescent="0.3">
      <c r="A45" s="39">
        <v>45782.427083333336</v>
      </c>
      <c r="B45" s="1">
        <v>1075.01</v>
      </c>
      <c r="C45" s="11">
        <v>3.2732000000000001</v>
      </c>
      <c r="D45" s="1">
        <v>627.63</v>
      </c>
      <c r="E45" s="11">
        <v>3.0760000000000001</v>
      </c>
      <c r="F45" s="1">
        <v>398.57</v>
      </c>
      <c r="G45" s="11">
        <v>3.53</v>
      </c>
      <c r="H45" s="1">
        <v>28.32</v>
      </c>
      <c r="I45" s="11">
        <v>1.71973</v>
      </c>
      <c r="J45" s="1">
        <v>62.85</v>
      </c>
      <c r="K45" s="11">
        <v>2.0255899999999998</v>
      </c>
      <c r="L45" s="1">
        <v>84.47</v>
      </c>
      <c r="M45" s="11">
        <v>6.2</v>
      </c>
      <c r="N45" s="1">
        <v>426.23</v>
      </c>
      <c r="O45" s="11">
        <v>2.8224999999999998</v>
      </c>
      <c r="P45" s="1">
        <f t="shared" si="4"/>
        <v>2703.08</v>
      </c>
      <c r="Q45" s="1">
        <v>2772.26</v>
      </c>
      <c r="R45" s="16">
        <f t="shared" si="5"/>
        <v>2189755.9930249997</v>
      </c>
      <c r="S45" s="1">
        <v>-349.4</v>
      </c>
      <c r="T45" s="1">
        <v>35.9</v>
      </c>
      <c r="U45" s="1">
        <v>12</v>
      </c>
      <c r="V45" s="1">
        <v>0</v>
      </c>
      <c r="W45" s="1" cm="1">
        <f t="array" ref="W45">SUM(ABS(S45:V45))</f>
        <v>397.29999999999995</v>
      </c>
      <c r="X45" s="25">
        <v>1.238</v>
      </c>
      <c r="Y45" s="42">
        <f t="shared" si="6"/>
        <v>122964.34999999998</v>
      </c>
      <c r="Z45" s="20">
        <v>314.37</v>
      </c>
      <c r="AA45" s="20">
        <f t="shared" si="7"/>
        <v>711.67</v>
      </c>
      <c r="AB45" s="21">
        <v>173.94000000000003</v>
      </c>
      <c r="AC45" s="21">
        <v>0.09</v>
      </c>
      <c r="AD45" s="8">
        <f t="shared" si="8"/>
        <v>488.40000000000003</v>
      </c>
      <c r="AE45" s="25">
        <v>1.238</v>
      </c>
      <c r="AF45" s="25">
        <f t="shared" si="9"/>
        <v>151159.80000000002</v>
      </c>
      <c r="AG45" s="25">
        <f t="shared" si="10"/>
        <v>274124.15000000002</v>
      </c>
      <c r="AH45" s="1">
        <f t="shared" si="0"/>
        <v>3191.48</v>
      </c>
      <c r="AI45" s="1">
        <f t="shared" si="1"/>
        <v>3260.6600000000003</v>
      </c>
      <c r="AJ45" s="1">
        <v>3667.17</v>
      </c>
      <c r="AK45" s="1">
        <f t="shared" si="2"/>
        <v>-475.69000000000005</v>
      </c>
      <c r="AL45" s="29">
        <f t="shared" si="11"/>
        <v>406.50999999999976</v>
      </c>
      <c r="AM45" s="11">
        <f t="shared" si="3"/>
        <v>2463880.1430249996</v>
      </c>
    </row>
    <row r="46" spans="1:39" x14ac:dyDescent="0.3">
      <c r="A46" s="39">
        <v>45782.4375</v>
      </c>
      <c r="B46" s="1">
        <v>1076.72</v>
      </c>
      <c r="C46" s="11">
        <v>3.2732000000000001</v>
      </c>
      <c r="D46" s="1">
        <v>627.63</v>
      </c>
      <c r="E46" s="11">
        <v>3.0760000000000001</v>
      </c>
      <c r="F46" s="1">
        <v>398.57</v>
      </c>
      <c r="G46" s="11">
        <v>3.53</v>
      </c>
      <c r="H46" s="1">
        <v>29.37</v>
      </c>
      <c r="I46" s="11">
        <v>1.6996600000000002</v>
      </c>
      <c r="J46" s="1">
        <v>63.75</v>
      </c>
      <c r="K46" s="11">
        <v>2.0353300000000001</v>
      </c>
      <c r="L46" s="1">
        <v>84.92</v>
      </c>
      <c r="M46" s="11">
        <v>6.2</v>
      </c>
      <c r="N46" s="1">
        <v>451.08</v>
      </c>
      <c r="O46" s="11">
        <v>2.8224999999999998</v>
      </c>
      <c r="P46" s="1">
        <f t="shared" si="4"/>
        <v>2732.04</v>
      </c>
      <c r="Q46" s="1">
        <v>2777.96</v>
      </c>
      <c r="R46" s="16">
        <f t="shared" si="5"/>
        <v>2210302.621425</v>
      </c>
      <c r="S46" s="1">
        <v>-321.04000000000002</v>
      </c>
      <c r="T46" s="1">
        <v>35.880000000000003</v>
      </c>
      <c r="U46" s="1">
        <v>12</v>
      </c>
      <c r="V46" s="1">
        <v>0</v>
      </c>
      <c r="W46" s="1" cm="1">
        <f t="array" ref="W46">SUM(ABS(S46:V46))</f>
        <v>368.92</v>
      </c>
      <c r="X46" s="25">
        <v>1.238</v>
      </c>
      <c r="Y46" s="42">
        <f t="shared" si="6"/>
        <v>114180.74</v>
      </c>
      <c r="Z46" s="20">
        <v>349.44000000000005</v>
      </c>
      <c r="AA46" s="20">
        <f t="shared" si="7"/>
        <v>718.36000000000013</v>
      </c>
      <c r="AB46" s="21">
        <v>177.54</v>
      </c>
      <c r="AC46" s="21">
        <v>0.09</v>
      </c>
      <c r="AD46" s="8">
        <f t="shared" si="8"/>
        <v>527.07000000000005</v>
      </c>
      <c r="AE46" s="25">
        <v>1.238</v>
      </c>
      <c r="AF46" s="25">
        <f t="shared" si="9"/>
        <v>163128.16500000004</v>
      </c>
      <c r="AG46" s="25">
        <f t="shared" si="10"/>
        <v>277308.90500000003</v>
      </c>
      <c r="AH46" s="1">
        <f t="shared" si="0"/>
        <v>3259.11</v>
      </c>
      <c r="AI46" s="1">
        <f t="shared" si="1"/>
        <v>3305.03</v>
      </c>
      <c r="AJ46" s="1">
        <v>3679.21</v>
      </c>
      <c r="AK46" s="1">
        <f t="shared" si="2"/>
        <v>-420.09999999999991</v>
      </c>
      <c r="AL46" s="29">
        <f t="shared" si="11"/>
        <v>374.17999999999984</v>
      </c>
      <c r="AM46" s="11">
        <f t="shared" si="3"/>
        <v>2487611.5264250003</v>
      </c>
    </row>
    <row r="47" spans="1:39" x14ac:dyDescent="0.3">
      <c r="A47" s="39">
        <v>45782.447916666664</v>
      </c>
      <c r="B47" s="1">
        <v>1077.46</v>
      </c>
      <c r="C47" s="11">
        <v>3.2732000000000001</v>
      </c>
      <c r="D47" s="1">
        <v>627.63</v>
      </c>
      <c r="E47" s="11">
        <v>3.0760000000000001</v>
      </c>
      <c r="F47" s="1">
        <v>398.57</v>
      </c>
      <c r="G47" s="11">
        <v>3.53</v>
      </c>
      <c r="H47" s="1">
        <v>31.23</v>
      </c>
      <c r="I47" s="11">
        <v>1.6996300000000002</v>
      </c>
      <c r="J47" s="1">
        <v>65.44</v>
      </c>
      <c r="K47" s="11">
        <v>2.0109900000000001</v>
      </c>
      <c r="L47" s="1">
        <v>84.59</v>
      </c>
      <c r="M47" s="11">
        <v>6.2</v>
      </c>
      <c r="N47" s="1">
        <v>462.98</v>
      </c>
      <c r="O47" s="11">
        <v>2.8224999999999998</v>
      </c>
      <c r="P47" s="1">
        <f t="shared" si="4"/>
        <v>2747.9000000000005</v>
      </c>
      <c r="Q47" s="1">
        <v>2765.3</v>
      </c>
      <c r="R47" s="16">
        <f t="shared" si="5"/>
        <v>2220045.4331250004</v>
      </c>
      <c r="S47" s="1">
        <v>-306.93</v>
      </c>
      <c r="T47" s="1">
        <v>35.89</v>
      </c>
      <c r="U47" s="1">
        <v>12</v>
      </c>
      <c r="V47" s="1">
        <v>9.34</v>
      </c>
      <c r="W47" s="1" cm="1">
        <f t="array" ref="W47">SUM(ABS(S47:V47))</f>
        <v>364.15999999999997</v>
      </c>
      <c r="X47" s="25">
        <v>1.238</v>
      </c>
      <c r="Y47" s="42">
        <f t="shared" si="6"/>
        <v>112707.51999999999</v>
      </c>
      <c r="Z47" s="20">
        <v>357.96999999999997</v>
      </c>
      <c r="AA47" s="20">
        <f t="shared" si="7"/>
        <v>722.12999999999988</v>
      </c>
      <c r="AB47" s="21">
        <v>177.87</v>
      </c>
      <c r="AC47" s="21">
        <v>0.09</v>
      </c>
      <c r="AD47" s="8">
        <f t="shared" si="8"/>
        <v>535.92999999999995</v>
      </c>
      <c r="AE47" s="25">
        <v>1.238</v>
      </c>
      <c r="AF47" s="25">
        <f t="shared" si="9"/>
        <v>165870.33499999999</v>
      </c>
      <c r="AG47" s="25">
        <f t="shared" si="10"/>
        <v>278577.85499999998</v>
      </c>
      <c r="AH47" s="1">
        <f t="shared" si="0"/>
        <v>3283.8300000000004</v>
      </c>
      <c r="AI47" s="1">
        <f t="shared" si="1"/>
        <v>3301.23</v>
      </c>
      <c r="AJ47" s="1">
        <v>3671.19</v>
      </c>
      <c r="AK47" s="1">
        <f t="shared" si="2"/>
        <v>-387.35999999999967</v>
      </c>
      <c r="AL47" s="29">
        <f t="shared" si="11"/>
        <v>369.96000000000004</v>
      </c>
      <c r="AM47" s="11">
        <f t="shared" si="3"/>
        <v>2498623.2881250004</v>
      </c>
    </row>
    <row r="48" spans="1:39" x14ac:dyDescent="0.3">
      <c r="A48" s="39">
        <v>45782.458333333336</v>
      </c>
      <c r="B48" s="1">
        <v>1078.1400000000001</v>
      </c>
      <c r="C48" s="11">
        <v>3.2732000000000001</v>
      </c>
      <c r="D48" s="1">
        <v>627.63</v>
      </c>
      <c r="E48" s="11">
        <v>3.0760000000000001</v>
      </c>
      <c r="F48" s="1">
        <v>398.57</v>
      </c>
      <c r="G48" s="11">
        <v>3.53</v>
      </c>
      <c r="H48" s="1">
        <v>32.26</v>
      </c>
      <c r="I48" s="11">
        <v>1.67442</v>
      </c>
      <c r="J48" s="1">
        <v>305.62</v>
      </c>
      <c r="K48" s="11">
        <v>1.7666300000000001</v>
      </c>
      <c r="L48" s="1">
        <v>85.1</v>
      </c>
      <c r="M48" s="11">
        <v>6.2</v>
      </c>
      <c r="N48" s="1">
        <v>464.29</v>
      </c>
      <c r="O48" s="11">
        <v>2.8224999999999998</v>
      </c>
      <c r="P48" s="1">
        <f t="shared" si="4"/>
        <v>2991.61</v>
      </c>
      <c r="Q48" s="1">
        <v>2755.3</v>
      </c>
      <c r="R48" s="16">
        <f t="shared" si="5"/>
        <v>2324630.6507000001</v>
      </c>
      <c r="S48" s="1">
        <v>-298.08999999999997</v>
      </c>
      <c r="T48" s="1">
        <v>35.909999999999997</v>
      </c>
      <c r="U48" s="1">
        <v>12</v>
      </c>
      <c r="V48" s="1">
        <v>12.69</v>
      </c>
      <c r="W48" s="1" cm="1">
        <f t="array" ref="W48">SUM(ABS(S48:V48))</f>
        <v>358.69</v>
      </c>
      <c r="X48" s="25">
        <v>1.238</v>
      </c>
      <c r="Y48" s="42">
        <f t="shared" si="6"/>
        <v>111014.55500000001</v>
      </c>
      <c r="Z48" s="20">
        <v>356.62000000000006</v>
      </c>
      <c r="AA48" s="20">
        <f t="shared" si="7"/>
        <v>715.31000000000006</v>
      </c>
      <c r="AB48" s="21">
        <v>180.30999999999997</v>
      </c>
      <c r="AC48" s="21">
        <v>0.09</v>
      </c>
      <c r="AD48" s="8">
        <f t="shared" si="8"/>
        <v>537.0200000000001</v>
      </c>
      <c r="AE48" s="25">
        <v>1.238</v>
      </c>
      <c r="AF48" s="25">
        <f t="shared" si="9"/>
        <v>166207.69000000003</v>
      </c>
      <c r="AG48" s="25">
        <f t="shared" si="10"/>
        <v>277222.24500000005</v>
      </c>
      <c r="AH48" s="1">
        <f t="shared" si="0"/>
        <v>3528.63</v>
      </c>
      <c r="AI48" s="1">
        <f t="shared" si="1"/>
        <v>3292.32</v>
      </c>
      <c r="AJ48" s="1">
        <v>3664.77</v>
      </c>
      <c r="AK48" s="1">
        <f t="shared" si="2"/>
        <v>-136.13999999999987</v>
      </c>
      <c r="AL48" s="29">
        <f t="shared" si="11"/>
        <v>372.44999999999982</v>
      </c>
      <c r="AM48" s="11">
        <f t="shared" si="3"/>
        <v>2601852.8957000002</v>
      </c>
    </row>
    <row r="49" spans="1:39" x14ac:dyDescent="0.3">
      <c r="A49" s="39">
        <v>45782.46875</v>
      </c>
      <c r="B49" s="1">
        <v>1078.82</v>
      </c>
      <c r="C49" s="11">
        <v>3.2732000000000001</v>
      </c>
      <c r="D49" s="1">
        <v>627.63</v>
      </c>
      <c r="E49" s="11">
        <v>3.0760000000000001</v>
      </c>
      <c r="F49" s="1">
        <v>398.57</v>
      </c>
      <c r="G49" s="11">
        <v>3.53</v>
      </c>
      <c r="H49" s="1">
        <v>32.33</v>
      </c>
      <c r="I49" s="11">
        <v>1.64317</v>
      </c>
      <c r="J49" s="1">
        <v>342.87</v>
      </c>
      <c r="K49" s="11">
        <v>1.7757499999999999</v>
      </c>
      <c r="L49" s="1">
        <v>85.23</v>
      </c>
      <c r="M49" s="11">
        <v>6.2</v>
      </c>
      <c r="N49" s="1">
        <v>460.53</v>
      </c>
      <c r="O49" s="11">
        <v>2.8224999999999998</v>
      </c>
      <c r="P49" s="1">
        <f t="shared" si="4"/>
        <v>3025.9799999999996</v>
      </c>
      <c r="Q49" s="1">
        <v>2932.4</v>
      </c>
      <c r="R49" s="16">
        <f t="shared" si="5"/>
        <v>2339745.6544000003</v>
      </c>
      <c r="S49" s="1">
        <v>-137.91999999999999</v>
      </c>
      <c r="T49" s="1">
        <v>35.92</v>
      </c>
      <c r="U49" s="1">
        <v>12</v>
      </c>
      <c r="V49" s="1">
        <v>12.68</v>
      </c>
      <c r="W49" s="1" cm="1">
        <f t="array" ref="W49">SUM(ABS(S49:V49))</f>
        <v>198.51999999999998</v>
      </c>
      <c r="X49" s="25">
        <v>1.238</v>
      </c>
      <c r="Y49" s="42">
        <f t="shared" si="6"/>
        <v>61441.939999999995</v>
      </c>
      <c r="Z49" s="20">
        <v>303.84000000000003</v>
      </c>
      <c r="AA49" s="20">
        <f t="shared" si="7"/>
        <v>502.36</v>
      </c>
      <c r="AB49" s="21">
        <v>180.4</v>
      </c>
      <c r="AC49" s="21">
        <v>0.09</v>
      </c>
      <c r="AD49" s="8">
        <f t="shared" si="8"/>
        <v>484.33</v>
      </c>
      <c r="AE49" s="25">
        <v>1.238</v>
      </c>
      <c r="AF49" s="25">
        <f t="shared" si="9"/>
        <v>149900.13500000001</v>
      </c>
      <c r="AG49" s="25">
        <f t="shared" si="10"/>
        <v>211342.07500000001</v>
      </c>
      <c r="AH49" s="1">
        <f t="shared" si="0"/>
        <v>3510.3099999999995</v>
      </c>
      <c r="AI49" s="1">
        <f t="shared" si="1"/>
        <v>3416.73</v>
      </c>
      <c r="AJ49" s="1">
        <v>3633.41</v>
      </c>
      <c r="AK49" s="1">
        <f t="shared" si="2"/>
        <v>-123.10000000000036</v>
      </c>
      <c r="AL49" s="29">
        <f t="shared" si="11"/>
        <v>216.67999999999984</v>
      </c>
      <c r="AM49" s="11">
        <f t="shared" si="3"/>
        <v>2551087.7294000005</v>
      </c>
    </row>
    <row r="50" spans="1:39" x14ac:dyDescent="0.3">
      <c r="A50" s="39">
        <v>45782.479166666664</v>
      </c>
      <c r="B50" s="1">
        <v>1079.5</v>
      </c>
      <c r="C50" s="11">
        <v>3.2732000000000001</v>
      </c>
      <c r="D50" s="1">
        <v>627.63</v>
      </c>
      <c r="E50" s="11">
        <v>3.0760000000000001</v>
      </c>
      <c r="F50" s="1">
        <v>398.57</v>
      </c>
      <c r="G50" s="11">
        <v>3.53</v>
      </c>
      <c r="H50" s="1">
        <v>32.33</v>
      </c>
      <c r="I50" s="11">
        <v>1.6439300000000001</v>
      </c>
      <c r="J50" s="1">
        <v>308.42</v>
      </c>
      <c r="K50" s="11">
        <v>1.4995399999999999</v>
      </c>
      <c r="L50" s="1">
        <v>85.15</v>
      </c>
      <c r="M50" s="11">
        <v>6.2</v>
      </c>
      <c r="N50" s="1">
        <v>472.76</v>
      </c>
      <c r="O50" s="11">
        <v>2.8224999999999998</v>
      </c>
      <c r="P50" s="1">
        <f t="shared" si="4"/>
        <v>3004.3600000000006</v>
      </c>
      <c r="Q50" s="1">
        <v>2977.79</v>
      </c>
      <c r="R50" s="16">
        <f t="shared" si="5"/>
        <v>2312223.2159250001</v>
      </c>
      <c r="S50" s="1">
        <v>-129.96</v>
      </c>
      <c r="T50" s="1">
        <v>35.880000000000003</v>
      </c>
      <c r="U50" s="1">
        <v>12</v>
      </c>
      <c r="V50" s="1">
        <v>12.67</v>
      </c>
      <c r="W50" s="1" cm="1">
        <f t="array" ref="W50">SUM(ABS(S50:V50))</f>
        <v>190.51</v>
      </c>
      <c r="X50" s="25">
        <v>1.238</v>
      </c>
      <c r="Y50" s="42">
        <f t="shared" si="6"/>
        <v>58962.844999999994</v>
      </c>
      <c r="Z50" s="20">
        <v>301.93</v>
      </c>
      <c r="AA50" s="20">
        <f t="shared" si="7"/>
        <v>492.44</v>
      </c>
      <c r="AB50" s="21">
        <v>175.25</v>
      </c>
      <c r="AC50" s="21">
        <v>0.1</v>
      </c>
      <c r="AD50" s="8">
        <f t="shared" si="8"/>
        <v>477.28000000000003</v>
      </c>
      <c r="AE50" s="25">
        <v>1.238</v>
      </c>
      <c r="AF50" s="25">
        <f t="shared" si="9"/>
        <v>147718.16</v>
      </c>
      <c r="AG50" s="25">
        <f t="shared" si="10"/>
        <v>206681.005</v>
      </c>
      <c r="AH50" s="1">
        <f t="shared" si="0"/>
        <v>3481.6400000000008</v>
      </c>
      <c r="AI50" s="1">
        <f t="shared" si="1"/>
        <v>3455.07</v>
      </c>
      <c r="AJ50" s="1">
        <v>3654.61</v>
      </c>
      <c r="AK50" s="1">
        <f t="shared" si="2"/>
        <v>-172.96999999999935</v>
      </c>
      <c r="AL50" s="29">
        <f t="shared" si="11"/>
        <v>199.53999999999996</v>
      </c>
      <c r="AM50" s="11">
        <f t="shared" si="3"/>
        <v>2518904.220925</v>
      </c>
    </row>
    <row r="51" spans="1:39" x14ac:dyDescent="0.3">
      <c r="A51" s="39">
        <v>45782.489583333336</v>
      </c>
      <c r="B51" s="1">
        <v>1080.18</v>
      </c>
      <c r="C51" s="11">
        <v>3.2732000000000001</v>
      </c>
      <c r="D51" s="1">
        <v>627.63</v>
      </c>
      <c r="E51" s="11">
        <v>3.0760000000000001</v>
      </c>
      <c r="F51" s="1">
        <v>398.57</v>
      </c>
      <c r="G51" s="11">
        <v>3.53</v>
      </c>
      <c r="H51" s="1">
        <v>32.33</v>
      </c>
      <c r="I51" s="11">
        <v>1.67432</v>
      </c>
      <c r="J51" s="1">
        <v>305.63</v>
      </c>
      <c r="K51" s="11">
        <v>1.7663499999999999</v>
      </c>
      <c r="L51" s="1">
        <v>85.41</v>
      </c>
      <c r="M51" s="11">
        <v>6.2</v>
      </c>
      <c r="N51" s="1">
        <v>478.87</v>
      </c>
      <c r="O51" s="11">
        <v>2.8224999999999998</v>
      </c>
      <c r="P51" s="1">
        <f t="shared" si="4"/>
        <v>3008.62</v>
      </c>
      <c r="Q51" s="1">
        <v>2960.58</v>
      </c>
      <c r="R51" s="16">
        <f t="shared" si="5"/>
        <v>2337080.011775</v>
      </c>
      <c r="S51" s="1">
        <v>-131.57</v>
      </c>
      <c r="T51" s="1">
        <v>35.85</v>
      </c>
      <c r="U51" s="1">
        <v>12</v>
      </c>
      <c r="V51" s="1">
        <v>12.67</v>
      </c>
      <c r="W51" s="1" cm="1">
        <f t="array" ref="W51">SUM(ABS(S51:V51))</f>
        <v>192.08999999999997</v>
      </c>
      <c r="X51" s="25">
        <v>1.238</v>
      </c>
      <c r="Y51" s="42">
        <f t="shared" si="6"/>
        <v>59451.854999999996</v>
      </c>
      <c r="Z51" s="20">
        <v>323.54999999999995</v>
      </c>
      <c r="AA51" s="20">
        <f t="shared" si="7"/>
        <v>515.63999999999987</v>
      </c>
      <c r="AB51" s="21">
        <v>192.97</v>
      </c>
      <c r="AC51" s="21">
        <v>6.0000000000000005E-2</v>
      </c>
      <c r="AD51" s="8">
        <f t="shared" si="8"/>
        <v>516.57999999999993</v>
      </c>
      <c r="AE51" s="25">
        <v>1.238</v>
      </c>
      <c r="AF51" s="25">
        <f t="shared" si="9"/>
        <v>159881.50999999995</v>
      </c>
      <c r="AG51" s="25">
        <f t="shared" si="10"/>
        <v>219333.36499999993</v>
      </c>
      <c r="AH51" s="1">
        <f t="shared" si="0"/>
        <v>3525.2</v>
      </c>
      <c r="AI51" s="1">
        <f t="shared" si="1"/>
        <v>3477.16</v>
      </c>
      <c r="AJ51" s="1">
        <v>3679.09</v>
      </c>
      <c r="AK51" s="1">
        <f t="shared" si="2"/>
        <v>-153.89000000000033</v>
      </c>
      <c r="AL51" s="29">
        <f t="shared" si="11"/>
        <v>201.93000000000029</v>
      </c>
      <c r="AM51" s="11">
        <f t="shared" si="3"/>
        <v>2556413.3767749998</v>
      </c>
    </row>
    <row r="52" spans="1:39" x14ac:dyDescent="0.3">
      <c r="A52" s="39">
        <v>45782.5</v>
      </c>
      <c r="B52" s="1">
        <v>1080.8499999999999</v>
      </c>
      <c r="C52" s="11">
        <v>3.2732000000000001</v>
      </c>
      <c r="D52" s="1">
        <v>627.63</v>
      </c>
      <c r="E52" s="11">
        <v>3.0760000000000001</v>
      </c>
      <c r="F52" s="1">
        <v>398.57</v>
      </c>
      <c r="G52" s="11">
        <v>3.53</v>
      </c>
      <c r="H52" s="1">
        <v>31.88</v>
      </c>
      <c r="I52" s="11">
        <v>1.6760299999999999</v>
      </c>
      <c r="J52" s="1">
        <v>215.78</v>
      </c>
      <c r="K52" s="11">
        <v>1.92144</v>
      </c>
      <c r="L52" s="1">
        <v>84.35</v>
      </c>
      <c r="M52" s="11">
        <v>6.2</v>
      </c>
      <c r="N52" s="1">
        <v>413.2</v>
      </c>
      <c r="O52" s="11">
        <v>2.8224999999999998</v>
      </c>
      <c r="P52" s="1">
        <f t="shared" si="4"/>
        <v>2852.26</v>
      </c>
      <c r="Q52" s="1">
        <v>2970.28</v>
      </c>
      <c r="R52" s="16">
        <f t="shared" si="5"/>
        <v>2258161.8399</v>
      </c>
      <c r="S52" s="1">
        <v>-124</v>
      </c>
      <c r="T52" s="1">
        <v>35.840000000000003</v>
      </c>
      <c r="U52" s="1">
        <v>12</v>
      </c>
      <c r="V52" s="1">
        <v>12.66</v>
      </c>
      <c r="W52" s="1" cm="1">
        <f t="array" ref="W52">SUM(ABS(S52:V52))</f>
        <v>184.5</v>
      </c>
      <c r="X52" s="25">
        <v>1.238</v>
      </c>
      <c r="Y52" s="42">
        <f t="shared" si="6"/>
        <v>57102.75</v>
      </c>
      <c r="Z52" s="20">
        <v>346.05000000000007</v>
      </c>
      <c r="AA52" s="20">
        <f t="shared" si="7"/>
        <v>530.55000000000007</v>
      </c>
      <c r="AB52" s="21">
        <v>197.44</v>
      </c>
      <c r="AC52" s="21">
        <v>0.05</v>
      </c>
      <c r="AD52" s="8">
        <f t="shared" si="8"/>
        <v>543.54</v>
      </c>
      <c r="AE52" s="25">
        <v>1.238</v>
      </c>
      <c r="AF52" s="25">
        <f t="shared" si="9"/>
        <v>168225.63</v>
      </c>
      <c r="AG52" s="25">
        <f t="shared" si="10"/>
        <v>225328.38</v>
      </c>
      <c r="AH52" s="1">
        <f t="shared" si="0"/>
        <v>3395.8</v>
      </c>
      <c r="AI52" s="1">
        <f t="shared" si="1"/>
        <v>3513.82</v>
      </c>
      <c r="AJ52" s="1">
        <v>3708.19</v>
      </c>
      <c r="AK52" s="1">
        <f t="shared" si="2"/>
        <v>-312.38999999999987</v>
      </c>
      <c r="AL52" s="29">
        <f t="shared" si="11"/>
        <v>194.36999999999989</v>
      </c>
      <c r="AM52" s="11">
        <f t="shared" si="3"/>
        <v>2483490.2198999999</v>
      </c>
    </row>
    <row r="53" spans="1:39" x14ac:dyDescent="0.3">
      <c r="A53" s="39">
        <v>45782.510416666664</v>
      </c>
      <c r="B53" s="1">
        <v>1081.54</v>
      </c>
      <c r="C53" s="11">
        <v>3.2732000000000001</v>
      </c>
      <c r="D53" s="1">
        <v>627.63</v>
      </c>
      <c r="E53" s="11">
        <v>3.0760000000000001</v>
      </c>
      <c r="F53" s="1">
        <v>398.57</v>
      </c>
      <c r="G53" s="11">
        <v>3.53</v>
      </c>
      <c r="H53" s="1">
        <v>31.85</v>
      </c>
      <c r="I53" s="11">
        <v>1.67648</v>
      </c>
      <c r="J53" s="1">
        <v>208.9</v>
      </c>
      <c r="K53" s="11">
        <v>1.9802299999999999</v>
      </c>
      <c r="L53" s="1">
        <v>84.18</v>
      </c>
      <c r="M53" s="11">
        <v>6.2</v>
      </c>
      <c r="N53" s="1">
        <v>409.75</v>
      </c>
      <c r="O53" s="11">
        <v>2.8224999999999998</v>
      </c>
      <c r="P53" s="1">
        <f t="shared" si="4"/>
        <v>2842.42</v>
      </c>
      <c r="Q53" s="1">
        <v>2984.81</v>
      </c>
      <c r="R53" s="16">
        <f t="shared" si="5"/>
        <v>2255785.0044999998</v>
      </c>
      <c r="S53" s="1">
        <v>-158.59</v>
      </c>
      <c r="T53" s="1">
        <v>35.840000000000003</v>
      </c>
      <c r="U53" s="1">
        <v>12</v>
      </c>
      <c r="V53" s="1">
        <v>12.64</v>
      </c>
      <c r="W53" s="1" cm="1">
        <f t="array" ref="W53">SUM(ABS(S53:V53))</f>
        <v>219.07</v>
      </c>
      <c r="X53" s="25">
        <v>1.238</v>
      </c>
      <c r="Y53" s="42">
        <f t="shared" si="6"/>
        <v>67802.165000000008</v>
      </c>
      <c r="Z53" s="20">
        <v>350.77000000000004</v>
      </c>
      <c r="AA53" s="20">
        <f t="shared" si="7"/>
        <v>569.84</v>
      </c>
      <c r="AB53" s="21">
        <v>194.19000000000003</v>
      </c>
      <c r="AC53" s="21">
        <v>0.1</v>
      </c>
      <c r="AD53" s="8">
        <f t="shared" si="8"/>
        <v>545.06000000000006</v>
      </c>
      <c r="AE53" s="25">
        <v>1.238</v>
      </c>
      <c r="AF53" s="25">
        <f t="shared" si="9"/>
        <v>168696.07</v>
      </c>
      <c r="AG53" s="25">
        <f t="shared" si="10"/>
        <v>236498.23500000002</v>
      </c>
      <c r="AH53" s="1">
        <f t="shared" si="0"/>
        <v>3387.48</v>
      </c>
      <c r="AI53" s="1">
        <f t="shared" si="1"/>
        <v>3529.87</v>
      </c>
      <c r="AJ53" s="1">
        <v>3757.72</v>
      </c>
      <c r="AK53" s="1">
        <f t="shared" si="2"/>
        <v>-370.23999999999978</v>
      </c>
      <c r="AL53" s="29">
        <f t="shared" si="11"/>
        <v>227.84999999999991</v>
      </c>
      <c r="AM53" s="11">
        <f t="shared" si="3"/>
        <v>2492283.2394999997</v>
      </c>
    </row>
    <row r="54" spans="1:39" x14ac:dyDescent="0.3">
      <c r="A54" s="39">
        <v>45782.520833333336</v>
      </c>
      <c r="B54" s="1">
        <v>1049.8599999999999</v>
      </c>
      <c r="C54" s="11">
        <v>3.2732000000000001</v>
      </c>
      <c r="D54" s="1">
        <v>627.63</v>
      </c>
      <c r="E54" s="11">
        <v>3.0760000000000001</v>
      </c>
      <c r="F54" s="1">
        <v>398.57</v>
      </c>
      <c r="G54" s="11">
        <v>3.53</v>
      </c>
      <c r="H54" s="1">
        <v>28.32</v>
      </c>
      <c r="I54" s="11">
        <v>1.6763800000000002</v>
      </c>
      <c r="J54" s="1">
        <v>295.61</v>
      </c>
      <c r="K54" s="11">
        <v>1.7948</v>
      </c>
      <c r="L54" s="1">
        <v>84.09</v>
      </c>
      <c r="M54" s="11">
        <v>6.2</v>
      </c>
      <c r="N54" s="1">
        <v>431.37</v>
      </c>
      <c r="O54" s="11">
        <v>2.8224999999999998</v>
      </c>
      <c r="P54" s="1">
        <f t="shared" si="4"/>
        <v>2915.4500000000003</v>
      </c>
      <c r="Q54" s="1">
        <v>3017.74</v>
      </c>
      <c r="R54" s="16">
        <f t="shared" si="5"/>
        <v>2272719.8666499997</v>
      </c>
      <c r="S54" s="1">
        <v>-146.18</v>
      </c>
      <c r="T54" s="1">
        <v>35.840000000000003</v>
      </c>
      <c r="U54" s="1">
        <v>12</v>
      </c>
      <c r="V54" s="1">
        <v>12.64</v>
      </c>
      <c r="W54" s="1" cm="1">
        <f t="array" ref="W54">SUM(ABS(S54:V54))</f>
        <v>206.66000000000003</v>
      </c>
      <c r="X54" s="25">
        <v>1.238</v>
      </c>
      <c r="Y54" s="42">
        <f t="shared" si="6"/>
        <v>63961.270000000004</v>
      </c>
      <c r="Z54" s="20">
        <v>349.32000000000005</v>
      </c>
      <c r="AA54" s="20">
        <f t="shared" si="7"/>
        <v>555.98</v>
      </c>
      <c r="AB54" s="21">
        <v>191.45999999999998</v>
      </c>
      <c r="AC54" s="21">
        <v>0.39</v>
      </c>
      <c r="AD54" s="8">
        <f t="shared" si="8"/>
        <v>541.16999999999996</v>
      </c>
      <c r="AE54" s="25">
        <v>1.238</v>
      </c>
      <c r="AF54" s="25">
        <f t="shared" si="9"/>
        <v>167492.11499999999</v>
      </c>
      <c r="AG54" s="25">
        <f t="shared" si="10"/>
        <v>231453.38500000001</v>
      </c>
      <c r="AH54" s="1">
        <f t="shared" si="0"/>
        <v>3456.6200000000003</v>
      </c>
      <c r="AI54" s="1">
        <f t="shared" si="1"/>
        <v>3558.91</v>
      </c>
      <c r="AJ54" s="1">
        <v>3781.62</v>
      </c>
      <c r="AK54" s="1">
        <f t="shared" si="2"/>
        <v>-324.99999999999955</v>
      </c>
      <c r="AL54" s="29">
        <f t="shared" si="11"/>
        <v>222.71000000000004</v>
      </c>
      <c r="AM54" s="11">
        <f t="shared" si="3"/>
        <v>2504173.25165</v>
      </c>
    </row>
    <row r="55" spans="1:39" x14ac:dyDescent="0.3">
      <c r="A55" s="39">
        <v>45782.53125</v>
      </c>
      <c r="B55" s="1">
        <v>1024.71</v>
      </c>
      <c r="C55" s="11">
        <v>3.2732000000000001</v>
      </c>
      <c r="D55" s="1">
        <v>627.63</v>
      </c>
      <c r="E55" s="11">
        <v>3.0760000000000001</v>
      </c>
      <c r="F55" s="1">
        <v>398.57</v>
      </c>
      <c r="G55" s="11">
        <v>3.53</v>
      </c>
      <c r="H55" s="1">
        <v>31.56</v>
      </c>
      <c r="I55" s="11">
        <v>1.67642</v>
      </c>
      <c r="J55" s="1">
        <v>303.54000000000002</v>
      </c>
      <c r="K55" s="11">
        <v>1.7975099999999999</v>
      </c>
      <c r="L55" s="1">
        <v>83.36</v>
      </c>
      <c r="M55" s="11">
        <v>6.2</v>
      </c>
      <c r="N55" s="1">
        <v>447.92</v>
      </c>
      <c r="O55" s="11">
        <v>2.8224999999999998</v>
      </c>
      <c r="P55" s="1">
        <f t="shared" si="4"/>
        <v>2917.2900000000004</v>
      </c>
      <c r="Q55" s="1">
        <v>3052.05</v>
      </c>
      <c r="R55" s="16">
        <f t="shared" si="5"/>
        <v>2267808.2381500001</v>
      </c>
      <c r="S55" s="1">
        <v>-120.07</v>
      </c>
      <c r="T55" s="1">
        <v>35.840000000000003</v>
      </c>
      <c r="U55" s="1">
        <v>12</v>
      </c>
      <c r="V55" s="1">
        <v>12.64</v>
      </c>
      <c r="W55" s="1" cm="1">
        <f t="array" ref="W55">SUM(ABS(S55:V55))</f>
        <v>180.55</v>
      </c>
      <c r="X55" s="25">
        <v>1.238</v>
      </c>
      <c r="Y55" s="42">
        <f t="shared" si="6"/>
        <v>55880.225000000006</v>
      </c>
      <c r="Z55" s="20">
        <v>345.73</v>
      </c>
      <c r="AA55" s="20">
        <f t="shared" si="7"/>
        <v>526.28</v>
      </c>
      <c r="AB55" s="21">
        <v>203.13</v>
      </c>
      <c r="AC55" s="21">
        <v>0.71000000000000008</v>
      </c>
      <c r="AD55" s="8">
        <f t="shared" si="8"/>
        <v>549.57000000000005</v>
      </c>
      <c r="AE55" s="25">
        <v>1.238</v>
      </c>
      <c r="AF55" s="25">
        <f t="shared" si="9"/>
        <v>170091.91500000001</v>
      </c>
      <c r="AG55" s="25">
        <f t="shared" si="10"/>
        <v>225972.14</v>
      </c>
      <c r="AH55" s="1">
        <f t="shared" si="0"/>
        <v>3466.8600000000006</v>
      </c>
      <c r="AI55" s="1">
        <f t="shared" si="1"/>
        <v>3601.6200000000003</v>
      </c>
      <c r="AJ55" s="1">
        <v>3791.92</v>
      </c>
      <c r="AK55" s="1">
        <f t="shared" si="2"/>
        <v>-325.05999999999949</v>
      </c>
      <c r="AL55" s="29">
        <f t="shared" si="11"/>
        <v>190.29999999999973</v>
      </c>
      <c r="AM55" s="11">
        <f t="shared" si="3"/>
        <v>2493780.3781500002</v>
      </c>
    </row>
    <row r="56" spans="1:39" x14ac:dyDescent="0.3">
      <c r="A56" s="39">
        <v>45782.541666666664</v>
      </c>
      <c r="B56" s="1">
        <v>1025.06</v>
      </c>
      <c r="C56" s="11">
        <v>3.2732000000000001</v>
      </c>
      <c r="D56" s="1">
        <v>627.63</v>
      </c>
      <c r="E56" s="11">
        <v>3.0760000000000001</v>
      </c>
      <c r="F56" s="1">
        <v>398.57</v>
      </c>
      <c r="G56" s="11">
        <v>3.53</v>
      </c>
      <c r="H56" s="1">
        <v>32.479999999999997</v>
      </c>
      <c r="I56" s="11">
        <v>1.67452</v>
      </c>
      <c r="J56" s="1">
        <v>168.64</v>
      </c>
      <c r="K56" s="11">
        <v>1.5997000000000001</v>
      </c>
      <c r="L56" s="1">
        <v>84.2</v>
      </c>
      <c r="M56" s="11">
        <v>6.2</v>
      </c>
      <c r="N56" s="1">
        <v>454.54</v>
      </c>
      <c r="O56" s="11">
        <v>2.8224999999999998</v>
      </c>
      <c r="P56" s="1">
        <f t="shared" si="4"/>
        <v>2791.12</v>
      </c>
      <c r="Q56" s="1">
        <v>3114.65</v>
      </c>
      <c r="R56" s="16">
        <f t="shared" si="5"/>
        <v>2205477.3349000001</v>
      </c>
      <c r="S56" s="1">
        <v>-122.35</v>
      </c>
      <c r="T56" s="1">
        <v>35.76</v>
      </c>
      <c r="U56" s="1">
        <v>12</v>
      </c>
      <c r="V56" s="1">
        <v>12.63</v>
      </c>
      <c r="W56" s="1" cm="1">
        <f t="array" ref="W56">SUM(ABS(S56:V56))</f>
        <v>182.73999999999998</v>
      </c>
      <c r="X56" s="25">
        <v>1.238</v>
      </c>
      <c r="Y56" s="42">
        <f t="shared" si="6"/>
        <v>56558.029999999992</v>
      </c>
      <c r="Z56" s="20">
        <v>277.30999999999995</v>
      </c>
      <c r="AA56" s="20">
        <f t="shared" si="7"/>
        <v>460.04999999999995</v>
      </c>
      <c r="AB56" s="21">
        <v>200.07999999999998</v>
      </c>
      <c r="AC56" s="21">
        <v>1.3099999999999998</v>
      </c>
      <c r="AD56" s="8">
        <f t="shared" si="8"/>
        <v>478.69999999999993</v>
      </c>
      <c r="AE56" s="25">
        <v>1.238</v>
      </c>
      <c r="AF56" s="25">
        <f t="shared" si="9"/>
        <v>148157.65</v>
      </c>
      <c r="AG56" s="25">
        <f t="shared" si="10"/>
        <v>204715.68</v>
      </c>
      <c r="AH56" s="1">
        <f t="shared" si="0"/>
        <v>3269.8199999999997</v>
      </c>
      <c r="AI56" s="1">
        <f t="shared" si="1"/>
        <v>3593.35</v>
      </c>
      <c r="AJ56" s="1">
        <v>3792.38</v>
      </c>
      <c r="AK56" s="1">
        <f t="shared" si="2"/>
        <v>-522.5600000000004</v>
      </c>
      <c r="AL56" s="29">
        <f t="shared" si="11"/>
        <v>199.0300000000002</v>
      </c>
      <c r="AM56" s="11">
        <f t="shared" si="3"/>
        <v>2410193.0149000003</v>
      </c>
    </row>
    <row r="57" spans="1:39" x14ac:dyDescent="0.3">
      <c r="A57" s="39">
        <v>45782.552083333336</v>
      </c>
      <c r="B57" s="1">
        <v>1024.44</v>
      </c>
      <c r="C57" s="11">
        <v>3.2732000000000001</v>
      </c>
      <c r="D57" s="1">
        <v>627.63</v>
      </c>
      <c r="E57" s="11">
        <v>3.0760000000000001</v>
      </c>
      <c r="F57" s="1">
        <v>398.57</v>
      </c>
      <c r="G57" s="11">
        <v>3.53</v>
      </c>
      <c r="H57" s="1">
        <v>32.53</v>
      </c>
      <c r="I57" s="11">
        <v>1.6740599999999999</v>
      </c>
      <c r="J57" s="1">
        <v>158.31</v>
      </c>
      <c r="K57" s="11">
        <v>1.79474</v>
      </c>
      <c r="L57" s="1">
        <v>83.73</v>
      </c>
      <c r="M57" s="11">
        <v>6.2</v>
      </c>
      <c r="N57" s="1">
        <v>459.1</v>
      </c>
      <c r="O57" s="11">
        <v>2.8224999999999998</v>
      </c>
      <c r="P57" s="1">
        <f t="shared" si="4"/>
        <v>2784.3100000000004</v>
      </c>
      <c r="Q57" s="1">
        <v>3146.42</v>
      </c>
      <c r="R57" s="16">
        <f t="shared" si="5"/>
        <v>2211064.2998000002</v>
      </c>
      <c r="S57" s="1">
        <v>-133.87</v>
      </c>
      <c r="T57" s="1">
        <v>35.770000000000003</v>
      </c>
      <c r="U57" s="1">
        <v>12</v>
      </c>
      <c r="V57" s="1">
        <v>14.73</v>
      </c>
      <c r="W57" s="1" cm="1">
        <f t="array" ref="W57">SUM(ABS(S57:V57))</f>
        <v>196.37</v>
      </c>
      <c r="X57" s="25">
        <v>1.238</v>
      </c>
      <c r="Y57" s="42">
        <f t="shared" si="6"/>
        <v>60776.515000000007</v>
      </c>
      <c r="Z57" s="20">
        <v>258.25</v>
      </c>
      <c r="AA57" s="20">
        <f t="shared" si="7"/>
        <v>454.62</v>
      </c>
      <c r="AB57" s="21">
        <v>197.42</v>
      </c>
      <c r="AC57" s="21">
        <v>2.21</v>
      </c>
      <c r="AD57" s="8">
        <f t="shared" si="8"/>
        <v>457.87999999999994</v>
      </c>
      <c r="AE57" s="25">
        <v>1.238</v>
      </c>
      <c r="AF57" s="25">
        <f t="shared" si="9"/>
        <v>141713.85999999999</v>
      </c>
      <c r="AG57" s="25">
        <f t="shared" si="10"/>
        <v>202490.375</v>
      </c>
      <c r="AH57" s="1">
        <f t="shared" si="0"/>
        <v>3242.1900000000005</v>
      </c>
      <c r="AI57" s="1">
        <f t="shared" si="1"/>
        <v>3604.3</v>
      </c>
      <c r="AJ57" s="1">
        <v>3808.68</v>
      </c>
      <c r="AK57" s="1">
        <f t="shared" si="2"/>
        <v>-566.48999999999933</v>
      </c>
      <c r="AL57" s="29">
        <f t="shared" si="11"/>
        <v>204.37999999999965</v>
      </c>
      <c r="AM57" s="11">
        <f t="shared" si="3"/>
        <v>2413554.6748000002</v>
      </c>
    </row>
    <row r="58" spans="1:39" x14ac:dyDescent="0.3">
      <c r="A58" s="39">
        <v>45782.5625</v>
      </c>
      <c r="B58" s="1">
        <v>1029.8900000000001</v>
      </c>
      <c r="C58" s="11">
        <v>3.2732000000000001</v>
      </c>
      <c r="D58" s="1">
        <v>658.73</v>
      </c>
      <c r="E58" s="11">
        <v>3.0760000000000001</v>
      </c>
      <c r="F58" s="1">
        <v>398.57</v>
      </c>
      <c r="G58" s="11">
        <v>3.53</v>
      </c>
      <c r="H58" s="1">
        <v>32.53</v>
      </c>
      <c r="I58" s="11">
        <v>1.6748499999999999</v>
      </c>
      <c r="J58" s="1">
        <v>129.51</v>
      </c>
      <c r="K58" s="11">
        <v>1.99526</v>
      </c>
      <c r="L58" s="1">
        <v>83.34</v>
      </c>
      <c r="M58" s="11">
        <v>6.2</v>
      </c>
      <c r="N58" s="1">
        <v>439.98</v>
      </c>
      <c r="O58" s="11">
        <v>2.8224999999999998</v>
      </c>
      <c r="P58" s="1">
        <f t="shared" si="4"/>
        <v>2772.5500000000006</v>
      </c>
      <c r="Q58" s="1">
        <v>2775.19</v>
      </c>
      <c r="R58" s="16">
        <f t="shared" si="5"/>
        <v>2218920.5177750001</v>
      </c>
      <c r="S58" s="1">
        <v>-553.82000000000005</v>
      </c>
      <c r="T58" s="1">
        <v>35.729999999999997</v>
      </c>
      <c r="U58" s="1">
        <v>12</v>
      </c>
      <c r="V58" s="1">
        <v>19.059999999999999</v>
      </c>
      <c r="W58" s="1" cm="1">
        <f t="array" ref="W58">SUM(ABS(S58:V58))</f>
        <v>620.61</v>
      </c>
      <c r="X58" s="25">
        <v>1.238</v>
      </c>
      <c r="Y58" s="42">
        <f t="shared" si="6"/>
        <v>192078.79500000001</v>
      </c>
      <c r="Z58" s="20">
        <v>261.39999999999998</v>
      </c>
      <c r="AA58" s="20">
        <f t="shared" si="7"/>
        <v>882.01</v>
      </c>
      <c r="AB58" s="21">
        <v>185.9</v>
      </c>
      <c r="AC58" s="21">
        <v>3.33</v>
      </c>
      <c r="AD58" s="8">
        <f t="shared" si="8"/>
        <v>450.62999999999994</v>
      </c>
      <c r="AE58" s="25">
        <v>1.238</v>
      </c>
      <c r="AF58" s="25">
        <f t="shared" si="9"/>
        <v>139469.98499999999</v>
      </c>
      <c r="AG58" s="25">
        <f t="shared" si="10"/>
        <v>331548.78000000003</v>
      </c>
      <c r="AH58" s="1">
        <f t="shared" si="0"/>
        <v>3223.1800000000007</v>
      </c>
      <c r="AI58" s="1">
        <f t="shared" si="1"/>
        <v>3225.82</v>
      </c>
      <c r="AJ58" s="1">
        <v>3846.7</v>
      </c>
      <c r="AK58" s="1">
        <f t="shared" si="2"/>
        <v>-623.51999999999907</v>
      </c>
      <c r="AL58" s="29">
        <f t="shared" si="11"/>
        <v>620.87999999999965</v>
      </c>
      <c r="AM58" s="11">
        <f t="shared" si="3"/>
        <v>2550469.2977750003</v>
      </c>
    </row>
    <row r="59" spans="1:39" x14ac:dyDescent="0.3">
      <c r="A59" s="39">
        <v>45782.572916666664</v>
      </c>
      <c r="B59" s="1">
        <v>1046.8499999999999</v>
      </c>
      <c r="C59" s="11">
        <v>3.2732000000000001</v>
      </c>
      <c r="D59" s="1">
        <v>679.76</v>
      </c>
      <c r="E59" s="11">
        <v>3.0760000000000001</v>
      </c>
      <c r="F59" s="1">
        <v>398.57</v>
      </c>
      <c r="G59" s="11">
        <v>3.53</v>
      </c>
      <c r="H59" s="1">
        <v>50.6</v>
      </c>
      <c r="I59" s="11">
        <v>1.67631</v>
      </c>
      <c r="J59" s="1">
        <v>21.03</v>
      </c>
      <c r="K59" s="11">
        <v>2.4993000000000003</v>
      </c>
      <c r="L59" s="1">
        <v>65.97</v>
      </c>
      <c r="M59" s="11">
        <v>6.2</v>
      </c>
      <c r="N59" s="1">
        <v>418.58</v>
      </c>
      <c r="O59" s="11">
        <v>2.8224999999999998</v>
      </c>
      <c r="P59" s="1">
        <f t="shared" si="4"/>
        <v>2681.3599999999997</v>
      </c>
      <c r="Q59" s="1">
        <v>2785.64</v>
      </c>
      <c r="R59" s="16">
        <f t="shared" si="5"/>
        <v>2163070.2237499999</v>
      </c>
      <c r="S59" s="1">
        <v>-586.5</v>
      </c>
      <c r="T59" s="1">
        <v>35.65</v>
      </c>
      <c r="U59" s="1">
        <v>12</v>
      </c>
      <c r="V59" s="1">
        <v>19.09</v>
      </c>
      <c r="W59" s="1" cm="1">
        <f t="array" ref="W59">SUM(ABS(S59:V59))</f>
        <v>653.24</v>
      </c>
      <c r="X59" s="25">
        <v>1.238</v>
      </c>
      <c r="Y59" s="42">
        <f t="shared" si="6"/>
        <v>202177.78</v>
      </c>
      <c r="Z59" s="20">
        <v>280.15999999999997</v>
      </c>
      <c r="AA59" s="20">
        <f t="shared" si="7"/>
        <v>933.4</v>
      </c>
      <c r="AB59" s="21">
        <v>173.95999999999998</v>
      </c>
      <c r="AC59" s="21">
        <v>4.82</v>
      </c>
      <c r="AD59" s="8">
        <f t="shared" si="8"/>
        <v>458.93999999999994</v>
      </c>
      <c r="AE59" s="25">
        <v>1.238</v>
      </c>
      <c r="AF59" s="25">
        <f t="shared" si="9"/>
        <v>142041.93</v>
      </c>
      <c r="AG59" s="25">
        <f t="shared" si="10"/>
        <v>344219.70999999996</v>
      </c>
      <c r="AH59" s="1">
        <f t="shared" si="0"/>
        <v>3140.2999999999997</v>
      </c>
      <c r="AI59" s="1">
        <f t="shared" si="1"/>
        <v>3244.58</v>
      </c>
      <c r="AJ59" s="1">
        <v>3908.11</v>
      </c>
      <c r="AK59" s="1">
        <f t="shared" si="2"/>
        <v>-767.8100000000004</v>
      </c>
      <c r="AL59" s="29">
        <f t="shared" si="11"/>
        <v>663.5300000000002</v>
      </c>
      <c r="AM59" s="11">
        <f t="shared" si="3"/>
        <v>2507289.9337499999</v>
      </c>
    </row>
    <row r="60" spans="1:39" x14ac:dyDescent="0.3">
      <c r="A60" s="39">
        <v>45782.583333333336</v>
      </c>
      <c r="B60" s="1">
        <v>1128.6400000000001</v>
      </c>
      <c r="C60" s="11">
        <v>3.2732000000000001</v>
      </c>
      <c r="D60" s="1">
        <v>679.76</v>
      </c>
      <c r="E60" s="11">
        <v>3.0760000000000001</v>
      </c>
      <c r="F60" s="1">
        <v>398.57</v>
      </c>
      <c r="G60" s="11">
        <v>3.53</v>
      </c>
      <c r="H60" s="1">
        <v>79.040000000000006</v>
      </c>
      <c r="I60" s="11">
        <v>1.9990899999999998</v>
      </c>
      <c r="J60" s="1">
        <v>11.38</v>
      </c>
      <c r="K60" s="11">
        <v>2.8101400000000001</v>
      </c>
      <c r="L60" s="1">
        <v>34.99</v>
      </c>
      <c r="M60" s="11">
        <v>6.2</v>
      </c>
      <c r="N60" s="1">
        <v>365.52</v>
      </c>
      <c r="O60" s="11">
        <v>2.8224999999999998</v>
      </c>
      <c r="P60" s="1">
        <f t="shared" si="4"/>
        <v>2697.9</v>
      </c>
      <c r="Q60" s="1">
        <v>2803.43</v>
      </c>
      <c r="R60" s="16">
        <f t="shared" si="5"/>
        <v>2157690.9937</v>
      </c>
      <c r="S60" s="1">
        <v>-560.79999999999995</v>
      </c>
      <c r="T60" s="1">
        <v>35.659999999999997</v>
      </c>
      <c r="U60" s="1">
        <v>12</v>
      </c>
      <c r="V60" s="1">
        <v>19.11</v>
      </c>
      <c r="W60" s="1" cm="1">
        <f t="array" ref="W60">SUM(ABS(S60:V60))</f>
        <v>627.56999999999994</v>
      </c>
      <c r="X60" s="25">
        <v>1.238</v>
      </c>
      <c r="Y60" s="42">
        <f t="shared" si="6"/>
        <v>194232.91499999998</v>
      </c>
      <c r="Z60" s="20">
        <v>352.8</v>
      </c>
      <c r="AA60" s="20">
        <f t="shared" si="7"/>
        <v>980.36999999999989</v>
      </c>
      <c r="AB60" s="21">
        <v>180.39000000000001</v>
      </c>
      <c r="AC60" s="21">
        <v>4.22</v>
      </c>
      <c r="AD60" s="8">
        <f t="shared" si="8"/>
        <v>537.41000000000008</v>
      </c>
      <c r="AE60" s="25">
        <v>1.238</v>
      </c>
      <c r="AF60" s="25">
        <f t="shared" si="9"/>
        <v>166328.39500000002</v>
      </c>
      <c r="AG60" s="25">
        <f t="shared" si="10"/>
        <v>360561.31</v>
      </c>
      <c r="AH60" s="1">
        <f t="shared" si="0"/>
        <v>3235.3100000000004</v>
      </c>
      <c r="AI60" s="1">
        <f t="shared" si="1"/>
        <v>3340.84</v>
      </c>
      <c r="AJ60" s="1">
        <v>3979.82</v>
      </c>
      <c r="AK60" s="1">
        <f t="shared" si="2"/>
        <v>-744.50999999999976</v>
      </c>
      <c r="AL60" s="29">
        <f t="shared" si="11"/>
        <v>638.98</v>
      </c>
      <c r="AM60" s="11">
        <f t="shared" si="3"/>
        <v>2518252.3037</v>
      </c>
    </row>
    <row r="61" spans="1:39" x14ac:dyDescent="0.3">
      <c r="A61" s="39">
        <v>45782.59375</v>
      </c>
      <c r="B61" s="1">
        <v>1175.56</v>
      </c>
      <c r="C61" s="11">
        <v>3.2732000000000001</v>
      </c>
      <c r="D61" s="1">
        <v>679.76</v>
      </c>
      <c r="E61" s="11">
        <v>3.0760000000000001</v>
      </c>
      <c r="F61" s="1">
        <v>398.57</v>
      </c>
      <c r="G61" s="11">
        <v>3.53</v>
      </c>
      <c r="H61" s="1">
        <v>81.27</v>
      </c>
      <c r="I61" s="11">
        <v>1.9994700000000001</v>
      </c>
      <c r="J61" s="1">
        <v>11.2</v>
      </c>
      <c r="K61" s="11">
        <v>2.6492499999999999</v>
      </c>
      <c r="L61" s="1">
        <v>32.47</v>
      </c>
      <c r="M61" s="11">
        <v>6.2</v>
      </c>
      <c r="N61" s="1">
        <v>353.1</v>
      </c>
      <c r="O61" s="11">
        <v>2.8224999999999998</v>
      </c>
      <c r="P61" s="1">
        <f t="shared" si="4"/>
        <v>2731.9299999999994</v>
      </c>
      <c r="Q61" s="1">
        <v>2786.22</v>
      </c>
      <c r="R61" s="16">
        <f t="shared" si="5"/>
        <v>2183961.0322250002</v>
      </c>
      <c r="S61" s="1">
        <v>-616.04999999999995</v>
      </c>
      <c r="T61" s="1">
        <v>35.67</v>
      </c>
      <c r="U61" s="1">
        <v>12</v>
      </c>
      <c r="V61" s="1">
        <v>24.77</v>
      </c>
      <c r="W61" s="1" cm="1">
        <f t="array" ref="W61">SUM(ABS(S61:V61))</f>
        <v>688.4899999999999</v>
      </c>
      <c r="X61" s="25">
        <v>1.238</v>
      </c>
      <c r="Y61" s="42">
        <f t="shared" si="6"/>
        <v>213087.65499999997</v>
      </c>
      <c r="Z61" s="20">
        <v>372.13</v>
      </c>
      <c r="AA61" s="20">
        <f t="shared" si="7"/>
        <v>1060.6199999999999</v>
      </c>
      <c r="AB61" s="21">
        <v>180.68000000000004</v>
      </c>
      <c r="AC61" s="21">
        <v>4.16</v>
      </c>
      <c r="AD61" s="8">
        <f t="shared" si="8"/>
        <v>556.97</v>
      </c>
      <c r="AE61" s="25">
        <v>1.238</v>
      </c>
      <c r="AF61" s="25">
        <f t="shared" si="9"/>
        <v>172382.215</v>
      </c>
      <c r="AG61" s="25">
        <f t="shared" si="10"/>
        <v>385469.87</v>
      </c>
      <c r="AH61" s="1">
        <f t="shared" si="0"/>
        <v>3288.8999999999996</v>
      </c>
      <c r="AI61" s="1">
        <f t="shared" si="1"/>
        <v>3343.1899999999996</v>
      </c>
      <c r="AJ61" s="1">
        <v>4043.8</v>
      </c>
      <c r="AK61" s="1">
        <f t="shared" si="2"/>
        <v>-754.90000000000055</v>
      </c>
      <c r="AL61" s="29">
        <f t="shared" si="11"/>
        <v>700.61000000000058</v>
      </c>
      <c r="AM61" s="11">
        <f t="shared" si="3"/>
        <v>2569430.9022250003</v>
      </c>
    </row>
    <row r="62" spans="1:39" x14ac:dyDescent="0.3">
      <c r="A62" s="39">
        <v>45782.604166666664</v>
      </c>
      <c r="B62" s="1">
        <v>1253.28</v>
      </c>
      <c r="C62" s="11">
        <v>3.2732000000000001</v>
      </c>
      <c r="D62" s="1">
        <v>679.76</v>
      </c>
      <c r="E62" s="11">
        <v>3.0760000000000001</v>
      </c>
      <c r="F62" s="1">
        <v>398.57</v>
      </c>
      <c r="G62" s="11">
        <v>3.53</v>
      </c>
      <c r="H62" s="1">
        <v>81.27</v>
      </c>
      <c r="I62" s="11">
        <v>1.9999899999999999</v>
      </c>
      <c r="J62" s="1">
        <v>12.57</v>
      </c>
      <c r="K62" s="11">
        <v>2.5005799999999998</v>
      </c>
      <c r="L62" s="1">
        <v>32.08</v>
      </c>
      <c r="M62" s="11">
        <v>6.2</v>
      </c>
      <c r="N62" s="1">
        <v>339.27</v>
      </c>
      <c r="O62" s="11">
        <v>2.8224999999999998</v>
      </c>
      <c r="P62" s="1">
        <f t="shared" si="4"/>
        <v>2796.8</v>
      </c>
      <c r="Q62" s="1">
        <v>2837.36</v>
      </c>
      <c r="R62" s="16">
        <f t="shared" si="5"/>
        <v>2237646.7522249999</v>
      </c>
      <c r="S62" s="1">
        <v>-622.57000000000005</v>
      </c>
      <c r="T62" s="1">
        <v>35.67</v>
      </c>
      <c r="U62" s="1">
        <v>12</v>
      </c>
      <c r="V62" s="1">
        <v>25.31</v>
      </c>
      <c r="W62" s="1" cm="1">
        <f t="array" ref="W62">SUM(ABS(S62:V62))</f>
        <v>695.55</v>
      </c>
      <c r="X62" s="25">
        <v>1.238</v>
      </c>
      <c r="Y62" s="42">
        <f t="shared" si="6"/>
        <v>215272.72499999998</v>
      </c>
      <c r="Z62" s="20">
        <v>383.12</v>
      </c>
      <c r="AA62" s="20">
        <f t="shared" si="7"/>
        <v>1078.67</v>
      </c>
      <c r="AB62" s="21">
        <v>176.78</v>
      </c>
      <c r="AC62" s="21">
        <v>5.22</v>
      </c>
      <c r="AD62" s="8">
        <f t="shared" si="8"/>
        <v>565.12</v>
      </c>
      <c r="AE62" s="25">
        <v>1.238</v>
      </c>
      <c r="AF62" s="25">
        <f t="shared" si="9"/>
        <v>174904.64</v>
      </c>
      <c r="AG62" s="25">
        <f t="shared" si="10"/>
        <v>390177.36499999999</v>
      </c>
      <c r="AH62" s="1">
        <f t="shared" si="0"/>
        <v>3361.92</v>
      </c>
      <c r="AI62" s="1">
        <f t="shared" si="1"/>
        <v>3402.48</v>
      </c>
      <c r="AJ62" s="1">
        <v>4106.6099999999997</v>
      </c>
      <c r="AK62" s="1">
        <f t="shared" si="2"/>
        <v>-744.6899999999996</v>
      </c>
      <c r="AL62" s="29">
        <f t="shared" si="11"/>
        <v>704.12999999999965</v>
      </c>
      <c r="AM62" s="11">
        <f t="shared" si="3"/>
        <v>2627824.1172249997</v>
      </c>
    </row>
    <row r="63" spans="1:39" x14ac:dyDescent="0.3">
      <c r="A63" s="39">
        <v>45782.614583333336</v>
      </c>
      <c r="B63" s="1">
        <v>1293.04</v>
      </c>
      <c r="C63" s="11">
        <v>3.2732000000000001</v>
      </c>
      <c r="D63" s="1">
        <v>679.76</v>
      </c>
      <c r="E63" s="11">
        <v>3.0760000000000001</v>
      </c>
      <c r="F63" s="1">
        <v>398.57</v>
      </c>
      <c r="G63" s="11">
        <v>3.53</v>
      </c>
      <c r="H63" s="1">
        <v>81.27</v>
      </c>
      <c r="I63" s="11">
        <v>2.0003699999999998</v>
      </c>
      <c r="J63" s="1">
        <v>13.52</v>
      </c>
      <c r="K63" s="11">
        <v>2.5942699999999999</v>
      </c>
      <c r="L63" s="1">
        <v>31.85</v>
      </c>
      <c r="M63" s="11">
        <v>6.2</v>
      </c>
      <c r="N63" s="1">
        <v>319.05</v>
      </c>
      <c r="O63" s="11">
        <v>2.8224999999999998</v>
      </c>
      <c r="P63" s="1">
        <f t="shared" si="4"/>
        <v>2817.06</v>
      </c>
      <c r="Q63" s="1">
        <v>2867.04</v>
      </c>
      <c r="R63" s="16">
        <f t="shared" si="5"/>
        <v>2256476.4033250003</v>
      </c>
      <c r="S63" s="1">
        <v>-620.26</v>
      </c>
      <c r="T63" s="1">
        <v>35.64</v>
      </c>
      <c r="U63" s="1">
        <v>12</v>
      </c>
      <c r="V63" s="1">
        <v>25.32</v>
      </c>
      <c r="W63" s="1" cm="1">
        <f t="array" ref="W63">SUM(ABS(S63:V63))</f>
        <v>693.22</v>
      </c>
      <c r="X63" s="25">
        <v>1.238</v>
      </c>
      <c r="Y63" s="42">
        <f t="shared" si="6"/>
        <v>214551.59</v>
      </c>
      <c r="Z63" s="20">
        <v>392.28</v>
      </c>
      <c r="AA63" s="20">
        <f t="shared" si="7"/>
        <v>1085.5</v>
      </c>
      <c r="AB63" s="21">
        <v>174.79000000000002</v>
      </c>
      <c r="AC63" s="21">
        <v>5.4399999999999995</v>
      </c>
      <c r="AD63" s="8">
        <f t="shared" si="8"/>
        <v>572.51</v>
      </c>
      <c r="AE63" s="25">
        <v>1.238</v>
      </c>
      <c r="AF63" s="25">
        <f t="shared" si="9"/>
        <v>177191.845</v>
      </c>
      <c r="AG63" s="25">
        <f t="shared" si="10"/>
        <v>391743.435</v>
      </c>
      <c r="AH63" s="1">
        <f t="shared" si="0"/>
        <v>3389.5699999999997</v>
      </c>
      <c r="AI63" s="1">
        <f t="shared" si="1"/>
        <v>3439.55</v>
      </c>
      <c r="AJ63" s="1">
        <v>4142.84</v>
      </c>
      <c r="AK63" s="1">
        <f t="shared" si="2"/>
        <v>-753.27000000000044</v>
      </c>
      <c r="AL63" s="29">
        <f t="shared" si="11"/>
        <v>703.29</v>
      </c>
      <c r="AM63" s="11">
        <f t="shared" si="3"/>
        <v>2648219.8383250004</v>
      </c>
    </row>
    <row r="64" spans="1:39" x14ac:dyDescent="0.3">
      <c r="A64" s="39">
        <v>45782.625</v>
      </c>
      <c r="B64" s="1">
        <v>1348.47</v>
      </c>
      <c r="C64" s="11">
        <v>3.2732000000000001</v>
      </c>
      <c r="D64" s="1">
        <v>679.76</v>
      </c>
      <c r="E64" s="11">
        <v>3.0760000000000001</v>
      </c>
      <c r="F64" s="1">
        <v>398.57</v>
      </c>
      <c r="G64" s="11">
        <v>3.53</v>
      </c>
      <c r="H64" s="1">
        <v>52.61</v>
      </c>
      <c r="I64" s="11">
        <v>2.39682</v>
      </c>
      <c r="J64" s="1">
        <v>129.94999999999999</v>
      </c>
      <c r="K64" s="11">
        <v>1.79436</v>
      </c>
      <c r="L64" s="1">
        <v>33.56</v>
      </c>
      <c r="M64" s="11">
        <v>6.2</v>
      </c>
      <c r="N64" s="1">
        <v>305.81</v>
      </c>
      <c r="O64" s="11">
        <v>2.8224999999999998</v>
      </c>
      <c r="P64" s="1">
        <f t="shared" si="4"/>
        <v>2948.73</v>
      </c>
      <c r="Q64" s="1">
        <v>2942.46</v>
      </c>
      <c r="R64" s="16">
        <f t="shared" si="5"/>
        <v>2335550.0928000002</v>
      </c>
      <c r="S64" s="1">
        <v>-620.62</v>
      </c>
      <c r="T64" s="1">
        <v>35.65</v>
      </c>
      <c r="U64" s="1">
        <v>12</v>
      </c>
      <c r="V64" s="1">
        <v>25.31</v>
      </c>
      <c r="W64" s="1" cm="1">
        <f t="array" ref="W64">SUM(ABS(S64:V64))</f>
        <v>693.57999999999993</v>
      </c>
      <c r="X64" s="25">
        <v>1.238</v>
      </c>
      <c r="Y64" s="42">
        <f t="shared" si="6"/>
        <v>214663.00999999998</v>
      </c>
      <c r="Z64" s="20">
        <v>392.92</v>
      </c>
      <c r="AA64" s="20">
        <f t="shared" si="7"/>
        <v>1086.5</v>
      </c>
      <c r="AB64" s="21">
        <v>152.42000000000002</v>
      </c>
      <c r="AC64" s="21">
        <v>5.25</v>
      </c>
      <c r="AD64" s="8">
        <f t="shared" si="8"/>
        <v>550.59</v>
      </c>
      <c r="AE64" s="25">
        <v>1.238</v>
      </c>
      <c r="AF64" s="25">
        <f t="shared" si="9"/>
        <v>170407.60500000001</v>
      </c>
      <c r="AG64" s="25">
        <f t="shared" si="10"/>
        <v>385070.61499999999</v>
      </c>
      <c r="AH64" s="1">
        <f t="shared" si="0"/>
        <v>3499.32</v>
      </c>
      <c r="AI64" s="1">
        <f t="shared" si="1"/>
        <v>3493.05</v>
      </c>
      <c r="AJ64" s="1">
        <v>4201.72</v>
      </c>
      <c r="AK64" s="1">
        <f t="shared" si="2"/>
        <v>-702.40000000000009</v>
      </c>
      <c r="AL64" s="29">
        <f t="shared" si="11"/>
        <v>708.67000000000007</v>
      </c>
      <c r="AM64" s="11">
        <f t="shared" si="3"/>
        <v>2720620.7078</v>
      </c>
    </row>
    <row r="65" spans="1:39" x14ac:dyDescent="0.3">
      <c r="A65" s="39">
        <v>45782.635416666664</v>
      </c>
      <c r="B65" s="1">
        <v>1358.47</v>
      </c>
      <c r="C65" s="11">
        <v>3.2732000000000001</v>
      </c>
      <c r="D65" s="1">
        <v>679.76</v>
      </c>
      <c r="E65" s="11">
        <v>3.0760000000000001</v>
      </c>
      <c r="F65" s="1">
        <v>398.57</v>
      </c>
      <c r="G65" s="11">
        <v>3.53</v>
      </c>
      <c r="H65" s="1">
        <v>49.24</v>
      </c>
      <c r="I65" s="11">
        <v>2.4004499999999998</v>
      </c>
      <c r="J65" s="1">
        <v>137.63999999999999</v>
      </c>
      <c r="K65" s="11">
        <v>1.9957</v>
      </c>
      <c r="L65" s="1">
        <v>33.520000000000003</v>
      </c>
      <c r="M65" s="11">
        <v>6.2</v>
      </c>
      <c r="N65" s="1">
        <v>298.27999999999997</v>
      </c>
      <c r="O65" s="11">
        <v>2.8224999999999998</v>
      </c>
      <c r="P65" s="1">
        <f t="shared" si="4"/>
        <v>2955.4799999999996</v>
      </c>
      <c r="Q65" s="1">
        <v>2938.84</v>
      </c>
      <c r="R65" s="16">
        <f t="shared" si="5"/>
        <v>2346760.8675000006</v>
      </c>
      <c r="S65" s="1">
        <v>-625.78</v>
      </c>
      <c r="T65" s="1">
        <v>35.65</v>
      </c>
      <c r="U65" s="1">
        <v>12</v>
      </c>
      <c r="V65" s="1">
        <v>25.33</v>
      </c>
      <c r="W65" s="1" cm="1">
        <f t="array" ref="W65">SUM(ABS(S65:V65))</f>
        <v>698.76</v>
      </c>
      <c r="X65" s="25">
        <v>1.238</v>
      </c>
      <c r="Y65" s="42">
        <f t="shared" si="6"/>
        <v>216266.22</v>
      </c>
      <c r="Z65" s="20">
        <v>437.72999999999996</v>
      </c>
      <c r="AA65" s="20">
        <f t="shared" si="7"/>
        <v>1136.49</v>
      </c>
      <c r="AB65" s="21">
        <v>130.07999999999998</v>
      </c>
      <c r="AC65" s="21">
        <v>8</v>
      </c>
      <c r="AD65" s="8">
        <f t="shared" si="8"/>
        <v>575.80999999999995</v>
      </c>
      <c r="AE65" s="25">
        <v>1.238</v>
      </c>
      <c r="AF65" s="25">
        <f t="shared" si="9"/>
        <v>178213.19499999998</v>
      </c>
      <c r="AG65" s="25">
        <f t="shared" si="10"/>
        <v>394479.41499999998</v>
      </c>
      <c r="AH65" s="1">
        <f t="shared" si="0"/>
        <v>3531.2899999999995</v>
      </c>
      <c r="AI65" s="1">
        <f t="shared" si="1"/>
        <v>3514.65</v>
      </c>
      <c r="AJ65" s="1">
        <v>4226.28</v>
      </c>
      <c r="AK65" s="1">
        <f t="shared" si="2"/>
        <v>-694.99000000000024</v>
      </c>
      <c r="AL65" s="29">
        <f t="shared" si="11"/>
        <v>711.62999999999965</v>
      </c>
      <c r="AM65" s="11">
        <f t="shared" si="3"/>
        <v>2741240.2825000007</v>
      </c>
    </row>
    <row r="66" spans="1:39" x14ac:dyDescent="0.3">
      <c r="A66" s="39">
        <v>45782.645833333336</v>
      </c>
      <c r="B66" s="1">
        <v>1370.42</v>
      </c>
      <c r="C66" s="11">
        <v>3.2732000000000001</v>
      </c>
      <c r="D66" s="1">
        <v>679.76</v>
      </c>
      <c r="E66" s="11">
        <v>3.0760000000000001</v>
      </c>
      <c r="F66" s="1">
        <v>398.57</v>
      </c>
      <c r="G66" s="11">
        <v>3.53</v>
      </c>
      <c r="H66" s="1">
        <v>50.81</v>
      </c>
      <c r="I66" s="11">
        <v>2.8006500000000001</v>
      </c>
      <c r="J66" s="1">
        <v>62.07</v>
      </c>
      <c r="K66" s="11">
        <v>2.9807399999999999</v>
      </c>
      <c r="L66" s="1">
        <v>30.35</v>
      </c>
      <c r="M66" s="11">
        <v>6.2</v>
      </c>
      <c r="N66" s="1">
        <v>284.82</v>
      </c>
      <c r="O66" s="11">
        <v>2.8224999999999998</v>
      </c>
      <c r="P66" s="1">
        <f t="shared" si="4"/>
        <v>2876.8000000000006</v>
      </c>
      <c r="Q66" s="1">
        <v>2897.66</v>
      </c>
      <c r="R66" s="16">
        <f t="shared" si="5"/>
        <v>2325735.6530750003</v>
      </c>
      <c r="S66" s="1">
        <v>-614.77</v>
      </c>
      <c r="T66" s="1">
        <v>35.619999999999997</v>
      </c>
      <c r="U66" s="1">
        <v>12</v>
      </c>
      <c r="V66" s="1">
        <v>25.34</v>
      </c>
      <c r="W66" s="1" cm="1">
        <f t="array" ref="W66">SUM(ABS(S66:V66))</f>
        <v>687.73</v>
      </c>
      <c r="X66" s="25">
        <v>1.238</v>
      </c>
      <c r="Y66" s="42">
        <f t="shared" si="6"/>
        <v>212852.43500000003</v>
      </c>
      <c r="Z66" s="20">
        <v>491.7</v>
      </c>
      <c r="AA66" s="20">
        <f t="shared" si="7"/>
        <v>1179.43</v>
      </c>
      <c r="AB66" s="21">
        <v>119.58</v>
      </c>
      <c r="AC66" s="21">
        <v>7.42</v>
      </c>
      <c r="AD66" s="8">
        <f t="shared" si="8"/>
        <v>618.69999999999993</v>
      </c>
      <c r="AE66" s="25">
        <v>1.238</v>
      </c>
      <c r="AF66" s="25">
        <f t="shared" si="9"/>
        <v>191487.64999999997</v>
      </c>
      <c r="AG66" s="25">
        <f t="shared" si="10"/>
        <v>404340.08499999996</v>
      </c>
      <c r="AH66" s="1">
        <f t="shared" si="0"/>
        <v>3495.5000000000005</v>
      </c>
      <c r="AI66" s="1">
        <f t="shared" si="1"/>
        <v>3516.3599999999997</v>
      </c>
      <c r="AJ66" s="1">
        <v>4209.4799999999996</v>
      </c>
      <c r="AK66" s="1">
        <f t="shared" si="2"/>
        <v>-713.97999999999911</v>
      </c>
      <c r="AL66" s="29">
        <f t="shared" si="11"/>
        <v>693.11999999999989</v>
      </c>
      <c r="AM66" s="11">
        <f t="shared" si="3"/>
        <v>2730075.7380750002</v>
      </c>
    </row>
    <row r="67" spans="1:39" x14ac:dyDescent="0.3">
      <c r="A67" s="39">
        <v>45782.65625</v>
      </c>
      <c r="B67" s="1">
        <v>1388.8</v>
      </c>
      <c r="C67" s="11">
        <v>3.2732000000000001</v>
      </c>
      <c r="D67" s="1">
        <v>679.76</v>
      </c>
      <c r="E67" s="11">
        <v>3.0760000000000001</v>
      </c>
      <c r="F67" s="1">
        <v>398.57</v>
      </c>
      <c r="G67" s="11">
        <v>3.53</v>
      </c>
      <c r="H67" s="1">
        <v>55.09</v>
      </c>
      <c r="I67" s="11">
        <v>2.8490100000000003</v>
      </c>
      <c r="J67" s="1">
        <v>11.4</v>
      </c>
      <c r="K67" s="11">
        <v>3.10501</v>
      </c>
      <c r="L67" s="1">
        <v>29</v>
      </c>
      <c r="M67" s="11">
        <v>6.2</v>
      </c>
      <c r="N67" s="1">
        <v>263.27</v>
      </c>
      <c r="O67" s="11">
        <v>2.8224999999999998</v>
      </c>
      <c r="P67" s="1">
        <f t="shared" si="4"/>
        <v>2825.8900000000003</v>
      </c>
      <c r="Q67" s="1">
        <v>2879.49</v>
      </c>
      <c r="R67" s="16">
        <f t="shared" si="5"/>
        <v>2289735.667475</v>
      </c>
      <c r="S67" s="1">
        <v>-613.05999999999995</v>
      </c>
      <c r="T67" s="1">
        <v>35.630000000000003</v>
      </c>
      <c r="U67" s="1">
        <v>12</v>
      </c>
      <c r="V67" s="1">
        <v>25.29</v>
      </c>
      <c r="W67" s="1" cm="1">
        <f t="array" ref="W67">SUM(ABS(S67:V67))</f>
        <v>685.9799999999999</v>
      </c>
      <c r="X67" s="25">
        <v>1.238</v>
      </c>
      <c r="Y67" s="42">
        <f t="shared" si="6"/>
        <v>212310.80999999997</v>
      </c>
      <c r="Z67" s="20">
        <v>522.9</v>
      </c>
      <c r="AA67" s="20">
        <f t="shared" si="7"/>
        <v>1208.8799999999999</v>
      </c>
      <c r="AB67" s="21">
        <v>112.43</v>
      </c>
      <c r="AC67" s="21">
        <v>8.5599999999999987</v>
      </c>
      <c r="AD67" s="8">
        <f t="shared" si="8"/>
        <v>643.88999999999987</v>
      </c>
      <c r="AE67" s="25">
        <v>1.238</v>
      </c>
      <c r="AF67" s="25">
        <f t="shared" si="9"/>
        <v>199283.95499999996</v>
      </c>
      <c r="AG67" s="25">
        <f t="shared" si="10"/>
        <v>411594.7649999999</v>
      </c>
      <c r="AH67" s="1">
        <f t="shared" si="0"/>
        <v>3469.78</v>
      </c>
      <c r="AI67" s="1">
        <f t="shared" si="1"/>
        <v>3523.3799999999997</v>
      </c>
      <c r="AJ67" s="1">
        <v>4218.7</v>
      </c>
      <c r="AK67" s="1">
        <f t="shared" si="2"/>
        <v>-748.91999999999962</v>
      </c>
      <c r="AL67" s="29">
        <f t="shared" si="11"/>
        <v>695.32000000000016</v>
      </c>
      <c r="AM67" s="11">
        <f t="shared" si="3"/>
        <v>2701330.4324749997</v>
      </c>
    </row>
    <row r="68" spans="1:39" x14ac:dyDescent="0.3">
      <c r="A68" s="39">
        <v>45782.666666666664</v>
      </c>
      <c r="B68" s="1">
        <v>1405.41</v>
      </c>
      <c r="C68" s="11">
        <v>3.2732000000000001</v>
      </c>
      <c r="D68" s="1">
        <v>679.76</v>
      </c>
      <c r="E68" s="11">
        <v>3.0760000000000001</v>
      </c>
      <c r="F68" s="1">
        <v>694.47</v>
      </c>
      <c r="G68" s="11">
        <v>3.53</v>
      </c>
      <c r="H68" s="1">
        <v>65.89</v>
      </c>
      <c r="I68" s="11">
        <v>2.9028299999999998</v>
      </c>
      <c r="J68" s="1">
        <v>11.4</v>
      </c>
      <c r="K68" s="11">
        <v>2.8038699999999999</v>
      </c>
      <c r="L68" s="1">
        <v>18.75</v>
      </c>
      <c r="M68" s="11">
        <v>6.2</v>
      </c>
      <c r="N68" s="1">
        <v>273.94</v>
      </c>
      <c r="O68" s="11">
        <v>2.8224999999999998</v>
      </c>
      <c r="P68" s="1">
        <f t="shared" si="4"/>
        <v>3149.6200000000003</v>
      </c>
      <c r="Q68" s="1">
        <v>3097.93</v>
      </c>
      <c r="R68" s="16">
        <f t="shared" si="5"/>
        <v>2563821.5271749999</v>
      </c>
      <c r="S68" s="1">
        <v>-450.7</v>
      </c>
      <c r="T68" s="1">
        <v>35.630000000000003</v>
      </c>
      <c r="U68" s="1">
        <v>12.01</v>
      </c>
      <c r="V68" s="1">
        <v>16.43</v>
      </c>
      <c r="W68" s="1" cm="1">
        <f t="array" ref="W68">SUM(ABS(S68:V68))</f>
        <v>514.77</v>
      </c>
      <c r="X68" s="25">
        <v>1.238</v>
      </c>
      <c r="Y68" s="42">
        <f t="shared" si="6"/>
        <v>159321.315</v>
      </c>
      <c r="Z68" s="20">
        <v>485.73000000000008</v>
      </c>
      <c r="AA68" s="20">
        <f t="shared" si="7"/>
        <v>1000.5</v>
      </c>
      <c r="AB68" s="21">
        <v>105.56</v>
      </c>
      <c r="AC68" s="21">
        <v>9.41</v>
      </c>
      <c r="AD68" s="8">
        <f t="shared" si="8"/>
        <v>600.70000000000005</v>
      </c>
      <c r="AE68" s="25">
        <v>1.238</v>
      </c>
      <c r="AF68" s="25">
        <f t="shared" si="9"/>
        <v>185916.65</v>
      </c>
      <c r="AG68" s="25">
        <f t="shared" si="10"/>
        <v>345237.96499999997</v>
      </c>
      <c r="AH68" s="1">
        <f t="shared" ref="AH68:AH131" si="12">B68+D68+F68+H68+J68+L68+N68+AD68</f>
        <v>3750.3200000000006</v>
      </c>
      <c r="AI68" s="1">
        <f t="shared" ref="AI68:AI131" si="13">Q68+AD68</f>
        <v>3698.63</v>
      </c>
      <c r="AJ68" s="1">
        <v>4231.21</v>
      </c>
      <c r="AK68" s="1">
        <f t="shared" ref="AK68:AK131" si="14">AH68-AJ68</f>
        <v>-480.88999999999942</v>
      </c>
      <c r="AL68" s="29">
        <f t="shared" si="11"/>
        <v>532.57999999999993</v>
      </c>
      <c r="AM68" s="11">
        <f t="shared" ref="AM68:AM131" si="15">(R68+AG68)</f>
        <v>2909059.4921749998</v>
      </c>
    </row>
    <row r="69" spans="1:39" x14ac:dyDescent="0.3">
      <c r="A69" s="39">
        <v>45782.677083333336</v>
      </c>
      <c r="B69" s="1">
        <v>1426.1</v>
      </c>
      <c r="C69" s="11">
        <v>3.2732000000000001</v>
      </c>
      <c r="D69" s="1">
        <v>679.76</v>
      </c>
      <c r="E69" s="11">
        <v>3.0760000000000001</v>
      </c>
      <c r="F69" s="1">
        <v>717.12</v>
      </c>
      <c r="G69" s="11">
        <v>3.53</v>
      </c>
      <c r="H69" s="1">
        <v>69.02</v>
      </c>
      <c r="I69" s="11">
        <v>3.1504599999999998</v>
      </c>
      <c r="J69" s="1">
        <v>18.45</v>
      </c>
      <c r="K69" s="11">
        <v>2.4300000000000002</v>
      </c>
      <c r="L69" s="1">
        <v>10.8</v>
      </c>
      <c r="M69" s="11">
        <v>6.2</v>
      </c>
      <c r="N69" s="1">
        <v>254.42</v>
      </c>
      <c r="O69" s="11">
        <v>2.8224999999999998</v>
      </c>
      <c r="P69" s="1">
        <f t="shared" ref="P69:P132" si="16">(B69+D69+F69+H69+J69+L69+N69)</f>
        <v>3175.6699999999996</v>
      </c>
      <c r="Q69" s="1">
        <v>3188.06</v>
      </c>
      <c r="R69" s="16">
        <f t="shared" ref="R69:R132" si="17">(((B69*C69)+(D69*E69)+(F69*G69)+(H69*I69)+(J69*K69)+(L69*M69)+(N69*O69))*(1000/4))</f>
        <v>2584406.1447999999</v>
      </c>
      <c r="S69" s="1">
        <v>-364.84</v>
      </c>
      <c r="T69" s="1">
        <v>35.61</v>
      </c>
      <c r="U69" s="1">
        <v>24</v>
      </c>
      <c r="V69" s="1">
        <v>12.75</v>
      </c>
      <c r="W69" s="1" cm="1">
        <f t="array" ref="W69">SUM(ABS(S69:V69))</f>
        <v>437.2</v>
      </c>
      <c r="X69" s="25">
        <v>1.238</v>
      </c>
      <c r="Y69" s="42">
        <f t="shared" ref="Y69:Y132" si="18">((W69*X69)*1000)/4</f>
        <v>135313.4</v>
      </c>
      <c r="Z69" s="20">
        <v>511.53999999999991</v>
      </c>
      <c r="AA69" s="20">
        <f t="shared" ref="AA69:AA132" si="19">W69+Z69</f>
        <v>948.7399999999999</v>
      </c>
      <c r="AB69" s="21">
        <v>95.05</v>
      </c>
      <c r="AC69" s="21">
        <v>9.94</v>
      </c>
      <c r="AD69" s="8">
        <f t="shared" ref="AD69:AD132" si="20">Z69+AB69+AC69</f>
        <v>616.53</v>
      </c>
      <c r="AE69" s="25">
        <v>1.238</v>
      </c>
      <c r="AF69" s="25">
        <f t="shared" ref="AF69:AF132" si="21">((AD69*AE69*1000)/4)</f>
        <v>190816.035</v>
      </c>
      <c r="AG69" s="25">
        <f t="shared" ref="AG69:AG132" si="22">Y69+AF69</f>
        <v>326129.435</v>
      </c>
      <c r="AH69" s="1">
        <f t="shared" si="12"/>
        <v>3792.2</v>
      </c>
      <c r="AI69" s="1">
        <f t="shared" si="13"/>
        <v>3804.59</v>
      </c>
      <c r="AJ69" s="1">
        <v>4249.18</v>
      </c>
      <c r="AK69" s="1">
        <f t="shared" si="14"/>
        <v>-456.98000000000047</v>
      </c>
      <c r="AL69" s="29">
        <f t="shared" ref="AL69:AL132" si="23">AJ69-AI69</f>
        <v>444.59000000000015</v>
      </c>
      <c r="AM69" s="11">
        <f t="shared" si="15"/>
        <v>2910535.5797999999</v>
      </c>
    </row>
    <row r="70" spans="1:39" x14ac:dyDescent="0.3">
      <c r="A70" s="39">
        <v>45782.6875</v>
      </c>
      <c r="B70" s="1">
        <v>1452.34</v>
      </c>
      <c r="C70" s="11">
        <v>3.2732000000000001</v>
      </c>
      <c r="D70" s="1">
        <v>679.76</v>
      </c>
      <c r="E70" s="11">
        <v>3.0760000000000001</v>
      </c>
      <c r="F70" s="1">
        <v>717.12</v>
      </c>
      <c r="G70" s="11">
        <v>3.53</v>
      </c>
      <c r="H70" s="1">
        <v>73.69</v>
      </c>
      <c r="I70" s="11">
        <v>3.2009799999999999</v>
      </c>
      <c r="J70" s="1">
        <v>135.72999999999999</v>
      </c>
      <c r="K70" s="11">
        <v>1.7976300000000001</v>
      </c>
      <c r="L70" s="1">
        <v>6.91</v>
      </c>
      <c r="M70" s="11">
        <v>6.2</v>
      </c>
      <c r="N70" s="1">
        <v>270.75</v>
      </c>
      <c r="O70" s="11">
        <v>2.8224999999999998</v>
      </c>
      <c r="P70" s="1">
        <f t="shared" si="16"/>
        <v>3336.2999999999997</v>
      </c>
      <c r="Q70" s="1">
        <v>3330.07</v>
      </c>
      <c r="R70" s="16">
        <f t="shared" si="17"/>
        <v>2665770.264775</v>
      </c>
      <c r="S70" s="1">
        <v>-221.32</v>
      </c>
      <c r="T70" s="1">
        <v>35.619999999999997</v>
      </c>
      <c r="U70" s="1">
        <v>15.23</v>
      </c>
      <c r="V70" s="1">
        <v>12.72</v>
      </c>
      <c r="W70" s="1" cm="1">
        <f t="array" ref="W70">SUM(ABS(S70:V70))</f>
        <v>284.89000000000004</v>
      </c>
      <c r="X70" s="25">
        <v>1.238</v>
      </c>
      <c r="Y70" s="42">
        <f t="shared" si="18"/>
        <v>88173.455000000016</v>
      </c>
      <c r="Z70" s="20">
        <v>521.11</v>
      </c>
      <c r="AA70" s="20">
        <f t="shared" si="19"/>
        <v>806</v>
      </c>
      <c r="AB70" s="21">
        <v>80.62</v>
      </c>
      <c r="AC70" s="21">
        <v>9.48</v>
      </c>
      <c r="AD70" s="8">
        <f t="shared" si="20"/>
        <v>611.21</v>
      </c>
      <c r="AE70" s="25">
        <v>1.238</v>
      </c>
      <c r="AF70" s="25">
        <f t="shared" si="21"/>
        <v>189169.49500000002</v>
      </c>
      <c r="AG70" s="25">
        <f t="shared" si="22"/>
        <v>277342.95000000007</v>
      </c>
      <c r="AH70" s="1">
        <f t="shared" si="12"/>
        <v>3947.5099999999998</v>
      </c>
      <c r="AI70" s="1">
        <f t="shared" si="13"/>
        <v>3941.28</v>
      </c>
      <c r="AJ70" s="1">
        <v>4236.49</v>
      </c>
      <c r="AK70" s="1">
        <f t="shared" si="14"/>
        <v>-288.98</v>
      </c>
      <c r="AL70" s="29">
        <f t="shared" si="23"/>
        <v>295.20999999999958</v>
      </c>
      <c r="AM70" s="11">
        <f t="shared" si="15"/>
        <v>2943113.2147750002</v>
      </c>
    </row>
    <row r="71" spans="1:39" x14ac:dyDescent="0.3">
      <c r="A71" s="39">
        <v>45782.697916666664</v>
      </c>
      <c r="B71" s="1">
        <v>1454.17</v>
      </c>
      <c r="C71" s="11">
        <v>3.2732000000000001</v>
      </c>
      <c r="D71" s="1">
        <v>679.76</v>
      </c>
      <c r="E71" s="11">
        <v>3.0760000000000001</v>
      </c>
      <c r="F71" s="1">
        <v>717.12</v>
      </c>
      <c r="G71" s="11">
        <v>3.53</v>
      </c>
      <c r="H71" s="1">
        <v>75.83</v>
      </c>
      <c r="I71" s="11">
        <v>3.2004200000000003</v>
      </c>
      <c r="J71" s="1">
        <v>147.19999999999999</v>
      </c>
      <c r="K71" s="11">
        <v>1.7972699999999999</v>
      </c>
      <c r="L71" s="1">
        <v>3.97</v>
      </c>
      <c r="M71" s="11">
        <v>6.2</v>
      </c>
      <c r="N71" s="1">
        <v>245.17</v>
      </c>
      <c r="O71" s="11">
        <v>2.8224999999999998</v>
      </c>
      <c r="P71" s="1">
        <f t="shared" si="16"/>
        <v>3323.22</v>
      </c>
      <c r="Q71" s="1">
        <v>3337.43</v>
      </c>
      <c r="R71" s="16">
        <f t="shared" si="17"/>
        <v>2651504.2304000002</v>
      </c>
      <c r="S71" s="1">
        <v>-224.81</v>
      </c>
      <c r="T71" s="1">
        <v>35.630000000000003</v>
      </c>
      <c r="U71" s="1">
        <v>12</v>
      </c>
      <c r="V71" s="1">
        <v>12.71</v>
      </c>
      <c r="W71" s="1" cm="1">
        <f t="array" ref="W71">SUM(ABS(S71:V71))</f>
        <v>285.14999999999998</v>
      </c>
      <c r="X71" s="25">
        <v>1.238</v>
      </c>
      <c r="Y71" s="42">
        <f t="shared" si="18"/>
        <v>88253.924999999988</v>
      </c>
      <c r="Z71" s="20">
        <v>524.04000000000008</v>
      </c>
      <c r="AA71" s="20">
        <f t="shared" si="19"/>
        <v>809.19</v>
      </c>
      <c r="AB71" s="21">
        <v>67.72</v>
      </c>
      <c r="AC71" s="21">
        <v>10.450000000000001</v>
      </c>
      <c r="AD71" s="8">
        <f t="shared" si="20"/>
        <v>602.21000000000015</v>
      </c>
      <c r="AE71" s="25">
        <v>1.238</v>
      </c>
      <c r="AF71" s="25">
        <f t="shared" si="21"/>
        <v>186383.99500000005</v>
      </c>
      <c r="AG71" s="25">
        <f t="shared" si="22"/>
        <v>274637.92000000004</v>
      </c>
      <c r="AH71" s="1">
        <f t="shared" si="12"/>
        <v>3925.43</v>
      </c>
      <c r="AI71" s="1">
        <f t="shared" si="13"/>
        <v>3939.64</v>
      </c>
      <c r="AJ71" s="1">
        <v>4234.18</v>
      </c>
      <c r="AK71" s="1">
        <f t="shared" si="14"/>
        <v>-308.75000000000045</v>
      </c>
      <c r="AL71" s="29">
        <f t="shared" si="23"/>
        <v>294.54000000000042</v>
      </c>
      <c r="AM71" s="11">
        <f t="shared" si="15"/>
        <v>2926142.1504000002</v>
      </c>
    </row>
    <row r="72" spans="1:39" x14ac:dyDescent="0.3">
      <c r="A72" s="39">
        <v>45782.708333333336</v>
      </c>
      <c r="B72" s="1">
        <v>1452.31</v>
      </c>
      <c r="C72" s="11">
        <v>3.2732000000000001</v>
      </c>
      <c r="D72" s="1">
        <v>679.76</v>
      </c>
      <c r="E72" s="11">
        <v>3.0760000000000001</v>
      </c>
      <c r="F72" s="1">
        <v>717.12</v>
      </c>
      <c r="G72" s="11">
        <v>3.53</v>
      </c>
      <c r="H72" s="1">
        <v>73.11</v>
      </c>
      <c r="I72" s="11">
        <v>3.3008299999999999</v>
      </c>
      <c r="J72" s="1">
        <v>148.30000000000001</v>
      </c>
      <c r="K72" s="11">
        <v>2.0998200000000002</v>
      </c>
      <c r="L72" s="1">
        <v>4.75</v>
      </c>
      <c r="M72" s="11">
        <v>6.2</v>
      </c>
      <c r="N72" s="1">
        <v>222.74</v>
      </c>
      <c r="O72" s="11">
        <v>2.8224999999999998</v>
      </c>
      <c r="P72" s="1">
        <f t="shared" si="16"/>
        <v>3298.09</v>
      </c>
      <c r="Q72" s="1">
        <v>3317.09</v>
      </c>
      <c r="R72" s="16">
        <f t="shared" si="17"/>
        <v>2646734.2723250003</v>
      </c>
      <c r="S72" s="1">
        <v>-212.66</v>
      </c>
      <c r="T72" s="1">
        <v>35.61</v>
      </c>
      <c r="U72" s="1">
        <v>12</v>
      </c>
      <c r="V72" s="1">
        <v>12.64</v>
      </c>
      <c r="W72" s="1" cm="1">
        <f t="array" ref="W72">SUM(ABS(S72:V72))</f>
        <v>272.90999999999997</v>
      </c>
      <c r="X72" s="25">
        <v>1.238</v>
      </c>
      <c r="Y72" s="42">
        <f t="shared" si="18"/>
        <v>84465.64499999999</v>
      </c>
      <c r="Z72" s="20">
        <v>531.98</v>
      </c>
      <c r="AA72" s="20">
        <f t="shared" si="19"/>
        <v>804.89</v>
      </c>
      <c r="AB72" s="21">
        <v>51.53</v>
      </c>
      <c r="AC72" s="21">
        <v>10.55</v>
      </c>
      <c r="AD72" s="8">
        <f t="shared" si="20"/>
        <v>594.05999999999995</v>
      </c>
      <c r="AE72" s="25">
        <v>1.238</v>
      </c>
      <c r="AF72" s="25">
        <f t="shared" si="21"/>
        <v>183861.56999999998</v>
      </c>
      <c r="AG72" s="25">
        <f t="shared" si="22"/>
        <v>268327.21499999997</v>
      </c>
      <c r="AH72" s="1">
        <f t="shared" si="12"/>
        <v>3892.15</v>
      </c>
      <c r="AI72" s="1">
        <f t="shared" si="13"/>
        <v>3911.15</v>
      </c>
      <c r="AJ72" s="1">
        <v>4187.74</v>
      </c>
      <c r="AK72" s="1">
        <f t="shared" si="14"/>
        <v>-295.58999999999969</v>
      </c>
      <c r="AL72" s="29">
        <f t="shared" si="23"/>
        <v>276.58999999999969</v>
      </c>
      <c r="AM72" s="11">
        <f t="shared" si="15"/>
        <v>2915061.4873250001</v>
      </c>
    </row>
    <row r="73" spans="1:39" x14ac:dyDescent="0.3">
      <c r="A73" s="39">
        <v>45782.71875</v>
      </c>
      <c r="B73" s="1">
        <v>1452.16</v>
      </c>
      <c r="C73" s="11">
        <v>3.2732000000000001</v>
      </c>
      <c r="D73" s="1">
        <v>679.76</v>
      </c>
      <c r="E73" s="11">
        <v>3.0760000000000001</v>
      </c>
      <c r="F73" s="1">
        <v>717.12</v>
      </c>
      <c r="G73" s="11">
        <v>3.53</v>
      </c>
      <c r="H73" s="1">
        <v>72.69</v>
      </c>
      <c r="I73" s="11">
        <v>3.4221200000000001</v>
      </c>
      <c r="J73" s="1">
        <v>59.56</v>
      </c>
      <c r="K73" s="11">
        <v>2.9034899999999997</v>
      </c>
      <c r="L73" s="1">
        <v>2.13</v>
      </c>
      <c r="M73" s="11">
        <v>6.2</v>
      </c>
      <c r="N73" s="1">
        <v>197.27</v>
      </c>
      <c r="O73" s="11">
        <v>2.8224999999999998</v>
      </c>
      <c r="P73" s="1">
        <f t="shared" si="16"/>
        <v>3180.69</v>
      </c>
      <c r="Q73" s="1">
        <v>3205.73</v>
      </c>
      <c r="R73" s="16">
        <f t="shared" si="17"/>
        <v>2591817.9535499997</v>
      </c>
      <c r="S73" s="1">
        <v>-325.45</v>
      </c>
      <c r="T73" s="1">
        <v>35.6</v>
      </c>
      <c r="U73" s="1">
        <v>12</v>
      </c>
      <c r="V73" s="1">
        <v>12.65</v>
      </c>
      <c r="W73" s="1" cm="1">
        <f t="array" ref="W73">SUM(ABS(S73:V73))</f>
        <v>385.7</v>
      </c>
      <c r="X73" s="25">
        <v>1.238</v>
      </c>
      <c r="Y73" s="42">
        <f t="shared" si="18"/>
        <v>119374.15</v>
      </c>
      <c r="Z73" s="20">
        <v>535.85</v>
      </c>
      <c r="AA73" s="20">
        <f t="shared" si="19"/>
        <v>921.55</v>
      </c>
      <c r="AB73" s="21">
        <v>36.39</v>
      </c>
      <c r="AC73" s="21">
        <v>7.46</v>
      </c>
      <c r="AD73" s="8">
        <f t="shared" si="20"/>
        <v>579.70000000000005</v>
      </c>
      <c r="AE73" s="25">
        <v>1.238</v>
      </c>
      <c r="AF73" s="25">
        <f t="shared" si="21"/>
        <v>179417.15000000002</v>
      </c>
      <c r="AG73" s="25">
        <f t="shared" si="22"/>
        <v>298791.30000000005</v>
      </c>
      <c r="AH73" s="1">
        <f t="shared" si="12"/>
        <v>3760.3900000000003</v>
      </c>
      <c r="AI73" s="1">
        <f t="shared" si="13"/>
        <v>3785.4300000000003</v>
      </c>
      <c r="AJ73" s="1">
        <v>4175.4799999999996</v>
      </c>
      <c r="AK73" s="1">
        <f t="shared" si="14"/>
        <v>-415.08999999999924</v>
      </c>
      <c r="AL73" s="29">
        <f t="shared" si="23"/>
        <v>390.04999999999927</v>
      </c>
      <c r="AM73" s="11">
        <f t="shared" si="15"/>
        <v>2890609.2535499996</v>
      </c>
    </row>
    <row r="74" spans="1:39" x14ac:dyDescent="0.3">
      <c r="A74" s="39">
        <v>45782.729166666664</v>
      </c>
      <c r="B74" s="1">
        <v>1452.16</v>
      </c>
      <c r="C74" s="11">
        <v>3.2732000000000001</v>
      </c>
      <c r="D74" s="1">
        <v>679.76</v>
      </c>
      <c r="E74" s="11">
        <v>3.0760000000000001</v>
      </c>
      <c r="F74" s="1">
        <v>717.12</v>
      </c>
      <c r="G74" s="11">
        <v>3.53</v>
      </c>
      <c r="H74" s="1">
        <v>74.19</v>
      </c>
      <c r="I74" s="11">
        <v>3.4227600000000002</v>
      </c>
      <c r="J74" s="1">
        <v>6.3</v>
      </c>
      <c r="K74" s="11">
        <v>3.3909400000000001</v>
      </c>
      <c r="L74" s="1">
        <v>0.16</v>
      </c>
      <c r="M74" s="11">
        <v>6.2</v>
      </c>
      <c r="N74" s="1">
        <v>161.07</v>
      </c>
      <c r="O74" s="11">
        <v>2.8224999999999998</v>
      </c>
      <c r="P74" s="1">
        <f t="shared" si="16"/>
        <v>3090.76</v>
      </c>
      <c r="Q74" s="1">
        <v>3162.58</v>
      </c>
      <c r="R74" s="16">
        <f t="shared" si="17"/>
        <v>2526623.7583500007</v>
      </c>
      <c r="S74" s="1">
        <v>-338.43</v>
      </c>
      <c r="T74" s="1">
        <v>35.630000000000003</v>
      </c>
      <c r="U74" s="1">
        <v>12</v>
      </c>
      <c r="V74" s="1">
        <v>12.63</v>
      </c>
      <c r="W74" s="1" cm="1">
        <f t="array" ref="W74">SUM(ABS(S74:V74))</f>
        <v>398.69</v>
      </c>
      <c r="X74" s="25">
        <v>1.238</v>
      </c>
      <c r="Y74" s="42">
        <f t="shared" si="18"/>
        <v>123394.55499999999</v>
      </c>
      <c r="Z74" s="20">
        <v>560.00000000000011</v>
      </c>
      <c r="AA74" s="20">
        <f t="shared" si="19"/>
        <v>958.69</v>
      </c>
      <c r="AB74" s="21">
        <v>29.46</v>
      </c>
      <c r="AC74" s="21">
        <v>5.76</v>
      </c>
      <c r="AD74" s="8">
        <f t="shared" si="20"/>
        <v>595.22000000000014</v>
      </c>
      <c r="AE74" s="25">
        <v>1.238</v>
      </c>
      <c r="AF74" s="25">
        <f t="shared" si="21"/>
        <v>184220.59000000005</v>
      </c>
      <c r="AG74" s="25">
        <f t="shared" si="22"/>
        <v>307615.14500000002</v>
      </c>
      <c r="AH74" s="1">
        <f t="shared" si="12"/>
        <v>3685.9800000000005</v>
      </c>
      <c r="AI74" s="1">
        <f t="shared" si="13"/>
        <v>3757.8</v>
      </c>
      <c r="AJ74" s="1">
        <v>4171.1899999999996</v>
      </c>
      <c r="AK74" s="1">
        <f t="shared" si="14"/>
        <v>-485.20999999999913</v>
      </c>
      <c r="AL74" s="29">
        <f t="shared" si="23"/>
        <v>413.38999999999942</v>
      </c>
      <c r="AM74" s="11">
        <f t="shared" si="15"/>
        <v>2834238.9033500007</v>
      </c>
    </row>
    <row r="75" spans="1:39" x14ac:dyDescent="0.3">
      <c r="A75" s="39">
        <v>45782.739583333336</v>
      </c>
      <c r="B75" s="1">
        <v>1452.16</v>
      </c>
      <c r="C75" s="11">
        <v>3.2732000000000001</v>
      </c>
      <c r="D75" s="1">
        <v>679.76</v>
      </c>
      <c r="E75" s="11">
        <v>3.0760000000000001</v>
      </c>
      <c r="F75" s="1">
        <v>717.12</v>
      </c>
      <c r="G75" s="11">
        <v>3.53</v>
      </c>
      <c r="H75" s="1">
        <v>56.19</v>
      </c>
      <c r="I75" s="11">
        <v>3.4998899999999997</v>
      </c>
      <c r="J75" s="1">
        <v>16.7</v>
      </c>
      <c r="K75" s="11">
        <v>3.4225700000000003</v>
      </c>
      <c r="L75" s="1">
        <v>0</v>
      </c>
      <c r="M75" s="11">
        <v>6.2</v>
      </c>
      <c r="N75" s="1">
        <v>127.24</v>
      </c>
      <c r="O75" s="11">
        <v>2.8224999999999998</v>
      </c>
      <c r="P75" s="1">
        <f t="shared" si="16"/>
        <v>3049.1699999999996</v>
      </c>
      <c r="Q75" s="1">
        <v>3224.3</v>
      </c>
      <c r="R75" s="16">
        <f t="shared" si="17"/>
        <v>2497134.0275249993</v>
      </c>
      <c r="S75" s="1">
        <v>-282.25</v>
      </c>
      <c r="T75" s="1">
        <v>35.61</v>
      </c>
      <c r="U75" s="1">
        <v>12</v>
      </c>
      <c r="V75" s="1">
        <v>12.62</v>
      </c>
      <c r="W75" s="1" cm="1">
        <f t="array" ref="W75">SUM(ABS(S75:V75))</f>
        <v>342.48</v>
      </c>
      <c r="X75" s="25">
        <v>1.238</v>
      </c>
      <c r="Y75" s="42">
        <f t="shared" si="18"/>
        <v>105997.56000000001</v>
      </c>
      <c r="Z75" s="20">
        <v>549.80999999999995</v>
      </c>
      <c r="AA75" s="20">
        <f t="shared" si="19"/>
        <v>892.29</v>
      </c>
      <c r="AB75" s="21">
        <v>20.82</v>
      </c>
      <c r="AC75" s="21">
        <v>6.89</v>
      </c>
      <c r="AD75" s="8">
        <f t="shared" si="20"/>
        <v>577.52</v>
      </c>
      <c r="AE75" s="25">
        <v>1.238</v>
      </c>
      <c r="AF75" s="25">
        <f t="shared" si="21"/>
        <v>178742.44</v>
      </c>
      <c r="AG75" s="25">
        <f t="shared" si="22"/>
        <v>284740</v>
      </c>
      <c r="AH75" s="1">
        <f t="shared" si="12"/>
        <v>3626.6899999999996</v>
      </c>
      <c r="AI75" s="1">
        <f t="shared" si="13"/>
        <v>3801.82</v>
      </c>
      <c r="AJ75" s="1">
        <v>4170.96</v>
      </c>
      <c r="AK75" s="1">
        <f t="shared" si="14"/>
        <v>-544.27000000000044</v>
      </c>
      <c r="AL75" s="29">
        <f t="shared" si="23"/>
        <v>369.13999999999987</v>
      </c>
      <c r="AM75" s="11">
        <f t="shared" si="15"/>
        <v>2781874.0275249993</v>
      </c>
    </row>
    <row r="76" spans="1:39" x14ac:dyDescent="0.3">
      <c r="A76" s="39">
        <v>45782.75</v>
      </c>
      <c r="B76" s="1">
        <v>1454.01</v>
      </c>
      <c r="C76" s="11">
        <v>3.2732000000000001</v>
      </c>
      <c r="D76" s="1">
        <v>679.76</v>
      </c>
      <c r="E76" s="11">
        <v>3.0760000000000001</v>
      </c>
      <c r="F76" s="1">
        <v>672.29</v>
      </c>
      <c r="G76" s="11">
        <v>3.53</v>
      </c>
      <c r="H76" s="1">
        <v>97.62</v>
      </c>
      <c r="I76" s="11">
        <v>3.5496099999999999</v>
      </c>
      <c r="J76" s="1">
        <v>11.47</v>
      </c>
      <c r="K76" s="11">
        <v>3.0006699999999999</v>
      </c>
      <c r="L76" s="1">
        <v>15.69</v>
      </c>
      <c r="M76" s="11">
        <v>6.2</v>
      </c>
      <c r="N76" s="1">
        <v>104.56</v>
      </c>
      <c r="O76" s="11">
        <v>2.8224999999999998</v>
      </c>
      <c r="P76" s="1">
        <f t="shared" si="16"/>
        <v>3035.3999999999996</v>
      </c>
      <c r="Q76" s="1">
        <v>3346.81</v>
      </c>
      <c r="R76" s="16">
        <f t="shared" si="17"/>
        <v>2499180.051275</v>
      </c>
      <c r="S76" s="1">
        <v>-172.36</v>
      </c>
      <c r="T76" s="1">
        <v>35.58</v>
      </c>
      <c r="U76" s="1">
        <v>12</v>
      </c>
      <c r="V76" s="1">
        <v>15.68</v>
      </c>
      <c r="W76" s="1" cm="1">
        <f t="array" ref="W76">SUM(ABS(S76:V76))</f>
        <v>235.62</v>
      </c>
      <c r="X76" s="25">
        <v>1.238</v>
      </c>
      <c r="Y76" s="42">
        <f t="shared" si="18"/>
        <v>72924.39</v>
      </c>
      <c r="Z76" s="20">
        <v>537.45000000000005</v>
      </c>
      <c r="AA76" s="20">
        <f t="shared" si="19"/>
        <v>773.07</v>
      </c>
      <c r="AB76" s="21">
        <v>11.999999999999998</v>
      </c>
      <c r="AC76" s="21">
        <v>7.7100000000000009</v>
      </c>
      <c r="AD76" s="8">
        <f t="shared" si="20"/>
        <v>557.16000000000008</v>
      </c>
      <c r="AE76" s="25">
        <v>1.238</v>
      </c>
      <c r="AF76" s="25">
        <f t="shared" si="21"/>
        <v>172441.02000000005</v>
      </c>
      <c r="AG76" s="25">
        <f t="shared" si="22"/>
        <v>245365.41000000003</v>
      </c>
      <c r="AH76" s="1">
        <f t="shared" si="12"/>
        <v>3592.5599999999995</v>
      </c>
      <c r="AI76" s="1">
        <f t="shared" si="13"/>
        <v>3903.9700000000003</v>
      </c>
      <c r="AJ76" s="1">
        <v>4159.6099999999997</v>
      </c>
      <c r="AK76" s="1">
        <f t="shared" si="14"/>
        <v>-567.05000000000018</v>
      </c>
      <c r="AL76" s="29">
        <f t="shared" si="23"/>
        <v>255.63999999999942</v>
      </c>
      <c r="AM76" s="11">
        <f t="shared" si="15"/>
        <v>2744545.4612750001</v>
      </c>
    </row>
    <row r="77" spans="1:39" x14ac:dyDescent="0.3">
      <c r="A77" s="39">
        <v>45782.760416666664</v>
      </c>
      <c r="B77" s="1">
        <v>1455.07</v>
      </c>
      <c r="C77" s="11">
        <v>3.2732000000000001</v>
      </c>
      <c r="D77" s="1">
        <v>679.76</v>
      </c>
      <c r="E77" s="11">
        <v>3.0760000000000001</v>
      </c>
      <c r="F77" s="1">
        <v>668.86</v>
      </c>
      <c r="G77" s="11">
        <v>3.53</v>
      </c>
      <c r="H77" s="1">
        <v>106.8</v>
      </c>
      <c r="I77" s="11">
        <v>3.6926600000000001</v>
      </c>
      <c r="J77" s="1">
        <v>13.84</v>
      </c>
      <c r="K77" s="11">
        <v>3.0946100000000003</v>
      </c>
      <c r="L77" s="1">
        <v>8.1199999999999992</v>
      </c>
      <c r="M77" s="11">
        <v>6.2</v>
      </c>
      <c r="N77" s="1">
        <v>81.19</v>
      </c>
      <c r="O77" s="11">
        <v>2.8224999999999998</v>
      </c>
      <c r="P77" s="1">
        <f t="shared" si="16"/>
        <v>3013.6400000000003</v>
      </c>
      <c r="Q77" s="1">
        <v>3257.46</v>
      </c>
      <c r="R77" s="16">
        <f t="shared" si="17"/>
        <v>2482865.2373500001</v>
      </c>
      <c r="S77" s="1">
        <v>-240.22</v>
      </c>
      <c r="T77" s="1">
        <v>35.590000000000003</v>
      </c>
      <c r="U77" s="1">
        <v>12</v>
      </c>
      <c r="V77" s="1">
        <v>19.02</v>
      </c>
      <c r="W77" s="1" cm="1">
        <f t="array" ref="W77">SUM(ABS(S77:V77))</f>
        <v>306.83</v>
      </c>
      <c r="X77" s="25">
        <v>1.238</v>
      </c>
      <c r="Y77" s="42">
        <f t="shared" si="18"/>
        <v>94963.884999999995</v>
      </c>
      <c r="Z77" s="20">
        <v>598.58000000000004</v>
      </c>
      <c r="AA77" s="20">
        <f t="shared" si="19"/>
        <v>905.41000000000008</v>
      </c>
      <c r="AB77" s="21">
        <v>5.6499999999999995</v>
      </c>
      <c r="AC77" s="21">
        <v>6.7399999999999993</v>
      </c>
      <c r="AD77" s="8">
        <f t="shared" si="20"/>
        <v>610.97</v>
      </c>
      <c r="AE77" s="25">
        <v>1.238</v>
      </c>
      <c r="AF77" s="25">
        <f t="shared" si="21"/>
        <v>189095.215</v>
      </c>
      <c r="AG77" s="25">
        <f t="shared" si="22"/>
        <v>284059.09999999998</v>
      </c>
      <c r="AH77" s="1">
        <f t="shared" si="12"/>
        <v>3624.6100000000006</v>
      </c>
      <c r="AI77" s="1">
        <f t="shared" si="13"/>
        <v>3868.4300000000003</v>
      </c>
      <c r="AJ77" s="1">
        <v>4190.41</v>
      </c>
      <c r="AK77" s="1">
        <f t="shared" si="14"/>
        <v>-565.79999999999927</v>
      </c>
      <c r="AL77" s="29">
        <f t="shared" si="23"/>
        <v>321.97999999999956</v>
      </c>
      <c r="AM77" s="11">
        <f t="shared" si="15"/>
        <v>2766924.3373500002</v>
      </c>
    </row>
    <row r="78" spans="1:39" x14ac:dyDescent="0.3">
      <c r="A78" s="39">
        <v>45782.770833333336</v>
      </c>
      <c r="B78" s="1">
        <v>1458.38</v>
      </c>
      <c r="C78" s="11">
        <v>3.2732000000000001</v>
      </c>
      <c r="D78" s="1">
        <v>679.76</v>
      </c>
      <c r="E78" s="11">
        <v>3.0760000000000001</v>
      </c>
      <c r="F78" s="1">
        <v>668.86</v>
      </c>
      <c r="G78" s="11">
        <v>3.53</v>
      </c>
      <c r="H78" s="1">
        <v>108.62</v>
      </c>
      <c r="I78" s="11">
        <v>3.93004</v>
      </c>
      <c r="J78" s="1">
        <v>11.38</v>
      </c>
      <c r="K78" s="11">
        <v>2.50041</v>
      </c>
      <c r="L78" s="1">
        <v>2.3199999999999998</v>
      </c>
      <c r="M78" s="11">
        <v>6.2</v>
      </c>
      <c r="N78" s="1">
        <v>69</v>
      </c>
      <c r="O78" s="11">
        <v>2.8224999999999998</v>
      </c>
      <c r="P78" s="1">
        <f t="shared" si="16"/>
        <v>2998.3200000000006</v>
      </c>
      <c r="Q78" s="1">
        <v>3175</v>
      </c>
      <c r="R78" s="16">
        <f t="shared" si="17"/>
        <v>2472514.77165</v>
      </c>
      <c r="S78" s="1">
        <v>-370.56</v>
      </c>
      <c r="T78" s="1">
        <v>35.6</v>
      </c>
      <c r="U78" s="1">
        <v>37.83</v>
      </c>
      <c r="V78" s="1">
        <v>21.44</v>
      </c>
      <c r="W78" s="1" cm="1">
        <f t="array" ref="W78">SUM(ABS(S78:V78))</f>
        <v>465.43</v>
      </c>
      <c r="X78" s="25">
        <v>1.238</v>
      </c>
      <c r="Y78" s="42">
        <f t="shared" si="18"/>
        <v>144050.58500000002</v>
      </c>
      <c r="Z78" s="20">
        <v>662.21999999999991</v>
      </c>
      <c r="AA78" s="20">
        <f t="shared" si="19"/>
        <v>1127.6499999999999</v>
      </c>
      <c r="AB78" s="21">
        <v>1.24</v>
      </c>
      <c r="AC78" s="21">
        <v>6.63</v>
      </c>
      <c r="AD78" s="8">
        <f t="shared" si="20"/>
        <v>670.08999999999992</v>
      </c>
      <c r="AE78" s="25">
        <v>1.238</v>
      </c>
      <c r="AF78" s="25">
        <f t="shared" si="21"/>
        <v>207392.85499999998</v>
      </c>
      <c r="AG78" s="25">
        <f t="shared" si="22"/>
        <v>351443.44</v>
      </c>
      <c r="AH78" s="1">
        <f t="shared" si="12"/>
        <v>3668.4100000000008</v>
      </c>
      <c r="AI78" s="1">
        <f t="shared" si="13"/>
        <v>3845.09</v>
      </c>
      <c r="AJ78" s="1">
        <v>4362.7</v>
      </c>
      <c r="AK78" s="1">
        <f t="shared" si="14"/>
        <v>-694.28999999999905</v>
      </c>
      <c r="AL78" s="29">
        <f t="shared" si="23"/>
        <v>517.60999999999967</v>
      </c>
      <c r="AM78" s="11">
        <f t="shared" si="15"/>
        <v>2823958.21165</v>
      </c>
    </row>
    <row r="79" spans="1:39" x14ac:dyDescent="0.3">
      <c r="A79" s="39">
        <v>45782.78125</v>
      </c>
      <c r="B79" s="1">
        <v>1461.47</v>
      </c>
      <c r="C79" s="11">
        <v>3.2732000000000001</v>
      </c>
      <c r="D79" s="1">
        <v>679.76</v>
      </c>
      <c r="E79" s="11">
        <v>3.0760000000000001</v>
      </c>
      <c r="F79" s="1">
        <v>668.86</v>
      </c>
      <c r="G79" s="11">
        <v>3.53</v>
      </c>
      <c r="H79" s="1">
        <v>111.38</v>
      </c>
      <c r="I79" s="11">
        <v>3.8406700000000003</v>
      </c>
      <c r="J79" s="1">
        <v>37.78</v>
      </c>
      <c r="K79" s="11">
        <v>3.2501899999999999</v>
      </c>
      <c r="L79" s="1">
        <v>1.93</v>
      </c>
      <c r="M79" s="11">
        <v>6.2</v>
      </c>
      <c r="N79" s="1">
        <v>52.65</v>
      </c>
      <c r="O79" s="11">
        <v>2.8224999999999998</v>
      </c>
      <c r="P79" s="1">
        <f t="shared" si="16"/>
        <v>3013.8300000000004</v>
      </c>
      <c r="Q79" s="1">
        <v>3093.7</v>
      </c>
      <c r="R79" s="16">
        <f t="shared" si="17"/>
        <v>2486709.4479499999</v>
      </c>
      <c r="S79" s="1">
        <v>-559.94000000000005</v>
      </c>
      <c r="T79" s="1">
        <v>35.64</v>
      </c>
      <c r="U79" s="1">
        <v>63.8</v>
      </c>
      <c r="V79" s="1">
        <v>39.25</v>
      </c>
      <c r="W79" s="1" cm="1">
        <f t="array" ref="W79">SUM(ABS(S79:V79))</f>
        <v>698.63</v>
      </c>
      <c r="X79" s="25">
        <v>1.238</v>
      </c>
      <c r="Y79" s="42">
        <f t="shared" si="18"/>
        <v>216225.98500000002</v>
      </c>
      <c r="Z79" s="20">
        <v>744.07</v>
      </c>
      <c r="AA79" s="20">
        <f t="shared" si="19"/>
        <v>1442.7</v>
      </c>
      <c r="AB79" s="21">
        <v>0.33999999999999997</v>
      </c>
      <c r="AC79" s="21">
        <v>7.7299999999999986</v>
      </c>
      <c r="AD79" s="8">
        <f t="shared" si="20"/>
        <v>752.1400000000001</v>
      </c>
      <c r="AE79" s="25">
        <v>1.238</v>
      </c>
      <c r="AF79" s="25">
        <f t="shared" si="21"/>
        <v>232787.33000000002</v>
      </c>
      <c r="AG79" s="25">
        <f t="shared" si="22"/>
        <v>449013.31500000006</v>
      </c>
      <c r="AH79" s="1">
        <f t="shared" si="12"/>
        <v>3765.9700000000003</v>
      </c>
      <c r="AI79" s="1">
        <f t="shared" si="13"/>
        <v>3845.84</v>
      </c>
      <c r="AJ79" s="1">
        <v>4593.47</v>
      </c>
      <c r="AK79" s="1">
        <f t="shared" si="14"/>
        <v>-827.5</v>
      </c>
      <c r="AL79" s="29">
        <f t="shared" si="23"/>
        <v>747.63000000000011</v>
      </c>
      <c r="AM79" s="11">
        <f t="shared" si="15"/>
        <v>2935722.7629499999</v>
      </c>
    </row>
    <row r="80" spans="1:39" x14ac:dyDescent="0.3">
      <c r="A80" s="39">
        <v>45782.791666666664</v>
      </c>
      <c r="B80" s="1">
        <v>1462.68</v>
      </c>
      <c r="C80" s="11">
        <v>3.2732000000000001</v>
      </c>
      <c r="D80" s="1">
        <v>679.76</v>
      </c>
      <c r="E80" s="11">
        <v>3.0760000000000001</v>
      </c>
      <c r="F80" s="1">
        <v>668.86</v>
      </c>
      <c r="G80" s="11">
        <v>3.53</v>
      </c>
      <c r="H80" s="1">
        <v>70.680000000000007</v>
      </c>
      <c r="I80" s="11">
        <v>4.5828500000000005</v>
      </c>
      <c r="J80" s="1">
        <v>225.47</v>
      </c>
      <c r="K80" s="11">
        <v>4.1508500000000002</v>
      </c>
      <c r="L80" s="1">
        <v>0.14000000000000001</v>
      </c>
      <c r="M80" s="11">
        <v>6.2</v>
      </c>
      <c r="N80" s="1">
        <v>47.7</v>
      </c>
      <c r="O80" s="11">
        <v>2.8224999999999998</v>
      </c>
      <c r="P80" s="1">
        <f t="shared" si="16"/>
        <v>3155.2899999999995</v>
      </c>
      <c r="Q80" s="1">
        <v>3203.17</v>
      </c>
      <c r="R80" s="16">
        <f t="shared" si="17"/>
        <v>2658742.743375001</v>
      </c>
      <c r="S80" s="1">
        <v>-537.38</v>
      </c>
      <c r="T80" s="1">
        <v>35.65</v>
      </c>
      <c r="U80" s="1">
        <v>67</v>
      </c>
      <c r="V80" s="1">
        <v>50.48</v>
      </c>
      <c r="W80" s="1" cm="1">
        <f t="array" ref="W80">SUM(ABS(S80:V80))</f>
        <v>690.51</v>
      </c>
      <c r="X80" s="25">
        <v>1.238</v>
      </c>
      <c r="Y80" s="42">
        <f t="shared" si="18"/>
        <v>213712.845</v>
      </c>
      <c r="Z80" s="20">
        <v>742.03000000000009</v>
      </c>
      <c r="AA80" s="20">
        <f t="shared" si="19"/>
        <v>1432.54</v>
      </c>
      <c r="AB80" s="21">
        <v>0.26</v>
      </c>
      <c r="AC80" s="21">
        <v>7.59</v>
      </c>
      <c r="AD80" s="8">
        <f t="shared" si="20"/>
        <v>749.88000000000011</v>
      </c>
      <c r="AE80" s="25">
        <v>1.238</v>
      </c>
      <c r="AF80" s="25">
        <f t="shared" si="21"/>
        <v>232087.86000000004</v>
      </c>
      <c r="AG80" s="25">
        <f t="shared" si="22"/>
        <v>445800.70500000007</v>
      </c>
      <c r="AH80" s="1">
        <f t="shared" si="12"/>
        <v>3905.1699999999996</v>
      </c>
      <c r="AI80" s="1">
        <f t="shared" si="13"/>
        <v>3953.05</v>
      </c>
      <c r="AJ80" s="1">
        <v>4703.29</v>
      </c>
      <c r="AK80" s="1">
        <f t="shared" si="14"/>
        <v>-798.12000000000035</v>
      </c>
      <c r="AL80" s="29">
        <f t="shared" si="23"/>
        <v>750.23999999999978</v>
      </c>
      <c r="AM80" s="11">
        <f t="shared" si="15"/>
        <v>3104543.4483750011</v>
      </c>
    </row>
    <row r="81" spans="1:39" x14ac:dyDescent="0.3">
      <c r="A81" s="39">
        <v>45782.802083333336</v>
      </c>
      <c r="B81" s="1">
        <v>1462.82</v>
      </c>
      <c r="C81" s="11">
        <v>3.2732000000000001</v>
      </c>
      <c r="D81" s="1">
        <v>679.76</v>
      </c>
      <c r="E81" s="11">
        <v>3.0760000000000001</v>
      </c>
      <c r="F81" s="1">
        <v>668.86</v>
      </c>
      <c r="G81" s="11">
        <v>3.53</v>
      </c>
      <c r="H81" s="1">
        <v>67.510000000000005</v>
      </c>
      <c r="I81" s="11">
        <v>5.2009399999999992</v>
      </c>
      <c r="J81" s="1">
        <v>239.66</v>
      </c>
      <c r="K81" s="11">
        <v>3.9709400000000001</v>
      </c>
      <c r="L81" s="1">
        <v>0</v>
      </c>
      <c r="M81" s="11">
        <v>6.2</v>
      </c>
      <c r="N81" s="1">
        <v>48.8</v>
      </c>
      <c r="O81" s="11">
        <v>2.8224999999999998</v>
      </c>
      <c r="P81" s="1">
        <f t="shared" si="16"/>
        <v>3167.4100000000003</v>
      </c>
      <c r="Q81" s="1">
        <v>3189.09</v>
      </c>
      <c r="R81" s="16">
        <f t="shared" si="17"/>
        <v>2670162.2309499998</v>
      </c>
      <c r="S81" s="1">
        <v>-572.08000000000004</v>
      </c>
      <c r="T81" s="1">
        <v>35.799999999999997</v>
      </c>
      <c r="U81" s="1">
        <v>67</v>
      </c>
      <c r="V81" s="1">
        <v>50.63</v>
      </c>
      <c r="W81" s="1" cm="1">
        <f t="array" ref="W81">SUM(ABS(S81:V81))</f>
        <v>725.51</v>
      </c>
      <c r="X81" s="25">
        <v>1.238</v>
      </c>
      <c r="Y81" s="42">
        <f t="shared" si="18"/>
        <v>224545.345</v>
      </c>
      <c r="Z81" s="20">
        <v>749.31</v>
      </c>
      <c r="AA81" s="20">
        <f t="shared" si="19"/>
        <v>1474.82</v>
      </c>
      <c r="AB81" s="21">
        <v>0.24</v>
      </c>
      <c r="AC81" s="21">
        <v>8.1</v>
      </c>
      <c r="AD81" s="8">
        <f t="shared" si="20"/>
        <v>757.65</v>
      </c>
      <c r="AE81" s="25">
        <v>1.238</v>
      </c>
      <c r="AF81" s="25">
        <f t="shared" si="21"/>
        <v>234492.67499999999</v>
      </c>
      <c r="AG81" s="25">
        <f t="shared" si="22"/>
        <v>459038.02</v>
      </c>
      <c r="AH81" s="1">
        <f t="shared" si="12"/>
        <v>3925.0600000000004</v>
      </c>
      <c r="AI81" s="1">
        <f t="shared" si="13"/>
        <v>3946.7400000000002</v>
      </c>
      <c r="AJ81" s="1">
        <v>4719.2</v>
      </c>
      <c r="AK81" s="1">
        <f t="shared" si="14"/>
        <v>-794.13999999999942</v>
      </c>
      <c r="AL81" s="29">
        <f t="shared" si="23"/>
        <v>772.45999999999958</v>
      </c>
      <c r="AM81" s="11">
        <f t="shared" si="15"/>
        <v>3129200.2509499998</v>
      </c>
    </row>
    <row r="82" spans="1:39" x14ac:dyDescent="0.3">
      <c r="A82" s="39">
        <v>45782.8125</v>
      </c>
      <c r="B82" s="1">
        <v>1462.83</v>
      </c>
      <c r="C82" s="11">
        <v>3.2732000000000001</v>
      </c>
      <c r="D82" s="1">
        <v>679.76</v>
      </c>
      <c r="E82" s="11">
        <v>3.0760000000000001</v>
      </c>
      <c r="F82" s="1">
        <v>690.64</v>
      </c>
      <c r="G82" s="11">
        <v>3.53</v>
      </c>
      <c r="H82" s="1">
        <v>26.68</v>
      </c>
      <c r="I82" s="11">
        <v>6.7005299999999997</v>
      </c>
      <c r="J82" s="1">
        <v>266.39999999999998</v>
      </c>
      <c r="K82" s="11">
        <v>3.4736100000000003</v>
      </c>
      <c r="L82" s="1">
        <v>0</v>
      </c>
      <c r="M82" s="11">
        <v>6.2</v>
      </c>
      <c r="N82" s="1">
        <v>54.44</v>
      </c>
      <c r="O82" s="11">
        <v>2.8224999999999998</v>
      </c>
      <c r="P82" s="1">
        <f t="shared" si="16"/>
        <v>3180.75</v>
      </c>
      <c r="Q82" s="1">
        <v>3150.09</v>
      </c>
      <c r="R82" s="16">
        <f t="shared" si="17"/>
        <v>2643708.2151000001</v>
      </c>
      <c r="S82" s="1">
        <v>-575.70000000000005</v>
      </c>
      <c r="T82" s="1">
        <v>35.86</v>
      </c>
      <c r="U82" s="1">
        <v>67</v>
      </c>
      <c r="V82" s="1">
        <v>50.62</v>
      </c>
      <c r="W82" s="1" cm="1">
        <f t="array" ref="W82">SUM(ABS(S82:V82))</f>
        <v>729.18000000000006</v>
      </c>
      <c r="X82" s="25">
        <v>1.238</v>
      </c>
      <c r="Y82" s="42">
        <f t="shared" si="18"/>
        <v>225681.21000000002</v>
      </c>
      <c r="Z82" s="20">
        <v>758.69</v>
      </c>
      <c r="AA82" s="20">
        <f t="shared" si="19"/>
        <v>1487.8700000000001</v>
      </c>
      <c r="AB82" s="21">
        <v>0.21000000000000002</v>
      </c>
      <c r="AC82" s="21">
        <v>10.41</v>
      </c>
      <c r="AD82" s="8">
        <f t="shared" si="20"/>
        <v>769.31000000000006</v>
      </c>
      <c r="AE82" s="25">
        <v>1.238</v>
      </c>
      <c r="AF82" s="25">
        <f t="shared" si="21"/>
        <v>238101.44500000001</v>
      </c>
      <c r="AG82" s="25">
        <f t="shared" si="22"/>
        <v>463782.65500000003</v>
      </c>
      <c r="AH82" s="1">
        <f t="shared" si="12"/>
        <v>3950.06</v>
      </c>
      <c r="AI82" s="1">
        <f t="shared" si="13"/>
        <v>3919.4</v>
      </c>
      <c r="AJ82" s="1">
        <v>4699.55</v>
      </c>
      <c r="AK82" s="1">
        <f t="shared" si="14"/>
        <v>-749.49000000000024</v>
      </c>
      <c r="AL82" s="29">
        <f t="shared" si="23"/>
        <v>780.15000000000009</v>
      </c>
      <c r="AM82" s="11">
        <f t="shared" si="15"/>
        <v>3107490.8700999999</v>
      </c>
    </row>
    <row r="83" spans="1:39" x14ac:dyDescent="0.3">
      <c r="A83" s="39">
        <v>45782.822916666664</v>
      </c>
      <c r="B83" s="1">
        <v>1462.83</v>
      </c>
      <c r="C83" s="11">
        <v>3.2732000000000001</v>
      </c>
      <c r="D83" s="1">
        <v>679.76</v>
      </c>
      <c r="E83" s="11">
        <v>3.0760000000000001</v>
      </c>
      <c r="F83" s="1">
        <v>692.45</v>
      </c>
      <c r="G83" s="11">
        <v>3.53</v>
      </c>
      <c r="H83" s="1">
        <v>-215.55</v>
      </c>
      <c r="I83" s="11">
        <v>9.9095700000000004</v>
      </c>
      <c r="J83" s="1">
        <v>457.75</v>
      </c>
      <c r="K83" s="11">
        <v>4.2506000000000004</v>
      </c>
      <c r="L83" s="1">
        <v>0</v>
      </c>
      <c r="M83" s="11">
        <v>6.2</v>
      </c>
      <c r="N83" s="1">
        <v>58.22</v>
      </c>
      <c r="O83" s="11">
        <v>2.8224999999999998</v>
      </c>
      <c r="P83" s="1">
        <f t="shared" si="16"/>
        <v>3135.4599999999996</v>
      </c>
      <c r="Q83" s="1">
        <v>3142.96</v>
      </c>
      <c r="R83" s="16">
        <f t="shared" si="17"/>
        <v>2324363.9256249997</v>
      </c>
      <c r="S83" s="1">
        <v>-587.74</v>
      </c>
      <c r="T83" s="1">
        <v>35.880000000000003</v>
      </c>
      <c r="U83" s="1">
        <v>67</v>
      </c>
      <c r="V83" s="1">
        <v>50.65</v>
      </c>
      <c r="W83" s="1" cm="1">
        <f t="array" ref="W83">SUM(ABS(S83:V83))</f>
        <v>741.27</v>
      </c>
      <c r="X83" s="25">
        <v>1.238</v>
      </c>
      <c r="Y83" s="42">
        <f t="shared" si="18"/>
        <v>229423.06499999997</v>
      </c>
      <c r="Z83" s="20">
        <v>753.14999999999986</v>
      </c>
      <c r="AA83" s="20">
        <f t="shared" si="19"/>
        <v>1494.4199999999998</v>
      </c>
      <c r="AB83" s="21">
        <v>0.21000000000000002</v>
      </c>
      <c r="AC83" s="21">
        <v>11.09</v>
      </c>
      <c r="AD83" s="8">
        <f t="shared" si="20"/>
        <v>764.44999999999993</v>
      </c>
      <c r="AE83" s="25">
        <v>1.238</v>
      </c>
      <c r="AF83" s="25">
        <f t="shared" si="21"/>
        <v>236597.27499999997</v>
      </c>
      <c r="AG83" s="25">
        <f t="shared" si="22"/>
        <v>466020.33999999997</v>
      </c>
      <c r="AH83" s="1">
        <f t="shared" si="12"/>
        <v>3899.9099999999994</v>
      </c>
      <c r="AI83" s="1">
        <f t="shared" si="13"/>
        <v>3907.41</v>
      </c>
      <c r="AJ83" s="1">
        <v>4700.9399999999996</v>
      </c>
      <c r="AK83" s="1">
        <f t="shared" si="14"/>
        <v>-801.0300000000002</v>
      </c>
      <c r="AL83" s="29">
        <f t="shared" si="23"/>
        <v>793.52999999999975</v>
      </c>
      <c r="AM83" s="11">
        <f t="shared" si="15"/>
        <v>2790384.2656249995</v>
      </c>
    </row>
    <row r="84" spans="1:39" x14ac:dyDescent="0.3">
      <c r="A84" s="39">
        <v>45782.833333333336</v>
      </c>
      <c r="B84" s="1">
        <v>1462.83</v>
      </c>
      <c r="C84" s="11">
        <v>3.2732000000000001</v>
      </c>
      <c r="D84" s="1">
        <v>679.76</v>
      </c>
      <c r="E84" s="11">
        <v>3.0760000000000001</v>
      </c>
      <c r="F84" s="1">
        <v>692.45</v>
      </c>
      <c r="G84" s="11">
        <v>3.53</v>
      </c>
      <c r="H84" s="1">
        <v>-299.08999999999997</v>
      </c>
      <c r="I84" s="11">
        <v>10</v>
      </c>
      <c r="J84" s="1">
        <v>581.05999999999995</v>
      </c>
      <c r="K84" s="11">
        <v>3.4994000000000001</v>
      </c>
      <c r="L84" s="1">
        <v>0</v>
      </c>
      <c r="M84" s="11">
        <v>6.2</v>
      </c>
      <c r="N84" s="1">
        <v>58.78</v>
      </c>
      <c r="O84" s="11">
        <v>2.8224999999999998</v>
      </c>
      <c r="P84" s="1">
        <f t="shared" si="16"/>
        <v>3175.79</v>
      </c>
      <c r="Q84" s="1">
        <v>3163.38</v>
      </c>
      <c r="R84" s="16">
        <f t="shared" si="17"/>
        <v>2132948.3325</v>
      </c>
      <c r="S84" s="1">
        <v>-545.58000000000004</v>
      </c>
      <c r="T84" s="1">
        <v>35.880000000000003</v>
      </c>
      <c r="U84" s="1">
        <v>67</v>
      </c>
      <c r="V84" s="1">
        <v>50.65</v>
      </c>
      <c r="W84" s="1" cm="1">
        <f t="array" ref="W84">SUM(ABS(S84:V84))</f>
        <v>699.11</v>
      </c>
      <c r="X84" s="26">
        <v>1.238</v>
      </c>
      <c r="Y84" s="42">
        <f t="shared" si="18"/>
        <v>216374.54500000001</v>
      </c>
      <c r="Z84" s="20">
        <v>749.76999999999987</v>
      </c>
      <c r="AA84" s="20">
        <f t="shared" si="19"/>
        <v>1448.8799999999999</v>
      </c>
      <c r="AB84" s="21">
        <v>0.21000000000000002</v>
      </c>
      <c r="AC84" s="21">
        <v>9.7899999999999991</v>
      </c>
      <c r="AD84" s="8">
        <f t="shared" si="20"/>
        <v>759.76999999999987</v>
      </c>
      <c r="AE84" s="26">
        <v>1.238</v>
      </c>
      <c r="AF84" s="25">
        <f t="shared" si="21"/>
        <v>235148.81499999994</v>
      </c>
      <c r="AG84" s="25">
        <f t="shared" si="22"/>
        <v>451523.36</v>
      </c>
      <c r="AH84" s="1">
        <f t="shared" si="12"/>
        <v>3935.56</v>
      </c>
      <c r="AI84" s="1">
        <f t="shared" si="13"/>
        <v>3923.15</v>
      </c>
      <c r="AJ84" s="1">
        <v>4673.6000000000004</v>
      </c>
      <c r="AK84" s="1">
        <f t="shared" si="14"/>
        <v>-738.04000000000042</v>
      </c>
      <c r="AL84" s="29">
        <f t="shared" si="23"/>
        <v>750.45000000000027</v>
      </c>
      <c r="AM84" s="11">
        <f t="shared" si="15"/>
        <v>2584471.6924999999</v>
      </c>
    </row>
    <row r="85" spans="1:39" x14ac:dyDescent="0.3">
      <c r="A85" s="39">
        <v>45782.84375</v>
      </c>
      <c r="B85" s="1">
        <v>1463.99</v>
      </c>
      <c r="C85" s="11">
        <v>3.2732000000000001</v>
      </c>
      <c r="D85" s="1">
        <v>679.76</v>
      </c>
      <c r="E85" s="11">
        <v>3.0760000000000001</v>
      </c>
      <c r="F85" s="1">
        <v>692.45</v>
      </c>
      <c r="G85" s="11">
        <v>3.53</v>
      </c>
      <c r="H85" s="1">
        <v>-304.8</v>
      </c>
      <c r="I85" s="11">
        <v>10</v>
      </c>
      <c r="J85" s="1">
        <v>598.47</v>
      </c>
      <c r="K85" s="11">
        <v>3.4147699999999999</v>
      </c>
      <c r="L85" s="1">
        <v>0</v>
      </c>
      <c r="M85" s="11">
        <v>6.2</v>
      </c>
      <c r="N85" s="1">
        <v>56.86</v>
      </c>
      <c r="O85" s="11">
        <v>2.8224999999999998</v>
      </c>
      <c r="P85" s="1">
        <f t="shared" si="16"/>
        <v>3186.73</v>
      </c>
      <c r="Q85" s="1">
        <v>3168.55</v>
      </c>
      <c r="R85" s="16">
        <f t="shared" si="17"/>
        <v>2120836.7699749996</v>
      </c>
      <c r="S85" s="1">
        <v>-517.04999999999995</v>
      </c>
      <c r="T85" s="1">
        <v>35.869999999999997</v>
      </c>
      <c r="U85" s="1">
        <v>67</v>
      </c>
      <c r="V85" s="1">
        <v>50.64</v>
      </c>
      <c r="W85" s="1" cm="1">
        <f t="array" ref="W85">SUM(ABS(S85:V85))</f>
        <v>670.56</v>
      </c>
      <c r="X85" s="26">
        <v>1.238</v>
      </c>
      <c r="Y85" s="42">
        <f t="shared" si="18"/>
        <v>207538.31999999998</v>
      </c>
      <c r="Z85" s="20">
        <v>755.63</v>
      </c>
      <c r="AA85" s="20">
        <f t="shared" si="19"/>
        <v>1426.19</v>
      </c>
      <c r="AB85" s="21">
        <v>0.21000000000000002</v>
      </c>
      <c r="AC85" s="21">
        <v>9.11</v>
      </c>
      <c r="AD85" s="8">
        <f t="shared" si="20"/>
        <v>764.95</v>
      </c>
      <c r="AE85" s="26">
        <v>1.238</v>
      </c>
      <c r="AF85" s="25">
        <f t="shared" si="21"/>
        <v>236752.02499999999</v>
      </c>
      <c r="AG85" s="25">
        <f t="shared" si="22"/>
        <v>444290.34499999997</v>
      </c>
      <c r="AH85" s="1">
        <f t="shared" si="12"/>
        <v>3951.6800000000003</v>
      </c>
      <c r="AI85" s="1">
        <f t="shared" si="13"/>
        <v>3933.5</v>
      </c>
      <c r="AJ85" s="1">
        <v>4659.0200000000004</v>
      </c>
      <c r="AK85" s="1">
        <f t="shared" si="14"/>
        <v>-707.34000000000015</v>
      </c>
      <c r="AL85" s="29">
        <f t="shared" si="23"/>
        <v>725.52000000000044</v>
      </c>
      <c r="AM85" s="11">
        <f t="shared" si="15"/>
        <v>2565127.1149749998</v>
      </c>
    </row>
    <row r="86" spans="1:39" x14ac:dyDescent="0.3">
      <c r="A86" s="39">
        <v>45782.854166666664</v>
      </c>
      <c r="B86" s="1">
        <v>1464.18</v>
      </c>
      <c r="C86" s="11">
        <v>3.2732000000000001</v>
      </c>
      <c r="D86" s="1">
        <v>679.76</v>
      </c>
      <c r="E86" s="11">
        <v>3.0760000000000001</v>
      </c>
      <c r="F86" s="1">
        <v>692.45</v>
      </c>
      <c r="G86" s="11">
        <v>3.53</v>
      </c>
      <c r="H86" s="1">
        <v>-304.8</v>
      </c>
      <c r="I86" s="11">
        <v>10</v>
      </c>
      <c r="J86" s="1">
        <v>606.38</v>
      </c>
      <c r="K86" s="11">
        <v>2.34985</v>
      </c>
      <c r="L86" s="1">
        <v>0</v>
      </c>
      <c r="M86" s="11">
        <v>6.2</v>
      </c>
      <c r="N86" s="1">
        <v>55.03</v>
      </c>
      <c r="O86" s="11">
        <v>2.8224999999999998</v>
      </c>
      <c r="P86" s="1">
        <f t="shared" si="16"/>
        <v>3193.0000000000005</v>
      </c>
      <c r="Q86" s="1">
        <v>3072.47</v>
      </c>
      <c r="R86" s="16">
        <f t="shared" si="17"/>
        <v>1965017.1135000002</v>
      </c>
      <c r="S86" s="1">
        <v>-585.39</v>
      </c>
      <c r="T86" s="1">
        <v>35.89</v>
      </c>
      <c r="U86" s="1">
        <v>67</v>
      </c>
      <c r="V86" s="1">
        <v>50.66</v>
      </c>
      <c r="W86" s="1" cm="1">
        <f t="array" ref="W86">SUM(ABS(S86:V86))</f>
        <v>738.93999999999994</v>
      </c>
      <c r="X86" s="25">
        <v>1.238</v>
      </c>
      <c r="Y86" s="42">
        <f t="shared" si="18"/>
        <v>228701.92999999996</v>
      </c>
      <c r="Z86" s="20">
        <v>759.43000000000006</v>
      </c>
      <c r="AA86" s="20">
        <f t="shared" si="19"/>
        <v>1498.37</v>
      </c>
      <c r="AB86" s="21">
        <v>0.21000000000000002</v>
      </c>
      <c r="AC86" s="21">
        <v>10.210000000000001</v>
      </c>
      <c r="AD86" s="8">
        <f t="shared" si="20"/>
        <v>769.85000000000014</v>
      </c>
      <c r="AE86" s="25">
        <v>1.238</v>
      </c>
      <c r="AF86" s="25">
        <f t="shared" si="21"/>
        <v>238268.57500000004</v>
      </c>
      <c r="AG86" s="25">
        <f t="shared" si="22"/>
        <v>466970.505</v>
      </c>
      <c r="AH86" s="1">
        <f t="shared" si="12"/>
        <v>3962.8500000000004</v>
      </c>
      <c r="AI86" s="1">
        <f t="shared" si="13"/>
        <v>3842.3199999999997</v>
      </c>
      <c r="AJ86" s="1">
        <v>4629.7299999999996</v>
      </c>
      <c r="AK86" s="1">
        <f t="shared" si="14"/>
        <v>-666.8799999999992</v>
      </c>
      <c r="AL86" s="29">
        <f t="shared" si="23"/>
        <v>787.40999999999985</v>
      </c>
      <c r="AM86" s="11">
        <f t="shared" si="15"/>
        <v>2431987.6185000003</v>
      </c>
    </row>
    <row r="87" spans="1:39" x14ac:dyDescent="0.3">
      <c r="A87" s="39">
        <v>45782.864583333336</v>
      </c>
      <c r="B87" s="1">
        <v>1464.19</v>
      </c>
      <c r="C87" s="11">
        <v>3.2732000000000001</v>
      </c>
      <c r="D87" s="1">
        <v>679.76</v>
      </c>
      <c r="E87" s="11">
        <v>3.0760000000000001</v>
      </c>
      <c r="F87" s="1">
        <v>692.45</v>
      </c>
      <c r="G87" s="11">
        <v>3.53</v>
      </c>
      <c r="H87" s="1">
        <v>-304.8</v>
      </c>
      <c r="I87" s="11">
        <v>10</v>
      </c>
      <c r="J87" s="1">
        <v>606.07000000000005</v>
      </c>
      <c r="K87" s="11">
        <v>2.2049699999999999</v>
      </c>
      <c r="L87" s="1">
        <v>0</v>
      </c>
      <c r="M87" s="11">
        <v>6.2</v>
      </c>
      <c r="N87" s="1">
        <v>52.69</v>
      </c>
      <c r="O87" s="11">
        <v>2.8224999999999998</v>
      </c>
      <c r="P87" s="1">
        <f t="shared" si="16"/>
        <v>3190.3599999999997</v>
      </c>
      <c r="Q87" s="1">
        <v>3037</v>
      </c>
      <c r="R87" s="16">
        <f t="shared" si="17"/>
        <v>1941240.1652250001</v>
      </c>
      <c r="S87" s="1">
        <v>-605.70000000000005</v>
      </c>
      <c r="T87" s="1">
        <v>35.880000000000003</v>
      </c>
      <c r="U87" s="1">
        <v>67</v>
      </c>
      <c r="V87" s="1">
        <v>50.67</v>
      </c>
      <c r="W87" s="1" cm="1">
        <f t="array" ref="W87">SUM(ABS(S87:V87))</f>
        <v>759.25</v>
      </c>
      <c r="X87" s="25">
        <v>1.238</v>
      </c>
      <c r="Y87" s="42">
        <f t="shared" si="18"/>
        <v>234987.875</v>
      </c>
      <c r="Z87" s="20">
        <v>760.24000000000012</v>
      </c>
      <c r="AA87" s="20">
        <f t="shared" si="19"/>
        <v>1519.4900000000002</v>
      </c>
      <c r="AB87" s="21">
        <v>0.2</v>
      </c>
      <c r="AC87" s="21">
        <v>11.69</v>
      </c>
      <c r="AD87" s="8">
        <f t="shared" si="20"/>
        <v>772.13000000000022</v>
      </c>
      <c r="AE87" s="25">
        <v>1.238</v>
      </c>
      <c r="AF87" s="25">
        <f t="shared" si="21"/>
        <v>238974.23500000007</v>
      </c>
      <c r="AG87" s="25">
        <f t="shared" si="22"/>
        <v>473962.1100000001</v>
      </c>
      <c r="AH87" s="1">
        <f t="shared" si="12"/>
        <v>3962.49</v>
      </c>
      <c r="AI87" s="1">
        <f t="shared" si="13"/>
        <v>3809.13</v>
      </c>
      <c r="AJ87" s="1">
        <v>4623.76</v>
      </c>
      <c r="AK87" s="1">
        <f t="shared" si="14"/>
        <v>-661.27000000000044</v>
      </c>
      <c r="AL87" s="29">
        <f t="shared" si="23"/>
        <v>814.63000000000011</v>
      </c>
      <c r="AM87" s="11">
        <f t="shared" si="15"/>
        <v>2415202.2752250005</v>
      </c>
    </row>
    <row r="88" spans="1:39" x14ac:dyDescent="0.3">
      <c r="A88" s="39">
        <v>45782.875</v>
      </c>
      <c r="B88" s="1">
        <v>1464.19</v>
      </c>
      <c r="C88" s="11">
        <v>3.2732000000000001</v>
      </c>
      <c r="D88" s="1">
        <v>679.76</v>
      </c>
      <c r="E88" s="11">
        <v>3.0760000000000001</v>
      </c>
      <c r="F88" s="1">
        <v>692.45</v>
      </c>
      <c r="G88" s="11">
        <v>3.53</v>
      </c>
      <c r="H88" s="1">
        <v>-304.8</v>
      </c>
      <c r="I88" s="11">
        <v>10</v>
      </c>
      <c r="J88" s="1">
        <v>569.46</v>
      </c>
      <c r="K88" s="11">
        <v>2.8279699999999997</v>
      </c>
      <c r="L88" s="1">
        <v>0</v>
      </c>
      <c r="M88" s="11">
        <v>6.2</v>
      </c>
      <c r="N88" s="1">
        <v>55.56</v>
      </c>
      <c r="O88" s="11">
        <v>2.8224999999999998</v>
      </c>
      <c r="P88" s="1">
        <f t="shared" si="16"/>
        <v>3156.6199999999994</v>
      </c>
      <c r="Q88" s="1">
        <v>3037.06</v>
      </c>
      <c r="R88" s="16">
        <f t="shared" si="17"/>
        <v>2011777.7160500002</v>
      </c>
      <c r="S88" s="1">
        <v>-610.13</v>
      </c>
      <c r="T88" s="1">
        <v>35.880000000000003</v>
      </c>
      <c r="U88" s="1">
        <v>67</v>
      </c>
      <c r="V88" s="1">
        <v>50.71</v>
      </c>
      <c r="W88" s="1" cm="1">
        <f t="array" ref="W88">SUM(ABS(S88:V88))</f>
        <v>763.72</v>
      </c>
      <c r="X88" s="25">
        <v>1.238</v>
      </c>
      <c r="Y88" s="42">
        <f t="shared" si="18"/>
        <v>236371.34</v>
      </c>
      <c r="Z88" s="20">
        <v>760.85000000000014</v>
      </c>
      <c r="AA88" s="20">
        <f t="shared" si="19"/>
        <v>1524.5700000000002</v>
      </c>
      <c r="AB88" s="21">
        <v>0.2</v>
      </c>
      <c r="AC88" s="21">
        <v>11.84</v>
      </c>
      <c r="AD88" s="8">
        <f t="shared" si="20"/>
        <v>772.89000000000021</v>
      </c>
      <c r="AE88" s="25">
        <v>1.238</v>
      </c>
      <c r="AF88" s="25">
        <f t="shared" si="21"/>
        <v>239209.45500000007</v>
      </c>
      <c r="AG88" s="25">
        <f t="shared" si="22"/>
        <v>475580.79500000004</v>
      </c>
      <c r="AH88" s="1">
        <f t="shared" si="12"/>
        <v>3929.5099999999998</v>
      </c>
      <c r="AI88" s="1">
        <f t="shared" si="13"/>
        <v>3809.9500000000003</v>
      </c>
      <c r="AJ88" s="1">
        <v>4629.6899999999996</v>
      </c>
      <c r="AK88" s="1">
        <f t="shared" si="14"/>
        <v>-700.17999999999984</v>
      </c>
      <c r="AL88" s="29">
        <f t="shared" si="23"/>
        <v>819.73999999999933</v>
      </c>
      <c r="AM88" s="11">
        <f t="shared" si="15"/>
        <v>2487358.5110500003</v>
      </c>
    </row>
    <row r="89" spans="1:39" x14ac:dyDescent="0.3">
      <c r="A89" s="39">
        <v>45782.885416666664</v>
      </c>
      <c r="B89" s="1">
        <v>1464.19</v>
      </c>
      <c r="C89" s="11">
        <v>3.2732000000000001</v>
      </c>
      <c r="D89" s="1">
        <v>679.76</v>
      </c>
      <c r="E89" s="11">
        <v>3.0760000000000001</v>
      </c>
      <c r="F89" s="1">
        <v>692.45</v>
      </c>
      <c r="G89" s="11">
        <v>3.53</v>
      </c>
      <c r="H89" s="1">
        <v>-304.8</v>
      </c>
      <c r="I89" s="11">
        <v>10</v>
      </c>
      <c r="J89" s="1">
        <v>585.45000000000005</v>
      </c>
      <c r="K89" s="11">
        <v>3.29542</v>
      </c>
      <c r="L89" s="1">
        <v>0</v>
      </c>
      <c r="M89" s="11">
        <v>6.2</v>
      </c>
      <c r="N89" s="1">
        <v>58.85</v>
      </c>
      <c r="O89" s="11">
        <v>2.8224999999999998</v>
      </c>
      <c r="P89" s="1">
        <f t="shared" si="16"/>
        <v>3175.8999999999992</v>
      </c>
      <c r="Q89" s="1">
        <v>3140.85</v>
      </c>
      <c r="R89" s="16">
        <f t="shared" si="17"/>
        <v>2093821.183</v>
      </c>
      <c r="S89" s="1">
        <v>-592.03</v>
      </c>
      <c r="T89" s="1">
        <v>35.9</v>
      </c>
      <c r="U89" s="1">
        <v>67</v>
      </c>
      <c r="V89" s="1">
        <v>28.65</v>
      </c>
      <c r="W89" s="1" cm="1">
        <f t="array" ref="W89">SUM(ABS(S89:V89))</f>
        <v>723.57999999999993</v>
      </c>
      <c r="X89" s="26">
        <v>1.238</v>
      </c>
      <c r="Y89" s="42">
        <f t="shared" si="18"/>
        <v>223948.00999999998</v>
      </c>
      <c r="Z89" s="20">
        <v>761.09</v>
      </c>
      <c r="AA89" s="20">
        <f t="shared" si="19"/>
        <v>1484.67</v>
      </c>
      <c r="AB89" s="21">
        <v>0.2</v>
      </c>
      <c r="AC89" s="21">
        <v>10.91</v>
      </c>
      <c r="AD89" s="8">
        <f t="shared" si="20"/>
        <v>772.2</v>
      </c>
      <c r="AE89" s="26">
        <v>1.238</v>
      </c>
      <c r="AF89" s="25">
        <f t="shared" si="21"/>
        <v>238995.9</v>
      </c>
      <c r="AG89" s="25">
        <f t="shared" si="22"/>
        <v>462943.91</v>
      </c>
      <c r="AH89" s="1">
        <f t="shared" si="12"/>
        <v>3948.0999999999995</v>
      </c>
      <c r="AI89" s="1">
        <f t="shared" si="13"/>
        <v>3913.05</v>
      </c>
      <c r="AJ89" s="1">
        <v>4686.03</v>
      </c>
      <c r="AK89" s="1">
        <f t="shared" si="14"/>
        <v>-737.93000000000029</v>
      </c>
      <c r="AL89" s="29">
        <f t="shared" si="23"/>
        <v>772.97999999999956</v>
      </c>
      <c r="AM89" s="11">
        <f t="shared" si="15"/>
        <v>2556765.0929999999</v>
      </c>
    </row>
    <row r="90" spans="1:39" x14ac:dyDescent="0.3">
      <c r="A90" s="39">
        <v>45782.895833333336</v>
      </c>
      <c r="B90" s="1">
        <v>1464.19</v>
      </c>
      <c r="C90" s="11">
        <v>3.2732000000000001</v>
      </c>
      <c r="D90" s="1">
        <v>679.76</v>
      </c>
      <c r="E90" s="11">
        <v>3.0760000000000001</v>
      </c>
      <c r="F90" s="1">
        <v>692.45</v>
      </c>
      <c r="G90" s="11">
        <v>3.53</v>
      </c>
      <c r="H90" s="1">
        <v>-304.8</v>
      </c>
      <c r="I90" s="11">
        <v>10</v>
      </c>
      <c r="J90" s="1">
        <v>603.12</v>
      </c>
      <c r="K90" s="11">
        <v>3.17414</v>
      </c>
      <c r="L90" s="1">
        <v>0</v>
      </c>
      <c r="M90" s="11">
        <v>6.2</v>
      </c>
      <c r="N90" s="1">
        <v>61.88</v>
      </c>
      <c r="O90" s="11">
        <v>2.8224999999999998</v>
      </c>
      <c r="P90" s="1">
        <f t="shared" si="16"/>
        <v>3196.5999999999995</v>
      </c>
      <c r="Q90" s="1">
        <v>3159.23</v>
      </c>
      <c r="R90" s="16">
        <f t="shared" si="17"/>
        <v>2092230.1462000001</v>
      </c>
      <c r="S90" s="1">
        <v>-601.62</v>
      </c>
      <c r="T90" s="1">
        <v>35.92</v>
      </c>
      <c r="U90" s="1">
        <v>67</v>
      </c>
      <c r="V90" s="1">
        <v>25.77</v>
      </c>
      <c r="W90" s="1" cm="1">
        <f t="array" ref="W90">SUM(ABS(S90:V90))</f>
        <v>730.31</v>
      </c>
      <c r="X90" s="26">
        <v>1.238</v>
      </c>
      <c r="Y90" s="42">
        <f t="shared" si="18"/>
        <v>226030.94499999998</v>
      </c>
      <c r="Z90" s="20">
        <v>776.94999999999993</v>
      </c>
      <c r="AA90" s="20">
        <f t="shared" si="19"/>
        <v>1507.2599999999998</v>
      </c>
      <c r="AB90" s="21">
        <v>0.2</v>
      </c>
      <c r="AC90" s="21">
        <v>11.7</v>
      </c>
      <c r="AD90" s="8">
        <f t="shared" si="20"/>
        <v>788.85</v>
      </c>
      <c r="AE90" s="26">
        <v>1.238</v>
      </c>
      <c r="AF90" s="25">
        <f t="shared" si="21"/>
        <v>244149.07500000001</v>
      </c>
      <c r="AG90" s="25">
        <f t="shared" si="22"/>
        <v>470180.02</v>
      </c>
      <c r="AH90" s="1">
        <f t="shared" si="12"/>
        <v>3985.4499999999994</v>
      </c>
      <c r="AI90" s="1">
        <f t="shared" si="13"/>
        <v>3948.08</v>
      </c>
      <c r="AJ90" s="1">
        <v>4724.8599999999997</v>
      </c>
      <c r="AK90" s="1">
        <f t="shared" si="14"/>
        <v>-739.41000000000031</v>
      </c>
      <c r="AL90" s="29">
        <f t="shared" si="23"/>
        <v>776.77999999999975</v>
      </c>
      <c r="AM90" s="11">
        <f t="shared" si="15"/>
        <v>2562410.1661999999</v>
      </c>
    </row>
    <row r="91" spans="1:39" x14ac:dyDescent="0.3">
      <c r="A91" s="39">
        <v>45782.90625</v>
      </c>
      <c r="B91" s="1">
        <v>1464.19</v>
      </c>
      <c r="C91" s="11">
        <v>3.2732000000000001</v>
      </c>
      <c r="D91" s="1">
        <v>679.76</v>
      </c>
      <c r="E91" s="11">
        <v>3.0760000000000001</v>
      </c>
      <c r="F91" s="1">
        <v>692.45</v>
      </c>
      <c r="G91" s="11">
        <v>3.53</v>
      </c>
      <c r="H91" s="1">
        <v>-304.8</v>
      </c>
      <c r="I91" s="11">
        <v>10</v>
      </c>
      <c r="J91" s="1">
        <v>659.56</v>
      </c>
      <c r="K91" s="11">
        <v>3.0941700000000001</v>
      </c>
      <c r="L91" s="1">
        <v>0</v>
      </c>
      <c r="M91" s="11">
        <v>6.2</v>
      </c>
      <c r="N91" s="1">
        <v>65.16</v>
      </c>
      <c r="O91" s="11">
        <v>2.8224999999999998</v>
      </c>
      <c r="P91" s="1">
        <f t="shared" si="16"/>
        <v>3256.3199999999993</v>
      </c>
      <c r="Q91" s="1">
        <v>3197.14</v>
      </c>
      <c r="R91" s="16">
        <f t="shared" si="17"/>
        <v>2126145.4583000001</v>
      </c>
      <c r="S91" s="1">
        <v>-601.22</v>
      </c>
      <c r="T91" s="1">
        <v>35.9</v>
      </c>
      <c r="U91" s="1">
        <v>67</v>
      </c>
      <c r="V91" s="1">
        <v>25.76</v>
      </c>
      <c r="W91" s="1" cm="1">
        <f t="array" ref="W91">SUM(ABS(S91:V91))</f>
        <v>729.88</v>
      </c>
      <c r="X91" s="26">
        <v>1.238</v>
      </c>
      <c r="Y91" s="42">
        <f t="shared" si="18"/>
        <v>225897.86000000002</v>
      </c>
      <c r="Z91" s="20">
        <v>791.45999999999992</v>
      </c>
      <c r="AA91" s="20">
        <f t="shared" si="19"/>
        <v>1521.34</v>
      </c>
      <c r="AB91" s="21">
        <v>0.2</v>
      </c>
      <c r="AC91" s="21">
        <v>11.870000000000001</v>
      </c>
      <c r="AD91" s="8">
        <f t="shared" si="20"/>
        <v>803.53</v>
      </c>
      <c r="AE91" s="26">
        <v>1.238</v>
      </c>
      <c r="AF91" s="25">
        <f t="shared" si="21"/>
        <v>248692.535</v>
      </c>
      <c r="AG91" s="25">
        <f t="shared" si="22"/>
        <v>474590.39500000002</v>
      </c>
      <c r="AH91" s="1">
        <f t="shared" si="12"/>
        <v>4059.8499999999995</v>
      </c>
      <c r="AI91" s="1">
        <f t="shared" si="13"/>
        <v>4000.67</v>
      </c>
      <c r="AJ91" s="1">
        <v>4776.3599999999997</v>
      </c>
      <c r="AK91" s="1">
        <f t="shared" si="14"/>
        <v>-716.51000000000022</v>
      </c>
      <c r="AL91" s="29">
        <f t="shared" si="23"/>
        <v>775.6899999999996</v>
      </c>
      <c r="AM91" s="11">
        <f t="shared" si="15"/>
        <v>2600735.8533000001</v>
      </c>
    </row>
    <row r="92" spans="1:39" x14ac:dyDescent="0.3">
      <c r="A92" s="39">
        <v>45782.916666666664</v>
      </c>
      <c r="B92" s="1">
        <v>1465.95</v>
      </c>
      <c r="C92" s="11">
        <v>3.2732000000000001</v>
      </c>
      <c r="D92" s="1">
        <v>679.76</v>
      </c>
      <c r="E92" s="11">
        <v>3.0760000000000001</v>
      </c>
      <c r="F92" s="1">
        <v>692.45</v>
      </c>
      <c r="G92" s="11">
        <v>3.53</v>
      </c>
      <c r="H92" s="1">
        <v>-212.24</v>
      </c>
      <c r="I92" s="11">
        <v>10</v>
      </c>
      <c r="J92" s="1">
        <v>579.62</v>
      </c>
      <c r="K92" s="11">
        <v>3.2934299999999999</v>
      </c>
      <c r="L92" s="1">
        <v>0</v>
      </c>
      <c r="M92" s="11">
        <v>6.2</v>
      </c>
      <c r="N92" s="1">
        <v>65.12</v>
      </c>
      <c r="O92" s="11">
        <v>2.8224999999999998</v>
      </c>
      <c r="P92" s="1">
        <f t="shared" si="16"/>
        <v>3270.66</v>
      </c>
      <c r="Q92" s="1">
        <v>3238.93</v>
      </c>
      <c r="R92" s="16">
        <f t="shared" si="17"/>
        <v>2325994.2241500001</v>
      </c>
      <c r="S92" s="1">
        <v>-618.37</v>
      </c>
      <c r="T92" s="1">
        <v>35.94</v>
      </c>
      <c r="U92" s="1">
        <v>67</v>
      </c>
      <c r="V92" s="1">
        <v>35.659999999999997</v>
      </c>
      <c r="W92" s="1" cm="1">
        <f t="array" ref="W92">SUM(ABS(S92:V92))</f>
        <v>756.96999999999991</v>
      </c>
      <c r="X92" s="26">
        <v>1.238</v>
      </c>
      <c r="Y92" s="42">
        <f t="shared" si="18"/>
        <v>234282.21499999997</v>
      </c>
      <c r="Z92" s="20">
        <v>794.33</v>
      </c>
      <c r="AA92" s="20">
        <f t="shared" si="19"/>
        <v>1551.3</v>
      </c>
      <c r="AB92" s="21">
        <v>0.2</v>
      </c>
      <c r="AC92" s="21">
        <v>11.55</v>
      </c>
      <c r="AD92" s="8">
        <f t="shared" si="20"/>
        <v>806.08</v>
      </c>
      <c r="AE92" s="26">
        <v>1.238</v>
      </c>
      <c r="AF92" s="25">
        <f t="shared" si="21"/>
        <v>249481.76</v>
      </c>
      <c r="AG92" s="25">
        <f t="shared" si="22"/>
        <v>483763.97499999998</v>
      </c>
      <c r="AH92" s="1">
        <f t="shared" si="12"/>
        <v>4076.74</v>
      </c>
      <c r="AI92" s="1">
        <f t="shared" si="13"/>
        <v>4045.0099999999998</v>
      </c>
      <c r="AJ92" s="1">
        <v>4851.4799999999996</v>
      </c>
      <c r="AK92" s="1">
        <f t="shared" si="14"/>
        <v>-774.73999999999978</v>
      </c>
      <c r="AL92" s="29">
        <f t="shared" si="23"/>
        <v>806.4699999999998</v>
      </c>
      <c r="AM92" s="11">
        <f t="shared" si="15"/>
        <v>2809758.1991500002</v>
      </c>
    </row>
    <row r="93" spans="1:39" x14ac:dyDescent="0.3">
      <c r="A93" s="39">
        <v>45782.927083333336</v>
      </c>
      <c r="B93" s="1">
        <v>1466.34</v>
      </c>
      <c r="C93" s="11">
        <v>3.2732000000000001</v>
      </c>
      <c r="D93" s="1">
        <v>679.76</v>
      </c>
      <c r="E93" s="11">
        <v>3.0760000000000001</v>
      </c>
      <c r="F93" s="1">
        <v>692.45</v>
      </c>
      <c r="G93" s="11">
        <v>3.53</v>
      </c>
      <c r="H93" s="1">
        <v>-204.8</v>
      </c>
      <c r="I93" s="11">
        <v>10</v>
      </c>
      <c r="J93" s="1">
        <v>505.14</v>
      </c>
      <c r="K93" s="11">
        <v>3.17421</v>
      </c>
      <c r="L93" s="1">
        <v>0</v>
      </c>
      <c r="M93" s="11">
        <v>6.2</v>
      </c>
      <c r="N93" s="1">
        <v>64.540000000000006</v>
      </c>
      <c r="O93" s="11">
        <v>2.8224999999999998</v>
      </c>
      <c r="P93" s="1">
        <f t="shared" si="16"/>
        <v>3203.43</v>
      </c>
      <c r="Q93" s="1">
        <v>3040.64</v>
      </c>
      <c r="R93" s="16">
        <f t="shared" si="17"/>
        <v>2268124.73435</v>
      </c>
      <c r="S93" s="1">
        <v>-689.49</v>
      </c>
      <c r="T93" s="1">
        <v>35.93</v>
      </c>
      <c r="U93" s="1">
        <v>67</v>
      </c>
      <c r="V93" s="1">
        <v>50.74</v>
      </c>
      <c r="W93" s="1" cm="1">
        <f t="array" ref="W93">SUM(ABS(S93:V93))</f>
        <v>843.16</v>
      </c>
      <c r="X93" s="26">
        <v>1.238</v>
      </c>
      <c r="Y93" s="42">
        <f t="shared" si="18"/>
        <v>260958.02</v>
      </c>
      <c r="Z93" s="20">
        <v>788.52</v>
      </c>
      <c r="AA93" s="20">
        <f t="shared" si="19"/>
        <v>1631.6799999999998</v>
      </c>
      <c r="AB93" s="21">
        <v>0.19</v>
      </c>
      <c r="AC93" s="21">
        <v>12.17</v>
      </c>
      <c r="AD93" s="8">
        <f t="shared" si="20"/>
        <v>800.88</v>
      </c>
      <c r="AE93" s="26">
        <v>1.238</v>
      </c>
      <c r="AF93" s="25">
        <f t="shared" si="21"/>
        <v>247872.36</v>
      </c>
      <c r="AG93" s="25">
        <f t="shared" si="22"/>
        <v>508830.38</v>
      </c>
      <c r="AH93" s="1">
        <f t="shared" si="12"/>
        <v>4004.31</v>
      </c>
      <c r="AI93" s="1">
        <f t="shared" si="13"/>
        <v>3841.52</v>
      </c>
      <c r="AJ93" s="1">
        <v>4763.68</v>
      </c>
      <c r="AK93" s="1">
        <f t="shared" si="14"/>
        <v>-759.37000000000035</v>
      </c>
      <c r="AL93" s="29">
        <f t="shared" si="23"/>
        <v>922.16000000000031</v>
      </c>
      <c r="AM93" s="11">
        <f t="shared" si="15"/>
        <v>2776955.1143499999</v>
      </c>
    </row>
    <row r="94" spans="1:39" x14ac:dyDescent="0.3">
      <c r="A94" s="39">
        <v>45782.9375</v>
      </c>
      <c r="B94" s="1">
        <v>1466.36</v>
      </c>
      <c r="C94" s="11">
        <v>3.2732000000000001</v>
      </c>
      <c r="D94" s="1">
        <v>679.76</v>
      </c>
      <c r="E94" s="11">
        <v>3.0760000000000001</v>
      </c>
      <c r="F94" s="1">
        <v>692.45</v>
      </c>
      <c r="G94" s="11">
        <v>3.53</v>
      </c>
      <c r="H94" s="1">
        <v>-204.8</v>
      </c>
      <c r="I94" s="11">
        <v>10</v>
      </c>
      <c r="J94" s="1">
        <v>625.47</v>
      </c>
      <c r="K94" s="11">
        <v>3.4224399999999999</v>
      </c>
      <c r="L94" s="1">
        <v>0</v>
      </c>
      <c r="M94" s="11">
        <v>6.2</v>
      </c>
      <c r="N94" s="1">
        <v>46.45</v>
      </c>
      <c r="O94" s="11">
        <v>2.8224999999999998</v>
      </c>
      <c r="P94" s="1">
        <f t="shared" si="16"/>
        <v>3305.6899999999996</v>
      </c>
      <c r="Q94" s="1">
        <v>3055.72</v>
      </c>
      <c r="R94" s="16">
        <f t="shared" si="17"/>
        <v>2389679.6209499999</v>
      </c>
      <c r="S94" s="1">
        <v>-528.21</v>
      </c>
      <c r="T94" s="1">
        <v>35.950000000000003</v>
      </c>
      <c r="U94" s="1">
        <v>67</v>
      </c>
      <c r="V94" s="1">
        <v>50.69</v>
      </c>
      <c r="W94" s="1" cm="1">
        <f t="array" ref="W94">SUM(ABS(S94:V94))</f>
        <v>681.85000000000014</v>
      </c>
      <c r="X94" s="26">
        <v>1.238</v>
      </c>
      <c r="Y94" s="42">
        <f t="shared" si="18"/>
        <v>211032.57500000004</v>
      </c>
      <c r="Z94" s="20">
        <v>790.43999999999994</v>
      </c>
      <c r="AA94" s="20">
        <f t="shared" si="19"/>
        <v>1472.29</v>
      </c>
      <c r="AB94" s="21">
        <v>0.19</v>
      </c>
      <c r="AC94" s="21">
        <v>12.33</v>
      </c>
      <c r="AD94" s="8">
        <f t="shared" si="20"/>
        <v>802.96</v>
      </c>
      <c r="AE94" s="26">
        <v>1.238</v>
      </c>
      <c r="AF94" s="25">
        <f t="shared" si="21"/>
        <v>248516.12</v>
      </c>
      <c r="AG94" s="25">
        <f t="shared" si="22"/>
        <v>459548.69500000007</v>
      </c>
      <c r="AH94" s="1">
        <f t="shared" si="12"/>
        <v>4108.6499999999996</v>
      </c>
      <c r="AI94" s="1">
        <f t="shared" si="13"/>
        <v>3858.68</v>
      </c>
      <c r="AJ94" s="1">
        <v>4620.2</v>
      </c>
      <c r="AK94" s="1">
        <f t="shared" si="14"/>
        <v>-511.55000000000018</v>
      </c>
      <c r="AL94" s="29">
        <f t="shared" si="23"/>
        <v>761.52</v>
      </c>
      <c r="AM94" s="11">
        <f t="shared" si="15"/>
        <v>2849228.3159499997</v>
      </c>
    </row>
    <row r="95" spans="1:39" x14ac:dyDescent="0.3">
      <c r="A95" s="39">
        <v>45782.947916666664</v>
      </c>
      <c r="B95" s="1">
        <v>1464.65</v>
      </c>
      <c r="C95" s="11">
        <v>3.2732000000000001</v>
      </c>
      <c r="D95" s="1">
        <v>679.76</v>
      </c>
      <c r="E95" s="11">
        <v>3.0760000000000001</v>
      </c>
      <c r="F95" s="1">
        <v>692.45</v>
      </c>
      <c r="G95" s="11">
        <v>3.53</v>
      </c>
      <c r="H95" s="1">
        <v>-204.8</v>
      </c>
      <c r="I95" s="11">
        <v>10</v>
      </c>
      <c r="J95" s="1">
        <v>799.13</v>
      </c>
      <c r="K95" s="11">
        <v>3.42299</v>
      </c>
      <c r="L95" s="1">
        <v>0</v>
      </c>
      <c r="M95" s="11">
        <v>6.2</v>
      </c>
      <c r="N95" s="1">
        <v>45</v>
      </c>
      <c r="O95" s="11">
        <v>2.8224999999999998</v>
      </c>
      <c r="P95" s="1">
        <f t="shared" si="16"/>
        <v>3476.1899999999996</v>
      </c>
      <c r="Q95" s="1">
        <v>3201.65</v>
      </c>
      <c r="R95" s="16">
        <f t="shared" si="17"/>
        <v>2535952.2846750002</v>
      </c>
      <c r="S95" s="1">
        <v>-408.61</v>
      </c>
      <c r="T95" s="1">
        <v>35.97</v>
      </c>
      <c r="U95" s="1">
        <v>67</v>
      </c>
      <c r="V95" s="1">
        <v>50.75</v>
      </c>
      <c r="W95" s="1" cm="1">
        <f t="array" ref="W95">SUM(ABS(S95:V95))</f>
        <v>562.33000000000004</v>
      </c>
      <c r="X95" s="26">
        <v>1.238</v>
      </c>
      <c r="Y95" s="42">
        <f t="shared" si="18"/>
        <v>174041.13500000001</v>
      </c>
      <c r="Z95" s="20">
        <v>792.55</v>
      </c>
      <c r="AA95" s="20">
        <f t="shared" si="19"/>
        <v>1354.88</v>
      </c>
      <c r="AB95" s="21">
        <v>0.2</v>
      </c>
      <c r="AC95" s="21">
        <v>11.94</v>
      </c>
      <c r="AD95" s="8">
        <f t="shared" si="20"/>
        <v>804.69</v>
      </c>
      <c r="AE95" s="26">
        <v>1.238</v>
      </c>
      <c r="AF95" s="25">
        <f t="shared" si="21"/>
        <v>249051.55499999999</v>
      </c>
      <c r="AG95" s="25">
        <f t="shared" si="22"/>
        <v>423092.69</v>
      </c>
      <c r="AH95" s="1">
        <f t="shared" si="12"/>
        <v>4280.8799999999992</v>
      </c>
      <c r="AI95" s="1">
        <f t="shared" si="13"/>
        <v>4006.34</v>
      </c>
      <c r="AJ95" s="1">
        <v>4630.1400000000003</v>
      </c>
      <c r="AK95" s="1">
        <f t="shared" si="14"/>
        <v>-349.26000000000113</v>
      </c>
      <c r="AL95" s="29">
        <f t="shared" si="23"/>
        <v>623.80000000000018</v>
      </c>
      <c r="AM95" s="11">
        <f t="shared" si="15"/>
        <v>2959044.9746750002</v>
      </c>
    </row>
    <row r="96" spans="1:39" x14ac:dyDescent="0.3">
      <c r="A96" s="39">
        <v>45782.958333333336</v>
      </c>
      <c r="B96" s="1">
        <v>1463.88</v>
      </c>
      <c r="C96" s="11">
        <v>3.2732000000000001</v>
      </c>
      <c r="D96" s="1">
        <v>679.76</v>
      </c>
      <c r="E96" s="11">
        <v>3.0760000000000001</v>
      </c>
      <c r="F96" s="1">
        <v>692.45</v>
      </c>
      <c r="G96" s="11">
        <v>3.53</v>
      </c>
      <c r="H96" s="1">
        <v>-204.8</v>
      </c>
      <c r="I96" s="11">
        <v>10</v>
      </c>
      <c r="J96" s="1">
        <v>655.03</v>
      </c>
      <c r="K96" s="11">
        <v>3.2875100000000002</v>
      </c>
      <c r="L96" s="1">
        <v>0</v>
      </c>
      <c r="M96" s="11">
        <v>6.2</v>
      </c>
      <c r="N96" s="1">
        <v>45</v>
      </c>
      <c r="O96" s="11">
        <v>2.8224999999999998</v>
      </c>
      <c r="P96" s="1">
        <f t="shared" si="16"/>
        <v>3331.3199999999997</v>
      </c>
      <c r="Q96" s="1">
        <v>3168.79</v>
      </c>
      <c r="R96" s="16">
        <f t="shared" si="17"/>
        <v>2389823.1128249997</v>
      </c>
      <c r="S96" s="1">
        <v>-518.41999999999996</v>
      </c>
      <c r="T96" s="1">
        <v>35.979999999999997</v>
      </c>
      <c r="U96" s="1">
        <v>67</v>
      </c>
      <c r="V96" s="1">
        <v>50.75</v>
      </c>
      <c r="W96" s="1" cm="1">
        <f t="array" ref="W96">SUM(ABS(S96:V96))</f>
        <v>672.15</v>
      </c>
      <c r="X96" s="26">
        <v>1.238</v>
      </c>
      <c r="Y96" s="42">
        <f t="shared" si="18"/>
        <v>208030.42499999999</v>
      </c>
      <c r="Z96" s="20">
        <v>794.83</v>
      </c>
      <c r="AA96" s="20">
        <f t="shared" si="19"/>
        <v>1466.98</v>
      </c>
      <c r="AB96" s="21">
        <v>0.2</v>
      </c>
      <c r="AC96" s="21">
        <v>10.469999999999999</v>
      </c>
      <c r="AD96" s="8">
        <f t="shared" si="20"/>
        <v>805.50000000000011</v>
      </c>
      <c r="AE96" s="26">
        <v>1.238</v>
      </c>
      <c r="AF96" s="25">
        <f t="shared" si="21"/>
        <v>249302.25000000003</v>
      </c>
      <c r="AG96" s="25">
        <f t="shared" si="22"/>
        <v>457332.67500000005</v>
      </c>
      <c r="AH96" s="1">
        <f t="shared" si="12"/>
        <v>4136.82</v>
      </c>
      <c r="AI96" s="1">
        <f t="shared" si="13"/>
        <v>3974.29</v>
      </c>
      <c r="AJ96" s="1">
        <v>4684.3500000000004</v>
      </c>
      <c r="AK96" s="1">
        <f t="shared" si="14"/>
        <v>-547.53000000000065</v>
      </c>
      <c r="AL96" s="29">
        <f t="shared" si="23"/>
        <v>710.0600000000004</v>
      </c>
      <c r="AM96" s="11">
        <f t="shared" si="15"/>
        <v>2847155.7878249995</v>
      </c>
    </row>
    <row r="97" spans="1:40" x14ac:dyDescent="0.3">
      <c r="A97" s="39">
        <v>45782.96875</v>
      </c>
      <c r="B97" s="1">
        <v>1463.83</v>
      </c>
      <c r="C97" s="11">
        <v>3.2732000000000001</v>
      </c>
      <c r="D97" s="1">
        <v>679.76</v>
      </c>
      <c r="E97" s="11">
        <v>3.0760000000000001</v>
      </c>
      <c r="F97" s="1">
        <v>692.45</v>
      </c>
      <c r="G97" s="11">
        <v>3.53</v>
      </c>
      <c r="H97" s="1">
        <v>-204.8</v>
      </c>
      <c r="I97" s="11">
        <v>10</v>
      </c>
      <c r="J97" s="1">
        <v>568.21</v>
      </c>
      <c r="K97" s="11">
        <v>3.0009000000000001</v>
      </c>
      <c r="L97" s="1">
        <v>0</v>
      </c>
      <c r="M97" s="11">
        <v>6.2</v>
      </c>
      <c r="N97" s="1">
        <v>45</v>
      </c>
      <c r="O97" s="11">
        <v>2.8224999999999998</v>
      </c>
      <c r="P97" s="1">
        <f t="shared" si="16"/>
        <v>3244.45</v>
      </c>
      <c r="Q97" s="1">
        <v>2901.57</v>
      </c>
      <c r="R97" s="16">
        <f t="shared" si="17"/>
        <v>2277713.1262500002</v>
      </c>
      <c r="S97" s="1">
        <v>-675.96</v>
      </c>
      <c r="T97" s="1">
        <v>35.950000000000003</v>
      </c>
      <c r="U97" s="1">
        <v>67</v>
      </c>
      <c r="V97" s="1">
        <v>50.78</v>
      </c>
      <c r="W97" s="1" cm="1">
        <f t="array" ref="W97">SUM(ABS(S97:V97))</f>
        <v>829.69</v>
      </c>
      <c r="X97" s="25">
        <v>1.238</v>
      </c>
      <c r="Y97" s="42">
        <f t="shared" si="18"/>
        <v>256789.05500000002</v>
      </c>
      <c r="Z97" s="20">
        <v>792.79999999999984</v>
      </c>
      <c r="AA97" s="20">
        <f t="shared" si="19"/>
        <v>1622.4899999999998</v>
      </c>
      <c r="AB97" s="21">
        <v>0.2</v>
      </c>
      <c r="AC97" s="21">
        <v>8.34</v>
      </c>
      <c r="AD97" s="8">
        <f t="shared" si="20"/>
        <v>801.33999999999992</v>
      </c>
      <c r="AE97" s="25">
        <v>1.238</v>
      </c>
      <c r="AF97" s="25">
        <f t="shared" si="21"/>
        <v>248014.72999999998</v>
      </c>
      <c r="AG97" s="25">
        <f t="shared" si="22"/>
        <v>504803.78500000003</v>
      </c>
      <c r="AH97" s="1">
        <f t="shared" si="12"/>
        <v>4045.79</v>
      </c>
      <c r="AI97" s="1">
        <f t="shared" si="13"/>
        <v>3702.91</v>
      </c>
      <c r="AJ97" s="1">
        <v>4589.3</v>
      </c>
      <c r="AK97" s="1">
        <f t="shared" si="14"/>
        <v>-543.51000000000022</v>
      </c>
      <c r="AL97" s="29">
        <f t="shared" si="23"/>
        <v>886.39000000000033</v>
      </c>
      <c r="AM97" s="11">
        <f t="shared" si="15"/>
        <v>2782516.9112500004</v>
      </c>
    </row>
    <row r="98" spans="1:40" x14ac:dyDescent="0.3">
      <c r="A98" s="39">
        <v>45782.979166666664</v>
      </c>
      <c r="B98" s="1">
        <v>1465.92</v>
      </c>
      <c r="C98" s="11">
        <v>3.2732000000000001</v>
      </c>
      <c r="D98" s="1">
        <v>679.76</v>
      </c>
      <c r="E98" s="11">
        <v>3.0760000000000001</v>
      </c>
      <c r="F98" s="1">
        <v>692.45</v>
      </c>
      <c r="G98" s="11">
        <v>3.53</v>
      </c>
      <c r="H98" s="1">
        <v>-204.8</v>
      </c>
      <c r="I98" s="11">
        <v>10</v>
      </c>
      <c r="J98" s="1">
        <v>456.27</v>
      </c>
      <c r="K98" s="11">
        <v>2.82782</v>
      </c>
      <c r="L98" s="1">
        <v>0</v>
      </c>
      <c r="M98" s="11">
        <v>6.2</v>
      </c>
      <c r="N98" s="1">
        <v>45</v>
      </c>
      <c r="O98" s="11">
        <v>2.8224999999999998</v>
      </c>
      <c r="P98" s="1">
        <f t="shared" si="16"/>
        <v>3134.6</v>
      </c>
      <c r="Q98" s="1">
        <v>3000.85</v>
      </c>
      <c r="R98" s="16">
        <f t="shared" si="17"/>
        <v>2175700.3838500003</v>
      </c>
      <c r="S98" s="1">
        <v>-669.82</v>
      </c>
      <c r="T98" s="1">
        <v>35.950000000000003</v>
      </c>
      <c r="U98" s="1">
        <v>67</v>
      </c>
      <c r="V98" s="1">
        <v>34.31</v>
      </c>
      <c r="W98" s="1" cm="1">
        <f t="array" ref="W98">SUM(ABS(S98:V98))</f>
        <v>807.08000000000015</v>
      </c>
      <c r="X98" s="25">
        <v>1.238</v>
      </c>
      <c r="Y98" s="42">
        <f t="shared" si="18"/>
        <v>249791.26000000004</v>
      </c>
      <c r="Z98" s="20">
        <v>789.29</v>
      </c>
      <c r="AA98" s="20">
        <f t="shared" si="19"/>
        <v>1596.3700000000001</v>
      </c>
      <c r="AB98" s="21">
        <v>0.2</v>
      </c>
      <c r="AC98" s="21">
        <v>6.51</v>
      </c>
      <c r="AD98" s="8">
        <f t="shared" si="20"/>
        <v>796</v>
      </c>
      <c r="AE98" s="25">
        <v>1.238</v>
      </c>
      <c r="AF98" s="25">
        <f t="shared" si="21"/>
        <v>246362</v>
      </c>
      <c r="AG98" s="25">
        <f t="shared" si="22"/>
        <v>496153.26</v>
      </c>
      <c r="AH98" s="1">
        <f t="shared" si="12"/>
        <v>3930.6</v>
      </c>
      <c r="AI98" s="1">
        <f t="shared" si="13"/>
        <v>3796.85</v>
      </c>
      <c r="AJ98" s="1">
        <v>4651.13</v>
      </c>
      <c r="AK98" s="1">
        <f t="shared" si="14"/>
        <v>-720.5300000000002</v>
      </c>
      <c r="AL98" s="29">
        <f t="shared" si="23"/>
        <v>854.2800000000002</v>
      </c>
      <c r="AM98" s="11">
        <f t="shared" si="15"/>
        <v>2671853.6438500006</v>
      </c>
    </row>
    <row r="99" spans="1:40" x14ac:dyDescent="0.3">
      <c r="A99" s="39">
        <v>45782.989583333336</v>
      </c>
      <c r="B99" s="1">
        <v>1466.51</v>
      </c>
      <c r="C99" s="11">
        <v>3.2732000000000001</v>
      </c>
      <c r="D99" s="1">
        <v>679.76</v>
      </c>
      <c r="E99" s="11">
        <v>3.0760000000000001</v>
      </c>
      <c r="F99" s="1">
        <v>692.45</v>
      </c>
      <c r="G99" s="11">
        <v>3.53</v>
      </c>
      <c r="H99" s="1">
        <v>-204.8</v>
      </c>
      <c r="I99" s="11">
        <v>10</v>
      </c>
      <c r="J99" s="1">
        <v>366.21</v>
      </c>
      <c r="K99" s="11">
        <v>2.8273999999999999</v>
      </c>
      <c r="L99" s="1">
        <v>0</v>
      </c>
      <c r="M99" s="11">
        <v>6.2</v>
      </c>
      <c r="N99" s="1">
        <v>45</v>
      </c>
      <c r="O99" s="11">
        <v>2.8224999999999998</v>
      </c>
      <c r="P99" s="1">
        <f t="shared" si="16"/>
        <v>3045.13</v>
      </c>
      <c r="Q99" s="1">
        <v>2909.6</v>
      </c>
      <c r="R99" s="16">
        <f t="shared" si="17"/>
        <v>2112476.3615000001</v>
      </c>
      <c r="S99" s="1">
        <v>-714.21</v>
      </c>
      <c r="T99" s="1">
        <v>35.94</v>
      </c>
      <c r="U99" s="1">
        <v>67</v>
      </c>
      <c r="V99" s="1">
        <v>25.69</v>
      </c>
      <c r="W99" s="1" cm="1">
        <f t="array" ref="W99">SUM(ABS(S99:V99))</f>
        <v>842.84000000000015</v>
      </c>
      <c r="X99" s="25">
        <v>1.238</v>
      </c>
      <c r="Y99" s="42">
        <f t="shared" si="18"/>
        <v>260858.98000000004</v>
      </c>
      <c r="Z99" s="20">
        <v>787.55</v>
      </c>
      <c r="AA99" s="20">
        <f t="shared" si="19"/>
        <v>1630.39</v>
      </c>
      <c r="AB99" s="21">
        <v>0.2</v>
      </c>
      <c r="AC99" s="21">
        <v>6.75</v>
      </c>
      <c r="AD99" s="8">
        <f t="shared" si="20"/>
        <v>794.5</v>
      </c>
      <c r="AE99" s="25">
        <v>1.238</v>
      </c>
      <c r="AF99" s="25">
        <f t="shared" si="21"/>
        <v>245897.75</v>
      </c>
      <c r="AG99" s="25">
        <f t="shared" si="22"/>
        <v>506756.73000000004</v>
      </c>
      <c r="AH99" s="1">
        <f t="shared" si="12"/>
        <v>3839.63</v>
      </c>
      <c r="AI99" s="1">
        <f t="shared" si="13"/>
        <v>3704.1</v>
      </c>
      <c r="AJ99" s="1">
        <v>4594.0200000000004</v>
      </c>
      <c r="AK99" s="1">
        <f t="shared" si="14"/>
        <v>-754.39000000000033</v>
      </c>
      <c r="AL99" s="29">
        <f t="shared" si="23"/>
        <v>889.92000000000053</v>
      </c>
      <c r="AM99" s="11">
        <f t="shared" si="15"/>
        <v>2619233.0915000001</v>
      </c>
      <c r="AN99" s="31">
        <f>SUM(AM4:AM99)</f>
        <v>247481790.67310002</v>
      </c>
    </row>
    <row r="100" spans="1:40" x14ac:dyDescent="0.3">
      <c r="A100" s="39">
        <v>45813</v>
      </c>
      <c r="B100" s="1">
        <v>1468.48</v>
      </c>
      <c r="C100" s="11">
        <v>3.2732000000000001</v>
      </c>
      <c r="D100" s="1">
        <v>679.76</v>
      </c>
      <c r="E100" s="11">
        <v>3.0760000000000001</v>
      </c>
      <c r="F100" s="1">
        <v>443.08</v>
      </c>
      <c r="G100" s="11">
        <v>3.53</v>
      </c>
      <c r="H100" s="1">
        <v>-17.23</v>
      </c>
      <c r="I100" s="11">
        <v>4.5007200000000003</v>
      </c>
      <c r="J100" s="1">
        <v>224.14</v>
      </c>
      <c r="K100" s="11">
        <v>2.5405700000000002</v>
      </c>
      <c r="L100" s="1">
        <v>0</v>
      </c>
      <c r="M100" s="11">
        <v>6.2</v>
      </c>
      <c r="N100" s="1">
        <v>39.43</v>
      </c>
      <c r="O100" s="11">
        <v>2.8224999999999998</v>
      </c>
      <c r="P100" s="1">
        <f t="shared" si="16"/>
        <v>2837.6599999999994</v>
      </c>
      <c r="Q100" s="1">
        <v>2786.05</v>
      </c>
      <c r="R100" s="16">
        <f t="shared" si="17"/>
        <v>2266207.5062999995</v>
      </c>
      <c r="S100" s="1">
        <v>-733.97</v>
      </c>
      <c r="T100" s="1">
        <v>35.979999999999997</v>
      </c>
      <c r="U100" s="1">
        <v>65.06</v>
      </c>
      <c r="V100" s="1">
        <v>35.049999999999997</v>
      </c>
      <c r="W100" s="1" cm="1">
        <f t="array" ref="W100">SUM(ABS(S100:V100))</f>
        <v>870.06</v>
      </c>
      <c r="X100" s="25">
        <v>1.238</v>
      </c>
      <c r="Y100" s="42">
        <f t="shared" si="18"/>
        <v>269283.57</v>
      </c>
      <c r="Z100" s="20">
        <v>789.69999999999993</v>
      </c>
      <c r="AA100" s="20">
        <f t="shared" si="19"/>
        <v>1659.7599999999998</v>
      </c>
      <c r="AB100" s="21">
        <v>0.2</v>
      </c>
      <c r="AC100" s="21">
        <v>7.59</v>
      </c>
      <c r="AD100" s="8">
        <f t="shared" si="20"/>
        <v>797.49</v>
      </c>
      <c r="AE100" s="25">
        <v>1.238</v>
      </c>
      <c r="AF100" s="25">
        <f t="shared" si="21"/>
        <v>246823.15500000003</v>
      </c>
      <c r="AG100" s="25">
        <f t="shared" si="22"/>
        <v>516106.72500000003</v>
      </c>
      <c r="AH100" s="1">
        <f t="shared" si="12"/>
        <v>3635.1499999999996</v>
      </c>
      <c r="AI100" s="1">
        <f t="shared" si="13"/>
        <v>3583.54</v>
      </c>
      <c r="AJ100" s="1">
        <v>4500.2299999999996</v>
      </c>
      <c r="AK100" s="1">
        <f t="shared" si="14"/>
        <v>-865.07999999999993</v>
      </c>
      <c r="AL100" s="29">
        <f t="shared" si="23"/>
        <v>916.6899999999996</v>
      </c>
      <c r="AM100" s="11">
        <f t="shared" si="15"/>
        <v>2782314.2312999996</v>
      </c>
    </row>
    <row r="101" spans="1:40" x14ac:dyDescent="0.3">
      <c r="A101" s="39">
        <v>45813.010416666664</v>
      </c>
      <c r="B101" s="1">
        <v>1468.78</v>
      </c>
      <c r="C101" s="11">
        <v>3.2732000000000001</v>
      </c>
      <c r="D101" s="1">
        <v>679.76</v>
      </c>
      <c r="E101" s="11">
        <v>3.0760000000000001</v>
      </c>
      <c r="F101" s="1">
        <v>422.7</v>
      </c>
      <c r="G101" s="11">
        <v>3.53</v>
      </c>
      <c r="H101" s="1">
        <v>-1.9</v>
      </c>
      <c r="I101" s="11">
        <v>4.5004200000000001</v>
      </c>
      <c r="J101" s="1">
        <v>95.56</v>
      </c>
      <c r="K101" s="11">
        <v>2.54034</v>
      </c>
      <c r="L101" s="1">
        <v>0</v>
      </c>
      <c r="M101" s="11">
        <v>6.2</v>
      </c>
      <c r="N101" s="1">
        <v>39.56</v>
      </c>
      <c r="O101" s="11">
        <v>2.8224999999999998</v>
      </c>
      <c r="P101" s="1">
        <f t="shared" si="16"/>
        <v>2704.4599999999996</v>
      </c>
      <c r="Q101" s="1">
        <v>2749.09</v>
      </c>
      <c r="R101" s="16">
        <f t="shared" si="17"/>
        <v>2184136.4120999998</v>
      </c>
      <c r="S101" s="1">
        <v>-728.66</v>
      </c>
      <c r="T101" s="1">
        <v>35.96</v>
      </c>
      <c r="U101" s="1">
        <v>12</v>
      </c>
      <c r="V101" s="1">
        <v>38.130000000000003</v>
      </c>
      <c r="W101" s="1" cm="1">
        <f t="array" ref="W101">SUM(ABS(S101:V101))</f>
        <v>814.75</v>
      </c>
      <c r="X101" s="25">
        <v>1.238</v>
      </c>
      <c r="Y101" s="42">
        <f t="shared" si="18"/>
        <v>252165.125</v>
      </c>
      <c r="Z101" s="20">
        <v>784.89999999999986</v>
      </c>
      <c r="AA101" s="20">
        <f t="shared" si="19"/>
        <v>1599.6499999999999</v>
      </c>
      <c r="AB101" s="21">
        <v>0.2</v>
      </c>
      <c r="AC101" s="21">
        <v>8.49</v>
      </c>
      <c r="AD101" s="8">
        <f t="shared" si="20"/>
        <v>793.58999999999992</v>
      </c>
      <c r="AE101" s="25">
        <v>1.238</v>
      </c>
      <c r="AF101" s="25">
        <f t="shared" si="21"/>
        <v>245616.10499999998</v>
      </c>
      <c r="AG101" s="25">
        <f t="shared" si="22"/>
        <v>497781.23</v>
      </c>
      <c r="AH101" s="1">
        <f t="shared" si="12"/>
        <v>3498.0499999999993</v>
      </c>
      <c r="AI101" s="1">
        <f t="shared" si="13"/>
        <v>3542.6800000000003</v>
      </c>
      <c r="AJ101" s="1">
        <v>4407.71</v>
      </c>
      <c r="AK101" s="1">
        <f t="shared" si="14"/>
        <v>-909.66000000000076</v>
      </c>
      <c r="AL101" s="29">
        <f t="shared" si="23"/>
        <v>865.02999999999975</v>
      </c>
      <c r="AM101" s="11">
        <f t="shared" si="15"/>
        <v>2681917.6420999998</v>
      </c>
    </row>
    <row r="102" spans="1:40" x14ac:dyDescent="0.3">
      <c r="A102" s="39">
        <v>45813.020833333336</v>
      </c>
      <c r="B102" s="1">
        <v>1468.79</v>
      </c>
      <c r="C102" s="11">
        <v>3.2732000000000001</v>
      </c>
      <c r="D102" s="1">
        <v>679.76</v>
      </c>
      <c r="E102" s="11">
        <v>3.0760000000000001</v>
      </c>
      <c r="F102" s="1">
        <v>422.7</v>
      </c>
      <c r="G102" s="11">
        <v>3.53</v>
      </c>
      <c r="H102" s="1">
        <v>-1.9</v>
      </c>
      <c r="I102" s="11">
        <v>4.43391</v>
      </c>
      <c r="J102" s="1">
        <v>42.76</v>
      </c>
      <c r="K102" s="11">
        <v>2.7679999999999998</v>
      </c>
      <c r="L102" s="1">
        <v>0</v>
      </c>
      <c r="M102" s="11">
        <v>6.2</v>
      </c>
      <c r="N102" s="1">
        <v>25.14</v>
      </c>
      <c r="O102" s="11">
        <v>2.8224999999999998</v>
      </c>
      <c r="P102" s="1">
        <f t="shared" si="16"/>
        <v>2637.25</v>
      </c>
      <c r="Q102" s="1">
        <v>2644.22</v>
      </c>
      <c r="R102" s="16">
        <f t="shared" si="17"/>
        <v>2142902.2722499999</v>
      </c>
      <c r="S102" s="1">
        <v>-733.65</v>
      </c>
      <c r="T102" s="1">
        <v>36</v>
      </c>
      <c r="U102" s="1">
        <v>12</v>
      </c>
      <c r="V102" s="1">
        <v>38.159999999999997</v>
      </c>
      <c r="W102" s="1" cm="1">
        <f t="array" ref="W102">SUM(ABS(S102:V102))</f>
        <v>819.81</v>
      </c>
      <c r="X102" s="25">
        <v>1.238</v>
      </c>
      <c r="Y102" s="42">
        <f t="shared" si="18"/>
        <v>253731.19499999998</v>
      </c>
      <c r="Z102" s="20">
        <v>786.07</v>
      </c>
      <c r="AA102" s="20">
        <f t="shared" si="19"/>
        <v>1605.88</v>
      </c>
      <c r="AB102" s="21">
        <v>0.2</v>
      </c>
      <c r="AC102" s="21">
        <v>9.3299999999999983</v>
      </c>
      <c r="AD102" s="8">
        <f t="shared" si="20"/>
        <v>795.60000000000014</v>
      </c>
      <c r="AE102" s="25">
        <v>1.238</v>
      </c>
      <c r="AF102" s="25">
        <f t="shared" si="21"/>
        <v>246238.20000000004</v>
      </c>
      <c r="AG102" s="25">
        <f t="shared" si="22"/>
        <v>499969.39500000002</v>
      </c>
      <c r="AH102" s="1">
        <f t="shared" si="12"/>
        <v>3432.8500000000004</v>
      </c>
      <c r="AI102" s="1">
        <f t="shared" si="13"/>
        <v>3439.8199999999997</v>
      </c>
      <c r="AJ102" s="1">
        <v>4308.62</v>
      </c>
      <c r="AK102" s="1">
        <f t="shared" si="14"/>
        <v>-875.76999999999953</v>
      </c>
      <c r="AL102" s="29">
        <f t="shared" si="23"/>
        <v>868.80000000000018</v>
      </c>
      <c r="AM102" s="11">
        <f t="shared" si="15"/>
        <v>2642871.6672499999</v>
      </c>
    </row>
    <row r="103" spans="1:40" x14ac:dyDescent="0.3">
      <c r="A103" s="39">
        <v>45813.03125</v>
      </c>
      <c r="B103" s="1">
        <v>1468.79</v>
      </c>
      <c r="C103" s="11">
        <v>3.2732000000000001</v>
      </c>
      <c r="D103" s="1">
        <v>679.76</v>
      </c>
      <c r="E103" s="11">
        <v>3.0760000000000001</v>
      </c>
      <c r="F103" s="1">
        <v>422.7</v>
      </c>
      <c r="G103" s="11">
        <v>3.53</v>
      </c>
      <c r="H103" s="1">
        <v>-1.9</v>
      </c>
      <c r="I103" s="11">
        <v>4.4288500000000006</v>
      </c>
      <c r="J103" s="1">
        <v>12.01</v>
      </c>
      <c r="K103" s="11">
        <v>2.5408900000000001</v>
      </c>
      <c r="L103" s="1">
        <v>0</v>
      </c>
      <c r="M103" s="11">
        <v>6.2</v>
      </c>
      <c r="N103" s="1">
        <v>25.39</v>
      </c>
      <c r="O103" s="11">
        <v>2.8224999999999998</v>
      </c>
      <c r="P103" s="1">
        <f t="shared" si="16"/>
        <v>2606.75</v>
      </c>
      <c r="Q103" s="1">
        <v>2538.62</v>
      </c>
      <c r="R103" s="16">
        <f t="shared" si="17"/>
        <v>2121120.1842250004</v>
      </c>
      <c r="S103" s="1">
        <v>-735.04</v>
      </c>
      <c r="T103" s="1">
        <v>36.03</v>
      </c>
      <c r="U103" s="1">
        <v>12</v>
      </c>
      <c r="V103" s="1">
        <v>35.07</v>
      </c>
      <c r="W103" s="1" cm="1">
        <f t="array" ref="W103">SUM(ABS(S103:V103))</f>
        <v>818.14</v>
      </c>
      <c r="X103" s="25">
        <v>1.238</v>
      </c>
      <c r="Y103" s="42">
        <f t="shared" si="18"/>
        <v>253214.33</v>
      </c>
      <c r="Z103" s="20">
        <v>786.95999999999981</v>
      </c>
      <c r="AA103" s="20">
        <f t="shared" si="19"/>
        <v>1605.1</v>
      </c>
      <c r="AB103" s="21">
        <v>0.2</v>
      </c>
      <c r="AC103" s="21">
        <v>9.6</v>
      </c>
      <c r="AD103" s="8">
        <f t="shared" si="20"/>
        <v>796.75999999999988</v>
      </c>
      <c r="AE103" s="25">
        <v>1.238</v>
      </c>
      <c r="AF103" s="25">
        <f t="shared" si="21"/>
        <v>246597.21999999997</v>
      </c>
      <c r="AG103" s="25">
        <f t="shared" si="22"/>
        <v>499811.54999999993</v>
      </c>
      <c r="AH103" s="1">
        <f t="shared" si="12"/>
        <v>3403.5099999999998</v>
      </c>
      <c r="AI103" s="1">
        <f t="shared" si="13"/>
        <v>3335.3799999999997</v>
      </c>
      <c r="AJ103" s="1">
        <v>4205.5600000000004</v>
      </c>
      <c r="AK103" s="1">
        <f t="shared" si="14"/>
        <v>-802.05000000000064</v>
      </c>
      <c r="AL103" s="29">
        <f t="shared" si="23"/>
        <v>870.18000000000075</v>
      </c>
      <c r="AM103" s="11">
        <f t="shared" si="15"/>
        <v>2620931.7342250003</v>
      </c>
    </row>
    <row r="104" spans="1:40" x14ac:dyDescent="0.3">
      <c r="A104" s="39">
        <v>45813.041666666664</v>
      </c>
      <c r="B104" s="1">
        <v>1466.9</v>
      </c>
      <c r="C104" s="11">
        <v>3.2732000000000001</v>
      </c>
      <c r="D104" s="1">
        <v>679.76</v>
      </c>
      <c r="E104" s="11">
        <v>3.0760000000000001</v>
      </c>
      <c r="F104" s="1">
        <v>422.7</v>
      </c>
      <c r="G104" s="11">
        <v>3.53</v>
      </c>
      <c r="H104" s="1">
        <v>-1.9</v>
      </c>
      <c r="I104" s="11">
        <v>4.4097900000000001</v>
      </c>
      <c r="J104" s="1">
        <v>-7.72</v>
      </c>
      <c r="K104" s="11">
        <v>2.5406999999999997</v>
      </c>
      <c r="L104" s="1">
        <v>0</v>
      </c>
      <c r="M104" s="11">
        <v>6.2</v>
      </c>
      <c r="N104" s="1">
        <v>15.76</v>
      </c>
      <c r="O104" s="11">
        <v>2.8224999999999998</v>
      </c>
      <c r="P104" s="1">
        <f t="shared" si="16"/>
        <v>2575.5</v>
      </c>
      <c r="Q104" s="1">
        <v>2496.38</v>
      </c>
      <c r="R104" s="16">
        <f t="shared" si="17"/>
        <v>2100254.9087499995</v>
      </c>
      <c r="S104" s="1">
        <v>-731.89</v>
      </c>
      <c r="T104" s="1">
        <v>36.04</v>
      </c>
      <c r="U104" s="1">
        <v>12</v>
      </c>
      <c r="V104" s="1">
        <v>21.41</v>
      </c>
      <c r="W104" s="1" cm="1">
        <f t="array" ref="W104">SUM(ABS(S104:V104))</f>
        <v>801.33999999999992</v>
      </c>
      <c r="X104" s="25">
        <v>1.238</v>
      </c>
      <c r="Y104" s="42">
        <f t="shared" si="18"/>
        <v>248014.72999999998</v>
      </c>
      <c r="Z104" s="20">
        <v>785.04</v>
      </c>
      <c r="AA104" s="20">
        <f t="shared" si="19"/>
        <v>1586.3799999999999</v>
      </c>
      <c r="AB104" s="21">
        <v>0.2</v>
      </c>
      <c r="AC104" s="21">
        <v>8.49</v>
      </c>
      <c r="AD104" s="8">
        <f t="shared" si="20"/>
        <v>793.73</v>
      </c>
      <c r="AE104" s="25">
        <v>1.238</v>
      </c>
      <c r="AF104" s="25">
        <f t="shared" si="21"/>
        <v>245659.435</v>
      </c>
      <c r="AG104" s="25">
        <f t="shared" si="22"/>
        <v>493674.16499999998</v>
      </c>
      <c r="AH104" s="1">
        <f t="shared" si="12"/>
        <v>3369.23</v>
      </c>
      <c r="AI104" s="1">
        <f t="shared" si="13"/>
        <v>3290.11</v>
      </c>
      <c r="AJ104" s="1">
        <v>4141.16</v>
      </c>
      <c r="AK104" s="1">
        <f t="shared" si="14"/>
        <v>-771.92999999999984</v>
      </c>
      <c r="AL104" s="29">
        <f t="shared" si="23"/>
        <v>851.04999999999973</v>
      </c>
      <c r="AM104" s="11">
        <f t="shared" si="15"/>
        <v>2593929.0737499995</v>
      </c>
    </row>
    <row r="105" spans="1:40" x14ac:dyDescent="0.3">
      <c r="A105" s="39">
        <v>45813.052083333336</v>
      </c>
      <c r="B105" s="1">
        <v>1466.75</v>
      </c>
      <c r="C105" s="11">
        <v>3.2732000000000001</v>
      </c>
      <c r="D105" s="1">
        <v>679.76</v>
      </c>
      <c r="E105" s="11">
        <v>3.0760000000000001</v>
      </c>
      <c r="F105" s="1">
        <v>422.7</v>
      </c>
      <c r="G105" s="11">
        <v>3.53</v>
      </c>
      <c r="H105" s="1">
        <v>-1.9</v>
      </c>
      <c r="I105" s="11">
        <v>4.3793999999999995</v>
      </c>
      <c r="J105" s="1">
        <v>-9.1999999999999993</v>
      </c>
      <c r="K105" s="11">
        <v>2.5407100000000002</v>
      </c>
      <c r="L105" s="1">
        <v>0</v>
      </c>
      <c r="M105" s="11">
        <v>6.2</v>
      </c>
      <c r="N105" s="1">
        <v>16.39</v>
      </c>
      <c r="O105" s="11">
        <v>2.8224999999999998</v>
      </c>
      <c r="P105" s="1">
        <f t="shared" si="16"/>
        <v>2574.5</v>
      </c>
      <c r="Q105" s="1">
        <v>2498.4699999999998</v>
      </c>
      <c r="R105" s="16">
        <f t="shared" si="17"/>
        <v>2099651.0607500002</v>
      </c>
      <c r="S105" s="1">
        <v>-733.31</v>
      </c>
      <c r="T105" s="1">
        <v>36.04</v>
      </c>
      <c r="U105" s="1">
        <v>12</v>
      </c>
      <c r="V105" s="1">
        <v>19.170000000000002</v>
      </c>
      <c r="W105" s="1" cm="1">
        <f t="array" ref="W105">SUM(ABS(S105:V105))</f>
        <v>800.51999999999987</v>
      </c>
      <c r="X105" s="25">
        <v>1.238</v>
      </c>
      <c r="Y105" s="42">
        <f t="shared" si="18"/>
        <v>247760.93999999994</v>
      </c>
      <c r="Z105" s="20">
        <v>721.38</v>
      </c>
      <c r="AA105" s="20">
        <f t="shared" si="19"/>
        <v>1521.8999999999999</v>
      </c>
      <c r="AB105" s="21">
        <v>0.21999999999999997</v>
      </c>
      <c r="AC105" s="21">
        <v>7.92</v>
      </c>
      <c r="AD105" s="8">
        <f t="shared" si="20"/>
        <v>729.52</v>
      </c>
      <c r="AE105" s="25">
        <v>1.238</v>
      </c>
      <c r="AF105" s="25">
        <f t="shared" si="21"/>
        <v>225786.44</v>
      </c>
      <c r="AG105" s="25">
        <f t="shared" si="22"/>
        <v>473547.37999999995</v>
      </c>
      <c r="AH105" s="1">
        <f t="shared" si="12"/>
        <v>3304.02</v>
      </c>
      <c r="AI105" s="1">
        <f t="shared" si="13"/>
        <v>3227.99</v>
      </c>
      <c r="AJ105" s="1">
        <v>4080.32</v>
      </c>
      <c r="AK105" s="1">
        <f t="shared" si="14"/>
        <v>-776.30000000000018</v>
      </c>
      <c r="AL105" s="29">
        <f t="shared" si="23"/>
        <v>852.33000000000038</v>
      </c>
      <c r="AM105" s="11">
        <f t="shared" si="15"/>
        <v>2573198.4407500001</v>
      </c>
    </row>
    <row r="106" spans="1:40" x14ac:dyDescent="0.3">
      <c r="A106" s="39">
        <v>45813.0625</v>
      </c>
      <c r="B106" s="1">
        <v>1466.75</v>
      </c>
      <c r="C106" s="11">
        <v>3.2732000000000001</v>
      </c>
      <c r="D106" s="1">
        <v>679.76</v>
      </c>
      <c r="E106" s="11">
        <v>3.0760000000000001</v>
      </c>
      <c r="F106" s="1">
        <v>422.7</v>
      </c>
      <c r="G106" s="11">
        <v>3.53</v>
      </c>
      <c r="H106" s="1">
        <v>-1.9</v>
      </c>
      <c r="I106" s="11">
        <v>4.2496</v>
      </c>
      <c r="J106" s="1">
        <v>-9.1999999999999993</v>
      </c>
      <c r="K106" s="11">
        <v>2.5407100000000002</v>
      </c>
      <c r="L106" s="1">
        <v>0</v>
      </c>
      <c r="M106" s="11">
        <v>6.2</v>
      </c>
      <c r="N106" s="1">
        <v>17.329999999999998</v>
      </c>
      <c r="O106" s="11">
        <v>2.8224999999999998</v>
      </c>
      <c r="P106" s="1">
        <f t="shared" si="16"/>
        <v>2575.44</v>
      </c>
      <c r="Q106" s="1">
        <v>2509.0700000000002</v>
      </c>
      <c r="R106" s="16">
        <f t="shared" si="17"/>
        <v>2100376.0032500005</v>
      </c>
      <c r="S106" s="1">
        <v>-734.53</v>
      </c>
      <c r="T106" s="1">
        <v>36.04</v>
      </c>
      <c r="U106" s="1">
        <v>12</v>
      </c>
      <c r="V106" s="1">
        <v>19.22</v>
      </c>
      <c r="W106" s="1" cm="1">
        <f t="array" ref="W106">SUM(ABS(S106:V106))</f>
        <v>801.79</v>
      </c>
      <c r="X106" s="25">
        <v>1.238</v>
      </c>
      <c r="Y106" s="42">
        <f t="shared" si="18"/>
        <v>248154.00499999998</v>
      </c>
      <c r="Z106" s="20">
        <v>649.06999999999994</v>
      </c>
      <c r="AA106" s="20">
        <f t="shared" si="19"/>
        <v>1450.86</v>
      </c>
      <c r="AB106" s="21">
        <v>0.24</v>
      </c>
      <c r="AC106" s="21">
        <v>9.2100000000000009</v>
      </c>
      <c r="AD106" s="8">
        <f t="shared" si="20"/>
        <v>658.52</v>
      </c>
      <c r="AE106" s="25">
        <v>1.238</v>
      </c>
      <c r="AF106" s="25">
        <f t="shared" si="21"/>
        <v>203811.94</v>
      </c>
      <c r="AG106" s="25">
        <f t="shared" si="22"/>
        <v>451965.94499999995</v>
      </c>
      <c r="AH106" s="1">
        <f t="shared" si="12"/>
        <v>3233.96</v>
      </c>
      <c r="AI106" s="1">
        <f t="shared" si="13"/>
        <v>3167.59</v>
      </c>
      <c r="AJ106" s="1">
        <v>4021.25</v>
      </c>
      <c r="AK106" s="1">
        <f t="shared" si="14"/>
        <v>-787.29</v>
      </c>
      <c r="AL106" s="29">
        <f t="shared" si="23"/>
        <v>853.65999999999985</v>
      </c>
      <c r="AM106" s="11">
        <f t="shared" si="15"/>
        <v>2552341.9482500004</v>
      </c>
    </row>
    <row r="107" spans="1:40" x14ac:dyDescent="0.3">
      <c r="A107" s="39">
        <v>45813.072916666664</v>
      </c>
      <c r="B107" s="1">
        <v>1466.75</v>
      </c>
      <c r="C107" s="11">
        <v>3.2732000000000001</v>
      </c>
      <c r="D107" s="1">
        <v>679.76</v>
      </c>
      <c r="E107" s="11">
        <v>3.0760000000000001</v>
      </c>
      <c r="F107" s="1">
        <v>422.7</v>
      </c>
      <c r="G107" s="11">
        <v>3.53</v>
      </c>
      <c r="H107" s="1">
        <v>-1.9</v>
      </c>
      <c r="I107" s="11">
        <v>4.1796800000000003</v>
      </c>
      <c r="J107" s="1">
        <v>-9.1999999999999993</v>
      </c>
      <c r="K107" s="11">
        <v>2.54074</v>
      </c>
      <c r="L107" s="1">
        <v>0</v>
      </c>
      <c r="M107" s="11">
        <v>6.2</v>
      </c>
      <c r="N107" s="1">
        <v>18.510000000000002</v>
      </c>
      <c r="O107" s="11">
        <v>2.8224999999999998</v>
      </c>
      <c r="P107" s="1">
        <f t="shared" si="16"/>
        <v>2576.6200000000003</v>
      </c>
      <c r="Q107" s="1">
        <v>2481.4499999999998</v>
      </c>
      <c r="R107" s="16">
        <f t="shared" si="17"/>
        <v>2101241.7837499999</v>
      </c>
      <c r="S107" s="1">
        <v>-733.32</v>
      </c>
      <c r="T107" s="1">
        <v>36.04</v>
      </c>
      <c r="U107" s="1">
        <v>12</v>
      </c>
      <c r="V107" s="1">
        <v>19.21</v>
      </c>
      <c r="W107" s="1" cm="1">
        <f t="array" ref="W107">SUM(ABS(S107:V107))</f>
        <v>800.57</v>
      </c>
      <c r="X107" s="25">
        <v>1.238</v>
      </c>
      <c r="Y107" s="42">
        <f t="shared" si="18"/>
        <v>247776.41500000001</v>
      </c>
      <c r="Z107" s="20">
        <v>636.61999999999989</v>
      </c>
      <c r="AA107" s="20">
        <f t="shared" si="19"/>
        <v>1437.19</v>
      </c>
      <c r="AB107" s="21">
        <v>0.24</v>
      </c>
      <c r="AC107" s="21">
        <v>8.68</v>
      </c>
      <c r="AD107" s="8">
        <f t="shared" si="20"/>
        <v>645.53999999999985</v>
      </c>
      <c r="AE107" s="25">
        <v>1.238</v>
      </c>
      <c r="AF107" s="25">
        <f t="shared" si="21"/>
        <v>199794.62999999995</v>
      </c>
      <c r="AG107" s="25">
        <f t="shared" si="22"/>
        <v>447571.04499999993</v>
      </c>
      <c r="AH107" s="1">
        <f t="shared" si="12"/>
        <v>3222.1600000000003</v>
      </c>
      <c r="AI107" s="1">
        <f t="shared" si="13"/>
        <v>3126.99</v>
      </c>
      <c r="AJ107" s="1">
        <v>3977.19</v>
      </c>
      <c r="AK107" s="1">
        <f t="shared" si="14"/>
        <v>-755.02999999999975</v>
      </c>
      <c r="AL107" s="29">
        <f t="shared" si="23"/>
        <v>850.20000000000027</v>
      </c>
      <c r="AM107" s="11">
        <f t="shared" si="15"/>
        <v>2548812.8287499999</v>
      </c>
    </row>
    <row r="108" spans="1:40" x14ac:dyDescent="0.3">
      <c r="A108" s="39">
        <v>45813.083333333336</v>
      </c>
      <c r="B108" s="1">
        <v>1467.48</v>
      </c>
      <c r="C108" s="11">
        <v>3.2732000000000001</v>
      </c>
      <c r="D108" s="1">
        <v>679.76</v>
      </c>
      <c r="E108" s="11">
        <v>3.0760000000000001</v>
      </c>
      <c r="F108" s="1">
        <v>400.37</v>
      </c>
      <c r="G108" s="11">
        <v>3.53</v>
      </c>
      <c r="H108" s="1">
        <v>-1.9</v>
      </c>
      <c r="I108" s="11">
        <v>4.1698999999999993</v>
      </c>
      <c r="J108" s="1">
        <v>-9.1999999999999993</v>
      </c>
      <c r="K108" s="11">
        <v>2.5408400000000002</v>
      </c>
      <c r="L108" s="1">
        <v>0</v>
      </c>
      <c r="M108" s="11">
        <v>6.2</v>
      </c>
      <c r="N108" s="1">
        <v>19.440000000000001</v>
      </c>
      <c r="O108" s="11">
        <v>2.8224999999999998</v>
      </c>
      <c r="P108" s="1">
        <f t="shared" si="16"/>
        <v>2555.9499999999998</v>
      </c>
      <c r="Q108" s="1">
        <v>2410.6</v>
      </c>
      <c r="R108" s="16">
        <f t="shared" si="17"/>
        <v>2082793.5644999999</v>
      </c>
      <c r="S108" s="1">
        <v>-736.61</v>
      </c>
      <c r="T108" s="1">
        <v>36.07</v>
      </c>
      <c r="U108" s="1">
        <v>12</v>
      </c>
      <c r="V108" s="1">
        <v>19.28</v>
      </c>
      <c r="W108" s="1" cm="1">
        <f t="array" ref="W108">SUM(ABS(S108:V108))</f>
        <v>803.96</v>
      </c>
      <c r="X108" s="25">
        <v>1.238</v>
      </c>
      <c r="Y108" s="42">
        <f t="shared" si="18"/>
        <v>248825.62000000002</v>
      </c>
      <c r="Z108" s="20">
        <v>634.94999999999993</v>
      </c>
      <c r="AA108" s="20">
        <f t="shared" si="19"/>
        <v>1438.9099999999999</v>
      </c>
      <c r="AB108" s="21">
        <v>0.25</v>
      </c>
      <c r="AC108" s="21">
        <v>7.8400000000000007</v>
      </c>
      <c r="AD108" s="8">
        <f t="shared" si="20"/>
        <v>643.04</v>
      </c>
      <c r="AE108" s="25">
        <v>1.238</v>
      </c>
      <c r="AF108" s="25">
        <f t="shared" si="21"/>
        <v>199020.87999999998</v>
      </c>
      <c r="AG108" s="25">
        <f t="shared" si="22"/>
        <v>447846.5</v>
      </c>
      <c r="AH108" s="1">
        <f t="shared" si="12"/>
        <v>3198.99</v>
      </c>
      <c r="AI108" s="1">
        <f t="shared" si="13"/>
        <v>3053.64</v>
      </c>
      <c r="AJ108" s="1">
        <v>3904.65</v>
      </c>
      <c r="AK108" s="1">
        <f t="shared" si="14"/>
        <v>-705.66000000000031</v>
      </c>
      <c r="AL108" s="29">
        <f t="shared" si="23"/>
        <v>851.01000000000022</v>
      </c>
      <c r="AM108" s="11">
        <f t="shared" si="15"/>
        <v>2530640.0644999999</v>
      </c>
    </row>
    <row r="109" spans="1:40" x14ac:dyDescent="0.3">
      <c r="A109" s="39">
        <v>45813.09375</v>
      </c>
      <c r="B109" s="1">
        <v>1467.75</v>
      </c>
      <c r="C109" s="11">
        <v>3.2732000000000001</v>
      </c>
      <c r="D109" s="1">
        <v>679.76</v>
      </c>
      <c r="E109" s="11">
        <v>3.0760000000000001</v>
      </c>
      <c r="F109" s="1">
        <v>398.57</v>
      </c>
      <c r="G109" s="11">
        <v>3.53</v>
      </c>
      <c r="H109" s="1">
        <v>-1.9</v>
      </c>
      <c r="I109" s="11">
        <v>4.1598600000000001</v>
      </c>
      <c r="J109" s="1">
        <v>-9.1999999999999993</v>
      </c>
      <c r="K109" s="11">
        <v>2.5406200000000001</v>
      </c>
      <c r="L109" s="1">
        <v>0</v>
      </c>
      <c r="M109" s="11">
        <v>6.2</v>
      </c>
      <c r="N109" s="1">
        <v>20.329999999999998</v>
      </c>
      <c r="O109" s="11">
        <v>2.8224999999999998</v>
      </c>
      <c r="P109" s="1">
        <f t="shared" si="16"/>
        <v>2555.3100000000004</v>
      </c>
      <c r="Q109" s="1">
        <v>2427.1</v>
      </c>
      <c r="R109" s="16">
        <f t="shared" si="17"/>
        <v>2082059.2867500004</v>
      </c>
      <c r="S109" s="1">
        <v>-730.36</v>
      </c>
      <c r="T109" s="1">
        <v>36.04</v>
      </c>
      <c r="U109" s="1">
        <v>12</v>
      </c>
      <c r="V109" s="1">
        <v>16.75</v>
      </c>
      <c r="W109" s="1" cm="1">
        <f t="array" ref="W109">SUM(ABS(S109:V109))</f>
        <v>795.15</v>
      </c>
      <c r="X109" s="25">
        <v>1.238</v>
      </c>
      <c r="Y109" s="42">
        <f t="shared" si="18"/>
        <v>246098.92499999999</v>
      </c>
      <c r="Z109" s="20">
        <v>576.55999999999995</v>
      </c>
      <c r="AA109" s="20">
        <f t="shared" si="19"/>
        <v>1371.71</v>
      </c>
      <c r="AB109" s="21">
        <v>0.22999999999999998</v>
      </c>
      <c r="AC109" s="21">
        <v>8.4</v>
      </c>
      <c r="AD109" s="8">
        <f t="shared" si="20"/>
        <v>585.18999999999994</v>
      </c>
      <c r="AE109" s="25">
        <v>1.238</v>
      </c>
      <c r="AF109" s="25">
        <f t="shared" si="21"/>
        <v>181116.30499999999</v>
      </c>
      <c r="AG109" s="25">
        <f t="shared" si="22"/>
        <v>427215.23</v>
      </c>
      <c r="AH109" s="1">
        <f t="shared" si="12"/>
        <v>3140.5000000000005</v>
      </c>
      <c r="AI109" s="1">
        <f t="shared" si="13"/>
        <v>3012.29</v>
      </c>
      <c r="AJ109" s="1">
        <v>3853.45</v>
      </c>
      <c r="AK109" s="1">
        <f t="shared" si="14"/>
        <v>-712.94999999999936</v>
      </c>
      <c r="AL109" s="29">
        <f t="shared" si="23"/>
        <v>841.15999999999985</v>
      </c>
      <c r="AM109" s="11">
        <f t="shared" si="15"/>
        <v>2509274.5167500004</v>
      </c>
    </row>
    <row r="110" spans="1:40" x14ac:dyDescent="0.3">
      <c r="A110" s="39">
        <v>45813.104166666664</v>
      </c>
      <c r="B110" s="1">
        <v>1465.26</v>
      </c>
      <c r="C110" s="11">
        <v>3.2732000000000001</v>
      </c>
      <c r="D110" s="1">
        <v>679.76</v>
      </c>
      <c r="E110" s="11">
        <v>3.0760000000000001</v>
      </c>
      <c r="F110" s="1">
        <v>398.57</v>
      </c>
      <c r="G110" s="11">
        <v>3.53</v>
      </c>
      <c r="H110" s="1">
        <v>-1.9</v>
      </c>
      <c r="I110" s="11">
        <v>4.1592500000000001</v>
      </c>
      <c r="J110" s="1">
        <v>-9.1999999999999993</v>
      </c>
      <c r="K110" s="11">
        <v>2.5405000000000002</v>
      </c>
      <c r="L110" s="1">
        <v>0</v>
      </c>
      <c r="M110" s="11">
        <v>6.2</v>
      </c>
      <c r="N110" s="1">
        <v>44.59</v>
      </c>
      <c r="O110" s="11">
        <v>2.8224999999999998</v>
      </c>
      <c r="P110" s="1">
        <f t="shared" si="16"/>
        <v>2577.0800000000004</v>
      </c>
      <c r="Q110" s="1">
        <v>2551.66</v>
      </c>
      <c r="R110" s="16">
        <f t="shared" si="17"/>
        <v>2097140.7479999999</v>
      </c>
      <c r="S110" s="1">
        <v>-683.07</v>
      </c>
      <c r="T110" s="1">
        <v>36.03</v>
      </c>
      <c r="U110" s="1">
        <v>12</v>
      </c>
      <c r="V110" s="1">
        <v>12.87</v>
      </c>
      <c r="W110" s="1" cm="1">
        <f t="array" ref="W110">SUM(ABS(S110:V110))</f>
        <v>743.97</v>
      </c>
      <c r="X110" s="25">
        <v>1.238</v>
      </c>
      <c r="Y110" s="42">
        <f t="shared" si="18"/>
        <v>230258.715</v>
      </c>
      <c r="Z110" s="20">
        <v>482.65000000000003</v>
      </c>
      <c r="AA110" s="20">
        <f t="shared" si="19"/>
        <v>1226.6200000000001</v>
      </c>
      <c r="AB110" s="21">
        <v>0.24</v>
      </c>
      <c r="AC110" s="21">
        <v>8.86</v>
      </c>
      <c r="AD110" s="8">
        <f t="shared" si="20"/>
        <v>491.75000000000006</v>
      </c>
      <c r="AE110" s="25">
        <v>1.238</v>
      </c>
      <c r="AF110" s="25">
        <f t="shared" si="21"/>
        <v>152196.625</v>
      </c>
      <c r="AG110" s="25">
        <f t="shared" si="22"/>
        <v>382455.33999999997</v>
      </c>
      <c r="AH110" s="1">
        <f t="shared" si="12"/>
        <v>3068.8300000000004</v>
      </c>
      <c r="AI110" s="1">
        <f t="shared" si="13"/>
        <v>3043.41</v>
      </c>
      <c r="AJ110" s="1">
        <v>3809.52</v>
      </c>
      <c r="AK110" s="1">
        <f t="shared" si="14"/>
        <v>-740.6899999999996</v>
      </c>
      <c r="AL110" s="29">
        <f t="shared" si="23"/>
        <v>766.11000000000013</v>
      </c>
      <c r="AM110" s="11">
        <f t="shared" si="15"/>
        <v>2479596.088</v>
      </c>
    </row>
    <row r="111" spans="1:40" x14ac:dyDescent="0.3">
      <c r="A111" s="39">
        <v>45813.114583333336</v>
      </c>
      <c r="B111" s="1">
        <v>1465.06</v>
      </c>
      <c r="C111" s="11">
        <v>3.2732000000000001</v>
      </c>
      <c r="D111" s="1">
        <v>679.76</v>
      </c>
      <c r="E111" s="11">
        <v>3.0760000000000001</v>
      </c>
      <c r="F111" s="1">
        <v>398.57</v>
      </c>
      <c r="G111" s="11">
        <v>3.53</v>
      </c>
      <c r="H111" s="1">
        <v>-1.9</v>
      </c>
      <c r="I111" s="11">
        <v>4.0297000000000001</v>
      </c>
      <c r="J111" s="1">
        <v>-9.1999999999999993</v>
      </c>
      <c r="K111" s="11">
        <v>2.5402800000000001</v>
      </c>
      <c r="L111" s="1">
        <v>0</v>
      </c>
      <c r="M111" s="11">
        <v>6.2</v>
      </c>
      <c r="N111" s="1">
        <v>45.11</v>
      </c>
      <c r="O111" s="11">
        <v>2.8224999999999998</v>
      </c>
      <c r="P111" s="1">
        <f t="shared" si="16"/>
        <v>2577.4</v>
      </c>
      <c r="Q111" s="1">
        <v>2567.21</v>
      </c>
      <c r="R111" s="16">
        <f t="shared" si="17"/>
        <v>2097406.0552500007</v>
      </c>
      <c r="S111" s="1">
        <v>-662.27</v>
      </c>
      <c r="T111" s="1">
        <v>36.020000000000003</v>
      </c>
      <c r="U111" s="1">
        <v>12</v>
      </c>
      <c r="V111" s="1">
        <v>12.86</v>
      </c>
      <c r="W111" s="1" cm="1">
        <f t="array" ref="W111">SUM(ABS(S111:V111))</f>
        <v>723.15</v>
      </c>
      <c r="X111" s="25">
        <v>1.238</v>
      </c>
      <c r="Y111" s="42">
        <f t="shared" si="18"/>
        <v>223814.92499999999</v>
      </c>
      <c r="Z111" s="20">
        <v>480.16999999999996</v>
      </c>
      <c r="AA111" s="20">
        <f t="shared" si="19"/>
        <v>1203.32</v>
      </c>
      <c r="AB111" s="21">
        <v>0.24</v>
      </c>
      <c r="AC111" s="21">
        <v>8.5500000000000007</v>
      </c>
      <c r="AD111" s="8">
        <f t="shared" si="20"/>
        <v>488.96</v>
      </c>
      <c r="AE111" s="25">
        <v>1.238</v>
      </c>
      <c r="AF111" s="25">
        <f t="shared" si="21"/>
        <v>151333.11999999997</v>
      </c>
      <c r="AG111" s="25">
        <f t="shared" si="22"/>
        <v>375148.04499999993</v>
      </c>
      <c r="AH111" s="1">
        <f t="shared" si="12"/>
        <v>3066.36</v>
      </c>
      <c r="AI111" s="1">
        <f t="shared" si="13"/>
        <v>3056.17</v>
      </c>
      <c r="AJ111" s="1">
        <v>3785.72</v>
      </c>
      <c r="AK111" s="1">
        <f t="shared" si="14"/>
        <v>-719.35999999999967</v>
      </c>
      <c r="AL111" s="29">
        <f t="shared" si="23"/>
        <v>729.54999999999973</v>
      </c>
      <c r="AM111" s="11">
        <f t="shared" si="15"/>
        <v>2472554.1002500006</v>
      </c>
    </row>
    <row r="112" spans="1:40" x14ac:dyDescent="0.3">
      <c r="A112" s="39">
        <v>45813.125</v>
      </c>
      <c r="B112" s="1">
        <v>1465.06</v>
      </c>
      <c r="C112" s="11">
        <v>3.2732000000000001</v>
      </c>
      <c r="D112" s="1">
        <v>1048.6600000000001</v>
      </c>
      <c r="E112" s="11">
        <v>3.0760000000000001</v>
      </c>
      <c r="F112" s="1">
        <v>29.67</v>
      </c>
      <c r="G112" s="11">
        <v>3.53</v>
      </c>
      <c r="H112" s="1">
        <v>-1.9</v>
      </c>
      <c r="I112" s="11">
        <v>3.9309099999999999</v>
      </c>
      <c r="J112" s="1">
        <v>-8.74</v>
      </c>
      <c r="K112" s="11">
        <v>2.5401799999999999</v>
      </c>
      <c r="L112" s="1">
        <v>0</v>
      </c>
      <c r="M112" s="11">
        <v>6.2</v>
      </c>
      <c r="N112" s="1">
        <v>27.19</v>
      </c>
      <c r="O112" s="11">
        <v>2.8224999999999998</v>
      </c>
      <c r="P112" s="1">
        <f t="shared" si="16"/>
        <v>2559.9400000000005</v>
      </c>
      <c r="Q112" s="1">
        <v>2531.39</v>
      </c>
      <c r="R112" s="16">
        <f t="shared" si="17"/>
        <v>2043230.3811999999</v>
      </c>
      <c r="S112" s="1">
        <v>-662.56</v>
      </c>
      <c r="T112" s="1">
        <v>36.06</v>
      </c>
      <c r="U112" s="1">
        <v>12</v>
      </c>
      <c r="V112" s="1">
        <v>12.85</v>
      </c>
      <c r="W112" s="1" cm="1">
        <f t="array" ref="W112">SUM(ABS(S112:V112))</f>
        <v>723.46999999999991</v>
      </c>
      <c r="X112" s="25">
        <v>1.238</v>
      </c>
      <c r="Y112" s="42">
        <f t="shared" si="18"/>
        <v>223913.96499999997</v>
      </c>
      <c r="Z112" s="20">
        <v>480.33000000000004</v>
      </c>
      <c r="AA112" s="20">
        <f t="shared" si="19"/>
        <v>1203.8</v>
      </c>
      <c r="AB112" s="21">
        <v>0.24</v>
      </c>
      <c r="AC112" s="21">
        <v>8.7100000000000009</v>
      </c>
      <c r="AD112" s="8">
        <f t="shared" si="20"/>
        <v>489.28000000000003</v>
      </c>
      <c r="AE112" s="25">
        <v>1.238</v>
      </c>
      <c r="AF112" s="25">
        <f t="shared" si="21"/>
        <v>151432.16</v>
      </c>
      <c r="AG112" s="25">
        <f t="shared" si="22"/>
        <v>375346.125</v>
      </c>
      <c r="AH112" s="1">
        <f t="shared" si="12"/>
        <v>3049.2200000000007</v>
      </c>
      <c r="AI112" s="1">
        <f t="shared" si="13"/>
        <v>3020.67</v>
      </c>
      <c r="AJ112" s="1">
        <v>3744.87</v>
      </c>
      <c r="AK112" s="1">
        <f t="shared" si="14"/>
        <v>-695.64999999999918</v>
      </c>
      <c r="AL112" s="29">
        <f t="shared" si="23"/>
        <v>724.19999999999982</v>
      </c>
      <c r="AM112" s="11">
        <f t="shared" si="15"/>
        <v>2418576.5061999997</v>
      </c>
    </row>
    <row r="113" spans="1:39" x14ac:dyDescent="0.3">
      <c r="A113" s="39">
        <v>45813.135416666664</v>
      </c>
      <c r="B113" s="1">
        <v>1465.06</v>
      </c>
      <c r="C113" s="11">
        <v>3.2732000000000001</v>
      </c>
      <c r="D113" s="1">
        <v>1078.33</v>
      </c>
      <c r="E113" s="11">
        <v>3.0760000000000001</v>
      </c>
      <c r="F113" s="1">
        <v>0</v>
      </c>
      <c r="G113" s="11">
        <v>3.53</v>
      </c>
      <c r="H113" s="1">
        <v>-1.9</v>
      </c>
      <c r="I113" s="11">
        <v>3.9301200000000001</v>
      </c>
      <c r="J113" s="1">
        <v>-8.6999999999999993</v>
      </c>
      <c r="K113" s="11">
        <v>2.5400700000000001</v>
      </c>
      <c r="L113" s="1">
        <v>0</v>
      </c>
      <c r="M113" s="11">
        <v>6.2</v>
      </c>
      <c r="N113" s="1">
        <v>25.52</v>
      </c>
      <c r="O113" s="11">
        <v>2.8224999999999998</v>
      </c>
      <c r="P113" s="1">
        <f t="shared" si="16"/>
        <v>2558.31</v>
      </c>
      <c r="Q113" s="1">
        <v>2517.37</v>
      </c>
      <c r="R113" s="16">
        <f t="shared" si="17"/>
        <v>2038710.45875</v>
      </c>
      <c r="S113" s="1">
        <v>-630.41999999999996</v>
      </c>
      <c r="T113" s="1">
        <v>36.06</v>
      </c>
      <c r="U113" s="1">
        <v>12</v>
      </c>
      <c r="V113" s="1">
        <v>12.84</v>
      </c>
      <c r="W113" s="1" cm="1">
        <f t="array" ref="W113">SUM(ABS(S113:V113))</f>
        <v>691.32</v>
      </c>
      <c r="X113" s="25">
        <v>1.238</v>
      </c>
      <c r="Y113" s="42">
        <f t="shared" si="18"/>
        <v>213963.54000000004</v>
      </c>
      <c r="Z113" s="20">
        <v>479.99000000000007</v>
      </c>
      <c r="AA113" s="20">
        <f t="shared" si="19"/>
        <v>1171.3100000000002</v>
      </c>
      <c r="AB113" s="21">
        <v>0.24</v>
      </c>
      <c r="AC113" s="21">
        <v>8.91</v>
      </c>
      <c r="AD113" s="8">
        <f t="shared" si="20"/>
        <v>489.1400000000001</v>
      </c>
      <c r="AE113" s="25">
        <v>1.238</v>
      </c>
      <c r="AF113" s="25">
        <f t="shared" si="21"/>
        <v>151388.83000000005</v>
      </c>
      <c r="AG113" s="25">
        <f t="shared" si="22"/>
        <v>365352.37000000011</v>
      </c>
      <c r="AH113" s="1">
        <f t="shared" si="12"/>
        <v>3047.45</v>
      </c>
      <c r="AI113" s="1">
        <f t="shared" si="13"/>
        <v>3006.51</v>
      </c>
      <c r="AJ113" s="1">
        <v>3699.04</v>
      </c>
      <c r="AK113" s="1">
        <f t="shared" si="14"/>
        <v>-651.59000000000015</v>
      </c>
      <c r="AL113" s="29">
        <f t="shared" si="23"/>
        <v>692.52999999999975</v>
      </c>
      <c r="AM113" s="11">
        <f t="shared" si="15"/>
        <v>2404062.8287500003</v>
      </c>
    </row>
    <row r="114" spans="1:39" x14ac:dyDescent="0.3">
      <c r="A114" s="39">
        <v>45813.145833333336</v>
      </c>
      <c r="B114" s="1">
        <v>1465.06</v>
      </c>
      <c r="C114" s="11">
        <v>3.2732000000000001</v>
      </c>
      <c r="D114" s="1">
        <v>1078.33</v>
      </c>
      <c r="E114" s="11">
        <v>3.0760000000000001</v>
      </c>
      <c r="F114" s="1">
        <v>0</v>
      </c>
      <c r="G114" s="11">
        <v>3.53</v>
      </c>
      <c r="H114" s="1">
        <v>-1.9</v>
      </c>
      <c r="I114" s="11">
        <v>3.8772500000000001</v>
      </c>
      <c r="J114" s="1">
        <v>-8.6999999999999993</v>
      </c>
      <c r="K114" s="11">
        <v>2.4004499999999998</v>
      </c>
      <c r="L114" s="1">
        <v>0</v>
      </c>
      <c r="M114" s="11">
        <v>6.2</v>
      </c>
      <c r="N114" s="1">
        <v>15.77</v>
      </c>
      <c r="O114" s="11">
        <v>2.8224999999999998</v>
      </c>
      <c r="P114" s="1">
        <f t="shared" si="16"/>
        <v>2548.56</v>
      </c>
      <c r="Q114" s="1">
        <v>2538.9499999999998</v>
      </c>
      <c r="R114" s="16">
        <f t="shared" si="17"/>
        <v>2032159.40175</v>
      </c>
      <c r="S114" s="1">
        <v>-585.15</v>
      </c>
      <c r="T114" s="1">
        <v>36.07</v>
      </c>
      <c r="U114" s="1">
        <v>12</v>
      </c>
      <c r="V114" s="1">
        <v>12.83</v>
      </c>
      <c r="W114" s="1" cm="1">
        <f t="array" ref="W114">SUM(ABS(S114:V114))</f>
        <v>646.05000000000007</v>
      </c>
      <c r="X114" s="25">
        <v>1.238</v>
      </c>
      <c r="Y114" s="42">
        <f t="shared" si="18"/>
        <v>199952.47500000003</v>
      </c>
      <c r="Z114" s="20">
        <v>480.38000000000005</v>
      </c>
      <c r="AA114" s="20">
        <f t="shared" si="19"/>
        <v>1126.43</v>
      </c>
      <c r="AB114" s="21">
        <v>0.24</v>
      </c>
      <c r="AC114" s="21">
        <v>6.55</v>
      </c>
      <c r="AD114" s="8">
        <f t="shared" si="20"/>
        <v>487.17000000000007</v>
      </c>
      <c r="AE114" s="25">
        <v>1.238</v>
      </c>
      <c r="AF114" s="25">
        <f t="shared" si="21"/>
        <v>150779.11500000002</v>
      </c>
      <c r="AG114" s="25">
        <f t="shared" si="22"/>
        <v>350731.59000000008</v>
      </c>
      <c r="AH114" s="1">
        <f t="shared" si="12"/>
        <v>3035.73</v>
      </c>
      <c r="AI114" s="1">
        <f t="shared" si="13"/>
        <v>3026.12</v>
      </c>
      <c r="AJ114" s="1">
        <v>3672.98</v>
      </c>
      <c r="AK114" s="1">
        <f t="shared" si="14"/>
        <v>-637.25</v>
      </c>
      <c r="AL114" s="29">
        <f t="shared" si="23"/>
        <v>646.86000000000013</v>
      </c>
      <c r="AM114" s="11">
        <f t="shared" si="15"/>
        <v>2382890.99175</v>
      </c>
    </row>
    <row r="115" spans="1:39" x14ac:dyDescent="0.3">
      <c r="A115" s="39">
        <v>45813.15625</v>
      </c>
      <c r="B115" s="1">
        <v>1465.06</v>
      </c>
      <c r="C115" s="11">
        <v>3.2732000000000001</v>
      </c>
      <c r="D115" s="1">
        <v>1078.33</v>
      </c>
      <c r="E115" s="11">
        <v>3.0760000000000001</v>
      </c>
      <c r="F115" s="1">
        <v>0</v>
      </c>
      <c r="G115" s="11">
        <v>3.53</v>
      </c>
      <c r="H115" s="1">
        <v>-1.9</v>
      </c>
      <c r="I115" s="11">
        <v>3.6929099999999999</v>
      </c>
      <c r="J115" s="1">
        <v>-8.6999999999999993</v>
      </c>
      <c r="K115" s="11">
        <v>2.3086899999999999</v>
      </c>
      <c r="L115" s="1">
        <v>0</v>
      </c>
      <c r="M115" s="11">
        <v>6.2</v>
      </c>
      <c r="N115" s="1">
        <v>15</v>
      </c>
      <c r="O115" s="11">
        <v>2.8224999999999998</v>
      </c>
      <c r="P115" s="1">
        <f t="shared" si="16"/>
        <v>2547.79</v>
      </c>
      <c r="Q115" s="1">
        <v>2520.34</v>
      </c>
      <c r="R115" s="16">
        <f t="shared" si="17"/>
        <v>2031903.2099999997</v>
      </c>
      <c r="S115" s="1">
        <v>-575.23</v>
      </c>
      <c r="T115" s="1">
        <v>36.06</v>
      </c>
      <c r="U115" s="1">
        <v>12</v>
      </c>
      <c r="V115" s="1">
        <v>12.82</v>
      </c>
      <c r="W115" s="1" cm="1">
        <f t="array" ref="W115">SUM(ABS(S115:V115))</f>
        <v>636.11</v>
      </c>
      <c r="X115" s="25">
        <v>1.238</v>
      </c>
      <c r="Y115" s="42">
        <f t="shared" si="18"/>
        <v>196876.04500000001</v>
      </c>
      <c r="Z115" s="20">
        <v>480.03000000000003</v>
      </c>
      <c r="AA115" s="20">
        <f t="shared" si="19"/>
        <v>1116.1400000000001</v>
      </c>
      <c r="AB115" s="21">
        <v>0.24</v>
      </c>
      <c r="AC115" s="21">
        <v>6.34</v>
      </c>
      <c r="AD115" s="8">
        <f t="shared" si="20"/>
        <v>486.61</v>
      </c>
      <c r="AE115" s="25">
        <v>1.238</v>
      </c>
      <c r="AF115" s="25">
        <f t="shared" si="21"/>
        <v>150605.79500000001</v>
      </c>
      <c r="AG115" s="25">
        <f t="shared" si="22"/>
        <v>347481.84</v>
      </c>
      <c r="AH115" s="1">
        <f t="shared" si="12"/>
        <v>3034.4</v>
      </c>
      <c r="AI115" s="1">
        <f t="shared" si="13"/>
        <v>3006.9500000000003</v>
      </c>
      <c r="AJ115" s="1">
        <v>3645.91</v>
      </c>
      <c r="AK115" s="1">
        <f t="shared" si="14"/>
        <v>-611.50999999999976</v>
      </c>
      <c r="AL115" s="29">
        <f t="shared" si="23"/>
        <v>638.95999999999958</v>
      </c>
      <c r="AM115" s="11">
        <f t="shared" si="15"/>
        <v>2379385.0499999998</v>
      </c>
    </row>
    <row r="116" spans="1:39" x14ac:dyDescent="0.3">
      <c r="A116" s="39">
        <v>45813.166666666664</v>
      </c>
      <c r="B116" s="1">
        <v>1465.06</v>
      </c>
      <c r="C116" s="11">
        <v>3.2732000000000001</v>
      </c>
      <c r="D116" s="1">
        <v>1078.33</v>
      </c>
      <c r="E116" s="11">
        <v>3.0760000000000001</v>
      </c>
      <c r="F116" s="1">
        <v>0</v>
      </c>
      <c r="G116" s="11">
        <v>3.53</v>
      </c>
      <c r="H116" s="1">
        <v>-1.9</v>
      </c>
      <c r="I116" s="11">
        <v>3.70018</v>
      </c>
      <c r="J116" s="1">
        <v>-8.6999999999999993</v>
      </c>
      <c r="K116" s="11">
        <v>2.6492199999999997</v>
      </c>
      <c r="L116" s="1">
        <v>0</v>
      </c>
      <c r="M116" s="11">
        <v>6.2</v>
      </c>
      <c r="N116" s="1">
        <v>15</v>
      </c>
      <c r="O116" s="11">
        <v>2.8224999999999998</v>
      </c>
      <c r="P116" s="1">
        <f t="shared" si="16"/>
        <v>2547.79</v>
      </c>
      <c r="Q116" s="1">
        <v>2487.64</v>
      </c>
      <c r="R116" s="16">
        <f t="shared" si="17"/>
        <v>2031159.1039999998</v>
      </c>
      <c r="S116" s="1">
        <v>-583.51</v>
      </c>
      <c r="T116" s="1">
        <v>36.090000000000003</v>
      </c>
      <c r="U116" s="1">
        <v>12</v>
      </c>
      <c r="V116" s="1">
        <v>12.81</v>
      </c>
      <c r="W116" s="1" cm="1">
        <f t="array" ref="W116">SUM(ABS(S116:V116))</f>
        <v>644.41</v>
      </c>
      <c r="X116" s="25">
        <v>1.238</v>
      </c>
      <c r="Y116" s="42">
        <f t="shared" si="18"/>
        <v>199444.89499999999</v>
      </c>
      <c r="Z116" s="20">
        <v>480.16000000000008</v>
      </c>
      <c r="AA116" s="20">
        <f t="shared" si="19"/>
        <v>1124.5700000000002</v>
      </c>
      <c r="AB116" s="21">
        <v>0.24999999999999997</v>
      </c>
      <c r="AC116" s="21">
        <v>4.6500000000000004</v>
      </c>
      <c r="AD116" s="8">
        <f t="shared" si="20"/>
        <v>485.06000000000006</v>
      </c>
      <c r="AE116" s="25">
        <v>1.238</v>
      </c>
      <c r="AF116" s="25">
        <f t="shared" si="21"/>
        <v>150126.07000000004</v>
      </c>
      <c r="AG116" s="25">
        <f t="shared" si="22"/>
        <v>349570.96500000003</v>
      </c>
      <c r="AH116" s="1">
        <f t="shared" si="12"/>
        <v>3032.85</v>
      </c>
      <c r="AI116" s="1">
        <f t="shared" si="13"/>
        <v>2972.7</v>
      </c>
      <c r="AJ116" s="1">
        <v>3615.18</v>
      </c>
      <c r="AK116" s="1">
        <f t="shared" si="14"/>
        <v>-582.32999999999993</v>
      </c>
      <c r="AL116" s="29">
        <f t="shared" si="23"/>
        <v>642.48</v>
      </c>
      <c r="AM116" s="11">
        <f t="shared" si="15"/>
        <v>2380730.0689999997</v>
      </c>
    </row>
    <row r="117" spans="1:39" x14ac:dyDescent="0.3">
      <c r="A117" s="39">
        <v>45813.177083333336</v>
      </c>
      <c r="B117" s="1">
        <v>1465.06</v>
      </c>
      <c r="C117" s="11">
        <v>3.2732000000000001</v>
      </c>
      <c r="D117" s="1">
        <v>1078.33</v>
      </c>
      <c r="E117" s="11">
        <v>3.0760000000000001</v>
      </c>
      <c r="F117" s="1">
        <v>0</v>
      </c>
      <c r="G117" s="11">
        <v>3.53</v>
      </c>
      <c r="H117" s="1">
        <v>-1.9</v>
      </c>
      <c r="I117" s="11">
        <v>3.8457499999999998</v>
      </c>
      <c r="J117" s="1">
        <v>-8.6999999999999993</v>
      </c>
      <c r="K117" s="11">
        <v>2.9039099999999998</v>
      </c>
      <c r="L117" s="1">
        <v>0</v>
      </c>
      <c r="M117" s="11">
        <v>6.2</v>
      </c>
      <c r="N117" s="1">
        <v>15</v>
      </c>
      <c r="O117" s="11">
        <v>2.8224999999999998</v>
      </c>
      <c r="P117" s="1">
        <f t="shared" si="16"/>
        <v>2547.79</v>
      </c>
      <c r="Q117" s="1">
        <v>2464.16</v>
      </c>
      <c r="R117" s="16">
        <f t="shared" si="17"/>
        <v>2030536.0074999998</v>
      </c>
      <c r="S117" s="1">
        <v>-585.28</v>
      </c>
      <c r="T117" s="1">
        <v>36.090000000000003</v>
      </c>
      <c r="U117" s="1">
        <v>12</v>
      </c>
      <c r="V117" s="1">
        <v>12.8</v>
      </c>
      <c r="W117" s="1" cm="1">
        <f t="array" ref="W117">SUM(ABS(S117:V117))</f>
        <v>646.16999999999996</v>
      </c>
      <c r="X117" s="25">
        <v>1.238</v>
      </c>
      <c r="Y117" s="42">
        <f t="shared" si="18"/>
        <v>199989.61499999999</v>
      </c>
      <c r="Z117" s="20">
        <v>480.11000000000007</v>
      </c>
      <c r="AA117" s="20">
        <f t="shared" si="19"/>
        <v>1126.28</v>
      </c>
      <c r="AB117" s="21">
        <v>0.24999999999999997</v>
      </c>
      <c r="AC117" s="21">
        <v>4.1400000000000006</v>
      </c>
      <c r="AD117" s="8">
        <f t="shared" si="20"/>
        <v>484.50000000000006</v>
      </c>
      <c r="AE117" s="25">
        <v>1.238</v>
      </c>
      <c r="AF117" s="25">
        <f t="shared" si="21"/>
        <v>149952.75</v>
      </c>
      <c r="AG117" s="25">
        <f t="shared" si="22"/>
        <v>349942.36499999999</v>
      </c>
      <c r="AH117" s="1">
        <f t="shared" si="12"/>
        <v>3032.29</v>
      </c>
      <c r="AI117" s="1">
        <f t="shared" si="13"/>
        <v>2948.66</v>
      </c>
      <c r="AJ117" s="1">
        <v>3595.7</v>
      </c>
      <c r="AK117" s="1">
        <f t="shared" si="14"/>
        <v>-563.40999999999985</v>
      </c>
      <c r="AL117" s="29">
        <f t="shared" si="23"/>
        <v>647.04</v>
      </c>
      <c r="AM117" s="11">
        <f t="shared" si="15"/>
        <v>2380478.3724999996</v>
      </c>
    </row>
    <row r="118" spans="1:39" x14ac:dyDescent="0.3">
      <c r="A118" s="39">
        <v>45813.1875</v>
      </c>
      <c r="B118" s="1">
        <v>1465.06</v>
      </c>
      <c r="C118" s="11">
        <v>3.2732000000000001</v>
      </c>
      <c r="D118" s="1">
        <v>1078.33</v>
      </c>
      <c r="E118" s="11">
        <v>3.0760000000000001</v>
      </c>
      <c r="F118" s="1">
        <v>0</v>
      </c>
      <c r="G118" s="11">
        <v>3.53</v>
      </c>
      <c r="H118" s="1">
        <v>-1.9</v>
      </c>
      <c r="I118" s="11">
        <v>3.8458000000000001</v>
      </c>
      <c r="J118" s="1">
        <v>-8.6999999999999993</v>
      </c>
      <c r="K118" s="11">
        <v>2.9701999999999997</v>
      </c>
      <c r="L118" s="1">
        <v>0</v>
      </c>
      <c r="M118" s="11">
        <v>6.2</v>
      </c>
      <c r="N118" s="1">
        <v>15</v>
      </c>
      <c r="O118" s="11">
        <v>2.8224999999999998</v>
      </c>
      <c r="P118" s="1">
        <f t="shared" si="16"/>
        <v>2547.79</v>
      </c>
      <c r="Q118" s="1">
        <v>2477.66</v>
      </c>
      <c r="R118" s="16">
        <f t="shared" si="17"/>
        <v>2030391.8030000001</v>
      </c>
      <c r="S118" s="1">
        <v>-562.07000000000005</v>
      </c>
      <c r="T118" s="1">
        <v>36.1</v>
      </c>
      <c r="U118" s="1">
        <v>12</v>
      </c>
      <c r="V118" s="1">
        <v>12.79</v>
      </c>
      <c r="W118" s="1" cm="1">
        <f t="array" ref="W118">SUM(ABS(S118:V118))</f>
        <v>622.96</v>
      </c>
      <c r="X118" s="25">
        <v>1.238</v>
      </c>
      <c r="Y118" s="42">
        <f t="shared" si="18"/>
        <v>192806.12000000002</v>
      </c>
      <c r="Z118" s="20">
        <v>480.38000000000005</v>
      </c>
      <c r="AA118" s="20">
        <f t="shared" si="19"/>
        <v>1103.3400000000001</v>
      </c>
      <c r="AB118" s="21">
        <v>0.24</v>
      </c>
      <c r="AC118" s="21">
        <v>3.7399999999999998</v>
      </c>
      <c r="AD118" s="8">
        <f t="shared" si="20"/>
        <v>484.36000000000007</v>
      </c>
      <c r="AE118" s="25">
        <v>1.238</v>
      </c>
      <c r="AF118" s="25">
        <f t="shared" si="21"/>
        <v>149909.42000000001</v>
      </c>
      <c r="AG118" s="25">
        <f t="shared" si="22"/>
        <v>342715.54000000004</v>
      </c>
      <c r="AH118" s="1">
        <f t="shared" si="12"/>
        <v>3032.15</v>
      </c>
      <c r="AI118" s="1">
        <f t="shared" si="13"/>
        <v>2962.02</v>
      </c>
      <c r="AJ118" s="1">
        <v>3589.57</v>
      </c>
      <c r="AK118" s="1">
        <f t="shared" si="14"/>
        <v>-557.42000000000007</v>
      </c>
      <c r="AL118" s="29">
        <f t="shared" si="23"/>
        <v>627.55000000000018</v>
      </c>
      <c r="AM118" s="11">
        <f t="shared" si="15"/>
        <v>2373107.3430000003</v>
      </c>
    </row>
    <row r="119" spans="1:39" x14ac:dyDescent="0.3">
      <c r="A119" s="39">
        <v>45813.197916666664</v>
      </c>
      <c r="B119" s="1">
        <v>1465.06</v>
      </c>
      <c r="C119" s="11">
        <v>3.2732000000000001</v>
      </c>
      <c r="D119" s="1">
        <v>1078.33</v>
      </c>
      <c r="E119" s="11">
        <v>3.0760000000000001</v>
      </c>
      <c r="F119" s="1">
        <v>0</v>
      </c>
      <c r="G119" s="11">
        <v>3.53</v>
      </c>
      <c r="H119" s="1">
        <v>-1.9</v>
      </c>
      <c r="I119" s="11">
        <v>3.8004499999999997</v>
      </c>
      <c r="J119" s="1">
        <v>-8.6999999999999993</v>
      </c>
      <c r="K119" s="11">
        <v>2.9038300000000001</v>
      </c>
      <c r="L119" s="1">
        <v>0</v>
      </c>
      <c r="M119" s="11">
        <v>6.2</v>
      </c>
      <c r="N119" s="1">
        <v>15</v>
      </c>
      <c r="O119" s="11">
        <v>2.8224999999999998</v>
      </c>
      <c r="P119" s="1">
        <f t="shared" si="16"/>
        <v>2547.79</v>
      </c>
      <c r="Q119" s="1">
        <v>2511.9499999999998</v>
      </c>
      <c r="R119" s="16">
        <f t="shared" si="17"/>
        <v>2030557.699</v>
      </c>
      <c r="S119" s="1">
        <v>-536.48</v>
      </c>
      <c r="T119" s="1">
        <v>36.1</v>
      </c>
      <c r="U119" s="1">
        <v>12</v>
      </c>
      <c r="V119" s="1">
        <v>12.78</v>
      </c>
      <c r="W119" s="1" cm="1">
        <f t="array" ref="W119">SUM(ABS(S119:V119))</f>
        <v>597.36</v>
      </c>
      <c r="X119" s="25">
        <v>1.238</v>
      </c>
      <c r="Y119" s="42">
        <f t="shared" si="18"/>
        <v>184882.92</v>
      </c>
      <c r="Z119" s="20">
        <v>479.83999999999992</v>
      </c>
      <c r="AA119" s="20">
        <f t="shared" si="19"/>
        <v>1077.1999999999998</v>
      </c>
      <c r="AB119" s="21">
        <v>0.24</v>
      </c>
      <c r="AC119" s="21">
        <v>3.49</v>
      </c>
      <c r="AD119" s="8">
        <f t="shared" si="20"/>
        <v>483.56999999999994</v>
      </c>
      <c r="AE119" s="25">
        <v>1.238</v>
      </c>
      <c r="AF119" s="25">
        <f t="shared" si="21"/>
        <v>149664.91499999998</v>
      </c>
      <c r="AG119" s="25">
        <f t="shared" si="22"/>
        <v>334547.83499999996</v>
      </c>
      <c r="AH119" s="1">
        <f t="shared" si="12"/>
        <v>3031.3599999999997</v>
      </c>
      <c r="AI119" s="1">
        <f t="shared" si="13"/>
        <v>2995.5199999999995</v>
      </c>
      <c r="AJ119" s="1">
        <v>3595.19</v>
      </c>
      <c r="AK119" s="1">
        <f t="shared" si="14"/>
        <v>-563.83000000000038</v>
      </c>
      <c r="AL119" s="29">
        <f t="shared" si="23"/>
        <v>599.67000000000053</v>
      </c>
      <c r="AM119" s="11">
        <f t="shared" si="15"/>
        <v>2365105.534</v>
      </c>
    </row>
    <row r="120" spans="1:39" x14ac:dyDescent="0.3">
      <c r="A120" s="39">
        <v>45813.208333333336</v>
      </c>
      <c r="B120" s="1">
        <v>1465.06</v>
      </c>
      <c r="C120" s="11">
        <v>3.2732000000000001</v>
      </c>
      <c r="D120" s="1">
        <v>1078.33</v>
      </c>
      <c r="E120" s="11">
        <v>3.0760000000000001</v>
      </c>
      <c r="F120" s="1">
        <v>0</v>
      </c>
      <c r="G120" s="11">
        <v>3.53</v>
      </c>
      <c r="H120" s="1">
        <v>-1.9</v>
      </c>
      <c r="I120" s="11">
        <v>3.2308600000000003</v>
      </c>
      <c r="J120" s="1">
        <v>-7.95</v>
      </c>
      <c r="K120" s="11">
        <v>2.62961</v>
      </c>
      <c r="L120" s="1">
        <v>0</v>
      </c>
      <c r="M120" s="11">
        <v>6.2</v>
      </c>
      <c r="N120" s="1">
        <v>15</v>
      </c>
      <c r="O120" s="11">
        <v>2.8224999999999998</v>
      </c>
      <c r="P120" s="1">
        <f t="shared" si="16"/>
        <v>2548.54</v>
      </c>
      <c r="Q120" s="1">
        <v>2543.06</v>
      </c>
      <c r="R120" s="16">
        <f t="shared" si="17"/>
        <v>2031917.7346249998</v>
      </c>
      <c r="S120" s="1">
        <v>-520.97</v>
      </c>
      <c r="T120" s="1">
        <v>36.1</v>
      </c>
      <c r="U120" s="1">
        <v>12</v>
      </c>
      <c r="V120" s="1">
        <v>12.77</v>
      </c>
      <c r="W120" s="1" cm="1">
        <f t="array" ref="W120">SUM(ABS(S120:V120))</f>
        <v>581.84</v>
      </c>
      <c r="X120" s="25">
        <v>1.238</v>
      </c>
      <c r="Y120" s="42">
        <f t="shared" si="18"/>
        <v>180079.48</v>
      </c>
      <c r="Z120" s="20">
        <v>478.15</v>
      </c>
      <c r="AA120" s="20">
        <f t="shared" si="19"/>
        <v>1059.99</v>
      </c>
      <c r="AB120" s="21">
        <v>0.24</v>
      </c>
      <c r="AC120" s="21">
        <v>3.01</v>
      </c>
      <c r="AD120" s="8">
        <f t="shared" si="20"/>
        <v>481.4</v>
      </c>
      <c r="AE120" s="25">
        <v>1.238</v>
      </c>
      <c r="AF120" s="25">
        <f t="shared" si="21"/>
        <v>148993.30000000002</v>
      </c>
      <c r="AG120" s="25">
        <f t="shared" si="22"/>
        <v>329072.78000000003</v>
      </c>
      <c r="AH120" s="1">
        <f t="shared" si="12"/>
        <v>3029.94</v>
      </c>
      <c r="AI120" s="1">
        <f t="shared" si="13"/>
        <v>3024.46</v>
      </c>
      <c r="AJ120" s="1">
        <v>3604.12</v>
      </c>
      <c r="AK120" s="1">
        <f t="shared" si="14"/>
        <v>-574.17999999999984</v>
      </c>
      <c r="AL120" s="29">
        <f t="shared" si="23"/>
        <v>579.65999999999985</v>
      </c>
      <c r="AM120" s="11">
        <f t="shared" si="15"/>
        <v>2360990.5146249998</v>
      </c>
    </row>
    <row r="121" spans="1:39" x14ac:dyDescent="0.3">
      <c r="A121" s="39">
        <v>45813.21875</v>
      </c>
      <c r="B121" s="1">
        <v>1465.06</v>
      </c>
      <c r="C121" s="11">
        <v>3.2732000000000001</v>
      </c>
      <c r="D121" s="1">
        <v>1078.33</v>
      </c>
      <c r="E121" s="11">
        <v>3.0760000000000001</v>
      </c>
      <c r="F121" s="1">
        <v>0</v>
      </c>
      <c r="G121" s="11">
        <v>3.53</v>
      </c>
      <c r="H121" s="1">
        <v>-1.9</v>
      </c>
      <c r="I121" s="11">
        <v>3.6921500000000003</v>
      </c>
      <c r="J121" s="1">
        <v>-7.9</v>
      </c>
      <c r="K121" s="11">
        <v>2.9032900000000001</v>
      </c>
      <c r="L121" s="1">
        <v>0</v>
      </c>
      <c r="M121" s="11">
        <v>6.2</v>
      </c>
      <c r="N121" s="1">
        <v>14.44</v>
      </c>
      <c r="O121" s="11">
        <v>2.8224999999999998</v>
      </c>
      <c r="P121" s="1">
        <f t="shared" si="16"/>
        <v>2548.0299999999997</v>
      </c>
      <c r="Q121" s="1">
        <v>2539.9299999999998</v>
      </c>
      <c r="R121" s="16">
        <f t="shared" si="17"/>
        <v>2030795.824</v>
      </c>
      <c r="S121" s="1">
        <v>-528.73</v>
      </c>
      <c r="T121" s="1">
        <v>36.130000000000003</v>
      </c>
      <c r="U121" s="1">
        <v>12</v>
      </c>
      <c r="V121" s="1">
        <v>12.78</v>
      </c>
      <c r="W121" s="1" cm="1">
        <f t="array" ref="W121">SUM(ABS(S121:V121))</f>
        <v>589.64</v>
      </c>
      <c r="X121" s="25">
        <v>1.238</v>
      </c>
      <c r="Y121" s="42">
        <f t="shared" si="18"/>
        <v>182493.58</v>
      </c>
      <c r="Z121" s="20">
        <v>480.41999999999996</v>
      </c>
      <c r="AA121" s="20">
        <f t="shared" si="19"/>
        <v>1070.06</v>
      </c>
      <c r="AB121" s="21">
        <v>0.24</v>
      </c>
      <c r="AC121" s="21">
        <v>2.88</v>
      </c>
      <c r="AD121" s="8">
        <f t="shared" si="20"/>
        <v>483.53999999999996</v>
      </c>
      <c r="AE121" s="25">
        <v>1.238</v>
      </c>
      <c r="AF121" s="25">
        <f t="shared" si="21"/>
        <v>149655.62999999998</v>
      </c>
      <c r="AG121" s="25">
        <f t="shared" si="22"/>
        <v>332149.20999999996</v>
      </c>
      <c r="AH121" s="1">
        <f t="shared" si="12"/>
        <v>3031.5699999999997</v>
      </c>
      <c r="AI121" s="1">
        <f t="shared" si="13"/>
        <v>3023.47</v>
      </c>
      <c r="AJ121" s="1">
        <v>3613.65</v>
      </c>
      <c r="AK121" s="1">
        <f t="shared" si="14"/>
        <v>-582.08000000000038</v>
      </c>
      <c r="AL121" s="29">
        <f t="shared" si="23"/>
        <v>590.18000000000029</v>
      </c>
      <c r="AM121" s="11">
        <f t="shared" si="15"/>
        <v>2362945.034</v>
      </c>
    </row>
    <row r="122" spans="1:39" x14ac:dyDescent="0.3">
      <c r="A122" s="39">
        <v>45813.229166666664</v>
      </c>
      <c r="B122" s="1">
        <v>1465.06</v>
      </c>
      <c r="C122" s="11">
        <v>3.2732000000000001</v>
      </c>
      <c r="D122" s="1">
        <v>1078.33</v>
      </c>
      <c r="E122" s="11">
        <v>3.0760000000000001</v>
      </c>
      <c r="F122" s="1">
        <v>0</v>
      </c>
      <c r="G122" s="11">
        <v>3.53</v>
      </c>
      <c r="H122" s="1">
        <v>-1.9</v>
      </c>
      <c r="I122" s="11">
        <v>3.6390400000000001</v>
      </c>
      <c r="J122" s="1">
        <v>-7.72</v>
      </c>
      <c r="K122" s="11">
        <v>2.4485700000000001</v>
      </c>
      <c r="L122" s="1">
        <v>0</v>
      </c>
      <c r="M122" s="11">
        <v>6.2</v>
      </c>
      <c r="N122" s="1">
        <v>20.51</v>
      </c>
      <c r="O122" s="11">
        <v>2.8224999999999998</v>
      </c>
      <c r="P122" s="1">
        <f t="shared" si="16"/>
        <v>2554.2800000000002</v>
      </c>
      <c r="Q122" s="1">
        <v>2523.5500000000002</v>
      </c>
      <c r="R122" s="16">
        <f t="shared" si="17"/>
        <v>2036112.4526500001</v>
      </c>
      <c r="S122" s="1">
        <v>-540.35</v>
      </c>
      <c r="T122" s="1">
        <v>36.18</v>
      </c>
      <c r="U122" s="1">
        <v>12</v>
      </c>
      <c r="V122" s="1">
        <v>12.78</v>
      </c>
      <c r="W122" s="1" cm="1">
        <f t="array" ref="W122">SUM(ABS(S122:V122))</f>
        <v>601.30999999999995</v>
      </c>
      <c r="X122" s="25">
        <v>1.238</v>
      </c>
      <c r="Y122" s="42">
        <f t="shared" si="18"/>
        <v>186105.44499999998</v>
      </c>
      <c r="Z122" s="20">
        <v>481.14000000000004</v>
      </c>
      <c r="AA122" s="20">
        <f t="shared" si="19"/>
        <v>1082.45</v>
      </c>
      <c r="AB122" s="21">
        <v>0.24</v>
      </c>
      <c r="AC122" s="21">
        <v>2.3400000000000003</v>
      </c>
      <c r="AD122" s="8">
        <f t="shared" si="20"/>
        <v>483.72</v>
      </c>
      <c r="AE122" s="25">
        <v>1.238</v>
      </c>
      <c r="AF122" s="25">
        <f t="shared" si="21"/>
        <v>149711.34</v>
      </c>
      <c r="AG122" s="25">
        <f t="shared" si="22"/>
        <v>335816.78499999997</v>
      </c>
      <c r="AH122" s="1">
        <f t="shared" si="12"/>
        <v>3038</v>
      </c>
      <c r="AI122" s="1">
        <f t="shared" si="13"/>
        <v>3007.2700000000004</v>
      </c>
      <c r="AJ122" s="1">
        <v>3610.96</v>
      </c>
      <c r="AK122" s="1">
        <f t="shared" si="14"/>
        <v>-572.96</v>
      </c>
      <c r="AL122" s="29">
        <f t="shared" si="23"/>
        <v>603.6899999999996</v>
      </c>
      <c r="AM122" s="11">
        <f t="shared" si="15"/>
        <v>2371929.23765</v>
      </c>
    </row>
    <row r="123" spans="1:39" x14ac:dyDescent="0.3">
      <c r="A123" s="39">
        <v>45813.239583333336</v>
      </c>
      <c r="B123" s="1">
        <v>1466.82</v>
      </c>
      <c r="C123" s="11">
        <v>3.2732000000000001</v>
      </c>
      <c r="D123" s="1">
        <v>1078.33</v>
      </c>
      <c r="E123" s="11">
        <v>3.0760000000000001</v>
      </c>
      <c r="F123" s="1">
        <v>0</v>
      </c>
      <c r="G123" s="11">
        <v>3.53</v>
      </c>
      <c r="H123" s="1">
        <v>-1.9</v>
      </c>
      <c r="I123" s="11">
        <v>3.4993799999999999</v>
      </c>
      <c r="J123" s="1">
        <v>-7.7</v>
      </c>
      <c r="K123" s="11">
        <v>2.2674300000000001</v>
      </c>
      <c r="L123" s="1">
        <v>0</v>
      </c>
      <c r="M123" s="11">
        <v>6.2</v>
      </c>
      <c r="N123" s="1">
        <v>30.66</v>
      </c>
      <c r="O123" s="11">
        <v>2.8224999999999998</v>
      </c>
      <c r="P123" s="1">
        <f t="shared" si="16"/>
        <v>2566.2099999999996</v>
      </c>
      <c r="Q123" s="1">
        <v>2523.39</v>
      </c>
      <c r="R123" s="16">
        <f t="shared" si="17"/>
        <v>2045142.0302499998</v>
      </c>
      <c r="S123" s="1">
        <v>-550.30999999999995</v>
      </c>
      <c r="T123" s="1">
        <v>36.21</v>
      </c>
      <c r="U123" s="1">
        <v>12</v>
      </c>
      <c r="V123" s="1">
        <v>12.79</v>
      </c>
      <c r="W123" s="1" cm="1">
        <f t="array" ref="W123">SUM(ABS(S123:V123))</f>
        <v>611.30999999999995</v>
      </c>
      <c r="X123" s="25">
        <v>1.238</v>
      </c>
      <c r="Y123" s="42">
        <f t="shared" si="18"/>
        <v>189200.44499999998</v>
      </c>
      <c r="Z123" s="20">
        <v>481.38000000000005</v>
      </c>
      <c r="AA123" s="20">
        <f t="shared" si="19"/>
        <v>1092.69</v>
      </c>
      <c r="AB123" s="21">
        <v>0.22999999999999998</v>
      </c>
      <c r="AC123" s="21">
        <v>2.8099999999999996</v>
      </c>
      <c r="AD123" s="8">
        <f t="shared" si="20"/>
        <v>484.42000000000007</v>
      </c>
      <c r="AE123" s="25">
        <v>1.238</v>
      </c>
      <c r="AF123" s="25">
        <f t="shared" si="21"/>
        <v>149927.99000000002</v>
      </c>
      <c r="AG123" s="25">
        <f t="shared" si="22"/>
        <v>339128.435</v>
      </c>
      <c r="AH123" s="1">
        <f t="shared" si="12"/>
        <v>3050.6299999999997</v>
      </c>
      <c r="AI123" s="1">
        <f t="shared" si="13"/>
        <v>3007.81</v>
      </c>
      <c r="AJ123" s="1">
        <v>3617.71</v>
      </c>
      <c r="AK123" s="1">
        <f t="shared" si="14"/>
        <v>-567.08000000000038</v>
      </c>
      <c r="AL123" s="29">
        <f t="shared" si="23"/>
        <v>609.90000000000009</v>
      </c>
      <c r="AM123" s="11">
        <f t="shared" si="15"/>
        <v>2384270.4652499999</v>
      </c>
    </row>
    <row r="124" spans="1:39" x14ac:dyDescent="0.3">
      <c r="A124" s="39">
        <v>45813.25</v>
      </c>
      <c r="B124" s="1">
        <v>1472.12</v>
      </c>
      <c r="C124" s="11">
        <v>3.2732000000000001</v>
      </c>
      <c r="D124" s="1">
        <v>709.43</v>
      </c>
      <c r="E124" s="11">
        <v>3.0760000000000001</v>
      </c>
      <c r="F124" s="1">
        <v>368.9</v>
      </c>
      <c r="G124" s="11">
        <v>3.53</v>
      </c>
      <c r="H124" s="1">
        <v>20.79</v>
      </c>
      <c r="I124" s="11">
        <v>3.6493600000000002</v>
      </c>
      <c r="J124" s="1">
        <v>43.81</v>
      </c>
      <c r="K124" s="11">
        <v>2.8070500000000003</v>
      </c>
      <c r="L124" s="1">
        <v>0</v>
      </c>
      <c r="M124" s="11">
        <v>6.2</v>
      </c>
      <c r="N124" s="1">
        <v>33.32</v>
      </c>
      <c r="O124" s="11">
        <v>2.8224999999999998</v>
      </c>
      <c r="P124" s="1">
        <f t="shared" si="16"/>
        <v>2648.37</v>
      </c>
      <c r="Q124" s="1">
        <v>2627.53</v>
      </c>
      <c r="R124" s="16">
        <f t="shared" si="17"/>
        <v>2148964.9047250003</v>
      </c>
      <c r="S124" s="1">
        <v>-451.22</v>
      </c>
      <c r="T124" s="1">
        <v>36.21</v>
      </c>
      <c r="U124" s="1">
        <v>12</v>
      </c>
      <c r="V124" s="1">
        <v>12.78</v>
      </c>
      <c r="W124" s="1" cm="1">
        <f t="array" ref="W124">SUM(ABS(S124:V124))</f>
        <v>512.21</v>
      </c>
      <c r="X124" s="25">
        <v>1.238</v>
      </c>
      <c r="Y124" s="42">
        <f t="shared" si="18"/>
        <v>158528.995</v>
      </c>
      <c r="Z124" s="20">
        <v>480.85</v>
      </c>
      <c r="AA124" s="20">
        <f t="shared" si="19"/>
        <v>993.06000000000006</v>
      </c>
      <c r="AB124" s="21">
        <v>0.29000000000000004</v>
      </c>
      <c r="AC124" s="21">
        <v>2.4099999999999997</v>
      </c>
      <c r="AD124" s="8">
        <f t="shared" si="20"/>
        <v>483.55000000000007</v>
      </c>
      <c r="AE124" s="25">
        <v>1.238</v>
      </c>
      <c r="AF124" s="25">
        <f t="shared" si="21"/>
        <v>149658.72500000003</v>
      </c>
      <c r="AG124" s="25">
        <f t="shared" si="22"/>
        <v>308187.72000000003</v>
      </c>
      <c r="AH124" s="1">
        <f t="shared" si="12"/>
        <v>3131.92</v>
      </c>
      <c r="AI124" s="1">
        <f t="shared" si="13"/>
        <v>3111.0800000000004</v>
      </c>
      <c r="AJ124" s="1">
        <v>3629.46</v>
      </c>
      <c r="AK124" s="1">
        <f t="shared" si="14"/>
        <v>-497.53999999999996</v>
      </c>
      <c r="AL124" s="29">
        <f t="shared" si="23"/>
        <v>518.37999999999965</v>
      </c>
      <c r="AM124" s="11">
        <f t="shared" si="15"/>
        <v>2457152.6247250005</v>
      </c>
    </row>
    <row r="125" spans="1:39" x14ac:dyDescent="0.3">
      <c r="A125" s="39">
        <v>45813.260416666664</v>
      </c>
      <c r="B125" s="1">
        <v>1477.2</v>
      </c>
      <c r="C125" s="11">
        <v>3.2732000000000001</v>
      </c>
      <c r="D125" s="1">
        <v>679.76</v>
      </c>
      <c r="E125" s="11">
        <v>3.0760000000000001</v>
      </c>
      <c r="F125" s="1">
        <v>398.57</v>
      </c>
      <c r="G125" s="11">
        <v>3.53</v>
      </c>
      <c r="H125" s="1">
        <v>37.159999999999997</v>
      </c>
      <c r="I125" s="11">
        <v>3.5026599999999997</v>
      </c>
      <c r="J125" s="1">
        <v>42.42</v>
      </c>
      <c r="K125" s="11">
        <v>2.8072300000000001</v>
      </c>
      <c r="L125" s="1">
        <v>0</v>
      </c>
      <c r="M125" s="11">
        <v>6.2</v>
      </c>
      <c r="N125" s="1">
        <v>36.31</v>
      </c>
      <c r="O125" s="11">
        <v>2.8224999999999998</v>
      </c>
      <c r="P125" s="1">
        <f t="shared" si="16"/>
        <v>2671.42</v>
      </c>
      <c r="Q125" s="1">
        <v>2655.99</v>
      </c>
      <c r="R125" s="16">
        <f t="shared" si="17"/>
        <v>2171197.8543000007</v>
      </c>
      <c r="S125" s="1">
        <v>-448.29</v>
      </c>
      <c r="T125" s="1">
        <v>36.22</v>
      </c>
      <c r="U125" s="1">
        <v>12</v>
      </c>
      <c r="V125" s="1">
        <v>12.78</v>
      </c>
      <c r="W125" s="1" cm="1">
        <f t="array" ref="W125">SUM(ABS(S125:V125))</f>
        <v>509.28999999999996</v>
      </c>
      <c r="X125" s="25">
        <v>1.238</v>
      </c>
      <c r="Y125" s="42">
        <f t="shared" si="18"/>
        <v>157625.25499999998</v>
      </c>
      <c r="Z125" s="20">
        <v>481.05</v>
      </c>
      <c r="AA125" s="20">
        <f t="shared" si="19"/>
        <v>990.33999999999992</v>
      </c>
      <c r="AB125" s="21">
        <v>2.3499999999999996</v>
      </c>
      <c r="AC125" s="21">
        <v>1.9600000000000002</v>
      </c>
      <c r="AD125" s="8">
        <f t="shared" si="20"/>
        <v>485.36</v>
      </c>
      <c r="AE125" s="25">
        <v>1.238</v>
      </c>
      <c r="AF125" s="25">
        <f t="shared" si="21"/>
        <v>150218.91999999998</v>
      </c>
      <c r="AG125" s="25">
        <f t="shared" si="22"/>
        <v>307844.17499999993</v>
      </c>
      <c r="AH125" s="1">
        <f t="shared" si="12"/>
        <v>3156.78</v>
      </c>
      <c r="AI125" s="1">
        <f t="shared" si="13"/>
        <v>3141.35</v>
      </c>
      <c r="AJ125" s="1">
        <v>3647.49</v>
      </c>
      <c r="AK125" s="1">
        <f t="shared" si="14"/>
        <v>-490.70999999999958</v>
      </c>
      <c r="AL125" s="29">
        <f t="shared" si="23"/>
        <v>506.13999999999987</v>
      </c>
      <c r="AM125" s="11">
        <f t="shared" si="15"/>
        <v>2479042.0293000005</v>
      </c>
    </row>
    <row r="126" spans="1:39" x14ac:dyDescent="0.3">
      <c r="A126" s="39">
        <v>45813.270833333336</v>
      </c>
      <c r="B126" s="1">
        <v>1480.98</v>
      </c>
      <c r="C126" s="11">
        <v>3.2732000000000001</v>
      </c>
      <c r="D126" s="1">
        <v>679.76</v>
      </c>
      <c r="E126" s="11">
        <v>3.0760000000000001</v>
      </c>
      <c r="F126" s="1">
        <v>398.57</v>
      </c>
      <c r="G126" s="11">
        <v>3.53</v>
      </c>
      <c r="H126" s="1">
        <v>54.97</v>
      </c>
      <c r="I126" s="11">
        <v>3.4516499999999999</v>
      </c>
      <c r="J126" s="1">
        <v>51.83</v>
      </c>
      <c r="K126" s="11">
        <v>2.8072600000000003</v>
      </c>
      <c r="L126" s="1">
        <v>0</v>
      </c>
      <c r="M126" s="11">
        <v>6.2</v>
      </c>
      <c r="N126" s="1">
        <v>33.659999999999997</v>
      </c>
      <c r="O126" s="11">
        <v>2.8224999999999998</v>
      </c>
      <c r="P126" s="1">
        <f t="shared" si="16"/>
        <v>2699.7699999999995</v>
      </c>
      <c r="Q126" s="1">
        <v>2655.06</v>
      </c>
      <c r="R126" s="16">
        <f t="shared" si="17"/>
        <v>2193920.1080750003</v>
      </c>
      <c r="S126" s="1">
        <v>-442.6</v>
      </c>
      <c r="T126" s="1">
        <v>36.200000000000003</v>
      </c>
      <c r="U126" s="1">
        <v>12</v>
      </c>
      <c r="V126" s="1">
        <v>12.78</v>
      </c>
      <c r="W126" s="1" cm="1">
        <f t="array" ref="W126">SUM(ABS(S126:V126))</f>
        <v>503.58</v>
      </c>
      <c r="X126" s="25">
        <v>1.238</v>
      </c>
      <c r="Y126" s="42">
        <f t="shared" si="18"/>
        <v>155858.01</v>
      </c>
      <c r="Z126" s="20">
        <v>480.58</v>
      </c>
      <c r="AA126" s="20">
        <f t="shared" si="19"/>
        <v>984.16</v>
      </c>
      <c r="AB126" s="21">
        <v>6.86</v>
      </c>
      <c r="AC126" s="21">
        <v>0.78</v>
      </c>
      <c r="AD126" s="8">
        <f t="shared" si="20"/>
        <v>488.21999999999997</v>
      </c>
      <c r="AE126" s="25">
        <v>1.238</v>
      </c>
      <c r="AF126" s="25">
        <f t="shared" si="21"/>
        <v>151104.09</v>
      </c>
      <c r="AG126" s="25">
        <f t="shared" si="22"/>
        <v>306962.09999999998</v>
      </c>
      <c r="AH126" s="1">
        <f t="shared" si="12"/>
        <v>3187.9899999999993</v>
      </c>
      <c r="AI126" s="1">
        <f t="shared" si="13"/>
        <v>3143.2799999999997</v>
      </c>
      <c r="AJ126" s="1">
        <v>3644.53</v>
      </c>
      <c r="AK126" s="1">
        <f t="shared" si="14"/>
        <v>-456.54000000000087</v>
      </c>
      <c r="AL126" s="29">
        <f t="shared" si="23"/>
        <v>501.25000000000045</v>
      </c>
      <c r="AM126" s="11">
        <f t="shared" si="15"/>
        <v>2500882.2080750004</v>
      </c>
    </row>
    <row r="127" spans="1:39" x14ac:dyDescent="0.3">
      <c r="A127" s="39">
        <v>45813.28125</v>
      </c>
      <c r="B127" s="1">
        <v>1481.25</v>
      </c>
      <c r="C127" s="11">
        <v>3.2732000000000001</v>
      </c>
      <c r="D127" s="1">
        <v>679.76</v>
      </c>
      <c r="E127" s="11">
        <v>3.0760000000000001</v>
      </c>
      <c r="F127" s="1">
        <v>398.57</v>
      </c>
      <c r="G127" s="11">
        <v>3.53</v>
      </c>
      <c r="H127" s="1">
        <v>56.49</v>
      </c>
      <c r="I127" s="11">
        <v>3.3008000000000002</v>
      </c>
      <c r="J127" s="1">
        <v>55.34</v>
      </c>
      <c r="K127" s="11">
        <v>2.70017</v>
      </c>
      <c r="L127" s="1">
        <v>0</v>
      </c>
      <c r="M127" s="11">
        <v>6.2</v>
      </c>
      <c r="N127" s="1">
        <v>39.049999999999997</v>
      </c>
      <c r="O127" s="11">
        <v>2.8224999999999998</v>
      </c>
      <c r="P127" s="1">
        <f t="shared" si="16"/>
        <v>2710.4600000000005</v>
      </c>
      <c r="Q127" s="1">
        <v>2641.35</v>
      </c>
      <c r="R127" s="16">
        <f t="shared" si="17"/>
        <v>2198107.3961999998</v>
      </c>
      <c r="S127" s="1">
        <v>-427.28</v>
      </c>
      <c r="T127" s="1">
        <v>36.200000000000003</v>
      </c>
      <c r="U127" s="1">
        <v>12</v>
      </c>
      <c r="V127" s="1">
        <v>12.78</v>
      </c>
      <c r="W127" s="1" cm="1">
        <f t="array" ref="W127">SUM(ABS(S127:V127))</f>
        <v>488.25999999999993</v>
      </c>
      <c r="X127" s="25">
        <v>1.238</v>
      </c>
      <c r="Y127" s="42">
        <f t="shared" si="18"/>
        <v>151116.46999999997</v>
      </c>
      <c r="Z127" s="20">
        <v>480.24</v>
      </c>
      <c r="AA127" s="20">
        <f t="shared" si="19"/>
        <v>968.5</v>
      </c>
      <c r="AB127" s="21">
        <v>12.340000000000002</v>
      </c>
      <c r="AC127" s="21">
        <v>0.13</v>
      </c>
      <c r="AD127" s="8">
        <f t="shared" si="20"/>
        <v>492.71</v>
      </c>
      <c r="AE127" s="25">
        <v>1.238</v>
      </c>
      <c r="AF127" s="25">
        <f t="shared" si="21"/>
        <v>152493.745</v>
      </c>
      <c r="AG127" s="25">
        <f t="shared" si="22"/>
        <v>303610.21499999997</v>
      </c>
      <c r="AH127" s="1">
        <f t="shared" si="12"/>
        <v>3203.1700000000005</v>
      </c>
      <c r="AI127" s="1">
        <f t="shared" si="13"/>
        <v>3134.06</v>
      </c>
      <c r="AJ127" s="1">
        <v>3624.3</v>
      </c>
      <c r="AK127" s="1">
        <f t="shared" si="14"/>
        <v>-421.12999999999965</v>
      </c>
      <c r="AL127" s="29">
        <f t="shared" si="23"/>
        <v>490.24000000000024</v>
      </c>
      <c r="AM127" s="11">
        <f t="shared" si="15"/>
        <v>2501717.6111999997</v>
      </c>
    </row>
    <row r="128" spans="1:39" x14ac:dyDescent="0.3">
      <c r="A128" s="39">
        <v>45813.291666666664</v>
      </c>
      <c r="B128" s="1">
        <v>1480.35</v>
      </c>
      <c r="C128" s="11">
        <v>3.2732000000000001</v>
      </c>
      <c r="D128" s="1">
        <v>679.76</v>
      </c>
      <c r="E128" s="11">
        <v>3.0760000000000001</v>
      </c>
      <c r="F128" s="1">
        <v>398.57</v>
      </c>
      <c r="G128" s="11">
        <v>3.53</v>
      </c>
      <c r="H128" s="1">
        <v>63.07</v>
      </c>
      <c r="I128" s="11">
        <v>3.1354799999999998</v>
      </c>
      <c r="J128" s="1">
        <v>53.02</v>
      </c>
      <c r="K128" s="11">
        <v>2.2358500000000001</v>
      </c>
      <c r="L128" s="1">
        <v>0</v>
      </c>
      <c r="M128" s="11">
        <v>6.2</v>
      </c>
      <c r="N128" s="1">
        <v>44.99</v>
      </c>
      <c r="O128" s="11">
        <v>2.8224999999999998</v>
      </c>
      <c r="P128" s="1">
        <f t="shared" si="16"/>
        <v>2719.7599999999998</v>
      </c>
      <c r="Q128" s="1">
        <v>2680.95</v>
      </c>
      <c r="R128" s="16">
        <f t="shared" si="17"/>
        <v>2196664.8114</v>
      </c>
      <c r="S128" s="1">
        <v>-332.15</v>
      </c>
      <c r="T128" s="1">
        <v>36.24</v>
      </c>
      <c r="U128" s="1">
        <v>12</v>
      </c>
      <c r="V128" s="1">
        <v>12.8</v>
      </c>
      <c r="W128" s="1" cm="1">
        <f t="array" ref="W128">SUM(ABS(S128:V128))</f>
        <v>393.19</v>
      </c>
      <c r="X128" s="25">
        <v>1.238</v>
      </c>
      <c r="Y128" s="42">
        <f t="shared" si="18"/>
        <v>121692.30500000001</v>
      </c>
      <c r="Z128" s="20">
        <v>481.15000000000003</v>
      </c>
      <c r="AA128" s="20">
        <f t="shared" si="19"/>
        <v>874.34</v>
      </c>
      <c r="AB128" s="21">
        <v>22.279999999999998</v>
      </c>
      <c r="AC128" s="21">
        <v>0.18999999999999997</v>
      </c>
      <c r="AD128" s="8">
        <f t="shared" si="20"/>
        <v>503.62</v>
      </c>
      <c r="AE128" s="25">
        <v>1.238</v>
      </c>
      <c r="AF128" s="25">
        <f t="shared" si="21"/>
        <v>155870.38999999998</v>
      </c>
      <c r="AG128" s="25">
        <f t="shared" si="22"/>
        <v>277562.69500000001</v>
      </c>
      <c r="AH128" s="1">
        <f t="shared" si="12"/>
        <v>3223.3799999999997</v>
      </c>
      <c r="AI128" s="1">
        <f t="shared" si="13"/>
        <v>3184.5699999999997</v>
      </c>
      <c r="AJ128" s="1">
        <v>3577.93</v>
      </c>
      <c r="AK128" s="1">
        <f t="shared" si="14"/>
        <v>-354.55000000000018</v>
      </c>
      <c r="AL128" s="29">
        <f t="shared" si="23"/>
        <v>393.36000000000013</v>
      </c>
      <c r="AM128" s="11">
        <f t="shared" si="15"/>
        <v>2474227.5063999998</v>
      </c>
    </row>
    <row r="129" spans="1:39" x14ac:dyDescent="0.3">
      <c r="A129" s="39">
        <v>45813.302083333336</v>
      </c>
      <c r="B129" s="1">
        <v>1479.74</v>
      </c>
      <c r="C129" s="11">
        <v>3.2732000000000001</v>
      </c>
      <c r="D129" s="1">
        <v>679.76</v>
      </c>
      <c r="E129" s="11">
        <v>3.0760000000000001</v>
      </c>
      <c r="F129" s="1">
        <v>398.57</v>
      </c>
      <c r="G129" s="11">
        <v>3.53</v>
      </c>
      <c r="H129" s="1">
        <v>72.69</v>
      </c>
      <c r="I129" s="11">
        <v>2.90286</v>
      </c>
      <c r="J129" s="1">
        <v>46.37</v>
      </c>
      <c r="K129" s="11">
        <v>1.9995699999999998</v>
      </c>
      <c r="L129" s="1">
        <v>0</v>
      </c>
      <c r="M129" s="11">
        <v>6.2</v>
      </c>
      <c r="N129" s="1">
        <v>60.67</v>
      </c>
      <c r="O129" s="11">
        <v>2.8224999999999998</v>
      </c>
      <c r="P129" s="1">
        <f t="shared" si="16"/>
        <v>2737.8</v>
      </c>
      <c r="Q129" s="1">
        <v>2678.06</v>
      </c>
      <c r="R129" s="16">
        <f t="shared" si="17"/>
        <v>2204087.2143250001</v>
      </c>
      <c r="S129" s="1">
        <v>-282.19</v>
      </c>
      <c r="T129" s="1">
        <v>36.24</v>
      </c>
      <c r="U129" s="1">
        <v>12</v>
      </c>
      <c r="V129" s="1">
        <v>12.79</v>
      </c>
      <c r="W129" s="1" cm="1">
        <f t="array" ref="W129">SUM(ABS(S129:V129))</f>
        <v>343.22</v>
      </c>
      <c r="X129" s="25">
        <v>1.238</v>
      </c>
      <c r="Y129" s="42">
        <f t="shared" si="18"/>
        <v>106226.59</v>
      </c>
      <c r="Z129" s="20">
        <v>478.65999999999997</v>
      </c>
      <c r="AA129" s="20">
        <f t="shared" si="19"/>
        <v>821.88</v>
      </c>
      <c r="AB129" s="21">
        <v>34.46</v>
      </c>
      <c r="AC129" s="21">
        <v>0.16</v>
      </c>
      <c r="AD129" s="8">
        <f t="shared" si="20"/>
        <v>513.28</v>
      </c>
      <c r="AE129" s="25">
        <v>1.238</v>
      </c>
      <c r="AF129" s="25">
        <f t="shared" si="21"/>
        <v>158860.15999999997</v>
      </c>
      <c r="AG129" s="25">
        <f t="shared" si="22"/>
        <v>265086.75</v>
      </c>
      <c r="AH129" s="1">
        <f t="shared" si="12"/>
        <v>3251.08</v>
      </c>
      <c r="AI129" s="1">
        <f t="shared" si="13"/>
        <v>3191.34</v>
      </c>
      <c r="AJ129" s="1">
        <v>3536.78</v>
      </c>
      <c r="AK129" s="1">
        <f t="shared" si="14"/>
        <v>-285.70000000000027</v>
      </c>
      <c r="AL129" s="29">
        <f t="shared" si="23"/>
        <v>345.44000000000005</v>
      </c>
      <c r="AM129" s="11">
        <f t="shared" si="15"/>
        <v>2469173.9643250001</v>
      </c>
    </row>
    <row r="130" spans="1:39" x14ac:dyDescent="0.3">
      <c r="A130" s="39">
        <v>45813.3125</v>
      </c>
      <c r="B130" s="1">
        <v>1479.74</v>
      </c>
      <c r="C130" s="11">
        <v>3.2732000000000001</v>
      </c>
      <c r="D130" s="1">
        <v>679.76</v>
      </c>
      <c r="E130" s="11">
        <v>3.0760000000000001</v>
      </c>
      <c r="F130" s="1">
        <v>398.57</v>
      </c>
      <c r="G130" s="11">
        <v>3.53</v>
      </c>
      <c r="H130" s="1">
        <v>72.56</v>
      </c>
      <c r="I130" s="11">
        <v>2.7500200000000001</v>
      </c>
      <c r="J130" s="1">
        <v>46.24</v>
      </c>
      <c r="K130" s="11">
        <v>2.07681</v>
      </c>
      <c r="L130" s="1">
        <v>0</v>
      </c>
      <c r="M130" s="11">
        <v>6.2</v>
      </c>
      <c r="N130" s="1">
        <v>76.760000000000005</v>
      </c>
      <c r="O130" s="11">
        <v>2.8224999999999998</v>
      </c>
      <c r="P130" s="1">
        <f t="shared" si="16"/>
        <v>2753.63</v>
      </c>
      <c r="Q130" s="1">
        <v>2701.56</v>
      </c>
      <c r="R130" s="16">
        <f t="shared" si="17"/>
        <v>2213401.7684000004</v>
      </c>
      <c r="S130" s="1">
        <v>-204.5</v>
      </c>
      <c r="T130" s="1">
        <v>36.22</v>
      </c>
      <c r="U130" s="1">
        <v>12</v>
      </c>
      <c r="V130" s="1">
        <v>6.27</v>
      </c>
      <c r="W130" s="1" cm="1">
        <f t="array" ref="W130">SUM(ABS(S130:V130))</f>
        <v>258.99</v>
      </c>
      <c r="X130" s="25">
        <v>1.238</v>
      </c>
      <c r="Y130" s="42">
        <f t="shared" si="18"/>
        <v>80157.404999999999</v>
      </c>
      <c r="Z130" s="20">
        <v>480.00999999999993</v>
      </c>
      <c r="AA130" s="20">
        <f t="shared" si="19"/>
        <v>739</v>
      </c>
      <c r="AB130" s="21">
        <v>45.98</v>
      </c>
      <c r="AC130" s="21">
        <v>0.14000000000000001</v>
      </c>
      <c r="AD130" s="8">
        <f t="shared" si="20"/>
        <v>526.12999999999988</v>
      </c>
      <c r="AE130" s="25">
        <v>1.238</v>
      </c>
      <c r="AF130" s="25">
        <f t="shared" si="21"/>
        <v>162837.23499999996</v>
      </c>
      <c r="AG130" s="25">
        <f t="shared" si="22"/>
        <v>242994.63999999996</v>
      </c>
      <c r="AH130" s="1">
        <f t="shared" si="12"/>
        <v>3279.76</v>
      </c>
      <c r="AI130" s="1">
        <f t="shared" si="13"/>
        <v>3227.6899999999996</v>
      </c>
      <c r="AJ130" s="1">
        <v>3490.94</v>
      </c>
      <c r="AK130" s="1">
        <f t="shared" si="14"/>
        <v>-211.17999999999984</v>
      </c>
      <c r="AL130" s="29">
        <f t="shared" si="23"/>
        <v>263.25000000000045</v>
      </c>
      <c r="AM130" s="11">
        <f t="shared" si="15"/>
        <v>2456396.4084000005</v>
      </c>
    </row>
    <row r="131" spans="1:39" x14ac:dyDescent="0.3">
      <c r="A131" s="39">
        <v>45813.322916666664</v>
      </c>
      <c r="B131" s="1">
        <v>1479.74</v>
      </c>
      <c r="C131" s="11">
        <v>3.2732000000000001</v>
      </c>
      <c r="D131" s="1">
        <v>679.76</v>
      </c>
      <c r="E131" s="11">
        <v>3.0760000000000001</v>
      </c>
      <c r="F131" s="1">
        <v>398.57</v>
      </c>
      <c r="G131" s="11">
        <v>3.53</v>
      </c>
      <c r="H131" s="1">
        <v>71.540000000000006</v>
      </c>
      <c r="I131" s="11">
        <v>2.3954599999999999</v>
      </c>
      <c r="J131" s="1">
        <v>46.26</v>
      </c>
      <c r="K131" s="11">
        <v>2.0005099999999998</v>
      </c>
      <c r="L131" s="1">
        <v>0</v>
      </c>
      <c r="M131" s="11">
        <v>6.2</v>
      </c>
      <c r="N131" s="1">
        <v>96.04</v>
      </c>
      <c r="O131" s="11">
        <v>2.8224999999999998</v>
      </c>
      <c r="P131" s="1">
        <f t="shared" si="16"/>
        <v>2771.9100000000003</v>
      </c>
      <c r="Q131" s="1">
        <v>2755.34</v>
      </c>
      <c r="R131" s="16">
        <f t="shared" si="17"/>
        <v>2219091.6322499998</v>
      </c>
      <c r="S131" s="1">
        <v>-135.61000000000001</v>
      </c>
      <c r="T131" s="1">
        <v>36.24</v>
      </c>
      <c r="U131" s="1">
        <v>12</v>
      </c>
      <c r="V131" s="1">
        <v>0</v>
      </c>
      <c r="W131" s="1" cm="1">
        <f t="array" ref="W131">SUM(ABS(S131:V131))</f>
        <v>183.85000000000002</v>
      </c>
      <c r="X131" s="25">
        <v>1.238</v>
      </c>
      <c r="Y131" s="42">
        <f t="shared" si="18"/>
        <v>56901.575000000012</v>
      </c>
      <c r="Z131" s="20">
        <v>454.33000000000004</v>
      </c>
      <c r="AA131" s="20">
        <f t="shared" si="19"/>
        <v>638.18000000000006</v>
      </c>
      <c r="AB131" s="21">
        <v>56.65</v>
      </c>
      <c r="AC131" s="21">
        <v>0.13</v>
      </c>
      <c r="AD131" s="8">
        <f t="shared" si="20"/>
        <v>511.11</v>
      </c>
      <c r="AE131" s="25">
        <v>1.238</v>
      </c>
      <c r="AF131" s="25">
        <f t="shared" si="21"/>
        <v>158188.54500000001</v>
      </c>
      <c r="AG131" s="25">
        <f t="shared" si="22"/>
        <v>215090.12000000002</v>
      </c>
      <c r="AH131" s="1">
        <f t="shared" si="12"/>
        <v>3283.0200000000004</v>
      </c>
      <c r="AI131" s="1">
        <f t="shared" si="13"/>
        <v>3266.4500000000003</v>
      </c>
      <c r="AJ131" s="1">
        <v>3453.74</v>
      </c>
      <c r="AK131" s="1">
        <f t="shared" si="14"/>
        <v>-170.71999999999935</v>
      </c>
      <c r="AL131" s="29">
        <f t="shared" si="23"/>
        <v>187.28999999999951</v>
      </c>
      <c r="AM131" s="11">
        <f t="shared" si="15"/>
        <v>2434181.7522499999</v>
      </c>
    </row>
    <row r="132" spans="1:39" x14ac:dyDescent="0.3">
      <c r="A132" s="39">
        <v>45813.333333333336</v>
      </c>
      <c r="B132" s="1">
        <v>1433.86</v>
      </c>
      <c r="C132" s="11">
        <v>3.2732000000000001</v>
      </c>
      <c r="D132" s="1">
        <v>679.76</v>
      </c>
      <c r="E132" s="11">
        <v>3.0760000000000001</v>
      </c>
      <c r="F132" s="1">
        <v>398.57</v>
      </c>
      <c r="G132" s="11">
        <v>3.53</v>
      </c>
      <c r="H132" s="1">
        <v>100.54</v>
      </c>
      <c r="I132" s="11">
        <v>2.2491099999999999</v>
      </c>
      <c r="J132" s="1">
        <v>19.420000000000002</v>
      </c>
      <c r="K132" s="11">
        <v>2.2001900000000001</v>
      </c>
      <c r="L132" s="1">
        <v>1.78</v>
      </c>
      <c r="M132" s="11">
        <v>6.2</v>
      </c>
      <c r="N132" s="1">
        <v>120.24</v>
      </c>
      <c r="O132" s="11">
        <v>2.8224999999999998</v>
      </c>
      <c r="P132" s="1">
        <f t="shared" si="16"/>
        <v>2754.17</v>
      </c>
      <c r="Q132" s="1">
        <v>2739.64</v>
      </c>
      <c r="R132" s="16">
        <f t="shared" si="17"/>
        <v>2202617.7553000003</v>
      </c>
      <c r="S132" s="1">
        <v>-126.59</v>
      </c>
      <c r="T132" s="1">
        <v>36.28</v>
      </c>
      <c r="U132" s="1">
        <v>12</v>
      </c>
      <c r="V132" s="1">
        <v>0</v>
      </c>
      <c r="W132" s="1" cm="1">
        <f t="array" ref="W132">SUM(ABS(S132:V132))</f>
        <v>174.87</v>
      </c>
      <c r="X132" s="25">
        <v>1.238</v>
      </c>
      <c r="Y132" s="42">
        <f t="shared" si="18"/>
        <v>54122.264999999999</v>
      </c>
      <c r="Z132" s="20">
        <v>434.47999999999996</v>
      </c>
      <c r="AA132" s="20">
        <f t="shared" si="19"/>
        <v>609.34999999999991</v>
      </c>
      <c r="AB132" s="21">
        <v>69.580000000000013</v>
      </c>
      <c r="AC132" s="21">
        <v>0.13</v>
      </c>
      <c r="AD132" s="8">
        <f t="shared" si="20"/>
        <v>504.18999999999994</v>
      </c>
      <c r="AE132" s="25">
        <v>1.238</v>
      </c>
      <c r="AF132" s="25">
        <f t="shared" si="21"/>
        <v>156046.80499999996</v>
      </c>
      <c r="AG132" s="25">
        <f t="shared" si="22"/>
        <v>210169.06999999995</v>
      </c>
      <c r="AH132" s="1">
        <f t="shared" ref="AH132:AH195" si="24">B132+D132+F132+H132+J132+L132+N132+AD132</f>
        <v>3258.36</v>
      </c>
      <c r="AI132" s="1">
        <f t="shared" ref="AI132:AI195" si="25">Q132+AD132</f>
        <v>3243.83</v>
      </c>
      <c r="AJ132" s="1">
        <v>3416.37</v>
      </c>
      <c r="AK132" s="1">
        <f t="shared" ref="AK132:AK195" si="26">AH132-AJ132</f>
        <v>-158.00999999999976</v>
      </c>
      <c r="AL132" s="29">
        <f t="shared" si="23"/>
        <v>172.53999999999996</v>
      </c>
      <c r="AM132" s="11">
        <f t="shared" ref="AM132:AM195" si="27">(R132+AG132)</f>
        <v>2412786.8253000001</v>
      </c>
    </row>
    <row r="133" spans="1:39" x14ac:dyDescent="0.3">
      <c r="A133" s="39">
        <v>45813.34375</v>
      </c>
      <c r="B133" s="1">
        <v>1391.12</v>
      </c>
      <c r="C133" s="11">
        <v>3.2732000000000001</v>
      </c>
      <c r="D133" s="1">
        <v>679.76</v>
      </c>
      <c r="E133" s="11">
        <v>3.0760000000000001</v>
      </c>
      <c r="F133" s="1">
        <v>398.57</v>
      </c>
      <c r="G133" s="11">
        <v>3.53</v>
      </c>
      <c r="H133" s="1">
        <v>103.65</v>
      </c>
      <c r="I133" s="11">
        <v>2.2492700000000001</v>
      </c>
      <c r="J133" s="1">
        <v>17.3</v>
      </c>
      <c r="K133" s="11">
        <v>2.2358099999999999</v>
      </c>
      <c r="L133" s="1">
        <v>1.93</v>
      </c>
      <c r="M133" s="11">
        <v>6.2</v>
      </c>
      <c r="N133" s="1">
        <v>149.85</v>
      </c>
      <c r="O133" s="11">
        <v>2.8224999999999998</v>
      </c>
      <c r="P133" s="1">
        <f t="shared" ref="P133:P196" si="28">(B133+D133+F133+H133+J133+L133+N133)</f>
        <v>2742.1800000000003</v>
      </c>
      <c r="Q133" s="1">
        <v>2686.99</v>
      </c>
      <c r="R133" s="16">
        <f t="shared" ref="R133:R196" si="29">(((B133*C133)+(D133*E133)+(F133*G133)+(H133*I133)+(J133*K133)+(L133*M133)+(N133*O133))*(1000/4))</f>
        <v>2189510.4543749997</v>
      </c>
      <c r="S133" s="1">
        <v>-158.22</v>
      </c>
      <c r="T133" s="1">
        <v>36.31</v>
      </c>
      <c r="U133" s="1">
        <v>12</v>
      </c>
      <c r="V133" s="1">
        <v>0</v>
      </c>
      <c r="W133" s="1" cm="1">
        <f t="array" ref="W133">SUM(ABS(S133:V133))</f>
        <v>206.53</v>
      </c>
      <c r="X133" s="25">
        <v>1.238</v>
      </c>
      <c r="Y133" s="42">
        <f t="shared" ref="Y133:Y196" si="30">((W133*X133)*1000)/4</f>
        <v>63921.034999999996</v>
      </c>
      <c r="Z133" s="20">
        <v>435.98999999999995</v>
      </c>
      <c r="AA133" s="20">
        <f t="shared" ref="AA133:AA196" si="31">W133+Z133</f>
        <v>642.52</v>
      </c>
      <c r="AB133" s="21">
        <v>84.89</v>
      </c>
      <c r="AC133" s="21">
        <v>9.9999999999999992E-2</v>
      </c>
      <c r="AD133" s="8">
        <f t="shared" ref="AD133:AD196" si="32">Z133+AB133+AC133</f>
        <v>520.98</v>
      </c>
      <c r="AE133" s="25">
        <v>1.238</v>
      </c>
      <c r="AF133" s="25">
        <f t="shared" ref="AF133:AF196" si="33">((AD133*AE133*1000)/4)</f>
        <v>161243.31</v>
      </c>
      <c r="AG133" s="25">
        <f t="shared" ref="AG133:AG196" si="34">Y133+AF133</f>
        <v>225164.345</v>
      </c>
      <c r="AH133" s="1">
        <f t="shared" si="24"/>
        <v>3263.1600000000003</v>
      </c>
      <c r="AI133" s="1">
        <f t="shared" si="25"/>
        <v>3207.97</v>
      </c>
      <c r="AJ133" s="1">
        <v>3411.28</v>
      </c>
      <c r="AK133" s="1">
        <f t="shared" si="26"/>
        <v>-148.11999999999989</v>
      </c>
      <c r="AL133" s="29">
        <f t="shared" ref="AL133:AL196" si="35">AJ133-AI133</f>
        <v>203.3100000000004</v>
      </c>
      <c r="AM133" s="11">
        <f t="shared" si="27"/>
        <v>2414674.7993749999</v>
      </c>
    </row>
    <row r="134" spans="1:39" x14ac:dyDescent="0.3">
      <c r="A134" s="39">
        <v>45813.354166666664</v>
      </c>
      <c r="B134" s="1">
        <v>1221.04</v>
      </c>
      <c r="C134" s="11">
        <v>3.2732000000000001</v>
      </c>
      <c r="D134" s="1">
        <v>679.76</v>
      </c>
      <c r="E134" s="11">
        <v>3.0760000000000001</v>
      </c>
      <c r="F134" s="1">
        <v>398.57</v>
      </c>
      <c r="G134" s="11">
        <v>3.53</v>
      </c>
      <c r="H134" s="1">
        <v>88.51</v>
      </c>
      <c r="I134" s="11">
        <v>2.0125899999999999</v>
      </c>
      <c r="J134" s="1">
        <v>14.43</v>
      </c>
      <c r="K134" s="11">
        <v>1.99546</v>
      </c>
      <c r="L134" s="1">
        <v>21.25</v>
      </c>
      <c r="M134" s="11">
        <v>6.2</v>
      </c>
      <c r="N134" s="1">
        <v>179.63</v>
      </c>
      <c r="O134" s="11">
        <v>2.8224999999999998</v>
      </c>
      <c r="P134" s="1">
        <f t="shared" si="28"/>
        <v>2603.19</v>
      </c>
      <c r="Q134" s="1">
        <v>2597.08</v>
      </c>
      <c r="R134" s="16">
        <f t="shared" si="29"/>
        <v>2085071.6229250003</v>
      </c>
      <c r="S134" s="1">
        <v>-219.65</v>
      </c>
      <c r="T134" s="1">
        <v>36.32</v>
      </c>
      <c r="U134" s="1">
        <v>12</v>
      </c>
      <c r="V134" s="1">
        <v>0</v>
      </c>
      <c r="W134" s="1" cm="1">
        <f t="array" ref="W134">SUM(ABS(S134:V134))</f>
        <v>267.97000000000003</v>
      </c>
      <c r="X134" s="25">
        <v>1.238</v>
      </c>
      <c r="Y134" s="42">
        <f t="shared" si="30"/>
        <v>82936.715000000011</v>
      </c>
      <c r="Z134" s="20">
        <v>444.69</v>
      </c>
      <c r="AA134" s="20">
        <f t="shared" si="31"/>
        <v>712.66000000000008</v>
      </c>
      <c r="AB134" s="21">
        <v>96.679999999999993</v>
      </c>
      <c r="AC134" s="21">
        <v>0.14000000000000001</v>
      </c>
      <c r="AD134" s="8">
        <f t="shared" si="32"/>
        <v>541.51</v>
      </c>
      <c r="AE134" s="25">
        <v>1.238</v>
      </c>
      <c r="AF134" s="25">
        <f t="shared" si="33"/>
        <v>167597.345</v>
      </c>
      <c r="AG134" s="25">
        <f t="shared" si="34"/>
        <v>250534.06</v>
      </c>
      <c r="AH134" s="1">
        <f t="shared" si="24"/>
        <v>3144.7</v>
      </c>
      <c r="AI134" s="1">
        <f t="shared" si="25"/>
        <v>3138.59</v>
      </c>
      <c r="AJ134" s="1">
        <v>3405.98</v>
      </c>
      <c r="AK134" s="1">
        <f t="shared" si="26"/>
        <v>-261.2800000000002</v>
      </c>
      <c r="AL134" s="29">
        <f t="shared" si="35"/>
        <v>267.38999999999987</v>
      </c>
      <c r="AM134" s="11">
        <f t="shared" si="27"/>
        <v>2335605.6829250003</v>
      </c>
    </row>
    <row r="135" spans="1:39" x14ac:dyDescent="0.3">
      <c r="A135" s="39">
        <v>45813.364583333336</v>
      </c>
      <c r="B135" s="1">
        <v>1110.0899999999999</v>
      </c>
      <c r="C135" s="11">
        <v>3.2732000000000001</v>
      </c>
      <c r="D135" s="1">
        <v>679.76</v>
      </c>
      <c r="E135" s="11">
        <v>3.0760000000000001</v>
      </c>
      <c r="F135" s="1">
        <v>398.57</v>
      </c>
      <c r="G135" s="11">
        <v>3.53</v>
      </c>
      <c r="H135" s="1">
        <v>88.29</v>
      </c>
      <c r="I135" s="11">
        <v>2.0003699999999998</v>
      </c>
      <c r="J135" s="1">
        <v>103.66</v>
      </c>
      <c r="K135" s="11">
        <v>1.9621500000000001</v>
      </c>
      <c r="L135" s="1">
        <v>22.6</v>
      </c>
      <c r="M135" s="11">
        <v>6.2</v>
      </c>
      <c r="N135" s="1">
        <v>208.74</v>
      </c>
      <c r="O135" s="11">
        <v>2.8224999999999998</v>
      </c>
      <c r="P135" s="1">
        <f t="shared" si="28"/>
        <v>2611.71</v>
      </c>
      <c r="Q135" s="1">
        <v>2617.46</v>
      </c>
      <c r="R135" s="16">
        <f t="shared" si="29"/>
        <v>2060184.5585749997</v>
      </c>
      <c r="S135" s="1">
        <v>-239.49</v>
      </c>
      <c r="T135" s="1">
        <v>36.270000000000003</v>
      </c>
      <c r="U135" s="1">
        <v>12</v>
      </c>
      <c r="V135" s="1">
        <v>0</v>
      </c>
      <c r="W135" s="1" cm="1">
        <f t="array" ref="W135">SUM(ABS(S135:V135))</f>
        <v>287.76</v>
      </c>
      <c r="X135" s="25">
        <v>1.238</v>
      </c>
      <c r="Y135" s="42">
        <f t="shared" si="30"/>
        <v>89061.72</v>
      </c>
      <c r="Z135" s="20">
        <v>448.88</v>
      </c>
      <c r="AA135" s="20">
        <f t="shared" si="31"/>
        <v>736.64</v>
      </c>
      <c r="AB135" s="21">
        <v>110.33999999999999</v>
      </c>
      <c r="AC135" s="21">
        <v>0.14000000000000001</v>
      </c>
      <c r="AD135" s="8">
        <f t="shared" si="32"/>
        <v>559.36</v>
      </c>
      <c r="AE135" s="25">
        <v>1.238</v>
      </c>
      <c r="AF135" s="25">
        <f t="shared" si="33"/>
        <v>173121.91999999998</v>
      </c>
      <c r="AG135" s="25">
        <f t="shared" si="34"/>
        <v>262183.64</v>
      </c>
      <c r="AH135" s="1">
        <f t="shared" si="24"/>
        <v>3171.07</v>
      </c>
      <c r="AI135" s="1">
        <f t="shared" si="25"/>
        <v>3176.82</v>
      </c>
      <c r="AJ135" s="1">
        <v>3463.88</v>
      </c>
      <c r="AK135" s="1">
        <f t="shared" si="26"/>
        <v>-292.80999999999995</v>
      </c>
      <c r="AL135" s="29">
        <f t="shared" si="35"/>
        <v>287.05999999999995</v>
      </c>
      <c r="AM135" s="11">
        <f t="shared" si="27"/>
        <v>2322368.1985749998</v>
      </c>
    </row>
    <row r="136" spans="1:39" x14ac:dyDescent="0.3">
      <c r="A136" s="39">
        <v>45813.375</v>
      </c>
      <c r="B136" s="1">
        <v>1087.23</v>
      </c>
      <c r="C136" s="11">
        <v>3.2732000000000001</v>
      </c>
      <c r="D136" s="1">
        <v>679.76</v>
      </c>
      <c r="E136" s="11">
        <v>3.0760000000000001</v>
      </c>
      <c r="F136" s="1">
        <v>398.57</v>
      </c>
      <c r="G136" s="11">
        <v>3.53</v>
      </c>
      <c r="H136" s="1">
        <v>74.91</v>
      </c>
      <c r="I136" s="11">
        <v>2.0008599999999999</v>
      </c>
      <c r="J136" s="1">
        <v>200.68</v>
      </c>
      <c r="K136" s="11">
        <v>1.79487</v>
      </c>
      <c r="L136" s="1">
        <v>37.83</v>
      </c>
      <c r="M136" s="11">
        <v>6.2</v>
      </c>
      <c r="N136" s="1">
        <v>245.35</v>
      </c>
      <c r="O136" s="11">
        <v>2.8224999999999998</v>
      </c>
      <c r="P136" s="1">
        <f t="shared" si="28"/>
        <v>2724.3299999999995</v>
      </c>
      <c r="Q136" s="1">
        <v>2730.52</v>
      </c>
      <c r="R136" s="16">
        <f t="shared" si="29"/>
        <v>2123435.1013000007</v>
      </c>
      <c r="S136" s="1">
        <v>-155.49</v>
      </c>
      <c r="T136" s="1">
        <v>36.31</v>
      </c>
      <c r="U136" s="1">
        <v>12</v>
      </c>
      <c r="V136" s="1">
        <v>0</v>
      </c>
      <c r="W136" s="1" cm="1">
        <f t="array" ref="W136">SUM(ABS(S136:V136))</f>
        <v>203.8</v>
      </c>
      <c r="X136" s="25">
        <v>1.238</v>
      </c>
      <c r="Y136" s="42">
        <f t="shared" si="30"/>
        <v>63076.100000000006</v>
      </c>
      <c r="Z136" s="20">
        <v>431.81</v>
      </c>
      <c r="AA136" s="20">
        <f t="shared" si="31"/>
        <v>635.61</v>
      </c>
      <c r="AB136" s="21">
        <v>108.2</v>
      </c>
      <c r="AC136" s="21">
        <v>0.16</v>
      </c>
      <c r="AD136" s="8">
        <f t="shared" si="32"/>
        <v>540.16999999999996</v>
      </c>
      <c r="AE136" s="25">
        <v>1.238</v>
      </c>
      <c r="AF136" s="25">
        <f t="shared" si="33"/>
        <v>167182.61499999999</v>
      </c>
      <c r="AG136" s="25">
        <f t="shared" si="34"/>
        <v>230258.715</v>
      </c>
      <c r="AH136" s="1">
        <f t="shared" si="24"/>
        <v>3264.4999999999995</v>
      </c>
      <c r="AI136" s="1">
        <f t="shared" si="25"/>
        <v>3270.69</v>
      </c>
      <c r="AJ136" s="1">
        <v>3484.53</v>
      </c>
      <c r="AK136" s="1">
        <f t="shared" si="26"/>
        <v>-220.03000000000065</v>
      </c>
      <c r="AL136" s="29">
        <f t="shared" si="35"/>
        <v>213.84000000000015</v>
      </c>
      <c r="AM136" s="11">
        <f t="shared" si="27"/>
        <v>2353693.8163000005</v>
      </c>
    </row>
    <row r="137" spans="1:39" x14ac:dyDescent="0.3">
      <c r="A137" s="39">
        <v>45813.385416666664</v>
      </c>
      <c r="B137" s="1">
        <v>1086.1300000000001</v>
      </c>
      <c r="C137" s="11">
        <v>3.2732000000000001</v>
      </c>
      <c r="D137" s="1">
        <v>679.76</v>
      </c>
      <c r="E137" s="11">
        <v>3.0760000000000001</v>
      </c>
      <c r="F137" s="1">
        <v>398.57</v>
      </c>
      <c r="G137" s="11">
        <v>3.53</v>
      </c>
      <c r="H137" s="1">
        <v>73.88</v>
      </c>
      <c r="I137" s="11">
        <v>2.24037</v>
      </c>
      <c r="J137" s="1">
        <v>207.56</v>
      </c>
      <c r="K137" s="11">
        <v>1.9807999999999999</v>
      </c>
      <c r="L137" s="1">
        <v>39.18</v>
      </c>
      <c r="M137" s="11">
        <v>6.2</v>
      </c>
      <c r="N137" s="1">
        <v>270.72000000000003</v>
      </c>
      <c r="O137" s="11">
        <v>2.8224999999999998</v>
      </c>
      <c r="P137" s="1">
        <f t="shared" si="28"/>
        <v>2755.8</v>
      </c>
      <c r="Q137" s="1">
        <v>2854.15</v>
      </c>
      <c r="R137" s="16">
        <f t="shared" si="29"/>
        <v>2159172.7899000002</v>
      </c>
      <c r="S137" s="1">
        <v>-139.44</v>
      </c>
      <c r="T137" s="1">
        <v>36.28</v>
      </c>
      <c r="U137" s="1">
        <v>12</v>
      </c>
      <c r="V137" s="1">
        <v>0</v>
      </c>
      <c r="W137" s="1" cm="1">
        <f t="array" ref="W137">SUM(ABS(S137:V137))</f>
        <v>187.72</v>
      </c>
      <c r="X137" s="25">
        <v>1.238</v>
      </c>
      <c r="Y137" s="42">
        <f t="shared" si="30"/>
        <v>58099.34</v>
      </c>
      <c r="Z137" s="20">
        <v>350.68</v>
      </c>
      <c r="AA137" s="20">
        <f t="shared" si="31"/>
        <v>538.4</v>
      </c>
      <c r="AB137" s="21">
        <v>121.82999999999998</v>
      </c>
      <c r="AC137" s="21">
        <v>0.84</v>
      </c>
      <c r="AD137" s="8">
        <f t="shared" si="32"/>
        <v>473.34999999999997</v>
      </c>
      <c r="AE137" s="25">
        <v>1.238</v>
      </c>
      <c r="AF137" s="25">
        <f t="shared" si="33"/>
        <v>146501.82499999998</v>
      </c>
      <c r="AG137" s="25">
        <f t="shared" si="34"/>
        <v>204601.16499999998</v>
      </c>
      <c r="AH137" s="1">
        <f t="shared" si="24"/>
        <v>3229.15</v>
      </c>
      <c r="AI137" s="1">
        <f t="shared" si="25"/>
        <v>3327.5</v>
      </c>
      <c r="AJ137" s="1">
        <v>3528.84</v>
      </c>
      <c r="AK137" s="1">
        <f t="shared" si="26"/>
        <v>-299.69000000000005</v>
      </c>
      <c r="AL137" s="29">
        <f t="shared" si="35"/>
        <v>201.34000000000015</v>
      </c>
      <c r="AM137" s="11">
        <f t="shared" si="27"/>
        <v>2363773.9549000002</v>
      </c>
    </row>
    <row r="138" spans="1:39" x14ac:dyDescent="0.3">
      <c r="A138" s="39">
        <v>45813.395833333336</v>
      </c>
      <c r="B138" s="1">
        <v>1086.1300000000001</v>
      </c>
      <c r="C138" s="11">
        <v>3.2732000000000001</v>
      </c>
      <c r="D138" s="1">
        <v>679.76</v>
      </c>
      <c r="E138" s="11">
        <v>3.0760000000000001</v>
      </c>
      <c r="F138" s="1">
        <v>398.57</v>
      </c>
      <c r="G138" s="11">
        <v>3.53</v>
      </c>
      <c r="H138" s="1">
        <v>73.88</v>
      </c>
      <c r="I138" s="11">
        <v>2.0126500000000003</v>
      </c>
      <c r="J138" s="1">
        <v>204.89</v>
      </c>
      <c r="K138" s="11">
        <v>1.67622</v>
      </c>
      <c r="L138" s="1">
        <v>39.46</v>
      </c>
      <c r="M138" s="11">
        <v>6.2</v>
      </c>
      <c r="N138" s="1">
        <v>294.42</v>
      </c>
      <c r="O138" s="11">
        <v>2.8224999999999998</v>
      </c>
      <c r="P138" s="1">
        <f t="shared" si="28"/>
        <v>2777.11</v>
      </c>
      <c r="Q138" s="1">
        <v>3012.57</v>
      </c>
      <c r="R138" s="16">
        <f t="shared" si="29"/>
        <v>2155200.5809500008</v>
      </c>
      <c r="S138" s="1">
        <v>-123.49</v>
      </c>
      <c r="T138" s="1">
        <v>36.25</v>
      </c>
      <c r="U138" s="1">
        <v>12</v>
      </c>
      <c r="V138" s="1">
        <v>0</v>
      </c>
      <c r="W138" s="1" cm="1">
        <f t="array" ref="W138">SUM(ABS(S138:V138))</f>
        <v>171.74</v>
      </c>
      <c r="X138" s="25">
        <v>1.238</v>
      </c>
      <c r="Y138" s="42">
        <f t="shared" si="30"/>
        <v>53153.530000000006</v>
      </c>
      <c r="Z138" s="20">
        <v>255.72000000000003</v>
      </c>
      <c r="AA138" s="20">
        <f t="shared" si="31"/>
        <v>427.46000000000004</v>
      </c>
      <c r="AB138" s="21">
        <v>131.85</v>
      </c>
      <c r="AC138" s="21">
        <v>1.85</v>
      </c>
      <c r="AD138" s="8">
        <f t="shared" si="32"/>
        <v>389.42000000000007</v>
      </c>
      <c r="AE138" s="25">
        <v>1.238</v>
      </c>
      <c r="AF138" s="25">
        <f t="shared" si="33"/>
        <v>120525.49000000002</v>
      </c>
      <c r="AG138" s="25">
        <f t="shared" si="34"/>
        <v>173679.02000000002</v>
      </c>
      <c r="AH138" s="1">
        <f t="shared" si="24"/>
        <v>3166.53</v>
      </c>
      <c r="AI138" s="1">
        <f t="shared" si="25"/>
        <v>3401.9900000000002</v>
      </c>
      <c r="AJ138" s="1">
        <v>3575.45</v>
      </c>
      <c r="AK138" s="1">
        <f t="shared" si="26"/>
        <v>-408.91999999999962</v>
      </c>
      <c r="AL138" s="29">
        <f t="shared" si="35"/>
        <v>173.45999999999958</v>
      </c>
      <c r="AM138" s="11">
        <f t="shared" si="27"/>
        <v>2328879.6009500008</v>
      </c>
    </row>
    <row r="139" spans="1:39" x14ac:dyDescent="0.3">
      <c r="A139" s="39">
        <v>45813.40625</v>
      </c>
      <c r="B139" s="1">
        <v>1087.45</v>
      </c>
      <c r="C139" s="11">
        <v>3.2732000000000001</v>
      </c>
      <c r="D139" s="1">
        <v>679.76</v>
      </c>
      <c r="E139" s="11">
        <v>3.0760000000000001</v>
      </c>
      <c r="F139" s="1">
        <v>398.57</v>
      </c>
      <c r="G139" s="11">
        <v>3.53</v>
      </c>
      <c r="H139" s="1">
        <v>72.98</v>
      </c>
      <c r="I139" s="11">
        <v>2.0999699999999999</v>
      </c>
      <c r="J139" s="1">
        <v>207.35</v>
      </c>
      <c r="K139" s="11">
        <v>1.5926900000000002</v>
      </c>
      <c r="L139" s="1">
        <v>39.39</v>
      </c>
      <c r="M139" s="11">
        <v>6.2</v>
      </c>
      <c r="N139" s="1">
        <v>316</v>
      </c>
      <c r="O139" s="11">
        <v>2.8224999999999998</v>
      </c>
      <c r="P139" s="1">
        <f t="shared" si="28"/>
        <v>2801.5</v>
      </c>
      <c r="Q139" s="1">
        <v>2834.31</v>
      </c>
      <c r="R139" s="16">
        <f t="shared" si="29"/>
        <v>2169240.8205250003</v>
      </c>
      <c r="S139" s="1">
        <v>-226.35</v>
      </c>
      <c r="T139" s="1">
        <v>36.159999999999997</v>
      </c>
      <c r="U139" s="1">
        <v>12</v>
      </c>
      <c r="V139" s="1">
        <v>0</v>
      </c>
      <c r="W139" s="1" cm="1">
        <f t="array" ref="W139">SUM(ABS(S139:V139))</f>
        <v>274.51</v>
      </c>
      <c r="X139" s="25">
        <v>1.238</v>
      </c>
      <c r="Y139" s="42">
        <f t="shared" si="30"/>
        <v>84960.844999999987</v>
      </c>
      <c r="Z139" s="20">
        <v>365.39</v>
      </c>
      <c r="AA139" s="20">
        <f t="shared" si="31"/>
        <v>639.9</v>
      </c>
      <c r="AB139" s="21">
        <v>149.84999999999997</v>
      </c>
      <c r="AC139" s="21">
        <v>1.73</v>
      </c>
      <c r="AD139" s="8">
        <f t="shared" si="32"/>
        <v>516.97</v>
      </c>
      <c r="AE139" s="25">
        <v>1.238</v>
      </c>
      <c r="AF139" s="25">
        <f t="shared" si="33"/>
        <v>160002.215</v>
      </c>
      <c r="AG139" s="25">
        <f t="shared" si="34"/>
        <v>244963.06</v>
      </c>
      <c r="AH139" s="1">
        <f t="shared" si="24"/>
        <v>3318.4700000000003</v>
      </c>
      <c r="AI139" s="1">
        <f t="shared" si="25"/>
        <v>3351.2799999999997</v>
      </c>
      <c r="AJ139" s="1">
        <v>3615.55</v>
      </c>
      <c r="AK139" s="1">
        <f t="shared" si="26"/>
        <v>-297.07999999999993</v>
      </c>
      <c r="AL139" s="29">
        <f t="shared" si="35"/>
        <v>264.27000000000044</v>
      </c>
      <c r="AM139" s="11">
        <f t="shared" si="27"/>
        <v>2414203.8805250004</v>
      </c>
    </row>
    <row r="140" spans="1:39" x14ac:dyDescent="0.3">
      <c r="A140" s="39">
        <v>45813.416666666664</v>
      </c>
      <c r="B140" s="1">
        <v>1087.6400000000001</v>
      </c>
      <c r="C140" s="11">
        <v>3.2732000000000001</v>
      </c>
      <c r="D140" s="1">
        <v>679.76</v>
      </c>
      <c r="E140" s="11">
        <v>3.0760000000000001</v>
      </c>
      <c r="F140" s="1">
        <v>398.57</v>
      </c>
      <c r="G140" s="11">
        <v>3.53</v>
      </c>
      <c r="H140" s="1">
        <v>31.26</v>
      </c>
      <c r="I140" s="11">
        <v>2.00014</v>
      </c>
      <c r="J140" s="1">
        <v>326.52999999999997</v>
      </c>
      <c r="K140" s="11">
        <v>1.6430100000000001</v>
      </c>
      <c r="L140" s="1">
        <v>80.75</v>
      </c>
      <c r="M140" s="11">
        <v>6.2</v>
      </c>
      <c r="N140" s="1">
        <v>329.78</v>
      </c>
      <c r="O140" s="11">
        <v>2.8224999999999998</v>
      </c>
      <c r="P140" s="1">
        <f t="shared" si="28"/>
        <v>2934.29</v>
      </c>
      <c r="Q140" s="1">
        <v>2938.02</v>
      </c>
      <c r="R140" s="16">
        <f t="shared" si="29"/>
        <v>2272106.8974250001</v>
      </c>
      <c r="S140" s="1">
        <v>-141.58000000000001</v>
      </c>
      <c r="T140" s="1">
        <v>36.17</v>
      </c>
      <c r="U140" s="1">
        <v>12</v>
      </c>
      <c r="V140" s="1">
        <v>0</v>
      </c>
      <c r="W140" s="1" cm="1">
        <f t="array" ref="W140">SUM(ABS(S140:V140))</f>
        <v>189.75</v>
      </c>
      <c r="X140" s="25">
        <v>1.238</v>
      </c>
      <c r="Y140" s="42">
        <f t="shared" si="30"/>
        <v>58727.624999999993</v>
      </c>
      <c r="Z140" s="20">
        <v>351.08</v>
      </c>
      <c r="AA140" s="20">
        <f t="shared" si="31"/>
        <v>540.82999999999993</v>
      </c>
      <c r="AB140" s="21">
        <v>140.19999999999999</v>
      </c>
      <c r="AC140" s="21">
        <v>2.12</v>
      </c>
      <c r="AD140" s="8">
        <f t="shared" si="32"/>
        <v>493.4</v>
      </c>
      <c r="AE140" s="25">
        <v>1.238</v>
      </c>
      <c r="AF140" s="25">
        <f t="shared" si="33"/>
        <v>152707.30000000002</v>
      </c>
      <c r="AG140" s="25">
        <f t="shared" si="34"/>
        <v>211434.92500000002</v>
      </c>
      <c r="AH140" s="1">
        <f t="shared" si="24"/>
        <v>3427.69</v>
      </c>
      <c r="AI140" s="1">
        <f t="shared" si="25"/>
        <v>3431.42</v>
      </c>
      <c r="AJ140" s="1">
        <v>3630.08</v>
      </c>
      <c r="AK140" s="1">
        <f t="shared" si="26"/>
        <v>-202.38999999999987</v>
      </c>
      <c r="AL140" s="29">
        <f t="shared" si="35"/>
        <v>198.65999999999985</v>
      </c>
      <c r="AM140" s="11">
        <f t="shared" si="27"/>
        <v>2483541.8224249999</v>
      </c>
    </row>
    <row r="141" spans="1:39" x14ac:dyDescent="0.3">
      <c r="A141" s="39">
        <v>45813.427083333336</v>
      </c>
      <c r="B141" s="1">
        <v>1089.68</v>
      </c>
      <c r="C141" s="11">
        <v>3.2732000000000001</v>
      </c>
      <c r="D141" s="1">
        <v>679.76</v>
      </c>
      <c r="E141" s="11">
        <v>3.0760000000000001</v>
      </c>
      <c r="F141" s="1">
        <v>398.57</v>
      </c>
      <c r="G141" s="11">
        <v>3.53</v>
      </c>
      <c r="H141" s="1">
        <v>27.64</v>
      </c>
      <c r="I141" s="11">
        <v>2.0001799999999998</v>
      </c>
      <c r="J141" s="1">
        <v>351.8</v>
      </c>
      <c r="K141" s="11">
        <v>1.5983900000000002</v>
      </c>
      <c r="L141" s="1">
        <v>83.99</v>
      </c>
      <c r="M141" s="11">
        <v>6.2</v>
      </c>
      <c r="N141" s="1">
        <v>341.95</v>
      </c>
      <c r="O141" s="11">
        <v>2.8224999999999998</v>
      </c>
      <c r="P141" s="1">
        <f t="shared" si="28"/>
        <v>2973.39</v>
      </c>
      <c r="Q141" s="1">
        <v>2945.77</v>
      </c>
      <c r="R141" s="16">
        <f t="shared" si="29"/>
        <v>2292031.22205</v>
      </c>
      <c r="S141" s="1">
        <v>-120.22</v>
      </c>
      <c r="T141" s="1">
        <v>36.17</v>
      </c>
      <c r="U141" s="1">
        <v>12</v>
      </c>
      <c r="V141" s="1">
        <v>0</v>
      </c>
      <c r="W141" s="1" cm="1">
        <f t="array" ref="W141">SUM(ABS(S141:V141))</f>
        <v>168.39</v>
      </c>
      <c r="X141" s="25">
        <v>1.238</v>
      </c>
      <c r="Y141" s="42">
        <f t="shared" si="30"/>
        <v>52116.704999999994</v>
      </c>
      <c r="Z141" s="20">
        <v>362.18</v>
      </c>
      <c r="AA141" s="20">
        <f t="shared" si="31"/>
        <v>530.56999999999994</v>
      </c>
      <c r="AB141" s="21">
        <v>151.32000000000002</v>
      </c>
      <c r="AC141" s="21">
        <v>2.97</v>
      </c>
      <c r="AD141" s="8">
        <f t="shared" si="32"/>
        <v>516.47</v>
      </c>
      <c r="AE141" s="25">
        <v>1.238</v>
      </c>
      <c r="AF141" s="25">
        <f t="shared" si="33"/>
        <v>159847.465</v>
      </c>
      <c r="AG141" s="25">
        <f t="shared" si="34"/>
        <v>211964.16999999998</v>
      </c>
      <c r="AH141" s="1">
        <f t="shared" si="24"/>
        <v>3489.8599999999997</v>
      </c>
      <c r="AI141" s="1">
        <f t="shared" si="25"/>
        <v>3462.24</v>
      </c>
      <c r="AJ141" s="1">
        <v>3628.12</v>
      </c>
      <c r="AK141" s="1">
        <f t="shared" si="26"/>
        <v>-138.26000000000022</v>
      </c>
      <c r="AL141" s="29">
        <f t="shared" si="35"/>
        <v>165.88000000000011</v>
      </c>
      <c r="AM141" s="11">
        <f t="shared" si="27"/>
        <v>2503995.3920499999</v>
      </c>
    </row>
    <row r="142" spans="1:39" x14ac:dyDescent="0.3">
      <c r="A142" s="39">
        <v>45813.4375</v>
      </c>
      <c r="B142" s="1">
        <v>1093.25</v>
      </c>
      <c r="C142" s="11">
        <v>3.2732000000000001</v>
      </c>
      <c r="D142" s="1">
        <v>679.76</v>
      </c>
      <c r="E142" s="11">
        <v>3.0760000000000001</v>
      </c>
      <c r="F142" s="1">
        <v>398.57</v>
      </c>
      <c r="G142" s="11">
        <v>3.53</v>
      </c>
      <c r="H142" s="1">
        <v>27.64</v>
      </c>
      <c r="I142" s="11">
        <v>1.99997</v>
      </c>
      <c r="J142" s="1">
        <v>354.89</v>
      </c>
      <c r="K142" s="11">
        <v>1.5890299999999999</v>
      </c>
      <c r="L142" s="1">
        <v>84.42</v>
      </c>
      <c r="M142" s="11">
        <v>6.2</v>
      </c>
      <c r="N142" s="1">
        <v>352.18</v>
      </c>
      <c r="O142" s="11">
        <v>2.8224999999999998</v>
      </c>
      <c r="P142" s="1">
        <f t="shared" si="28"/>
        <v>2990.7099999999996</v>
      </c>
      <c r="Q142" s="1">
        <v>3022.35</v>
      </c>
      <c r="R142" s="16">
        <f t="shared" si="29"/>
        <v>2303240.4593749996</v>
      </c>
      <c r="S142" s="1">
        <v>-127.29</v>
      </c>
      <c r="T142" s="1">
        <v>36.159999999999997</v>
      </c>
      <c r="U142" s="1">
        <v>12</v>
      </c>
      <c r="V142" s="1">
        <v>0</v>
      </c>
      <c r="W142" s="1" cm="1">
        <f t="array" ref="W142">SUM(ABS(S142:V142))</f>
        <v>175.45</v>
      </c>
      <c r="X142" s="25">
        <v>1.238</v>
      </c>
      <c r="Y142" s="42">
        <f t="shared" si="30"/>
        <v>54301.775000000001</v>
      </c>
      <c r="Z142" s="20">
        <v>297.87</v>
      </c>
      <c r="AA142" s="20">
        <f t="shared" si="31"/>
        <v>473.32</v>
      </c>
      <c r="AB142" s="21">
        <v>121.33</v>
      </c>
      <c r="AC142" s="21">
        <v>3.64</v>
      </c>
      <c r="AD142" s="8">
        <f t="shared" si="32"/>
        <v>422.84</v>
      </c>
      <c r="AE142" s="25">
        <v>1.238</v>
      </c>
      <c r="AF142" s="25">
        <f t="shared" si="33"/>
        <v>130868.98</v>
      </c>
      <c r="AG142" s="25">
        <f t="shared" si="34"/>
        <v>185170.755</v>
      </c>
      <c r="AH142" s="1">
        <f t="shared" si="24"/>
        <v>3413.5499999999997</v>
      </c>
      <c r="AI142" s="1">
        <f t="shared" si="25"/>
        <v>3445.19</v>
      </c>
      <c r="AJ142" s="1">
        <v>3617.96</v>
      </c>
      <c r="AK142" s="1">
        <f t="shared" si="26"/>
        <v>-204.41000000000031</v>
      </c>
      <c r="AL142" s="29">
        <f t="shared" si="35"/>
        <v>172.76999999999998</v>
      </c>
      <c r="AM142" s="11">
        <f t="shared" si="27"/>
        <v>2488411.2143749995</v>
      </c>
    </row>
    <row r="143" spans="1:39" x14ac:dyDescent="0.3">
      <c r="A143" s="39">
        <v>45813.447916666664</v>
      </c>
      <c r="B143" s="1">
        <v>1093.53</v>
      </c>
      <c r="C143" s="11">
        <v>3.2732000000000001</v>
      </c>
      <c r="D143" s="1">
        <v>679.76</v>
      </c>
      <c r="E143" s="11">
        <v>3.0760000000000001</v>
      </c>
      <c r="F143" s="1">
        <v>398.57</v>
      </c>
      <c r="G143" s="11">
        <v>3.53</v>
      </c>
      <c r="H143" s="1">
        <v>27.19</v>
      </c>
      <c r="I143" s="11">
        <v>1.9998900000000002</v>
      </c>
      <c r="J143" s="1">
        <v>354.16</v>
      </c>
      <c r="K143" s="11">
        <v>1.4857499999999999</v>
      </c>
      <c r="L143" s="1">
        <v>84.11</v>
      </c>
      <c r="M143" s="11">
        <v>6.2</v>
      </c>
      <c r="N143" s="1">
        <v>360.23</v>
      </c>
      <c r="O143" s="11">
        <v>2.8224999999999998</v>
      </c>
      <c r="P143" s="1">
        <f t="shared" si="28"/>
        <v>2997.55</v>
      </c>
      <c r="Q143" s="1">
        <v>3021.42</v>
      </c>
      <c r="R143" s="16">
        <f t="shared" si="29"/>
        <v>2299009.4150249995</v>
      </c>
      <c r="S143" s="1">
        <v>-121.05</v>
      </c>
      <c r="T143" s="1">
        <v>36.1</v>
      </c>
      <c r="U143" s="1">
        <v>12</v>
      </c>
      <c r="V143" s="1">
        <v>0</v>
      </c>
      <c r="W143" s="1" cm="1">
        <f t="array" ref="W143">SUM(ABS(S143:V143))</f>
        <v>169.15</v>
      </c>
      <c r="X143" s="25">
        <v>1.238</v>
      </c>
      <c r="Y143" s="42">
        <f t="shared" si="30"/>
        <v>52351.925000000003</v>
      </c>
      <c r="Z143" s="20">
        <v>295.43</v>
      </c>
      <c r="AA143" s="20">
        <f t="shared" si="31"/>
        <v>464.58000000000004</v>
      </c>
      <c r="AB143" s="21">
        <v>157.19</v>
      </c>
      <c r="AC143" s="21">
        <v>3.9799999999999995</v>
      </c>
      <c r="AD143" s="8">
        <f t="shared" si="32"/>
        <v>456.6</v>
      </c>
      <c r="AE143" s="25">
        <v>1.238</v>
      </c>
      <c r="AF143" s="25">
        <f t="shared" si="33"/>
        <v>141317.70000000001</v>
      </c>
      <c r="AG143" s="25">
        <f t="shared" si="34"/>
        <v>193669.625</v>
      </c>
      <c r="AH143" s="1">
        <f t="shared" si="24"/>
        <v>3454.15</v>
      </c>
      <c r="AI143" s="1">
        <f t="shared" si="25"/>
        <v>3478.02</v>
      </c>
      <c r="AJ143" s="1">
        <v>3644.64</v>
      </c>
      <c r="AK143" s="1">
        <f t="shared" si="26"/>
        <v>-190.48999999999978</v>
      </c>
      <c r="AL143" s="29">
        <f t="shared" si="35"/>
        <v>166.61999999999989</v>
      </c>
      <c r="AM143" s="11">
        <f t="shared" si="27"/>
        <v>2492679.0400249995</v>
      </c>
    </row>
    <row r="144" spans="1:39" x14ac:dyDescent="0.3">
      <c r="A144" s="39">
        <v>45813.458333333336</v>
      </c>
      <c r="B144" s="1">
        <v>1093.53</v>
      </c>
      <c r="C144" s="11">
        <v>3.2732000000000001</v>
      </c>
      <c r="D144" s="1">
        <v>679.76</v>
      </c>
      <c r="E144" s="11">
        <v>3.0760000000000001</v>
      </c>
      <c r="F144" s="1">
        <v>398.57</v>
      </c>
      <c r="G144" s="11">
        <v>3.53</v>
      </c>
      <c r="H144" s="1">
        <v>28.04</v>
      </c>
      <c r="I144" s="11">
        <v>1.99935</v>
      </c>
      <c r="J144" s="1">
        <v>276.05</v>
      </c>
      <c r="K144" s="11">
        <v>1.6741600000000001</v>
      </c>
      <c r="L144" s="1">
        <v>84.62</v>
      </c>
      <c r="M144" s="11">
        <v>6.2</v>
      </c>
      <c r="N144" s="1">
        <v>365.61</v>
      </c>
      <c r="O144" s="11">
        <v>2.8224999999999998</v>
      </c>
      <c r="P144" s="1">
        <f t="shared" si="28"/>
        <v>2926.1800000000003</v>
      </c>
      <c r="Q144" s="1">
        <v>3042.61</v>
      </c>
      <c r="R144" s="16">
        <f t="shared" si="29"/>
        <v>2288007.0307499999</v>
      </c>
      <c r="S144" s="1">
        <v>-120.87</v>
      </c>
      <c r="T144" s="1">
        <v>36.049999999999997</v>
      </c>
      <c r="U144" s="1">
        <v>12</v>
      </c>
      <c r="V144" s="1">
        <v>0</v>
      </c>
      <c r="W144" s="1" cm="1">
        <f t="array" ref="W144">SUM(ABS(S144:V144))</f>
        <v>168.92000000000002</v>
      </c>
      <c r="X144" s="25">
        <v>1.238</v>
      </c>
      <c r="Y144" s="42">
        <f t="shared" si="30"/>
        <v>52280.74</v>
      </c>
      <c r="Z144" s="20">
        <v>254.71999999999997</v>
      </c>
      <c r="AA144" s="20">
        <f t="shared" si="31"/>
        <v>423.64</v>
      </c>
      <c r="AB144" s="21">
        <v>181.96</v>
      </c>
      <c r="AC144" s="21">
        <v>4.82</v>
      </c>
      <c r="AD144" s="8">
        <f t="shared" si="32"/>
        <v>441.49999999999994</v>
      </c>
      <c r="AE144" s="25">
        <v>1.238</v>
      </c>
      <c r="AF144" s="25">
        <f t="shared" si="33"/>
        <v>136644.24999999997</v>
      </c>
      <c r="AG144" s="25">
        <f t="shared" si="34"/>
        <v>188924.98999999996</v>
      </c>
      <c r="AH144" s="1">
        <f t="shared" si="24"/>
        <v>3367.6800000000003</v>
      </c>
      <c r="AI144" s="1">
        <f t="shared" si="25"/>
        <v>3484.11</v>
      </c>
      <c r="AJ144" s="1">
        <v>3652.13</v>
      </c>
      <c r="AK144" s="1">
        <f t="shared" si="26"/>
        <v>-284.44999999999982</v>
      </c>
      <c r="AL144" s="29">
        <f t="shared" si="35"/>
        <v>168.01999999999998</v>
      </c>
      <c r="AM144" s="11">
        <f t="shared" si="27"/>
        <v>2476932.0207499997</v>
      </c>
    </row>
    <row r="145" spans="1:39" x14ac:dyDescent="0.3">
      <c r="A145" s="39">
        <v>45813.46875</v>
      </c>
      <c r="B145" s="1">
        <v>1093.53</v>
      </c>
      <c r="C145" s="11">
        <v>3.2732000000000001</v>
      </c>
      <c r="D145" s="1">
        <v>679.76</v>
      </c>
      <c r="E145" s="11">
        <v>3.0760000000000001</v>
      </c>
      <c r="F145" s="1">
        <v>398.57</v>
      </c>
      <c r="G145" s="11">
        <v>3.53</v>
      </c>
      <c r="H145" s="1">
        <v>28.12</v>
      </c>
      <c r="I145" s="11">
        <v>1.8899000000000001</v>
      </c>
      <c r="J145" s="1">
        <v>268.81</v>
      </c>
      <c r="K145" s="11">
        <v>1.6749400000000001</v>
      </c>
      <c r="L145" s="1">
        <v>84.74</v>
      </c>
      <c r="M145" s="11">
        <v>6.2</v>
      </c>
      <c r="N145" s="1">
        <v>369.79</v>
      </c>
      <c r="O145" s="11">
        <v>2.8224999999999998</v>
      </c>
      <c r="P145" s="1">
        <f t="shared" si="28"/>
        <v>2923.3199999999997</v>
      </c>
      <c r="Q145" s="1">
        <v>3051.92</v>
      </c>
      <c r="R145" s="16">
        <f t="shared" si="29"/>
        <v>2287435.2851</v>
      </c>
      <c r="S145" s="1">
        <v>-127.48</v>
      </c>
      <c r="T145" s="1">
        <v>35.96</v>
      </c>
      <c r="U145" s="1">
        <v>12</v>
      </c>
      <c r="V145" s="1">
        <v>0</v>
      </c>
      <c r="W145" s="1" cm="1">
        <f t="array" ref="W145">SUM(ABS(S145:V145))</f>
        <v>175.44</v>
      </c>
      <c r="X145" s="25">
        <v>1.238</v>
      </c>
      <c r="Y145" s="42">
        <f t="shared" si="30"/>
        <v>54298.68</v>
      </c>
      <c r="Z145" s="20">
        <v>239.83999999999997</v>
      </c>
      <c r="AA145" s="20">
        <f t="shared" si="31"/>
        <v>415.28</v>
      </c>
      <c r="AB145" s="21">
        <v>179.07</v>
      </c>
      <c r="AC145" s="21">
        <v>5.42</v>
      </c>
      <c r="AD145" s="8">
        <f t="shared" si="32"/>
        <v>424.33</v>
      </c>
      <c r="AE145" s="25">
        <v>1.238</v>
      </c>
      <c r="AF145" s="25">
        <f t="shared" si="33"/>
        <v>131330.13499999998</v>
      </c>
      <c r="AG145" s="25">
        <f t="shared" si="34"/>
        <v>185628.81499999997</v>
      </c>
      <c r="AH145" s="1">
        <f t="shared" si="24"/>
        <v>3347.6499999999996</v>
      </c>
      <c r="AI145" s="1">
        <f t="shared" si="25"/>
        <v>3476.25</v>
      </c>
      <c r="AJ145" s="1">
        <v>3653.66</v>
      </c>
      <c r="AK145" s="1">
        <f t="shared" si="26"/>
        <v>-306.01000000000022</v>
      </c>
      <c r="AL145" s="29">
        <f t="shared" si="35"/>
        <v>177.40999999999985</v>
      </c>
      <c r="AM145" s="11">
        <f t="shared" si="27"/>
        <v>2473064.1000999999</v>
      </c>
    </row>
    <row r="146" spans="1:39" x14ac:dyDescent="0.3">
      <c r="A146" s="39">
        <v>45813.479166666664</v>
      </c>
      <c r="B146" s="1">
        <v>1093.53</v>
      </c>
      <c r="C146" s="11">
        <v>3.2732000000000001</v>
      </c>
      <c r="D146" s="1">
        <v>679.76</v>
      </c>
      <c r="E146" s="11">
        <v>3.0760000000000001</v>
      </c>
      <c r="F146" s="1">
        <v>398.57</v>
      </c>
      <c r="G146" s="11">
        <v>3.53</v>
      </c>
      <c r="H146" s="1">
        <v>28.12</v>
      </c>
      <c r="I146" s="11">
        <v>1.9662500000000001</v>
      </c>
      <c r="J146" s="1">
        <v>302.98</v>
      </c>
      <c r="K146" s="11">
        <v>1.3498800000000002</v>
      </c>
      <c r="L146" s="1">
        <v>84.67</v>
      </c>
      <c r="M146" s="11">
        <v>6.2</v>
      </c>
      <c r="N146" s="1">
        <v>373.04</v>
      </c>
      <c r="O146" s="11">
        <v>2.8224999999999998</v>
      </c>
      <c r="P146" s="1">
        <f t="shared" si="28"/>
        <v>2960.67</v>
      </c>
      <c r="Q146" s="1">
        <v>3044.69</v>
      </c>
      <c r="R146" s="16">
        <f t="shared" si="29"/>
        <v>2279843.3120999997</v>
      </c>
      <c r="S146" s="1">
        <v>-138.06</v>
      </c>
      <c r="T146" s="1">
        <v>35.880000000000003</v>
      </c>
      <c r="U146" s="1">
        <v>12</v>
      </c>
      <c r="V146" s="1">
        <v>0</v>
      </c>
      <c r="W146" s="1" cm="1">
        <f t="array" ref="W146">SUM(ABS(S146:V146))</f>
        <v>185.94</v>
      </c>
      <c r="X146" s="25">
        <v>1.238</v>
      </c>
      <c r="Y146" s="42">
        <f t="shared" si="30"/>
        <v>57548.429999999993</v>
      </c>
      <c r="Z146" s="20">
        <v>244.21999999999997</v>
      </c>
      <c r="AA146" s="20">
        <f t="shared" si="31"/>
        <v>430.15999999999997</v>
      </c>
      <c r="AB146" s="21">
        <v>188.43</v>
      </c>
      <c r="AC146" s="21">
        <v>6.2</v>
      </c>
      <c r="AD146" s="8">
        <f t="shared" si="32"/>
        <v>438.84999999999997</v>
      </c>
      <c r="AE146" s="25">
        <v>1.238</v>
      </c>
      <c r="AF146" s="25">
        <f t="shared" si="33"/>
        <v>135824.07499999998</v>
      </c>
      <c r="AG146" s="25">
        <f t="shared" si="34"/>
        <v>193372.50499999998</v>
      </c>
      <c r="AH146" s="1">
        <f t="shared" si="24"/>
        <v>3399.52</v>
      </c>
      <c r="AI146" s="1">
        <f t="shared" si="25"/>
        <v>3483.54</v>
      </c>
      <c r="AJ146" s="1">
        <v>3672.83</v>
      </c>
      <c r="AK146" s="1">
        <f t="shared" si="26"/>
        <v>-273.30999999999995</v>
      </c>
      <c r="AL146" s="29">
        <f t="shared" si="35"/>
        <v>189.28999999999996</v>
      </c>
      <c r="AM146" s="11">
        <f t="shared" si="27"/>
        <v>2473215.8170999996</v>
      </c>
    </row>
    <row r="147" spans="1:39" x14ac:dyDescent="0.3">
      <c r="A147" s="39">
        <v>45813.489583333336</v>
      </c>
      <c r="B147" s="1">
        <v>1093.53</v>
      </c>
      <c r="C147" s="11">
        <v>3.2732000000000001</v>
      </c>
      <c r="D147" s="1">
        <v>679.76</v>
      </c>
      <c r="E147" s="11">
        <v>3.0760000000000001</v>
      </c>
      <c r="F147" s="1">
        <v>398.57</v>
      </c>
      <c r="G147" s="11">
        <v>3.53</v>
      </c>
      <c r="H147" s="1">
        <v>28.12</v>
      </c>
      <c r="I147" s="11">
        <v>1.9667000000000001</v>
      </c>
      <c r="J147" s="1">
        <v>305.82</v>
      </c>
      <c r="K147" s="11">
        <v>1.3497000000000001</v>
      </c>
      <c r="L147" s="1">
        <v>84.93</v>
      </c>
      <c r="M147" s="11">
        <v>6.2</v>
      </c>
      <c r="N147" s="1">
        <v>374.97</v>
      </c>
      <c r="O147" s="11">
        <v>2.8224999999999998</v>
      </c>
      <c r="P147" s="1">
        <f t="shared" si="28"/>
        <v>2965.7</v>
      </c>
      <c r="Q147" s="1">
        <v>2985.23</v>
      </c>
      <c r="R147" s="16">
        <f t="shared" si="29"/>
        <v>2282555.9847499998</v>
      </c>
      <c r="S147" s="1">
        <v>-137.47999999999999</v>
      </c>
      <c r="T147" s="1">
        <v>35.81</v>
      </c>
      <c r="U147" s="1">
        <v>12</v>
      </c>
      <c r="V147" s="1">
        <v>0</v>
      </c>
      <c r="W147" s="1" cm="1">
        <f t="array" ref="W147">SUM(ABS(S147:V147))</f>
        <v>185.29</v>
      </c>
      <c r="X147" s="25">
        <v>1.238</v>
      </c>
      <c r="Y147" s="42">
        <f t="shared" si="30"/>
        <v>57347.254999999997</v>
      </c>
      <c r="Z147" s="20">
        <v>351.06</v>
      </c>
      <c r="AA147" s="20">
        <f t="shared" si="31"/>
        <v>536.35</v>
      </c>
      <c r="AB147" s="21">
        <v>180.65</v>
      </c>
      <c r="AC147" s="21">
        <v>7.2900000000000009</v>
      </c>
      <c r="AD147" s="8">
        <f t="shared" si="32"/>
        <v>539</v>
      </c>
      <c r="AE147" s="25">
        <v>1.238</v>
      </c>
      <c r="AF147" s="25">
        <f t="shared" si="33"/>
        <v>166820.5</v>
      </c>
      <c r="AG147" s="25">
        <f t="shared" si="34"/>
        <v>224167.755</v>
      </c>
      <c r="AH147" s="1">
        <f t="shared" si="24"/>
        <v>3504.7</v>
      </c>
      <c r="AI147" s="1">
        <f t="shared" si="25"/>
        <v>3524.23</v>
      </c>
      <c r="AJ147" s="1">
        <v>3710.97</v>
      </c>
      <c r="AK147" s="1">
        <f t="shared" si="26"/>
        <v>-206.26999999999998</v>
      </c>
      <c r="AL147" s="29">
        <f t="shared" si="35"/>
        <v>186.73999999999978</v>
      </c>
      <c r="AM147" s="11">
        <f t="shared" si="27"/>
        <v>2506723.7397499997</v>
      </c>
    </row>
    <row r="148" spans="1:39" x14ac:dyDescent="0.3">
      <c r="A148" s="39">
        <v>45813.5</v>
      </c>
      <c r="B148" s="1">
        <v>1093.53</v>
      </c>
      <c r="C148" s="11">
        <v>3.2732000000000001</v>
      </c>
      <c r="D148" s="1">
        <v>679.76</v>
      </c>
      <c r="E148" s="11">
        <v>3.0760000000000001</v>
      </c>
      <c r="F148" s="1">
        <v>398.57</v>
      </c>
      <c r="G148" s="11">
        <v>3.53</v>
      </c>
      <c r="H148" s="1">
        <v>35.75</v>
      </c>
      <c r="I148" s="11">
        <v>1.98085</v>
      </c>
      <c r="J148" s="1">
        <v>288.08999999999997</v>
      </c>
      <c r="K148" s="11">
        <v>1.3495599999999999</v>
      </c>
      <c r="L148" s="1">
        <v>75.81</v>
      </c>
      <c r="M148" s="11">
        <v>6.2</v>
      </c>
      <c r="N148" s="1">
        <v>375.88</v>
      </c>
      <c r="O148" s="11">
        <v>2.8224999999999998</v>
      </c>
      <c r="P148" s="1">
        <f t="shared" si="28"/>
        <v>2947.3900000000003</v>
      </c>
      <c r="Q148" s="1">
        <v>3081.95</v>
      </c>
      <c r="R148" s="16">
        <f t="shared" si="29"/>
        <v>2266947.4209749997</v>
      </c>
      <c r="S148" s="1">
        <v>-128.59</v>
      </c>
      <c r="T148" s="1">
        <v>35.74</v>
      </c>
      <c r="U148" s="1">
        <v>12</v>
      </c>
      <c r="V148" s="1">
        <v>0</v>
      </c>
      <c r="W148" s="1" cm="1">
        <f t="array" ref="W148">SUM(ABS(S148:V148))</f>
        <v>176.33</v>
      </c>
      <c r="X148" s="25">
        <v>1.238</v>
      </c>
      <c r="Y148" s="42">
        <f t="shared" si="30"/>
        <v>54574.135000000002</v>
      </c>
      <c r="Z148" s="20">
        <v>250.78</v>
      </c>
      <c r="AA148" s="20">
        <f t="shared" si="31"/>
        <v>427.11</v>
      </c>
      <c r="AB148" s="21">
        <v>193.16000000000003</v>
      </c>
      <c r="AC148" s="21">
        <v>6.29</v>
      </c>
      <c r="AD148" s="8">
        <f t="shared" si="32"/>
        <v>450.23000000000008</v>
      </c>
      <c r="AE148" s="25">
        <v>1.238</v>
      </c>
      <c r="AF148" s="25">
        <f t="shared" si="33"/>
        <v>139346.18500000003</v>
      </c>
      <c r="AG148" s="25">
        <f t="shared" si="34"/>
        <v>193920.32000000004</v>
      </c>
      <c r="AH148" s="1">
        <f t="shared" si="24"/>
        <v>3397.6200000000003</v>
      </c>
      <c r="AI148" s="1">
        <f t="shared" si="25"/>
        <v>3532.18</v>
      </c>
      <c r="AJ148" s="1">
        <v>3718.36</v>
      </c>
      <c r="AK148" s="1">
        <f t="shared" si="26"/>
        <v>-320.73999999999978</v>
      </c>
      <c r="AL148" s="29">
        <f t="shared" si="35"/>
        <v>186.18000000000029</v>
      </c>
      <c r="AM148" s="11">
        <f t="shared" si="27"/>
        <v>2460867.7409749995</v>
      </c>
    </row>
    <row r="149" spans="1:39" x14ac:dyDescent="0.3">
      <c r="A149" s="39">
        <v>45813.510416666664</v>
      </c>
      <c r="B149" s="1">
        <v>1093.53</v>
      </c>
      <c r="C149" s="11">
        <v>3.2732000000000001</v>
      </c>
      <c r="D149" s="1">
        <v>679.76</v>
      </c>
      <c r="E149" s="11">
        <v>3.0760000000000001</v>
      </c>
      <c r="F149" s="1">
        <v>398.57</v>
      </c>
      <c r="G149" s="11">
        <v>3.53</v>
      </c>
      <c r="H149" s="1">
        <v>38.58</v>
      </c>
      <c r="I149" s="11">
        <v>1.99501</v>
      </c>
      <c r="J149" s="1">
        <v>304.49</v>
      </c>
      <c r="K149" s="11">
        <v>1.3498299999999999</v>
      </c>
      <c r="L149" s="1">
        <v>72.75</v>
      </c>
      <c r="M149" s="11">
        <v>6.2</v>
      </c>
      <c r="N149" s="1">
        <v>376.17</v>
      </c>
      <c r="O149" s="11">
        <v>2.8224999999999998</v>
      </c>
      <c r="P149" s="1">
        <f t="shared" si="28"/>
        <v>2963.8500000000004</v>
      </c>
      <c r="Q149" s="1">
        <v>2986.9</v>
      </c>
      <c r="R149" s="16">
        <f t="shared" si="29"/>
        <v>2269500.8258750001</v>
      </c>
      <c r="S149" s="1">
        <v>-141.32</v>
      </c>
      <c r="T149" s="1">
        <v>35.72</v>
      </c>
      <c r="U149" s="1">
        <v>12</v>
      </c>
      <c r="V149" s="1">
        <v>0</v>
      </c>
      <c r="W149" s="1" cm="1">
        <f t="array" ref="W149">SUM(ABS(S149:V149))</f>
        <v>189.04</v>
      </c>
      <c r="X149" s="25">
        <v>1.238</v>
      </c>
      <c r="Y149" s="42">
        <f t="shared" si="30"/>
        <v>58507.88</v>
      </c>
      <c r="Z149" s="20">
        <v>355.96999999999997</v>
      </c>
      <c r="AA149" s="20">
        <f t="shared" si="31"/>
        <v>545.01</v>
      </c>
      <c r="AB149" s="21">
        <v>194.99</v>
      </c>
      <c r="AC149" s="21">
        <v>7.1400000000000006</v>
      </c>
      <c r="AD149" s="8">
        <f t="shared" si="32"/>
        <v>558.1</v>
      </c>
      <c r="AE149" s="25">
        <v>1.238</v>
      </c>
      <c r="AF149" s="25">
        <f t="shared" si="33"/>
        <v>172731.95</v>
      </c>
      <c r="AG149" s="25">
        <f t="shared" si="34"/>
        <v>231239.83000000002</v>
      </c>
      <c r="AH149" s="1">
        <f t="shared" si="24"/>
        <v>3521.9500000000003</v>
      </c>
      <c r="AI149" s="1">
        <f t="shared" si="25"/>
        <v>3545</v>
      </c>
      <c r="AJ149" s="1">
        <v>3735.11</v>
      </c>
      <c r="AK149" s="1">
        <f t="shared" si="26"/>
        <v>-213.15999999999985</v>
      </c>
      <c r="AL149" s="29">
        <f t="shared" si="35"/>
        <v>190.11000000000013</v>
      </c>
      <c r="AM149" s="11">
        <f t="shared" si="27"/>
        <v>2500740.6558750002</v>
      </c>
    </row>
    <row r="150" spans="1:39" x14ac:dyDescent="0.3">
      <c r="A150" s="39">
        <v>45813.520833333336</v>
      </c>
      <c r="B150" s="1">
        <v>1092.9100000000001</v>
      </c>
      <c r="C150" s="11">
        <v>3.2732000000000001</v>
      </c>
      <c r="D150" s="1">
        <v>679.76</v>
      </c>
      <c r="E150" s="11">
        <v>3.0760000000000001</v>
      </c>
      <c r="F150" s="1">
        <v>398.57</v>
      </c>
      <c r="G150" s="11">
        <v>3.53</v>
      </c>
      <c r="H150" s="1">
        <v>42.75</v>
      </c>
      <c r="I150" s="11">
        <v>1.99902</v>
      </c>
      <c r="J150" s="1">
        <v>312.06</v>
      </c>
      <c r="K150" s="11">
        <v>1.41422</v>
      </c>
      <c r="L150" s="1">
        <v>68.489999999999995</v>
      </c>
      <c r="M150" s="11">
        <v>6.2</v>
      </c>
      <c r="N150" s="1">
        <v>376.25</v>
      </c>
      <c r="O150" s="11">
        <v>2.8224999999999998</v>
      </c>
      <c r="P150" s="1">
        <f t="shared" si="28"/>
        <v>2970.79</v>
      </c>
      <c r="Q150" s="1">
        <v>2995</v>
      </c>
      <c r="R150" s="16">
        <f t="shared" si="29"/>
        <v>2272147.5238000001</v>
      </c>
      <c r="S150" s="1">
        <v>-130.63</v>
      </c>
      <c r="T150" s="1">
        <v>35.67</v>
      </c>
      <c r="U150" s="1">
        <v>12</v>
      </c>
      <c r="V150" s="1">
        <v>0</v>
      </c>
      <c r="W150" s="1" cm="1">
        <f t="array" ref="W150">SUM(ABS(S150:V150))</f>
        <v>178.3</v>
      </c>
      <c r="X150" s="25">
        <v>1.238</v>
      </c>
      <c r="Y150" s="42">
        <f t="shared" si="30"/>
        <v>55183.85</v>
      </c>
      <c r="Z150" s="20">
        <v>378.21000000000004</v>
      </c>
      <c r="AA150" s="20">
        <f t="shared" si="31"/>
        <v>556.51</v>
      </c>
      <c r="AB150" s="21">
        <v>194.52999999999997</v>
      </c>
      <c r="AC150" s="21">
        <v>7.6000000000000005</v>
      </c>
      <c r="AD150" s="8">
        <f t="shared" si="32"/>
        <v>580.34</v>
      </c>
      <c r="AE150" s="25">
        <v>1.238</v>
      </c>
      <c r="AF150" s="25">
        <f t="shared" si="33"/>
        <v>179615.23</v>
      </c>
      <c r="AG150" s="25">
        <f t="shared" si="34"/>
        <v>234799.08000000002</v>
      </c>
      <c r="AH150" s="1">
        <f t="shared" si="24"/>
        <v>3551.13</v>
      </c>
      <c r="AI150" s="1">
        <f t="shared" si="25"/>
        <v>3575.34</v>
      </c>
      <c r="AJ150" s="1">
        <v>3768.31</v>
      </c>
      <c r="AK150" s="1">
        <f t="shared" si="26"/>
        <v>-217.17999999999984</v>
      </c>
      <c r="AL150" s="29">
        <f t="shared" si="35"/>
        <v>192.9699999999998</v>
      </c>
      <c r="AM150" s="11">
        <f t="shared" si="27"/>
        <v>2506946.6038000002</v>
      </c>
    </row>
    <row r="151" spans="1:39" x14ac:dyDescent="0.3">
      <c r="A151" s="39">
        <v>45813.53125</v>
      </c>
      <c r="B151" s="1">
        <v>1090.17</v>
      </c>
      <c r="C151" s="11">
        <v>3.2732000000000001</v>
      </c>
      <c r="D151" s="1">
        <v>679.76</v>
      </c>
      <c r="E151" s="11">
        <v>3.0760000000000001</v>
      </c>
      <c r="F151" s="1">
        <v>398.57</v>
      </c>
      <c r="G151" s="11">
        <v>3.53</v>
      </c>
      <c r="H151" s="1">
        <v>43.08</v>
      </c>
      <c r="I151" s="11">
        <v>1.9990899999999998</v>
      </c>
      <c r="J151" s="1">
        <v>333.23</v>
      </c>
      <c r="K151" s="11">
        <v>1.34996</v>
      </c>
      <c r="L151" s="1">
        <v>67.44</v>
      </c>
      <c r="M151" s="11">
        <v>6.2</v>
      </c>
      <c r="N151" s="1">
        <v>376.19</v>
      </c>
      <c r="O151" s="11">
        <v>2.8224999999999998</v>
      </c>
      <c r="P151" s="1">
        <f t="shared" si="28"/>
        <v>2988.44</v>
      </c>
      <c r="Q151" s="1">
        <v>3160.04</v>
      </c>
      <c r="R151" s="16">
        <f t="shared" si="29"/>
        <v>2270532.6367500001</v>
      </c>
      <c r="S151" s="1">
        <v>-120.57</v>
      </c>
      <c r="T151" s="1">
        <v>35.590000000000003</v>
      </c>
      <c r="U151" s="1">
        <v>12</v>
      </c>
      <c r="V151" s="1">
        <v>0</v>
      </c>
      <c r="W151" s="1" cm="1">
        <f t="array" ref="W151">SUM(ABS(S151:V151))</f>
        <v>168.16</v>
      </c>
      <c r="X151" s="25">
        <v>1.238</v>
      </c>
      <c r="Y151" s="42">
        <f t="shared" si="30"/>
        <v>52045.52</v>
      </c>
      <c r="Z151" s="20">
        <v>263.33</v>
      </c>
      <c r="AA151" s="20">
        <f t="shared" si="31"/>
        <v>431.49</v>
      </c>
      <c r="AB151" s="21">
        <v>182.06000000000003</v>
      </c>
      <c r="AC151" s="21">
        <v>8.61</v>
      </c>
      <c r="AD151" s="8">
        <f t="shared" si="32"/>
        <v>454</v>
      </c>
      <c r="AE151" s="25">
        <v>1.238</v>
      </c>
      <c r="AF151" s="25">
        <f t="shared" si="33"/>
        <v>140513</v>
      </c>
      <c r="AG151" s="25">
        <f t="shared" si="34"/>
        <v>192558.52</v>
      </c>
      <c r="AH151" s="1">
        <f t="shared" si="24"/>
        <v>3442.44</v>
      </c>
      <c r="AI151" s="1">
        <f t="shared" si="25"/>
        <v>3614.04</v>
      </c>
      <c r="AJ151" s="1">
        <v>3798.31</v>
      </c>
      <c r="AK151" s="1">
        <f t="shared" si="26"/>
        <v>-355.86999999999989</v>
      </c>
      <c r="AL151" s="29">
        <f t="shared" si="35"/>
        <v>184.26999999999998</v>
      </c>
      <c r="AM151" s="11">
        <f t="shared" si="27"/>
        <v>2463091.1567500001</v>
      </c>
    </row>
    <row r="152" spans="1:39" x14ac:dyDescent="0.3">
      <c r="A152" s="39">
        <v>45813.541666666664</v>
      </c>
      <c r="B152" s="1">
        <v>1089.95</v>
      </c>
      <c r="C152" s="11">
        <v>3.2732000000000001</v>
      </c>
      <c r="D152" s="1">
        <v>679.76</v>
      </c>
      <c r="E152" s="11">
        <v>3.0760000000000001</v>
      </c>
      <c r="F152" s="1">
        <v>398.57</v>
      </c>
      <c r="G152" s="11">
        <v>3.53</v>
      </c>
      <c r="H152" s="1">
        <v>41.92</v>
      </c>
      <c r="I152" s="11">
        <v>1.9958199999999999</v>
      </c>
      <c r="J152" s="1">
        <v>43.72</v>
      </c>
      <c r="K152" s="11">
        <v>0.99990000000000001</v>
      </c>
      <c r="L152" s="1">
        <v>68.27</v>
      </c>
      <c r="M152" s="11">
        <v>6.2</v>
      </c>
      <c r="N152" s="1">
        <v>375.98</v>
      </c>
      <c r="O152" s="11">
        <v>2.8224999999999998</v>
      </c>
      <c r="P152" s="1">
        <f t="shared" si="28"/>
        <v>2698.17</v>
      </c>
      <c r="Q152" s="1">
        <v>3153.3</v>
      </c>
      <c r="R152" s="16">
        <f t="shared" si="29"/>
        <v>2169344.0381</v>
      </c>
      <c r="S152" s="1">
        <v>-121.1</v>
      </c>
      <c r="T152" s="1">
        <v>35.46</v>
      </c>
      <c r="U152" s="1">
        <v>12</v>
      </c>
      <c r="V152" s="1">
        <v>0</v>
      </c>
      <c r="W152" s="1" cm="1">
        <f t="array" ref="W152">SUM(ABS(S152:V152))</f>
        <v>168.56</v>
      </c>
      <c r="X152" s="25">
        <v>1.238</v>
      </c>
      <c r="Y152" s="42">
        <f t="shared" si="30"/>
        <v>52169.32</v>
      </c>
      <c r="Z152" s="20">
        <v>256.94</v>
      </c>
      <c r="AA152" s="20">
        <f t="shared" si="31"/>
        <v>425.5</v>
      </c>
      <c r="AB152" s="21">
        <v>184.5</v>
      </c>
      <c r="AC152" s="21">
        <v>7.78</v>
      </c>
      <c r="AD152" s="8">
        <f t="shared" si="32"/>
        <v>449.21999999999997</v>
      </c>
      <c r="AE152" s="25">
        <v>1.238</v>
      </c>
      <c r="AF152" s="25">
        <f t="shared" si="33"/>
        <v>139033.59</v>
      </c>
      <c r="AG152" s="25">
        <f t="shared" si="34"/>
        <v>191202.91</v>
      </c>
      <c r="AH152" s="1">
        <f t="shared" si="24"/>
        <v>3147.39</v>
      </c>
      <c r="AI152" s="1">
        <f t="shared" si="25"/>
        <v>3602.52</v>
      </c>
      <c r="AJ152" s="1">
        <v>3773.2</v>
      </c>
      <c r="AK152" s="1">
        <f t="shared" si="26"/>
        <v>-625.80999999999995</v>
      </c>
      <c r="AL152" s="29">
        <f t="shared" si="35"/>
        <v>170.67999999999984</v>
      </c>
      <c r="AM152" s="11">
        <f t="shared" si="27"/>
        <v>2360546.9481000002</v>
      </c>
    </row>
    <row r="153" spans="1:39" x14ac:dyDescent="0.3">
      <c r="A153" s="39">
        <v>45813.552083333336</v>
      </c>
      <c r="B153" s="1">
        <v>1089.95</v>
      </c>
      <c r="C153" s="11">
        <v>3.2732000000000001</v>
      </c>
      <c r="D153" s="1">
        <v>679.76</v>
      </c>
      <c r="E153" s="11">
        <v>3.0760000000000001</v>
      </c>
      <c r="F153" s="1">
        <v>398.57</v>
      </c>
      <c r="G153" s="11">
        <v>3.53</v>
      </c>
      <c r="H153" s="1">
        <v>40.94</v>
      </c>
      <c r="I153" s="11">
        <v>1.9990399999999999</v>
      </c>
      <c r="J153" s="1">
        <v>21.06</v>
      </c>
      <c r="K153" s="11">
        <v>1.008</v>
      </c>
      <c r="L153" s="1">
        <v>67.81</v>
      </c>
      <c r="M153" s="11">
        <v>6.2</v>
      </c>
      <c r="N153" s="1">
        <v>375.33</v>
      </c>
      <c r="O153" s="11">
        <v>2.8224999999999998</v>
      </c>
      <c r="P153" s="1">
        <f t="shared" si="28"/>
        <v>2673.42</v>
      </c>
      <c r="Q153" s="1">
        <v>2874.15</v>
      </c>
      <c r="R153" s="16">
        <f t="shared" si="29"/>
        <v>2162094.5756499995</v>
      </c>
      <c r="S153" s="1">
        <v>-258.17</v>
      </c>
      <c r="T153" s="1">
        <v>35.409999999999997</v>
      </c>
      <c r="U153" s="1">
        <v>12</v>
      </c>
      <c r="V153" s="1">
        <v>0</v>
      </c>
      <c r="W153" s="1" cm="1">
        <f t="array" ref="W153">SUM(ABS(S153:V153))</f>
        <v>305.58000000000004</v>
      </c>
      <c r="X153" s="25">
        <v>1.238</v>
      </c>
      <c r="Y153" s="42">
        <f t="shared" si="30"/>
        <v>94577.010000000009</v>
      </c>
      <c r="Z153" s="20">
        <v>387.32</v>
      </c>
      <c r="AA153" s="20">
        <f t="shared" si="31"/>
        <v>692.90000000000009</v>
      </c>
      <c r="AB153" s="21">
        <v>194.72</v>
      </c>
      <c r="AC153" s="21">
        <v>8.6399999999999988</v>
      </c>
      <c r="AD153" s="8">
        <f t="shared" si="32"/>
        <v>590.67999999999995</v>
      </c>
      <c r="AE153" s="25">
        <v>1.238</v>
      </c>
      <c r="AF153" s="25">
        <f t="shared" si="33"/>
        <v>182815.45999999996</v>
      </c>
      <c r="AG153" s="25">
        <f t="shared" si="34"/>
        <v>277392.46999999997</v>
      </c>
      <c r="AH153" s="1">
        <f t="shared" si="24"/>
        <v>3264.1</v>
      </c>
      <c r="AI153" s="1">
        <f t="shared" si="25"/>
        <v>3464.83</v>
      </c>
      <c r="AJ153" s="1">
        <v>3757.56</v>
      </c>
      <c r="AK153" s="1">
        <f t="shared" si="26"/>
        <v>-493.46000000000004</v>
      </c>
      <c r="AL153" s="29">
        <f t="shared" si="35"/>
        <v>292.73</v>
      </c>
      <c r="AM153" s="11">
        <f t="shared" si="27"/>
        <v>2439487.0456499998</v>
      </c>
    </row>
    <row r="154" spans="1:39" x14ac:dyDescent="0.3">
      <c r="A154" s="39">
        <v>45813.5625</v>
      </c>
      <c r="B154" s="1">
        <v>1089.95</v>
      </c>
      <c r="C154" s="11">
        <v>3.2732000000000001</v>
      </c>
      <c r="D154" s="1">
        <v>679.76</v>
      </c>
      <c r="E154" s="11">
        <v>3.0760000000000001</v>
      </c>
      <c r="F154" s="1">
        <v>398.57</v>
      </c>
      <c r="G154" s="11">
        <v>3.53</v>
      </c>
      <c r="H154" s="1">
        <v>40.86</v>
      </c>
      <c r="I154" s="11">
        <v>1.99929</v>
      </c>
      <c r="J154" s="1">
        <v>65.62</v>
      </c>
      <c r="K154" s="11">
        <v>1.34985</v>
      </c>
      <c r="L154" s="1">
        <v>67.22</v>
      </c>
      <c r="M154" s="11">
        <v>6.2</v>
      </c>
      <c r="N154" s="1">
        <v>387.77</v>
      </c>
      <c r="O154" s="11">
        <v>2.8224999999999998</v>
      </c>
      <c r="P154" s="1">
        <f t="shared" si="28"/>
        <v>2729.75</v>
      </c>
      <c r="Q154" s="1">
        <v>2699.63</v>
      </c>
      <c r="R154" s="16">
        <f t="shared" si="29"/>
        <v>2186757.7928499999</v>
      </c>
      <c r="S154" s="1">
        <v>-365.94</v>
      </c>
      <c r="T154" s="1">
        <v>35.46</v>
      </c>
      <c r="U154" s="1">
        <v>12</v>
      </c>
      <c r="V154" s="1">
        <v>0</v>
      </c>
      <c r="W154" s="1" cm="1">
        <f t="array" ref="W154">SUM(ABS(S154:V154))</f>
        <v>413.4</v>
      </c>
      <c r="X154" s="25">
        <v>1.238</v>
      </c>
      <c r="Y154" s="42">
        <f t="shared" si="30"/>
        <v>127947.3</v>
      </c>
      <c r="Z154" s="20">
        <v>470.12</v>
      </c>
      <c r="AA154" s="20">
        <f t="shared" si="31"/>
        <v>883.52</v>
      </c>
      <c r="AB154" s="21">
        <v>186.64</v>
      </c>
      <c r="AC154" s="21">
        <v>10.430000000000001</v>
      </c>
      <c r="AD154" s="8">
        <f t="shared" si="32"/>
        <v>667.18999999999994</v>
      </c>
      <c r="AE154" s="25">
        <v>1.238</v>
      </c>
      <c r="AF154" s="25">
        <f t="shared" si="33"/>
        <v>206495.30499999996</v>
      </c>
      <c r="AG154" s="25">
        <f t="shared" si="34"/>
        <v>334442.60499999998</v>
      </c>
      <c r="AH154" s="1">
        <f t="shared" si="24"/>
        <v>3396.94</v>
      </c>
      <c r="AI154" s="1">
        <f t="shared" si="25"/>
        <v>3366.82</v>
      </c>
      <c r="AJ154" s="1">
        <v>3791.39</v>
      </c>
      <c r="AK154" s="1">
        <f t="shared" si="26"/>
        <v>-394.44999999999982</v>
      </c>
      <c r="AL154" s="29">
        <f t="shared" si="35"/>
        <v>424.56999999999971</v>
      </c>
      <c r="AM154" s="11">
        <f t="shared" si="27"/>
        <v>2521200.3978499998</v>
      </c>
    </row>
    <row r="155" spans="1:39" x14ac:dyDescent="0.3">
      <c r="A155" s="39">
        <v>45813.572916666664</v>
      </c>
      <c r="B155" s="1">
        <v>1089.95</v>
      </c>
      <c r="C155" s="11">
        <v>3.2732000000000001</v>
      </c>
      <c r="D155" s="1">
        <v>679.76</v>
      </c>
      <c r="E155" s="11">
        <v>3.0760000000000001</v>
      </c>
      <c r="F155" s="1">
        <v>398.57</v>
      </c>
      <c r="G155" s="11">
        <v>3.53</v>
      </c>
      <c r="H155" s="1">
        <v>41.76</v>
      </c>
      <c r="I155" s="11">
        <v>1.99942</v>
      </c>
      <c r="J155" s="1">
        <v>114.16</v>
      </c>
      <c r="K155" s="11">
        <v>1.58948</v>
      </c>
      <c r="L155" s="1">
        <v>68.25</v>
      </c>
      <c r="M155" s="11">
        <v>6.2</v>
      </c>
      <c r="N155" s="1">
        <v>390.82</v>
      </c>
      <c r="O155" s="11">
        <v>2.8224999999999998</v>
      </c>
      <c r="P155" s="1">
        <f t="shared" si="28"/>
        <v>2783.2700000000004</v>
      </c>
      <c r="Q155" s="1">
        <v>2806.35</v>
      </c>
      <c r="R155" s="16">
        <f t="shared" si="29"/>
        <v>2214177.1165</v>
      </c>
      <c r="S155" s="1">
        <v>-324.13</v>
      </c>
      <c r="T155" s="1">
        <v>35.49</v>
      </c>
      <c r="U155" s="1">
        <v>12</v>
      </c>
      <c r="V155" s="1">
        <v>0</v>
      </c>
      <c r="W155" s="1" cm="1">
        <f t="array" ref="W155">SUM(ABS(S155:V155))</f>
        <v>371.62</v>
      </c>
      <c r="X155" s="25">
        <v>1.238</v>
      </c>
      <c r="Y155" s="42">
        <f t="shared" si="30"/>
        <v>115016.39</v>
      </c>
      <c r="Z155" s="20">
        <v>469.65999999999997</v>
      </c>
      <c r="AA155" s="20">
        <f t="shared" si="31"/>
        <v>841.28</v>
      </c>
      <c r="AB155" s="21">
        <v>182.72</v>
      </c>
      <c r="AC155" s="21">
        <v>9.3699999999999992</v>
      </c>
      <c r="AD155" s="8">
        <f t="shared" si="32"/>
        <v>661.75</v>
      </c>
      <c r="AE155" s="25">
        <v>1.238</v>
      </c>
      <c r="AF155" s="25">
        <f t="shared" si="33"/>
        <v>204811.625</v>
      </c>
      <c r="AG155" s="25">
        <f t="shared" si="34"/>
        <v>319828.01500000001</v>
      </c>
      <c r="AH155" s="1">
        <f t="shared" si="24"/>
        <v>3445.0200000000004</v>
      </c>
      <c r="AI155" s="1">
        <f t="shared" si="25"/>
        <v>3468.1</v>
      </c>
      <c r="AJ155" s="1">
        <v>3849.31</v>
      </c>
      <c r="AK155" s="1">
        <f t="shared" si="26"/>
        <v>-404.28999999999951</v>
      </c>
      <c r="AL155" s="29">
        <f t="shared" si="35"/>
        <v>381.21000000000004</v>
      </c>
      <c r="AM155" s="11">
        <f t="shared" si="27"/>
        <v>2534005.1315000001</v>
      </c>
    </row>
    <row r="156" spans="1:39" x14ac:dyDescent="0.3">
      <c r="A156" s="39">
        <v>45813.583333333336</v>
      </c>
      <c r="B156" s="1">
        <v>1089.95</v>
      </c>
      <c r="C156" s="11">
        <v>3.2732000000000001</v>
      </c>
      <c r="D156" s="1">
        <v>679.76</v>
      </c>
      <c r="E156" s="11">
        <v>3.0760000000000001</v>
      </c>
      <c r="F156" s="1">
        <v>398.57</v>
      </c>
      <c r="G156" s="11">
        <v>3.53</v>
      </c>
      <c r="H156" s="1">
        <v>69.64</v>
      </c>
      <c r="I156" s="11">
        <v>2.39547</v>
      </c>
      <c r="J156" s="1">
        <v>274.8</v>
      </c>
      <c r="K156" s="11">
        <v>1.79419</v>
      </c>
      <c r="L156" s="1">
        <v>38.659999999999997</v>
      </c>
      <c r="M156" s="11">
        <v>6.2</v>
      </c>
      <c r="N156" s="1">
        <v>425.89</v>
      </c>
      <c r="O156" s="11">
        <v>2.8224999999999998</v>
      </c>
      <c r="P156" s="1">
        <f t="shared" si="28"/>
        <v>2977.27</v>
      </c>
      <c r="Q156" s="1">
        <v>2989.73</v>
      </c>
      <c r="R156" s="16">
        <f t="shared" si="29"/>
        <v>2291787.16695</v>
      </c>
      <c r="S156" s="1">
        <v>-238.88</v>
      </c>
      <c r="T156" s="1">
        <v>35.520000000000003</v>
      </c>
      <c r="U156" s="1">
        <v>12</v>
      </c>
      <c r="V156" s="1">
        <v>0</v>
      </c>
      <c r="W156" s="1" cm="1">
        <f t="array" ref="W156">SUM(ABS(S156:V156))</f>
        <v>286.39999999999998</v>
      </c>
      <c r="X156" s="25">
        <v>1.238</v>
      </c>
      <c r="Y156" s="42">
        <f t="shared" si="30"/>
        <v>88640.8</v>
      </c>
      <c r="Z156" s="20">
        <v>469.24</v>
      </c>
      <c r="AA156" s="20">
        <f t="shared" si="31"/>
        <v>755.64</v>
      </c>
      <c r="AB156" s="21">
        <v>177.91</v>
      </c>
      <c r="AC156" s="21">
        <v>9.76</v>
      </c>
      <c r="AD156" s="8">
        <f t="shared" si="32"/>
        <v>656.91</v>
      </c>
      <c r="AE156" s="25">
        <v>1.238</v>
      </c>
      <c r="AF156" s="25">
        <f t="shared" si="33"/>
        <v>203313.64499999999</v>
      </c>
      <c r="AG156" s="25">
        <f t="shared" si="34"/>
        <v>291954.44500000001</v>
      </c>
      <c r="AH156" s="1">
        <f t="shared" si="24"/>
        <v>3634.18</v>
      </c>
      <c r="AI156" s="1">
        <f t="shared" si="25"/>
        <v>3646.64</v>
      </c>
      <c r="AJ156" s="1">
        <v>3946.28</v>
      </c>
      <c r="AK156" s="1">
        <f t="shared" si="26"/>
        <v>-312.10000000000036</v>
      </c>
      <c r="AL156" s="29">
        <f t="shared" si="35"/>
        <v>299.64000000000033</v>
      </c>
      <c r="AM156" s="11">
        <f t="shared" si="27"/>
        <v>2583741.6119499998</v>
      </c>
    </row>
    <row r="157" spans="1:39" x14ac:dyDescent="0.3">
      <c r="A157" s="39">
        <v>45813.59375</v>
      </c>
      <c r="B157" s="1">
        <v>1089.95</v>
      </c>
      <c r="C157" s="11">
        <v>3.2732000000000001</v>
      </c>
      <c r="D157" s="1">
        <v>679.76</v>
      </c>
      <c r="E157" s="11">
        <v>3.0760000000000001</v>
      </c>
      <c r="F157" s="1">
        <v>398.57</v>
      </c>
      <c r="G157" s="11">
        <v>3.53</v>
      </c>
      <c r="H157" s="1">
        <v>72.84</v>
      </c>
      <c r="I157" s="11">
        <v>2.39595</v>
      </c>
      <c r="J157" s="1">
        <v>308.94</v>
      </c>
      <c r="K157" s="11">
        <v>2.01071</v>
      </c>
      <c r="L157" s="1">
        <v>36.11</v>
      </c>
      <c r="M157" s="11">
        <v>6.2</v>
      </c>
      <c r="N157" s="1">
        <v>418.21</v>
      </c>
      <c r="O157" s="11">
        <v>2.8224999999999998</v>
      </c>
      <c r="P157" s="1">
        <f t="shared" si="28"/>
        <v>3004.3800000000006</v>
      </c>
      <c r="Q157" s="1">
        <v>3047.49</v>
      </c>
      <c r="R157" s="16">
        <f t="shared" si="29"/>
        <v>2316376.9175999998</v>
      </c>
      <c r="S157" s="1">
        <v>-307.19</v>
      </c>
      <c r="T157" s="1">
        <v>35.51</v>
      </c>
      <c r="U157" s="1">
        <v>12</v>
      </c>
      <c r="V157" s="1">
        <v>0</v>
      </c>
      <c r="W157" s="1" cm="1">
        <f t="array" ref="W157">SUM(ABS(S157:V157))</f>
        <v>354.7</v>
      </c>
      <c r="X157" s="25">
        <v>1.238</v>
      </c>
      <c r="Y157" s="42">
        <f t="shared" si="30"/>
        <v>109779.65</v>
      </c>
      <c r="Z157" s="20">
        <v>466.54999999999995</v>
      </c>
      <c r="AA157" s="20">
        <f t="shared" si="31"/>
        <v>821.25</v>
      </c>
      <c r="AB157" s="21">
        <v>173.56999999999996</v>
      </c>
      <c r="AC157" s="21">
        <v>10.27</v>
      </c>
      <c r="AD157" s="8">
        <f t="shared" si="32"/>
        <v>650.38999999999987</v>
      </c>
      <c r="AE157" s="25">
        <v>1.238</v>
      </c>
      <c r="AF157" s="25">
        <f t="shared" si="33"/>
        <v>201295.70499999996</v>
      </c>
      <c r="AG157" s="25">
        <f t="shared" si="34"/>
        <v>311075.35499999998</v>
      </c>
      <c r="AH157" s="1">
        <f t="shared" si="24"/>
        <v>3654.7700000000004</v>
      </c>
      <c r="AI157" s="1">
        <f t="shared" si="25"/>
        <v>3697.8799999999997</v>
      </c>
      <c r="AJ157" s="1">
        <v>4062.59</v>
      </c>
      <c r="AK157" s="1">
        <f t="shared" si="26"/>
        <v>-407.81999999999971</v>
      </c>
      <c r="AL157" s="29">
        <f t="shared" si="35"/>
        <v>364.71000000000049</v>
      </c>
      <c r="AM157" s="11">
        <f t="shared" si="27"/>
        <v>2627452.2725999998</v>
      </c>
    </row>
    <row r="158" spans="1:39" x14ac:dyDescent="0.3">
      <c r="A158" s="39">
        <v>45813.604166666664</v>
      </c>
      <c r="B158" s="1">
        <v>1089.95</v>
      </c>
      <c r="C158" s="11">
        <v>3.2732000000000001</v>
      </c>
      <c r="D158" s="1">
        <v>679.76</v>
      </c>
      <c r="E158" s="11">
        <v>3.0760000000000001</v>
      </c>
      <c r="F158" s="1">
        <v>398.57</v>
      </c>
      <c r="G158" s="11">
        <v>3.53</v>
      </c>
      <c r="H158" s="1">
        <v>72.91</v>
      </c>
      <c r="I158" s="11">
        <v>2.3959000000000001</v>
      </c>
      <c r="J158" s="1">
        <v>218.94</v>
      </c>
      <c r="K158" s="11">
        <v>2.90387</v>
      </c>
      <c r="L158" s="1">
        <v>35.57</v>
      </c>
      <c r="M158" s="11">
        <v>6.2</v>
      </c>
      <c r="N158" s="1">
        <v>396.48</v>
      </c>
      <c r="O158" s="11">
        <v>2.8224999999999998</v>
      </c>
      <c r="P158" s="1">
        <f t="shared" si="28"/>
        <v>2892.1800000000003</v>
      </c>
      <c r="Q158" s="1">
        <v>2958.85</v>
      </c>
      <c r="R158" s="16">
        <f t="shared" si="29"/>
        <v>2303893.8416999998</v>
      </c>
      <c r="S158" s="1">
        <v>-485.84</v>
      </c>
      <c r="T158" s="1">
        <v>35.53</v>
      </c>
      <c r="U158" s="1">
        <v>12</v>
      </c>
      <c r="V158" s="1">
        <v>0</v>
      </c>
      <c r="W158" s="1" cm="1">
        <f t="array" ref="W158">SUM(ABS(S158:V158))</f>
        <v>533.37</v>
      </c>
      <c r="X158" s="25">
        <v>1.238</v>
      </c>
      <c r="Y158" s="42">
        <f t="shared" si="30"/>
        <v>165078.01499999998</v>
      </c>
      <c r="Z158" s="20">
        <v>477.27</v>
      </c>
      <c r="AA158" s="20">
        <f t="shared" si="31"/>
        <v>1010.64</v>
      </c>
      <c r="AB158" s="21">
        <v>167.08</v>
      </c>
      <c r="AC158" s="21">
        <v>12.21</v>
      </c>
      <c r="AD158" s="8">
        <f t="shared" si="32"/>
        <v>656.56000000000006</v>
      </c>
      <c r="AE158" s="25">
        <v>1.238</v>
      </c>
      <c r="AF158" s="25">
        <f t="shared" si="33"/>
        <v>203205.32000000004</v>
      </c>
      <c r="AG158" s="25">
        <f t="shared" si="34"/>
        <v>368283.33500000002</v>
      </c>
      <c r="AH158" s="1">
        <f t="shared" si="24"/>
        <v>3548.7400000000002</v>
      </c>
      <c r="AI158" s="1">
        <f t="shared" si="25"/>
        <v>3615.41</v>
      </c>
      <c r="AJ158" s="1">
        <v>4151.6899999999996</v>
      </c>
      <c r="AK158" s="1">
        <f t="shared" si="26"/>
        <v>-602.94999999999936</v>
      </c>
      <c r="AL158" s="29">
        <f t="shared" si="35"/>
        <v>536.27999999999975</v>
      </c>
      <c r="AM158" s="11">
        <f t="shared" si="27"/>
        <v>2672177.1766999997</v>
      </c>
    </row>
    <row r="159" spans="1:39" x14ac:dyDescent="0.3">
      <c r="A159" s="39">
        <v>45813.614583333336</v>
      </c>
      <c r="B159" s="1">
        <v>1088.33</v>
      </c>
      <c r="C159" s="11">
        <v>3.2732000000000001</v>
      </c>
      <c r="D159" s="1">
        <v>679.76</v>
      </c>
      <c r="E159" s="11">
        <v>3.0760000000000001</v>
      </c>
      <c r="F159" s="1">
        <v>398.57</v>
      </c>
      <c r="G159" s="11">
        <v>3.53</v>
      </c>
      <c r="H159" s="1">
        <v>72.91</v>
      </c>
      <c r="I159" s="11">
        <v>2.5002800000000001</v>
      </c>
      <c r="J159" s="1">
        <v>32.25</v>
      </c>
      <c r="K159" s="11">
        <v>3.0942500000000002</v>
      </c>
      <c r="L159" s="1">
        <v>35.520000000000003</v>
      </c>
      <c r="M159" s="11">
        <v>6.2</v>
      </c>
      <c r="N159" s="1">
        <v>380.13</v>
      </c>
      <c r="O159" s="11">
        <v>2.8224999999999998</v>
      </c>
      <c r="P159" s="1">
        <f t="shared" si="28"/>
        <v>2687.47</v>
      </c>
      <c r="Q159" s="1">
        <v>2787.94</v>
      </c>
      <c r="R159" s="16">
        <f t="shared" si="29"/>
        <v>2158860.3795750001</v>
      </c>
      <c r="S159" s="1">
        <v>-695.32</v>
      </c>
      <c r="T159" s="1">
        <v>35.51</v>
      </c>
      <c r="U159" s="1">
        <v>12</v>
      </c>
      <c r="V159" s="1">
        <v>0</v>
      </c>
      <c r="W159" s="1" cm="1">
        <f t="array" ref="W159">SUM(ABS(S159:V159))</f>
        <v>742.83</v>
      </c>
      <c r="X159" s="25">
        <v>1.238</v>
      </c>
      <c r="Y159" s="42">
        <f t="shared" si="30"/>
        <v>229905.88500000001</v>
      </c>
      <c r="Z159" s="20">
        <v>512.64</v>
      </c>
      <c r="AA159" s="20">
        <f t="shared" si="31"/>
        <v>1255.47</v>
      </c>
      <c r="AB159" s="21">
        <v>158.63</v>
      </c>
      <c r="AC159" s="21">
        <v>12.080000000000002</v>
      </c>
      <c r="AD159" s="8">
        <f t="shared" si="32"/>
        <v>683.35</v>
      </c>
      <c r="AE159" s="25">
        <v>1.238</v>
      </c>
      <c r="AF159" s="25">
        <f t="shared" si="33"/>
        <v>211496.82500000001</v>
      </c>
      <c r="AG159" s="25">
        <f t="shared" si="34"/>
        <v>441402.71</v>
      </c>
      <c r="AH159" s="1">
        <f t="shared" si="24"/>
        <v>3370.8199999999997</v>
      </c>
      <c r="AI159" s="1">
        <f t="shared" si="25"/>
        <v>3471.29</v>
      </c>
      <c r="AJ159" s="1">
        <v>4213.74</v>
      </c>
      <c r="AK159" s="1">
        <f t="shared" si="26"/>
        <v>-842.92000000000007</v>
      </c>
      <c r="AL159" s="29">
        <f t="shared" si="35"/>
        <v>742.44999999999982</v>
      </c>
      <c r="AM159" s="11">
        <f t="shared" si="27"/>
        <v>2600263.0895750001</v>
      </c>
    </row>
    <row r="160" spans="1:39" x14ac:dyDescent="0.3">
      <c r="A160" s="39">
        <v>45813.625</v>
      </c>
      <c r="B160" s="1">
        <v>1177.6500000000001</v>
      </c>
      <c r="C160" s="11">
        <v>3.2732000000000001</v>
      </c>
      <c r="D160" s="1">
        <v>679.76</v>
      </c>
      <c r="E160" s="11">
        <v>3.0760000000000001</v>
      </c>
      <c r="F160" s="1">
        <v>398.57</v>
      </c>
      <c r="G160" s="11">
        <v>3.53</v>
      </c>
      <c r="H160" s="1">
        <v>66.2</v>
      </c>
      <c r="I160" s="11">
        <v>2.8004000000000002</v>
      </c>
      <c r="J160" s="1">
        <v>89.32</v>
      </c>
      <c r="K160" s="11">
        <v>2.9030500000000004</v>
      </c>
      <c r="L160" s="1">
        <v>17.100000000000001</v>
      </c>
      <c r="M160" s="11">
        <v>6.2</v>
      </c>
      <c r="N160" s="1">
        <v>356.9</v>
      </c>
      <c r="O160" s="11">
        <v>2.8224999999999998</v>
      </c>
      <c r="P160" s="1">
        <f t="shared" si="28"/>
        <v>2785.5</v>
      </c>
      <c r="Q160" s="1">
        <v>3007.31</v>
      </c>
      <c r="R160" s="16">
        <f t="shared" si="29"/>
        <v>2227658.7490000003</v>
      </c>
      <c r="S160" s="1">
        <v>-558.94000000000005</v>
      </c>
      <c r="T160" s="1">
        <v>35.5</v>
      </c>
      <c r="U160" s="1">
        <v>12</v>
      </c>
      <c r="V160" s="1">
        <v>0</v>
      </c>
      <c r="W160" s="1" cm="1">
        <f t="array" ref="W160">SUM(ABS(S160:V160))</f>
        <v>606.44000000000005</v>
      </c>
      <c r="X160" s="25">
        <v>1.238</v>
      </c>
      <c r="Y160" s="42">
        <f t="shared" si="30"/>
        <v>187693.18000000002</v>
      </c>
      <c r="Z160" s="20">
        <v>488.58</v>
      </c>
      <c r="AA160" s="20">
        <f t="shared" si="31"/>
        <v>1095.02</v>
      </c>
      <c r="AB160" s="21">
        <v>149.38999999999999</v>
      </c>
      <c r="AC160" s="21">
        <v>12.469999999999999</v>
      </c>
      <c r="AD160" s="8">
        <f t="shared" si="32"/>
        <v>650.44000000000005</v>
      </c>
      <c r="AE160" s="25">
        <v>1.238</v>
      </c>
      <c r="AF160" s="25">
        <f t="shared" si="33"/>
        <v>201311.18</v>
      </c>
      <c r="AG160" s="25">
        <f t="shared" si="34"/>
        <v>389004.36</v>
      </c>
      <c r="AH160" s="1">
        <f t="shared" si="24"/>
        <v>3435.94</v>
      </c>
      <c r="AI160" s="1">
        <f t="shared" si="25"/>
        <v>3657.75</v>
      </c>
      <c r="AJ160" s="1">
        <v>4274.8999999999996</v>
      </c>
      <c r="AK160" s="1">
        <f t="shared" si="26"/>
        <v>-838.95999999999958</v>
      </c>
      <c r="AL160" s="29">
        <f t="shared" si="35"/>
        <v>617.14999999999964</v>
      </c>
      <c r="AM160" s="11">
        <f t="shared" si="27"/>
        <v>2616663.1090000002</v>
      </c>
    </row>
    <row r="161" spans="1:39" x14ac:dyDescent="0.3">
      <c r="A161" s="39">
        <v>45813.635416666664</v>
      </c>
      <c r="B161" s="1">
        <v>1229.57</v>
      </c>
      <c r="C161" s="11">
        <v>3.2732000000000001</v>
      </c>
      <c r="D161" s="1">
        <v>679.76</v>
      </c>
      <c r="E161" s="11">
        <v>3.0760000000000001</v>
      </c>
      <c r="F161" s="1">
        <v>398.57</v>
      </c>
      <c r="G161" s="11">
        <v>3.53</v>
      </c>
      <c r="H161" s="1">
        <v>71.59</v>
      </c>
      <c r="I161" s="11">
        <v>2.8497199999999996</v>
      </c>
      <c r="J161" s="1">
        <v>95</v>
      </c>
      <c r="K161" s="11">
        <v>2.8432499999999998</v>
      </c>
      <c r="L161" s="1">
        <v>9.4499999999999993</v>
      </c>
      <c r="M161" s="11">
        <v>6.2</v>
      </c>
      <c r="N161" s="1">
        <v>341.21</v>
      </c>
      <c r="O161" s="11">
        <v>2.8224999999999998</v>
      </c>
      <c r="P161" s="1">
        <f t="shared" si="28"/>
        <v>2825.15</v>
      </c>
      <c r="Q161" s="1">
        <v>2958.8</v>
      </c>
      <c r="R161" s="16">
        <f t="shared" si="29"/>
        <v>2254574.4534499999</v>
      </c>
      <c r="S161" s="1">
        <v>-655.99</v>
      </c>
      <c r="T161" s="1">
        <v>35.51</v>
      </c>
      <c r="U161" s="1">
        <v>12</v>
      </c>
      <c r="V161" s="1">
        <v>0</v>
      </c>
      <c r="W161" s="1" cm="1">
        <f t="array" ref="W161">SUM(ABS(S161:V161))</f>
        <v>703.5</v>
      </c>
      <c r="X161" s="25">
        <v>1.238</v>
      </c>
      <c r="Y161" s="42">
        <f t="shared" si="30"/>
        <v>217733.25</v>
      </c>
      <c r="Z161" s="20">
        <v>504.50000000000006</v>
      </c>
      <c r="AA161" s="20">
        <f t="shared" si="31"/>
        <v>1208</v>
      </c>
      <c r="AB161" s="21">
        <v>140.03</v>
      </c>
      <c r="AC161" s="21">
        <v>11.38</v>
      </c>
      <c r="AD161" s="8">
        <f t="shared" si="32"/>
        <v>655.91000000000008</v>
      </c>
      <c r="AE161" s="25">
        <v>1.238</v>
      </c>
      <c r="AF161" s="25">
        <f t="shared" si="33"/>
        <v>203004.14500000002</v>
      </c>
      <c r="AG161" s="25">
        <f t="shared" si="34"/>
        <v>420737.39500000002</v>
      </c>
      <c r="AH161" s="1">
        <f t="shared" si="24"/>
        <v>3481.0600000000004</v>
      </c>
      <c r="AI161" s="1">
        <f t="shared" si="25"/>
        <v>3614.71</v>
      </c>
      <c r="AJ161" s="1">
        <v>4316.1000000000004</v>
      </c>
      <c r="AK161" s="1">
        <f t="shared" si="26"/>
        <v>-835.04</v>
      </c>
      <c r="AL161" s="29">
        <f t="shared" si="35"/>
        <v>701.39000000000033</v>
      </c>
      <c r="AM161" s="11">
        <f t="shared" si="27"/>
        <v>2675311.8484499999</v>
      </c>
    </row>
    <row r="162" spans="1:39" x14ac:dyDescent="0.3">
      <c r="A162" s="39">
        <v>45813.645833333336</v>
      </c>
      <c r="B162" s="1">
        <v>1331.12</v>
      </c>
      <c r="C162" s="11">
        <v>3.2732000000000001</v>
      </c>
      <c r="D162" s="1">
        <v>679.76</v>
      </c>
      <c r="E162" s="11">
        <v>3.0760000000000001</v>
      </c>
      <c r="F162" s="1">
        <v>398.57</v>
      </c>
      <c r="G162" s="11">
        <v>3.53</v>
      </c>
      <c r="H162" s="1">
        <v>76.64</v>
      </c>
      <c r="I162" s="11">
        <v>2.9025799999999999</v>
      </c>
      <c r="J162" s="1">
        <v>40.49</v>
      </c>
      <c r="K162" s="11">
        <v>3.1026199999999999</v>
      </c>
      <c r="L162" s="1">
        <v>2.4</v>
      </c>
      <c r="M162" s="11">
        <v>6.2</v>
      </c>
      <c r="N162" s="1">
        <v>315.63</v>
      </c>
      <c r="O162" s="11">
        <v>2.8224999999999998</v>
      </c>
      <c r="P162" s="1">
        <f t="shared" si="28"/>
        <v>2844.6099999999997</v>
      </c>
      <c r="Q162" s="1">
        <v>2932.98</v>
      </c>
      <c r="R162" s="16">
        <f t="shared" si="29"/>
        <v>2277185.0835000002</v>
      </c>
      <c r="S162" s="1">
        <v>-719.96</v>
      </c>
      <c r="T162" s="1">
        <v>35.520000000000003</v>
      </c>
      <c r="U162" s="1">
        <v>12</v>
      </c>
      <c r="V162" s="1">
        <v>0</v>
      </c>
      <c r="W162" s="1" cm="1">
        <f t="array" ref="W162">SUM(ABS(S162:V162))</f>
        <v>767.48</v>
      </c>
      <c r="X162" s="25">
        <v>1.238</v>
      </c>
      <c r="Y162" s="42">
        <f t="shared" si="30"/>
        <v>237535.06000000003</v>
      </c>
      <c r="Z162" s="20">
        <v>509.2</v>
      </c>
      <c r="AA162" s="20">
        <f t="shared" si="31"/>
        <v>1276.68</v>
      </c>
      <c r="AB162" s="21">
        <v>129.19999999999999</v>
      </c>
      <c r="AC162" s="21">
        <v>11.240000000000002</v>
      </c>
      <c r="AD162" s="8">
        <f t="shared" si="32"/>
        <v>649.64</v>
      </c>
      <c r="AE162" s="25">
        <v>1.238</v>
      </c>
      <c r="AF162" s="25">
        <f t="shared" si="33"/>
        <v>201063.58000000002</v>
      </c>
      <c r="AG162" s="25">
        <f t="shared" si="34"/>
        <v>438598.64</v>
      </c>
      <c r="AH162" s="1">
        <f t="shared" si="24"/>
        <v>3494.2499999999995</v>
      </c>
      <c r="AI162" s="1">
        <f t="shared" si="25"/>
        <v>3582.62</v>
      </c>
      <c r="AJ162" s="1">
        <v>4350.3100000000004</v>
      </c>
      <c r="AK162" s="1">
        <f t="shared" si="26"/>
        <v>-856.06000000000085</v>
      </c>
      <c r="AL162" s="29">
        <f t="shared" si="35"/>
        <v>767.69000000000051</v>
      </c>
      <c r="AM162" s="11">
        <f t="shared" si="27"/>
        <v>2715783.7235000003</v>
      </c>
    </row>
    <row r="163" spans="1:39" x14ac:dyDescent="0.3">
      <c r="A163" s="39">
        <v>45813.65625</v>
      </c>
      <c r="B163" s="1">
        <v>1375.95</v>
      </c>
      <c r="C163" s="11">
        <v>3.2732000000000001</v>
      </c>
      <c r="D163" s="1">
        <v>679.76</v>
      </c>
      <c r="E163" s="11">
        <v>3.0760000000000001</v>
      </c>
      <c r="F163" s="1">
        <v>398.57</v>
      </c>
      <c r="G163" s="11">
        <v>3.53</v>
      </c>
      <c r="H163" s="1">
        <v>76.78</v>
      </c>
      <c r="I163" s="11">
        <v>2.90225</v>
      </c>
      <c r="J163" s="1">
        <v>21.36</v>
      </c>
      <c r="K163" s="11">
        <v>3.1676700000000002</v>
      </c>
      <c r="L163" s="1">
        <v>1.93</v>
      </c>
      <c r="M163" s="11">
        <v>6.2</v>
      </c>
      <c r="N163" s="1">
        <v>295.16000000000003</v>
      </c>
      <c r="O163" s="11">
        <v>2.8224999999999998</v>
      </c>
      <c r="P163" s="1">
        <f t="shared" si="28"/>
        <v>2849.51</v>
      </c>
      <c r="Q163" s="1">
        <v>2982.43</v>
      </c>
      <c r="R163" s="16">
        <f t="shared" si="29"/>
        <v>2284301.1715500001</v>
      </c>
      <c r="S163" s="1">
        <v>-718.56</v>
      </c>
      <c r="T163" s="1">
        <v>35.54</v>
      </c>
      <c r="U163" s="1">
        <v>12</v>
      </c>
      <c r="V163" s="1">
        <v>0</v>
      </c>
      <c r="W163" s="1" cm="1">
        <f t="array" ref="W163">SUM(ABS(S163:V163))</f>
        <v>766.09999999999991</v>
      </c>
      <c r="X163" s="25">
        <v>1.238</v>
      </c>
      <c r="Y163" s="42">
        <f t="shared" si="30"/>
        <v>237107.94999999995</v>
      </c>
      <c r="Z163" s="20">
        <v>513.70999999999992</v>
      </c>
      <c r="AA163" s="20">
        <f t="shared" si="31"/>
        <v>1279.81</v>
      </c>
      <c r="AB163" s="21">
        <v>116.83</v>
      </c>
      <c r="AC163" s="21">
        <v>10.98</v>
      </c>
      <c r="AD163" s="8">
        <f t="shared" si="32"/>
        <v>641.52</v>
      </c>
      <c r="AE163" s="25">
        <v>1.238</v>
      </c>
      <c r="AF163" s="25">
        <f t="shared" si="33"/>
        <v>198550.43999999997</v>
      </c>
      <c r="AG163" s="25">
        <f t="shared" si="34"/>
        <v>435658.3899999999</v>
      </c>
      <c r="AH163" s="1">
        <f t="shared" si="24"/>
        <v>3491.03</v>
      </c>
      <c r="AI163" s="1">
        <f t="shared" si="25"/>
        <v>3623.95</v>
      </c>
      <c r="AJ163" s="1">
        <v>4392.16</v>
      </c>
      <c r="AK163" s="1">
        <f t="shared" si="26"/>
        <v>-901.12999999999965</v>
      </c>
      <c r="AL163" s="29">
        <f t="shared" si="35"/>
        <v>768.21</v>
      </c>
      <c r="AM163" s="11">
        <f t="shared" si="27"/>
        <v>2719959.5615499998</v>
      </c>
    </row>
    <row r="164" spans="1:39" x14ac:dyDescent="0.3">
      <c r="A164" s="39">
        <v>45813.666666666664</v>
      </c>
      <c r="B164" s="1">
        <v>1303.5999999999999</v>
      </c>
      <c r="C164" s="11">
        <v>3.2732000000000001</v>
      </c>
      <c r="D164" s="1">
        <v>679.76</v>
      </c>
      <c r="E164" s="11">
        <v>3.0760000000000001</v>
      </c>
      <c r="F164" s="1">
        <v>694.47</v>
      </c>
      <c r="G164" s="11">
        <v>3.53</v>
      </c>
      <c r="H164" s="1">
        <v>76.86</v>
      </c>
      <c r="I164" s="11">
        <v>2.90225</v>
      </c>
      <c r="J164" s="1">
        <v>64.13</v>
      </c>
      <c r="K164" s="11">
        <v>2.9035600000000001</v>
      </c>
      <c r="L164" s="1">
        <v>0.15</v>
      </c>
      <c r="M164" s="11">
        <v>6.2</v>
      </c>
      <c r="N164" s="1">
        <v>249.48</v>
      </c>
      <c r="O164" s="11">
        <v>2.8224999999999998</v>
      </c>
      <c r="P164" s="1">
        <f t="shared" si="28"/>
        <v>3068.4500000000003</v>
      </c>
      <c r="Q164" s="1">
        <v>3055.94</v>
      </c>
      <c r="R164" s="16">
        <f t="shared" si="29"/>
        <v>2480930.9794500005</v>
      </c>
      <c r="S164" s="1">
        <v>-607.32000000000005</v>
      </c>
      <c r="T164" s="1">
        <v>35.549999999999997</v>
      </c>
      <c r="U164" s="1">
        <v>12</v>
      </c>
      <c r="V164" s="1">
        <v>0</v>
      </c>
      <c r="W164" s="1" cm="1">
        <f t="array" ref="W164">SUM(ABS(S164:V164))</f>
        <v>654.87</v>
      </c>
      <c r="X164" s="25">
        <v>1.238</v>
      </c>
      <c r="Y164" s="42">
        <f t="shared" si="30"/>
        <v>202682.26500000001</v>
      </c>
      <c r="Z164" s="20">
        <v>539.59999999999991</v>
      </c>
      <c r="AA164" s="20">
        <f t="shared" si="31"/>
        <v>1194.4699999999998</v>
      </c>
      <c r="AB164" s="21">
        <v>104.49999999999999</v>
      </c>
      <c r="AC164" s="21">
        <v>10.34</v>
      </c>
      <c r="AD164" s="8">
        <f t="shared" si="32"/>
        <v>654.43999999999994</v>
      </c>
      <c r="AE164" s="25">
        <v>1.238</v>
      </c>
      <c r="AF164" s="25">
        <f t="shared" si="33"/>
        <v>202549.18</v>
      </c>
      <c r="AG164" s="25">
        <f t="shared" si="34"/>
        <v>405231.44500000001</v>
      </c>
      <c r="AH164" s="1">
        <f t="shared" si="24"/>
        <v>3722.8900000000003</v>
      </c>
      <c r="AI164" s="1">
        <f t="shared" si="25"/>
        <v>3710.38</v>
      </c>
      <c r="AJ164" s="1">
        <v>4366.0600000000004</v>
      </c>
      <c r="AK164" s="1">
        <f t="shared" si="26"/>
        <v>-643.17000000000007</v>
      </c>
      <c r="AL164" s="29">
        <f t="shared" si="35"/>
        <v>655.68000000000029</v>
      </c>
      <c r="AM164" s="11">
        <f t="shared" si="27"/>
        <v>2886162.4244500003</v>
      </c>
    </row>
    <row r="165" spans="1:39" x14ac:dyDescent="0.3">
      <c r="A165" s="39">
        <v>45813.677083333336</v>
      </c>
      <c r="B165" s="1">
        <v>1165.1099999999999</v>
      </c>
      <c r="C165" s="11">
        <v>3.2732000000000001</v>
      </c>
      <c r="D165" s="1">
        <v>679.76</v>
      </c>
      <c r="E165" s="11">
        <v>3.0760000000000001</v>
      </c>
      <c r="F165" s="1">
        <v>717.12</v>
      </c>
      <c r="G165" s="11">
        <v>3.53</v>
      </c>
      <c r="H165" s="1">
        <v>76.959999999999994</v>
      </c>
      <c r="I165" s="11">
        <v>3.00014</v>
      </c>
      <c r="J165" s="1">
        <v>183.36</v>
      </c>
      <c r="K165" s="11">
        <v>2.968</v>
      </c>
      <c r="L165" s="1">
        <v>0</v>
      </c>
      <c r="M165" s="11">
        <v>6.2</v>
      </c>
      <c r="N165" s="1">
        <v>229.11</v>
      </c>
      <c r="O165" s="11">
        <v>2.8224999999999998</v>
      </c>
      <c r="P165" s="1">
        <f t="shared" si="28"/>
        <v>3051.42</v>
      </c>
      <c r="Q165" s="1">
        <v>3058.49</v>
      </c>
      <c r="R165" s="16">
        <f t="shared" si="29"/>
        <v>2464444.91035</v>
      </c>
      <c r="S165" s="1">
        <v>-601.12</v>
      </c>
      <c r="T165" s="1">
        <v>35.590000000000003</v>
      </c>
      <c r="U165" s="1">
        <v>12</v>
      </c>
      <c r="V165" s="1">
        <v>0</v>
      </c>
      <c r="W165" s="1" cm="1">
        <f t="array" ref="W165">SUM(ABS(S165:V165))</f>
        <v>648.71</v>
      </c>
      <c r="X165" s="25">
        <v>1.238</v>
      </c>
      <c r="Y165" s="42">
        <f t="shared" si="30"/>
        <v>200775.745</v>
      </c>
      <c r="Z165" s="20">
        <v>544</v>
      </c>
      <c r="AA165" s="20">
        <f t="shared" si="31"/>
        <v>1192.71</v>
      </c>
      <c r="AB165" s="21">
        <v>91.05</v>
      </c>
      <c r="AC165" s="21">
        <v>10.93</v>
      </c>
      <c r="AD165" s="8">
        <f t="shared" si="32"/>
        <v>645.9799999999999</v>
      </c>
      <c r="AE165" s="25">
        <v>1.238</v>
      </c>
      <c r="AF165" s="25">
        <f t="shared" si="33"/>
        <v>199930.80999999997</v>
      </c>
      <c r="AG165" s="25">
        <f t="shared" si="34"/>
        <v>400706.55499999993</v>
      </c>
      <c r="AH165" s="1">
        <f t="shared" si="24"/>
        <v>3697.4</v>
      </c>
      <c r="AI165" s="1">
        <f t="shared" si="25"/>
        <v>3704.47</v>
      </c>
      <c r="AJ165" s="1">
        <v>4353.28</v>
      </c>
      <c r="AK165" s="1">
        <f t="shared" si="26"/>
        <v>-655.87999999999965</v>
      </c>
      <c r="AL165" s="29">
        <f t="shared" si="35"/>
        <v>648.80999999999995</v>
      </c>
      <c r="AM165" s="11">
        <f t="shared" si="27"/>
        <v>2865151.4653500002</v>
      </c>
    </row>
    <row r="166" spans="1:39" x14ac:dyDescent="0.3">
      <c r="A166" s="39">
        <v>45813.6875</v>
      </c>
      <c r="B166" s="1">
        <v>1093.0899999999999</v>
      </c>
      <c r="C166" s="11">
        <v>3.2732000000000001</v>
      </c>
      <c r="D166" s="1">
        <v>679.76</v>
      </c>
      <c r="E166" s="11">
        <v>3.0760000000000001</v>
      </c>
      <c r="F166" s="1">
        <v>717.12</v>
      </c>
      <c r="G166" s="11">
        <v>3.53</v>
      </c>
      <c r="H166" s="1">
        <v>72.28</v>
      </c>
      <c r="I166" s="11">
        <v>3.2000900000000003</v>
      </c>
      <c r="J166" s="1">
        <v>177.07</v>
      </c>
      <c r="K166" s="11">
        <v>3.3229499999999996</v>
      </c>
      <c r="L166" s="1">
        <v>0</v>
      </c>
      <c r="M166" s="11">
        <v>6.2</v>
      </c>
      <c r="N166" s="1">
        <v>217.92</v>
      </c>
      <c r="O166" s="11">
        <v>2.8224999999999998</v>
      </c>
      <c r="P166" s="1">
        <f t="shared" si="28"/>
        <v>2957.2400000000002</v>
      </c>
      <c r="Q166" s="1">
        <v>3011.03</v>
      </c>
      <c r="R166" s="16">
        <f t="shared" si="29"/>
        <v>2408763.5024250001</v>
      </c>
      <c r="S166" s="1">
        <v>-668.07</v>
      </c>
      <c r="T166" s="1">
        <v>35.590000000000003</v>
      </c>
      <c r="U166" s="1">
        <v>12</v>
      </c>
      <c r="V166" s="1">
        <v>0</v>
      </c>
      <c r="W166" s="1" cm="1">
        <f t="array" ref="W166">SUM(ABS(S166:V166))</f>
        <v>715.66000000000008</v>
      </c>
      <c r="X166" s="25">
        <v>1.238</v>
      </c>
      <c r="Y166" s="42">
        <f t="shared" si="30"/>
        <v>221496.77000000002</v>
      </c>
      <c r="Z166" s="20">
        <v>540.03</v>
      </c>
      <c r="AA166" s="20">
        <f t="shared" si="31"/>
        <v>1255.69</v>
      </c>
      <c r="AB166" s="21">
        <v>77.149999999999991</v>
      </c>
      <c r="AC166" s="21">
        <v>11.39</v>
      </c>
      <c r="AD166" s="8">
        <f t="shared" si="32"/>
        <v>628.56999999999994</v>
      </c>
      <c r="AE166" s="25">
        <v>1.238</v>
      </c>
      <c r="AF166" s="25">
        <f t="shared" si="33"/>
        <v>194542.41499999998</v>
      </c>
      <c r="AG166" s="25">
        <f t="shared" si="34"/>
        <v>416039.185</v>
      </c>
      <c r="AH166" s="1">
        <f t="shared" si="24"/>
        <v>3585.8100000000004</v>
      </c>
      <c r="AI166" s="1">
        <f t="shared" si="25"/>
        <v>3639.6000000000004</v>
      </c>
      <c r="AJ166" s="1">
        <v>4358.5</v>
      </c>
      <c r="AK166" s="1">
        <f t="shared" si="26"/>
        <v>-772.6899999999996</v>
      </c>
      <c r="AL166" s="29">
        <f t="shared" si="35"/>
        <v>718.89999999999964</v>
      </c>
      <c r="AM166" s="11">
        <f t="shared" si="27"/>
        <v>2824802.6874250001</v>
      </c>
    </row>
    <row r="167" spans="1:39" x14ac:dyDescent="0.3">
      <c r="A167" s="39">
        <v>45813.697916666664</v>
      </c>
      <c r="B167" s="1">
        <v>1087.43</v>
      </c>
      <c r="C167" s="11">
        <v>3.2732000000000001</v>
      </c>
      <c r="D167" s="1">
        <v>679.76</v>
      </c>
      <c r="E167" s="11">
        <v>3.0760000000000001</v>
      </c>
      <c r="F167" s="1">
        <v>717.12</v>
      </c>
      <c r="G167" s="11">
        <v>3.53</v>
      </c>
      <c r="H167" s="1">
        <v>72.739999999999995</v>
      </c>
      <c r="I167" s="11">
        <v>3.4221699999999999</v>
      </c>
      <c r="J167" s="1">
        <v>201.05</v>
      </c>
      <c r="K167" s="11">
        <v>3.4001799999999998</v>
      </c>
      <c r="L167" s="1">
        <v>0</v>
      </c>
      <c r="M167" s="11">
        <v>6.2</v>
      </c>
      <c r="N167" s="1">
        <v>196.56</v>
      </c>
      <c r="O167" s="11">
        <v>2.8224999999999998</v>
      </c>
      <c r="P167" s="1">
        <f t="shared" si="28"/>
        <v>2954.66</v>
      </c>
      <c r="Q167" s="1">
        <v>2960.44</v>
      </c>
      <c r="R167" s="16">
        <f t="shared" si="29"/>
        <v>2417269.1677000001</v>
      </c>
      <c r="S167" s="1">
        <v>-712.6</v>
      </c>
      <c r="T167" s="1">
        <v>35.61</v>
      </c>
      <c r="U167" s="1">
        <v>12</v>
      </c>
      <c r="V167" s="1">
        <v>0</v>
      </c>
      <c r="W167" s="1" cm="1">
        <f t="array" ref="W167">SUM(ABS(S167:V167))</f>
        <v>760.21</v>
      </c>
      <c r="X167" s="25">
        <v>1.238</v>
      </c>
      <c r="Y167" s="42">
        <f t="shared" si="30"/>
        <v>235284.995</v>
      </c>
      <c r="Z167" s="20">
        <v>548.54</v>
      </c>
      <c r="AA167" s="20">
        <f t="shared" si="31"/>
        <v>1308.75</v>
      </c>
      <c r="AB167" s="21">
        <v>60.6</v>
      </c>
      <c r="AC167" s="21">
        <v>10.61</v>
      </c>
      <c r="AD167" s="8">
        <f t="shared" si="32"/>
        <v>619.75</v>
      </c>
      <c r="AE167" s="25">
        <v>1.238</v>
      </c>
      <c r="AF167" s="25">
        <f t="shared" si="33"/>
        <v>191812.625</v>
      </c>
      <c r="AG167" s="25">
        <f t="shared" si="34"/>
        <v>427097.62</v>
      </c>
      <c r="AH167" s="1">
        <f t="shared" si="24"/>
        <v>3574.41</v>
      </c>
      <c r="AI167" s="1">
        <f t="shared" si="25"/>
        <v>3580.19</v>
      </c>
      <c r="AJ167" s="1">
        <v>4340.79</v>
      </c>
      <c r="AK167" s="1">
        <f t="shared" si="26"/>
        <v>-766.38000000000011</v>
      </c>
      <c r="AL167" s="29">
        <f t="shared" si="35"/>
        <v>760.59999999999991</v>
      </c>
      <c r="AM167" s="11">
        <f t="shared" si="27"/>
        <v>2844366.7877000002</v>
      </c>
    </row>
    <row r="168" spans="1:39" x14ac:dyDescent="0.3">
      <c r="A168" s="39">
        <v>45813.708333333336</v>
      </c>
      <c r="B168" s="1">
        <v>1234.3699999999999</v>
      </c>
      <c r="C168" s="11">
        <v>3.2732000000000001</v>
      </c>
      <c r="D168" s="1">
        <v>679.76</v>
      </c>
      <c r="E168" s="11">
        <v>3.0760000000000001</v>
      </c>
      <c r="F168" s="1">
        <v>717.12</v>
      </c>
      <c r="G168" s="11">
        <v>3.53</v>
      </c>
      <c r="H168" s="1">
        <v>56.56</v>
      </c>
      <c r="I168" s="11">
        <v>3.4513400000000001</v>
      </c>
      <c r="J168" s="1">
        <v>127.85</v>
      </c>
      <c r="K168" s="11">
        <v>3.2015500000000001</v>
      </c>
      <c r="L168" s="1">
        <v>0</v>
      </c>
      <c r="M168" s="11">
        <v>6.2</v>
      </c>
      <c r="N168" s="1">
        <v>163.55000000000001</v>
      </c>
      <c r="O168" s="11">
        <v>2.8224999999999998</v>
      </c>
      <c r="P168" s="1">
        <f t="shared" si="28"/>
        <v>2979.21</v>
      </c>
      <c r="Q168" s="1">
        <v>2936.7</v>
      </c>
      <c r="R168" s="16">
        <f t="shared" si="29"/>
        <v>2432215.2692249999</v>
      </c>
      <c r="S168" s="1">
        <v>-668.79</v>
      </c>
      <c r="T168" s="1">
        <v>35.61</v>
      </c>
      <c r="U168" s="1">
        <v>12</v>
      </c>
      <c r="V168" s="1">
        <v>0</v>
      </c>
      <c r="W168" s="1" cm="1">
        <f t="array" ref="W168">SUM(ABS(S168:V168))</f>
        <v>716.4</v>
      </c>
      <c r="X168" s="25">
        <v>1.238</v>
      </c>
      <c r="Y168" s="42">
        <f t="shared" si="30"/>
        <v>221725.8</v>
      </c>
      <c r="Z168" s="20">
        <v>565.08000000000004</v>
      </c>
      <c r="AA168" s="20">
        <f t="shared" si="31"/>
        <v>1281.48</v>
      </c>
      <c r="AB168" s="21">
        <v>48.09</v>
      </c>
      <c r="AC168" s="21">
        <v>10.81</v>
      </c>
      <c r="AD168" s="8">
        <f t="shared" si="32"/>
        <v>623.98</v>
      </c>
      <c r="AE168" s="25">
        <v>1.238</v>
      </c>
      <c r="AF168" s="25">
        <f t="shared" si="33"/>
        <v>193121.81</v>
      </c>
      <c r="AG168" s="25">
        <f t="shared" si="34"/>
        <v>414847.61</v>
      </c>
      <c r="AH168" s="1">
        <f t="shared" si="24"/>
        <v>3603.19</v>
      </c>
      <c r="AI168" s="1">
        <f t="shared" si="25"/>
        <v>3560.68</v>
      </c>
      <c r="AJ168" s="1">
        <v>4281.28</v>
      </c>
      <c r="AK168" s="1">
        <f t="shared" si="26"/>
        <v>-678.08999999999969</v>
      </c>
      <c r="AL168" s="29">
        <f t="shared" si="35"/>
        <v>720.59999999999991</v>
      </c>
      <c r="AM168" s="11">
        <f t="shared" si="27"/>
        <v>2847062.8792249998</v>
      </c>
    </row>
    <row r="169" spans="1:39" x14ac:dyDescent="0.3">
      <c r="A169" s="39">
        <v>45813.71875</v>
      </c>
      <c r="B169" s="1">
        <v>1322.85</v>
      </c>
      <c r="C169" s="11">
        <v>3.2732000000000001</v>
      </c>
      <c r="D169" s="1">
        <v>679.76</v>
      </c>
      <c r="E169" s="11">
        <v>3.0760000000000001</v>
      </c>
      <c r="F169" s="1">
        <v>717.12</v>
      </c>
      <c r="G169" s="11">
        <v>3.53</v>
      </c>
      <c r="H169" s="1">
        <v>33.56</v>
      </c>
      <c r="I169" s="11">
        <v>3.5991</v>
      </c>
      <c r="J169" s="1">
        <v>99.62</v>
      </c>
      <c r="K169" s="11">
        <v>2.9030500000000004</v>
      </c>
      <c r="L169" s="1">
        <v>0</v>
      </c>
      <c r="M169" s="11">
        <v>6.2</v>
      </c>
      <c r="N169" s="1">
        <v>146.19999999999999</v>
      </c>
      <c r="O169" s="11">
        <v>2.8224999999999998</v>
      </c>
      <c r="P169" s="1">
        <f t="shared" si="28"/>
        <v>2999.1099999999997</v>
      </c>
      <c r="Q169" s="1">
        <v>2977.85</v>
      </c>
      <c r="R169" s="16">
        <f t="shared" si="29"/>
        <v>2443741.2792500001</v>
      </c>
      <c r="S169" s="1">
        <v>-591.32000000000005</v>
      </c>
      <c r="T169" s="1">
        <v>35.6</v>
      </c>
      <c r="U169" s="1">
        <v>12</v>
      </c>
      <c r="V169" s="1">
        <v>0</v>
      </c>
      <c r="W169" s="1" cm="1">
        <f t="array" ref="W169">SUM(ABS(S169:V169))</f>
        <v>638.92000000000007</v>
      </c>
      <c r="X169" s="25">
        <v>1.238</v>
      </c>
      <c r="Y169" s="42">
        <f t="shared" si="30"/>
        <v>197745.74000000002</v>
      </c>
      <c r="Z169" s="20">
        <v>582.11999999999989</v>
      </c>
      <c r="AA169" s="20">
        <f t="shared" si="31"/>
        <v>1221.04</v>
      </c>
      <c r="AB169" s="21">
        <v>38.160000000000004</v>
      </c>
      <c r="AC169" s="21">
        <v>10.440000000000001</v>
      </c>
      <c r="AD169" s="8">
        <f t="shared" si="32"/>
        <v>630.71999999999991</v>
      </c>
      <c r="AE169" s="25">
        <v>1.238</v>
      </c>
      <c r="AF169" s="25">
        <f t="shared" si="33"/>
        <v>195207.83999999997</v>
      </c>
      <c r="AG169" s="25">
        <f t="shared" si="34"/>
        <v>392953.57999999996</v>
      </c>
      <c r="AH169" s="1">
        <f t="shared" si="24"/>
        <v>3629.8299999999995</v>
      </c>
      <c r="AI169" s="1">
        <f t="shared" si="25"/>
        <v>3608.5699999999997</v>
      </c>
      <c r="AJ169" s="1">
        <v>4248.43</v>
      </c>
      <c r="AK169" s="1">
        <f t="shared" si="26"/>
        <v>-618.60000000000082</v>
      </c>
      <c r="AL169" s="29">
        <f t="shared" si="35"/>
        <v>639.86000000000058</v>
      </c>
      <c r="AM169" s="11">
        <f t="shared" si="27"/>
        <v>2836694.8592500002</v>
      </c>
    </row>
    <row r="170" spans="1:39" x14ac:dyDescent="0.3">
      <c r="A170" s="39">
        <v>45813.729166666664</v>
      </c>
      <c r="B170" s="1">
        <v>1333.33</v>
      </c>
      <c r="C170" s="11">
        <v>3.2732000000000001</v>
      </c>
      <c r="D170" s="1">
        <v>679.76</v>
      </c>
      <c r="E170" s="11">
        <v>3.0760000000000001</v>
      </c>
      <c r="F170" s="1">
        <v>717.12</v>
      </c>
      <c r="G170" s="11">
        <v>3.53</v>
      </c>
      <c r="H170" s="1">
        <v>3.29</v>
      </c>
      <c r="I170" s="11">
        <v>3.8778600000000001</v>
      </c>
      <c r="J170" s="1">
        <v>57.76</v>
      </c>
      <c r="K170" s="11">
        <v>3.1509499999999999</v>
      </c>
      <c r="L170" s="1">
        <v>0</v>
      </c>
      <c r="M170" s="11">
        <v>6.2</v>
      </c>
      <c r="N170" s="1">
        <v>115.17</v>
      </c>
      <c r="O170" s="11">
        <v>2.8224999999999998</v>
      </c>
      <c r="P170" s="1">
        <f t="shared" si="28"/>
        <v>2906.4300000000003</v>
      </c>
      <c r="Q170" s="1">
        <v>2898.35</v>
      </c>
      <c r="R170" s="16">
        <f t="shared" si="29"/>
        <v>2376613.8681000001</v>
      </c>
      <c r="S170" s="1">
        <v>-637.21</v>
      </c>
      <c r="T170" s="1">
        <v>35.6</v>
      </c>
      <c r="U170" s="1">
        <v>12</v>
      </c>
      <c r="V170" s="1">
        <v>0</v>
      </c>
      <c r="W170" s="1" cm="1">
        <f t="array" ref="W170">SUM(ABS(S170:V170))</f>
        <v>684.81000000000006</v>
      </c>
      <c r="X170" s="25">
        <v>1.238</v>
      </c>
      <c r="Y170" s="42">
        <f t="shared" si="30"/>
        <v>211948.69500000001</v>
      </c>
      <c r="Z170" s="20">
        <v>597.95000000000005</v>
      </c>
      <c r="AA170" s="20">
        <f t="shared" si="31"/>
        <v>1282.7600000000002</v>
      </c>
      <c r="AB170" s="21">
        <v>28.150000000000002</v>
      </c>
      <c r="AC170" s="21">
        <v>7.2799999999999994</v>
      </c>
      <c r="AD170" s="8">
        <f t="shared" si="32"/>
        <v>633.38</v>
      </c>
      <c r="AE170" s="25">
        <v>1.238</v>
      </c>
      <c r="AF170" s="25">
        <f t="shared" si="33"/>
        <v>196031.11</v>
      </c>
      <c r="AG170" s="25">
        <f t="shared" si="34"/>
        <v>407979.80499999999</v>
      </c>
      <c r="AH170" s="1">
        <f t="shared" si="24"/>
        <v>3539.8100000000004</v>
      </c>
      <c r="AI170" s="1">
        <f t="shared" si="25"/>
        <v>3531.73</v>
      </c>
      <c r="AJ170" s="1">
        <v>4217.9799999999996</v>
      </c>
      <c r="AK170" s="1">
        <f t="shared" si="26"/>
        <v>-678.16999999999916</v>
      </c>
      <c r="AL170" s="29">
        <f t="shared" si="35"/>
        <v>686.24999999999955</v>
      </c>
      <c r="AM170" s="11">
        <f t="shared" si="27"/>
        <v>2784593.6731000002</v>
      </c>
    </row>
    <row r="171" spans="1:39" x14ac:dyDescent="0.3">
      <c r="A171" s="39">
        <v>45813.739583333336</v>
      </c>
      <c r="B171" s="1">
        <v>1371.23</v>
      </c>
      <c r="C171" s="11">
        <v>3.2732000000000001</v>
      </c>
      <c r="D171" s="1">
        <v>679.76</v>
      </c>
      <c r="E171" s="11">
        <v>3.0760000000000001</v>
      </c>
      <c r="F171" s="1">
        <v>717.12</v>
      </c>
      <c r="G171" s="11">
        <v>3.53</v>
      </c>
      <c r="H171" s="1">
        <v>1.29</v>
      </c>
      <c r="I171" s="11">
        <v>4.0400400000000003</v>
      </c>
      <c r="J171" s="1">
        <v>54.94</v>
      </c>
      <c r="K171" s="11">
        <v>3.0649799999999998</v>
      </c>
      <c r="L171" s="1">
        <v>0</v>
      </c>
      <c r="M171" s="11">
        <v>6.2</v>
      </c>
      <c r="N171" s="1">
        <v>102.33</v>
      </c>
      <c r="O171" s="11">
        <v>2.8224999999999998</v>
      </c>
      <c r="P171" s="1">
        <f t="shared" si="28"/>
        <v>2926.6699999999996</v>
      </c>
      <c r="Q171" s="1">
        <v>2840.61</v>
      </c>
      <c r="R171" s="16">
        <f t="shared" si="29"/>
        <v>2393278.36845</v>
      </c>
      <c r="S171" s="1">
        <v>-686.05</v>
      </c>
      <c r="T171" s="1">
        <v>35.700000000000003</v>
      </c>
      <c r="U171" s="1">
        <v>12.2</v>
      </c>
      <c r="V171" s="1">
        <v>1.04</v>
      </c>
      <c r="W171" s="1" cm="1">
        <f t="array" ref="W171">SUM(ABS(S171:V171))</f>
        <v>734.99</v>
      </c>
      <c r="X171" s="25">
        <v>1.238</v>
      </c>
      <c r="Y171" s="42">
        <f t="shared" si="30"/>
        <v>227479.40500000003</v>
      </c>
      <c r="Z171" s="20">
        <v>613.34</v>
      </c>
      <c r="AA171" s="20">
        <f t="shared" si="31"/>
        <v>1348.33</v>
      </c>
      <c r="AB171" s="21">
        <v>19.11</v>
      </c>
      <c r="AC171" s="21">
        <v>7.28</v>
      </c>
      <c r="AD171" s="8">
        <f t="shared" si="32"/>
        <v>639.73</v>
      </c>
      <c r="AE171" s="25">
        <v>1.238</v>
      </c>
      <c r="AF171" s="25">
        <f t="shared" si="33"/>
        <v>197996.435</v>
      </c>
      <c r="AG171" s="25">
        <f t="shared" si="34"/>
        <v>425475.84000000003</v>
      </c>
      <c r="AH171" s="1">
        <f t="shared" si="24"/>
        <v>3566.3999999999996</v>
      </c>
      <c r="AI171" s="1">
        <f t="shared" si="25"/>
        <v>3480.34</v>
      </c>
      <c r="AJ171" s="1">
        <v>4215.43</v>
      </c>
      <c r="AK171" s="1">
        <f t="shared" si="26"/>
        <v>-649.03000000000065</v>
      </c>
      <c r="AL171" s="29">
        <f t="shared" si="35"/>
        <v>735.09000000000015</v>
      </c>
      <c r="AM171" s="11">
        <f t="shared" si="27"/>
        <v>2818754.2084499998</v>
      </c>
    </row>
    <row r="172" spans="1:39" x14ac:dyDescent="0.3">
      <c r="A172" s="39">
        <v>45813.75</v>
      </c>
      <c r="B172" s="1">
        <v>1464.37</v>
      </c>
      <c r="C172" s="11">
        <v>3.2732000000000001</v>
      </c>
      <c r="D172" s="1">
        <v>679.76</v>
      </c>
      <c r="E172" s="11">
        <v>3.0760000000000001</v>
      </c>
      <c r="F172" s="1">
        <v>717.12</v>
      </c>
      <c r="G172" s="11">
        <v>3.53</v>
      </c>
      <c r="H172" s="1">
        <v>92.17</v>
      </c>
      <c r="I172" s="11">
        <v>4.0001899999999999</v>
      </c>
      <c r="J172" s="1">
        <v>105.18</v>
      </c>
      <c r="K172" s="11">
        <v>1.6433</v>
      </c>
      <c r="L172" s="1">
        <v>10.93</v>
      </c>
      <c r="M172" s="11">
        <v>6.2</v>
      </c>
      <c r="N172" s="1">
        <v>88.33</v>
      </c>
      <c r="O172" s="11">
        <v>2.8224999999999998</v>
      </c>
      <c r="P172" s="1">
        <f t="shared" si="28"/>
        <v>3157.8599999999997</v>
      </c>
      <c r="Q172" s="1">
        <v>3098.6</v>
      </c>
      <c r="R172" s="16">
        <f t="shared" si="29"/>
        <v>2568542.1188249998</v>
      </c>
      <c r="S172" s="1">
        <v>-368.49</v>
      </c>
      <c r="T172" s="1">
        <v>35.64</v>
      </c>
      <c r="U172" s="1">
        <v>29.37</v>
      </c>
      <c r="V172" s="1">
        <v>7.24</v>
      </c>
      <c r="W172" s="1" cm="1">
        <f t="array" ref="W172">SUM(ABS(S172:V172))</f>
        <v>440.74</v>
      </c>
      <c r="X172" s="25">
        <v>1.238</v>
      </c>
      <c r="Y172" s="42">
        <f t="shared" si="30"/>
        <v>136409.03</v>
      </c>
      <c r="Z172" s="20">
        <v>619.45000000000005</v>
      </c>
      <c r="AA172" s="20">
        <f t="shared" si="31"/>
        <v>1060.19</v>
      </c>
      <c r="AB172" s="21">
        <v>10.940000000000001</v>
      </c>
      <c r="AC172" s="21">
        <v>9.15</v>
      </c>
      <c r="AD172" s="8">
        <f t="shared" si="32"/>
        <v>639.54000000000008</v>
      </c>
      <c r="AE172" s="25">
        <v>1.238</v>
      </c>
      <c r="AF172" s="25">
        <f t="shared" si="33"/>
        <v>197937.63</v>
      </c>
      <c r="AG172" s="25">
        <f t="shared" si="34"/>
        <v>334346.66000000003</v>
      </c>
      <c r="AH172" s="1">
        <f t="shared" si="24"/>
        <v>3797.3999999999996</v>
      </c>
      <c r="AI172" s="1">
        <f t="shared" si="25"/>
        <v>3738.14</v>
      </c>
      <c r="AJ172" s="1">
        <v>4206.72</v>
      </c>
      <c r="AK172" s="1">
        <f t="shared" si="26"/>
        <v>-409.32000000000062</v>
      </c>
      <c r="AL172" s="29">
        <f t="shared" si="35"/>
        <v>468.58000000000038</v>
      </c>
      <c r="AM172" s="11">
        <f t="shared" si="27"/>
        <v>2902888.7788249999</v>
      </c>
    </row>
    <row r="173" spans="1:39" x14ac:dyDescent="0.3">
      <c r="A173" s="39">
        <v>45813.760416666664</v>
      </c>
      <c r="B173" s="1">
        <v>1472.69</v>
      </c>
      <c r="C173" s="11">
        <v>3.2732000000000001</v>
      </c>
      <c r="D173" s="1">
        <v>679.76</v>
      </c>
      <c r="E173" s="11">
        <v>3.0760000000000001</v>
      </c>
      <c r="F173" s="1">
        <v>717.12</v>
      </c>
      <c r="G173" s="11">
        <v>3.53</v>
      </c>
      <c r="H173" s="1">
        <v>105.42</v>
      </c>
      <c r="I173" s="11">
        <v>4.2259799999999998</v>
      </c>
      <c r="J173" s="1">
        <v>111.97</v>
      </c>
      <c r="K173" s="11">
        <v>1.9954799999999999</v>
      </c>
      <c r="L173" s="1">
        <v>3.36</v>
      </c>
      <c r="M173" s="11">
        <v>6.2</v>
      </c>
      <c r="N173" s="1">
        <v>77.73</v>
      </c>
      <c r="O173" s="11">
        <v>2.8224999999999998</v>
      </c>
      <c r="P173" s="1">
        <f t="shared" si="28"/>
        <v>3168.0499999999997</v>
      </c>
      <c r="Q173" s="1">
        <v>3192.18</v>
      </c>
      <c r="R173" s="16">
        <f t="shared" si="29"/>
        <v>2587986.47505</v>
      </c>
      <c r="S173" s="1">
        <v>-293.05</v>
      </c>
      <c r="T173" s="1">
        <v>35.659999999999997</v>
      </c>
      <c r="U173" s="1">
        <v>38.659999999999997</v>
      </c>
      <c r="V173" s="1">
        <v>17.420000000000002</v>
      </c>
      <c r="W173" s="1" cm="1">
        <f t="array" ref="W173">SUM(ABS(S173:V173))</f>
        <v>384.79</v>
      </c>
      <c r="X173" s="25">
        <v>1.238</v>
      </c>
      <c r="Y173" s="42">
        <f t="shared" si="30"/>
        <v>119092.505</v>
      </c>
      <c r="Z173" s="20">
        <v>628.83999999999992</v>
      </c>
      <c r="AA173" s="20">
        <f t="shared" si="31"/>
        <v>1013.6299999999999</v>
      </c>
      <c r="AB173" s="21">
        <v>5.07</v>
      </c>
      <c r="AC173" s="21">
        <v>8.89</v>
      </c>
      <c r="AD173" s="8">
        <f t="shared" si="32"/>
        <v>642.79999999999995</v>
      </c>
      <c r="AE173" s="25">
        <v>1.238</v>
      </c>
      <c r="AF173" s="25">
        <f t="shared" si="33"/>
        <v>198946.59999999998</v>
      </c>
      <c r="AG173" s="25">
        <f t="shared" si="34"/>
        <v>318039.10499999998</v>
      </c>
      <c r="AH173" s="1">
        <f t="shared" si="24"/>
        <v>3810.8499999999995</v>
      </c>
      <c r="AI173" s="1">
        <f t="shared" si="25"/>
        <v>3834.9799999999996</v>
      </c>
      <c r="AJ173" s="1">
        <v>4266.72</v>
      </c>
      <c r="AK173" s="1">
        <f t="shared" si="26"/>
        <v>-455.8700000000008</v>
      </c>
      <c r="AL173" s="29">
        <f t="shared" si="35"/>
        <v>431.74000000000069</v>
      </c>
      <c r="AM173" s="11">
        <f t="shared" si="27"/>
        <v>2906025.58005</v>
      </c>
    </row>
    <row r="174" spans="1:39" x14ac:dyDescent="0.3">
      <c r="A174" s="39">
        <v>45813.770833333336</v>
      </c>
      <c r="B174" s="1">
        <v>1476.12</v>
      </c>
      <c r="C174" s="11">
        <v>3.2732000000000001</v>
      </c>
      <c r="D174" s="1">
        <v>679.76</v>
      </c>
      <c r="E174" s="11">
        <v>3.0760000000000001</v>
      </c>
      <c r="F174" s="1">
        <v>717.12</v>
      </c>
      <c r="G174" s="11">
        <v>3.53</v>
      </c>
      <c r="H174" s="1">
        <v>106.37</v>
      </c>
      <c r="I174" s="11">
        <v>4.4002700000000008</v>
      </c>
      <c r="J174" s="1">
        <v>19.170000000000002</v>
      </c>
      <c r="K174" s="11">
        <v>2.9436900000000001</v>
      </c>
      <c r="L174" s="1">
        <v>0.2</v>
      </c>
      <c r="M174" s="11">
        <v>6.2</v>
      </c>
      <c r="N174" s="1">
        <v>69.709999999999994</v>
      </c>
      <c r="O174" s="11">
        <v>2.8224999999999998</v>
      </c>
      <c r="P174" s="1">
        <f t="shared" si="28"/>
        <v>3068.45</v>
      </c>
      <c r="Q174" s="1">
        <v>3091.38</v>
      </c>
      <c r="R174" s="16">
        <f t="shared" si="29"/>
        <v>2544123.7690500002</v>
      </c>
      <c r="S174" s="1">
        <v>-463.55</v>
      </c>
      <c r="T174" s="1">
        <v>35.71</v>
      </c>
      <c r="U174" s="1">
        <v>43.96</v>
      </c>
      <c r="V174" s="1">
        <v>42.5</v>
      </c>
      <c r="W174" s="1" cm="1">
        <f t="array" ref="W174">SUM(ABS(S174:V174))</f>
        <v>585.72</v>
      </c>
      <c r="X174" s="25">
        <v>1.238</v>
      </c>
      <c r="Y174" s="42">
        <f t="shared" si="30"/>
        <v>181280.34</v>
      </c>
      <c r="Z174" s="20">
        <v>681.58</v>
      </c>
      <c r="AA174" s="20">
        <f t="shared" si="31"/>
        <v>1267.3000000000002</v>
      </c>
      <c r="AB174" s="21">
        <v>1.28</v>
      </c>
      <c r="AC174" s="21">
        <v>9.2100000000000009</v>
      </c>
      <c r="AD174" s="8">
        <f t="shared" si="32"/>
        <v>692.07</v>
      </c>
      <c r="AE174" s="25">
        <v>1.238</v>
      </c>
      <c r="AF174" s="25">
        <f t="shared" si="33"/>
        <v>214195.66500000001</v>
      </c>
      <c r="AG174" s="25">
        <f t="shared" si="34"/>
        <v>395476.005</v>
      </c>
      <c r="AH174" s="1">
        <f t="shared" si="24"/>
        <v>3760.52</v>
      </c>
      <c r="AI174" s="1">
        <f t="shared" si="25"/>
        <v>3783.4500000000003</v>
      </c>
      <c r="AJ174" s="1">
        <v>4408.9399999999996</v>
      </c>
      <c r="AK174" s="1">
        <f t="shared" si="26"/>
        <v>-648.41999999999962</v>
      </c>
      <c r="AL174" s="29">
        <f t="shared" si="35"/>
        <v>625.48999999999933</v>
      </c>
      <c r="AM174" s="11">
        <f t="shared" si="27"/>
        <v>2939599.7740500001</v>
      </c>
    </row>
    <row r="175" spans="1:39" x14ac:dyDescent="0.3">
      <c r="A175" s="39">
        <v>45813.78125</v>
      </c>
      <c r="B175" s="1">
        <v>1477.89</v>
      </c>
      <c r="C175" s="11">
        <v>3.2732000000000001</v>
      </c>
      <c r="D175" s="1">
        <v>679.76</v>
      </c>
      <c r="E175" s="11">
        <v>3.0760000000000001</v>
      </c>
      <c r="F175" s="1">
        <v>717.12</v>
      </c>
      <c r="G175" s="11">
        <v>3.53</v>
      </c>
      <c r="H175" s="1">
        <v>105.95</v>
      </c>
      <c r="I175" s="11">
        <v>4.5827600000000004</v>
      </c>
      <c r="J175" s="1">
        <v>60.28</v>
      </c>
      <c r="K175" s="11">
        <v>3.3677199999999998</v>
      </c>
      <c r="L175" s="1">
        <v>0</v>
      </c>
      <c r="M175" s="11">
        <v>6.2</v>
      </c>
      <c r="N175" s="1">
        <v>49.22</v>
      </c>
      <c r="O175" s="11">
        <v>2.8224999999999998</v>
      </c>
      <c r="P175" s="1">
        <f t="shared" si="28"/>
        <v>3090.22</v>
      </c>
      <c r="Q175" s="1">
        <v>3105.84</v>
      </c>
      <c r="R175" s="16">
        <f t="shared" si="29"/>
        <v>2571819.4854000001</v>
      </c>
      <c r="S175" s="1">
        <v>-599.09</v>
      </c>
      <c r="T175" s="1">
        <v>35.770000000000003</v>
      </c>
      <c r="U175" s="1">
        <v>48.62</v>
      </c>
      <c r="V175" s="1">
        <v>50.66</v>
      </c>
      <c r="W175" s="1" cm="1">
        <f t="array" ref="W175">SUM(ABS(S175:V175))</f>
        <v>734.14</v>
      </c>
      <c r="X175" s="25">
        <v>1.238</v>
      </c>
      <c r="Y175" s="42">
        <f t="shared" si="30"/>
        <v>227216.33</v>
      </c>
      <c r="Z175" s="20">
        <v>733.74</v>
      </c>
      <c r="AA175" s="20">
        <f t="shared" si="31"/>
        <v>1467.88</v>
      </c>
      <c r="AB175" s="21">
        <v>0.36</v>
      </c>
      <c r="AC175" s="21">
        <v>7.0600000000000005</v>
      </c>
      <c r="AD175" s="8">
        <f t="shared" si="32"/>
        <v>741.16</v>
      </c>
      <c r="AE175" s="25">
        <v>1.238</v>
      </c>
      <c r="AF175" s="25">
        <f t="shared" si="33"/>
        <v>229389.02</v>
      </c>
      <c r="AG175" s="25">
        <f t="shared" si="34"/>
        <v>456605.35</v>
      </c>
      <c r="AH175" s="1">
        <f t="shared" si="24"/>
        <v>3831.3799999999997</v>
      </c>
      <c r="AI175" s="1">
        <f t="shared" si="25"/>
        <v>3847</v>
      </c>
      <c r="AJ175" s="1">
        <v>4625.16</v>
      </c>
      <c r="AK175" s="1">
        <f t="shared" si="26"/>
        <v>-793.7800000000002</v>
      </c>
      <c r="AL175" s="29">
        <f t="shared" si="35"/>
        <v>778.15999999999985</v>
      </c>
      <c r="AM175" s="11">
        <f t="shared" si="27"/>
        <v>3028424.8354000002</v>
      </c>
    </row>
    <row r="176" spans="1:39" x14ac:dyDescent="0.3">
      <c r="A176" s="39">
        <v>45813.791666666664</v>
      </c>
      <c r="B176" s="1">
        <v>1481.28</v>
      </c>
      <c r="C176" s="11">
        <v>3.2732000000000001</v>
      </c>
      <c r="D176" s="1">
        <v>679.76</v>
      </c>
      <c r="E176" s="11">
        <v>3.0760000000000001</v>
      </c>
      <c r="F176" s="1">
        <v>717.12</v>
      </c>
      <c r="G176" s="11">
        <v>3.53</v>
      </c>
      <c r="H176" s="1">
        <v>15.83</v>
      </c>
      <c r="I176" s="11">
        <v>6.7007700000000003</v>
      </c>
      <c r="J176" s="1">
        <v>282.47000000000003</v>
      </c>
      <c r="K176" s="11">
        <v>4.1883999999999997</v>
      </c>
      <c r="L176" s="1">
        <v>0</v>
      </c>
      <c r="M176" s="11">
        <v>6.2</v>
      </c>
      <c r="N176" s="1">
        <v>41.62</v>
      </c>
      <c r="O176" s="11">
        <v>2.8224999999999998</v>
      </c>
      <c r="P176" s="1">
        <f t="shared" si="28"/>
        <v>3218.08</v>
      </c>
      <c r="Q176" s="1">
        <v>3206.07</v>
      </c>
      <c r="R176" s="16">
        <f t="shared" si="29"/>
        <v>2719386.0107749999</v>
      </c>
      <c r="S176" s="1">
        <v>-624.52</v>
      </c>
      <c r="T176" s="1">
        <v>35.83</v>
      </c>
      <c r="U176" s="1">
        <v>48.62</v>
      </c>
      <c r="V176" s="1">
        <v>50.69</v>
      </c>
      <c r="W176" s="1" cm="1">
        <f t="array" ref="W176">SUM(ABS(S176:V176))</f>
        <v>759.66000000000008</v>
      </c>
      <c r="X176" s="25">
        <v>1.238</v>
      </c>
      <c r="Y176" s="42">
        <f t="shared" si="30"/>
        <v>235114.77000000002</v>
      </c>
      <c r="Z176" s="20">
        <v>765.46</v>
      </c>
      <c r="AA176" s="20">
        <f t="shared" si="31"/>
        <v>1525.1200000000001</v>
      </c>
      <c r="AB176" s="21">
        <v>0.26</v>
      </c>
      <c r="AC176" s="21">
        <v>6.6899999999999995</v>
      </c>
      <c r="AD176" s="8">
        <f t="shared" si="32"/>
        <v>772.41000000000008</v>
      </c>
      <c r="AE176" s="25">
        <v>1.238</v>
      </c>
      <c r="AF176" s="25">
        <f t="shared" si="33"/>
        <v>239060.89500000002</v>
      </c>
      <c r="AG176" s="25">
        <f t="shared" si="34"/>
        <v>474175.66500000004</v>
      </c>
      <c r="AH176" s="1">
        <f t="shared" si="24"/>
        <v>3990.49</v>
      </c>
      <c r="AI176" s="1">
        <f t="shared" si="25"/>
        <v>3978.4800000000005</v>
      </c>
      <c r="AJ176" s="1">
        <v>4785.04</v>
      </c>
      <c r="AK176" s="1">
        <f t="shared" si="26"/>
        <v>-794.55000000000018</v>
      </c>
      <c r="AL176" s="29">
        <f t="shared" si="35"/>
        <v>806.55999999999949</v>
      </c>
      <c r="AM176" s="11">
        <f t="shared" si="27"/>
        <v>3193561.6757749999</v>
      </c>
    </row>
    <row r="177" spans="1:39" x14ac:dyDescent="0.3">
      <c r="A177" s="39">
        <v>45813.802083333336</v>
      </c>
      <c r="B177" s="1">
        <v>1483.04</v>
      </c>
      <c r="C177" s="11">
        <v>3.2732000000000001</v>
      </c>
      <c r="D177" s="1">
        <v>679.76</v>
      </c>
      <c r="E177" s="11">
        <v>3.0760000000000001</v>
      </c>
      <c r="F177" s="1">
        <v>717.12</v>
      </c>
      <c r="G177" s="11">
        <v>3.53</v>
      </c>
      <c r="H177" s="1">
        <v>-281.89999999999998</v>
      </c>
      <c r="I177" s="11">
        <v>10</v>
      </c>
      <c r="J177" s="1">
        <v>615.51</v>
      </c>
      <c r="K177" s="11">
        <v>4.5829700000000004</v>
      </c>
      <c r="L177" s="1">
        <v>0</v>
      </c>
      <c r="M177" s="11">
        <v>6.2</v>
      </c>
      <c r="N177" s="1">
        <v>41.39</v>
      </c>
      <c r="O177" s="11">
        <v>2.8224999999999998</v>
      </c>
      <c r="P177" s="1">
        <f t="shared" si="28"/>
        <v>3254.9199999999996</v>
      </c>
      <c r="Q177" s="1">
        <v>3249.91</v>
      </c>
      <c r="R177" s="16">
        <f t="shared" si="29"/>
        <v>2398837.2569250003</v>
      </c>
      <c r="S177" s="1">
        <v>-637.98</v>
      </c>
      <c r="T177" s="1">
        <v>35.869999999999997</v>
      </c>
      <c r="U177" s="1">
        <v>48.59</v>
      </c>
      <c r="V177" s="1">
        <v>50.72</v>
      </c>
      <c r="W177" s="1" cm="1">
        <f t="array" ref="W177">SUM(ABS(S177:V177))</f>
        <v>773.16000000000008</v>
      </c>
      <c r="X177" s="25">
        <v>1.238</v>
      </c>
      <c r="Y177" s="42">
        <f t="shared" si="30"/>
        <v>239293.02000000002</v>
      </c>
      <c r="Z177" s="20">
        <v>765.5200000000001</v>
      </c>
      <c r="AA177" s="20">
        <f t="shared" si="31"/>
        <v>1538.6800000000003</v>
      </c>
      <c r="AB177" s="21">
        <v>0.24</v>
      </c>
      <c r="AC177" s="21">
        <v>6.6000000000000005</v>
      </c>
      <c r="AD177" s="8">
        <f t="shared" si="32"/>
        <v>772.36000000000013</v>
      </c>
      <c r="AE177" s="25">
        <v>1.238</v>
      </c>
      <c r="AF177" s="25">
        <f t="shared" si="33"/>
        <v>239045.42000000004</v>
      </c>
      <c r="AG177" s="25">
        <f t="shared" si="34"/>
        <v>478338.44000000006</v>
      </c>
      <c r="AH177" s="1">
        <f t="shared" si="24"/>
        <v>4027.2799999999997</v>
      </c>
      <c r="AI177" s="1">
        <f t="shared" si="25"/>
        <v>4022.27</v>
      </c>
      <c r="AJ177" s="1">
        <v>4836.4799999999996</v>
      </c>
      <c r="AK177" s="1">
        <f t="shared" si="26"/>
        <v>-809.19999999999982</v>
      </c>
      <c r="AL177" s="29">
        <f t="shared" si="35"/>
        <v>814.20999999999958</v>
      </c>
      <c r="AM177" s="11">
        <f t="shared" si="27"/>
        <v>2877175.6969250003</v>
      </c>
    </row>
    <row r="178" spans="1:39" x14ac:dyDescent="0.3">
      <c r="A178" s="39">
        <v>45813.8125</v>
      </c>
      <c r="B178" s="1">
        <v>1484.38</v>
      </c>
      <c r="C178" s="11">
        <v>3.2732000000000001</v>
      </c>
      <c r="D178" s="1">
        <v>679.76</v>
      </c>
      <c r="E178" s="11">
        <v>3.0760000000000001</v>
      </c>
      <c r="F178" s="1">
        <v>717.12</v>
      </c>
      <c r="G178" s="11">
        <v>3.53</v>
      </c>
      <c r="H178" s="1">
        <v>-301.89999999999998</v>
      </c>
      <c r="I178" s="11">
        <v>10</v>
      </c>
      <c r="J178" s="1">
        <v>538.4</v>
      </c>
      <c r="K178" s="11">
        <v>4.5455800000000002</v>
      </c>
      <c r="L178" s="1">
        <v>0</v>
      </c>
      <c r="M178" s="11">
        <v>6.2</v>
      </c>
      <c r="N178" s="1">
        <v>42.78</v>
      </c>
      <c r="O178" s="11">
        <v>2.8224999999999998</v>
      </c>
      <c r="P178" s="1">
        <f t="shared" si="28"/>
        <v>3160.5400000000004</v>
      </c>
      <c r="Q178" s="1">
        <v>3172.91</v>
      </c>
      <c r="R178" s="16">
        <f t="shared" si="29"/>
        <v>2257533.6995000001</v>
      </c>
      <c r="S178" s="1">
        <v>-711.84</v>
      </c>
      <c r="T178" s="1">
        <v>35.880000000000003</v>
      </c>
      <c r="U178" s="1">
        <v>48.6</v>
      </c>
      <c r="V178" s="1">
        <v>50.72</v>
      </c>
      <c r="W178" s="1" cm="1">
        <f t="array" ref="W178">SUM(ABS(S178:V178))</f>
        <v>847.04000000000008</v>
      </c>
      <c r="X178" s="25">
        <v>1.238</v>
      </c>
      <c r="Y178" s="42">
        <f t="shared" si="30"/>
        <v>262158.88</v>
      </c>
      <c r="Z178" s="20">
        <v>765.04000000000008</v>
      </c>
      <c r="AA178" s="20">
        <f t="shared" si="31"/>
        <v>1612.0800000000002</v>
      </c>
      <c r="AB178" s="21">
        <v>0.25</v>
      </c>
      <c r="AC178" s="21">
        <v>7.12</v>
      </c>
      <c r="AD178" s="8">
        <f t="shared" si="32"/>
        <v>772.41000000000008</v>
      </c>
      <c r="AE178" s="25">
        <v>1.238</v>
      </c>
      <c r="AF178" s="25">
        <f t="shared" si="33"/>
        <v>239060.89500000002</v>
      </c>
      <c r="AG178" s="25">
        <f t="shared" si="34"/>
        <v>501219.77500000002</v>
      </c>
      <c r="AH178" s="1">
        <f t="shared" si="24"/>
        <v>3932.9500000000007</v>
      </c>
      <c r="AI178" s="1">
        <f t="shared" si="25"/>
        <v>3945.3199999999997</v>
      </c>
      <c r="AJ178" s="1">
        <v>4835</v>
      </c>
      <c r="AK178" s="1">
        <f t="shared" si="26"/>
        <v>-902.04999999999927</v>
      </c>
      <c r="AL178" s="29">
        <f t="shared" si="35"/>
        <v>889.68000000000029</v>
      </c>
      <c r="AM178" s="11">
        <f t="shared" si="27"/>
        <v>2758753.4745</v>
      </c>
    </row>
    <row r="179" spans="1:39" x14ac:dyDescent="0.3">
      <c r="A179" s="39">
        <v>45813.822916666664</v>
      </c>
      <c r="B179" s="1">
        <v>1485.34</v>
      </c>
      <c r="C179" s="11">
        <v>3.2732000000000001</v>
      </c>
      <c r="D179" s="1">
        <v>679.76</v>
      </c>
      <c r="E179" s="11">
        <v>3.0760000000000001</v>
      </c>
      <c r="F179" s="1">
        <v>717.12</v>
      </c>
      <c r="G179" s="11">
        <v>3.53</v>
      </c>
      <c r="H179" s="1">
        <v>-163.9</v>
      </c>
      <c r="I179" s="11">
        <v>9.7990200000000005</v>
      </c>
      <c r="J179" s="1">
        <v>415.5</v>
      </c>
      <c r="K179" s="11">
        <v>4.5007799999999998</v>
      </c>
      <c r="L179" s="1">
        <v>0</v>
      </c>
      <c r="M179" s="11">
        <v>6.2</v>
      </c>
      <c r="N179" s="1">
        <v>43.73</v>
      </c>
      <c r="O179" s="11">
        <v>2.8224999999999998</v>
      </c>
      <c r="P179" s="1">
        <f t="shared" si="28"/>
        <v>3177.5499999999997</v>
      </c>
      <c r="Q179" s="1">
        <v>3174.15</v>
      </c>
      <c r="R179" s="16">
        <f t="shared" si="29"/>
        <v>2467908.2212500004</v>
      </c>
      <c r="S179" s="1">
        <v>-708.14</v>
      </c>
      <c r="T179" s="1">
        <v>35.89</v>
      </c>
      <c r="U179" s="1">
        <v>48.59</v>
      </c>
      <c r="V179" s="1">
        <v>50.71</v>
      </c>
      <c r="W179" s="1" cm="1">
        <f t="array" ref="W179">SUM(ABS(S179:V179))</f>
        <v>843.33</v>
      </c>
      <c r="X179" s="25">
        <v>1.238</v>
      </c>
      <c r="Y179" s="42">
        <f t="shared" si="30"/>
        <v>261010.63500000004</v>
      </c>
      <c r="Z179" s="20">
        <v>764.56000000000006</v>
      </c>
      <c r="AA179" s="20">
        <f t="shared" si="31"/>
        <v>1607.89</v>
      </c>
      <c r="AB179" s="21">
        <v>0.22000000000000003</v>
      </c>
      <c r="AC179" s="21">
        <v>7.36</v>
      </c>
      <c r="AD179" s="8">
        <f t="shared" si="32"/>
        <v>772.1400000000001</v>
      </c>
      <c r="AE179" s="25">
        <v>1.238</v>
      </c>
      <c r="AF179" s="25">
        <f t="shared" si="33"/>
        <v>238977.33000000002</v>
      </c>
      <c r="AG179" s="25">
        <f t="shared" si="34"/>
        <v>499987.96500000008</v>
      </c>
      <c r="AH179" s="1">
        <f t="shared" si="24"/>
        <v>3949.6899999999996</v>
      </c>
      <c r="AI179" s="1">
        <f t="shared" si="25"/>
        <v>3946.29</v>
      </c>
      <c r="AJ179" s="1">
        <v>4837.8</v>
      </c>
      <c r="AK179" s="1">
        <f t="shared" si="26"/>
        <v>-888.11000000000058</v>
      </c>
      <c r="AL179" s="29">
        <f t="shared" si="35"/>
        <v>891.51000000000022</v>
      </c>
      <c r="AM179" s="11">
        <f t="shared" si="27"/>
        <v>2967896.1862500003</v>
      </c>
    </row>
    <row r="180" spans="1:39" x14ac:dyDescent="0.3">
      <c r="A180" s="39">
        <v>45813.833333333336</v>
      </c>
      <c r="B180" s="1">
        <v>1487.74</v>
      </c>
      <c r="C180" s="11">
        <v>3.2732000000000001</v>
      </c>
      <c r="D180" s="1">
        <v>679.76</v>
      </c>
      <c r="E180" s="11">
        <v>3.0760000000000001</v>
      </c>
      <c r="F180" s="1">
        <v>717.12</v>
      </c>
      <c r="G180" s="11">
        <v>3.53</v>
      </c>
      <c r="H180" s="1">
        <v>-290.73</v>
      </c>
      <c r="I180" s="11">
        <v>10</v>
      </c>
      <c r="J180" s="1">
        <v>566.53</v>
      </c>
      <c r="K180" s="11">
        <v>3.5180700000000003</v>
      </c>
      <c r="L180" s="1">
        <v>0</v>
      </c>
      <c r="M180" s="11">
        <v>6.2</v>
      </c>
      <c r="N180" s="1">
        <v>28.21</v>
      </c>
      <c r="O180" s="11">
        <v>2.8224999999999998</v>
      </c>
      <c r="P180" s="1">
        <f t="shared" si="28"/>
        <v>3188.63</v>
      </c>
      <c r="Q180" s="1">
        <v>3178.26</v>
      </c>
      <c r="R180" s="16">
        <f t="shared" si="29"/>
        <v>2164365.2125249999</v>
      </c>
      <c r="S180" s="1">
        <v>-691.16</v>
      </c>
      <c r="T180" s="1">
        <v>35.909999999999997</v>
      </c>
      <c r="U180" s="1">
        <v>48.59</v>
      </c>
      <c r="V180" s="1">
        <v>50.7</v>
      </c>
      <c r="W180" s="1" cm="1">
        <f t="array" ref="W180">SUM(ABS(S180:V180))</f>
        <v>826.36</v>
      </c>
      <c r="X180" s="25">
        <v>1.238</v>
      </c>
      <c r="Y180" s="42">
        <f t="shared" si="30"/>
        <v>255758.42</v>
      </c>
      <c r="Z180" s="20">
        <v>761.39000000000021</v>
      </c>
      <c r="AA180" s="20">
        <f t="shared" si="31"/>
        <v>1587.7500000000002</v>
      </c>
      <c r="AB180" s="21">
        <v>0.21000000000000002</v>
      </c>
      <c r="AC180" s="21">
        <v>7.48</v>
      </c>
      <c r="AD180" s="8">
        <f t="shared" si="32"/>
        <v>769.08000000000027</v>
      </c>
      <c r="AE180" s="25">
        <v>1.238</v>
      </c>
      <c r="AF180" s="25">
        <f t="shared" si="33"/>
        <v>238030.2600000001</v>
      </c>
      <c r="AG180" s="25">
        <f t="shared" si="34"/>
        <v>493788.68000000011</v>
      </c>
      <c r="AH180" s="1">
        <f t="shared" si="24"/>
        <v>3957.7100000000005</v>
      </c>
      <c r="AI180" s="1">
        <f t="shared" si="25"/>
        <v>3947.3400000000006</v>
      </c>
      <c r="AJ180" s="1">
        <v>4818.51</v>
      </c>
      <c r="AK180" s="1">
        <f t="shared" si="26"/>
        <v>-860.79999999999973</v>
      </c>
      <c r="AL180" s="29">
        <f t="shared" si="35"/>
        <v>871.16999999999962</v>
      </c>
      <c r="AM180" s="11">
        <f t="shared" si="27"/>
        <v>2658153.892525</v>
      </c>
    </row>
    <row r="181" spans="1:39" x14ac:dyDescent="0.3">
      <c r="A181" s="39">
        <v>45813.84375</v>
      </c>
      <c r="B181" s="1">
        <v>1488.74</v>
      </c>
      <c r="C181" s="11">
        <v>3.2732000000000001</v>
      </c>
      <c r="D181" s="1">
        <v>679.76</v>
      </c>
      <c r="E181" s="11">
        <v>3.0760000000000001</v>
      </c>
      <c r="F181" s="1">
        <v>717.12</v>
      </c>
      <c r="G181" s="11">
        <v>3.53</v>
      </c>
      <c r="H181" s="1">
        <v>-301.89999999999998</v>
      </c>
      <c r="I181" s="11">
        <v>10</v>
      </c>
      <c r="J181" s="1">
        <v>570.66</v>
      </c>
      <c r="K181" s="11">
        <v>3.3678900000000001</v>
      </c>
      <c r="L181" s="1">
        <v>0</v>
      </c>
      <c r="M181" s="11">
        <v>6.2</v>
      </c>
      <c r="N181" s="1">
        <v>28.39</v>
      </c>
      <c r="O181" s="11">
        <v>2.8224999999999998</v>
      </c>
      <c r="P181" s="1">
        <f t="shared" si="28"/>
        <v>3182.7699999999995</v>
      </c>
      <c r="Q181" s="1">
        <v>3165.15</v>
      </c>
      <c r="R181" s="16">
        <f t="shared" si="29"/>
        <v>2119592.5025999998</v>
      </c>
      <c r="S181" s="1">
        <v>-664.37</v>
      </c>
      <c r="T181" s="1">
        <v>35.96</v>
      </c>
      <c r="U181" s="1">
        <v>48.61</v>
      </c>
      <c r="V181" s="1">
        <v>50.71</v>
      </c>
      <c r="W181" s="1" cm="1">
        <f t="array" ref="W181">SUM(ABS(S181:V181))</f>
        <v>799.65000000000009</v>
      </c>
      <c r="X181" s="25">
        <v>1.238</v>
      </c>
      <c r="Y181" s="42">
        <f t="shared" si="30"/>
        <v>247491.67500000002</v>
      </c>
      <c r="Z181" s="20">
        <v>767.98000000000013</v>
      </c>
      <c r="AA181" s="20">
        <f t="shared" si="31"/>
        <v>1567.63</v>
      </c>
      <c r="AB181" s="21">
        <v>0.21000000000000002</v>
      </c>
      <c r="AC181" s="21">
        <v>9.5300000000000011</v>
      </c>
      <c r="AD181" s="8">
        <f t="shared" si="32"/>
        <v>777.72000000000014</v>
      </c>
      <c r="AE181" s="25">
        <v>1.238</v>
      </c>
      <c r="AF181" s="25">
        <f t="shared" si="33"/>
        <v>240704.34000000003</v>
      </c>
      <c r="AG181" s="25">
        <f t="shared" si="34"/>
        <v>488196.01500000001</v>
      </c>
      <c r="AH181" s="1">
        <f t="shared" si="24"/>
        <v>3960.49</v>
      </c>
      <c r="AI181" s="1">
        <f t="shared" si="25"/>
        <v>3942.8700000000003</v>
      </c>
      <c r="AJ181" s="1">
        <v>4789.82</v>
      </c>
      <c r="AK181" s="1">
        <f t="shared" si="26"/>
        <v>-829.32999999999993</v>
      </c>
      <c r="AL181" s="29">
        <f t="shared" si="35"/>
        <v>846.94999999999936</v>
      </c>
      <c r="AM181" s="11">
        <f t="shared" si="27"/>
        <v>2607788.5175999999</v>
      </c>
    </row>
    <row r="182" spans="1:39" x14ac:dyDescent="0.3">
      <c r="A182" s="39">
        <v>45813.854166666664</v>
      </c>
      <c r="B182" s="1">
        <v>1488.8</v>
      </c>
      <c r="C182" s="11">
        <v>3.2732000000000001</v>
      </c>
      <c r="D182" s="1">
        <v>679.76</v>
      </c>
      <c r="E182" s="11">
        <v>3.0760000000000001</v>
      </c>
      <c r="F182" s="1">
        <v>717.12</v>
      </c>
      <c r="G182" s="11">
        <v>3.53</v>
      </c>
      <c r="H182" s="1">
        <v>-301.89999999999998</v>
      </c>
      <c r="I182" s="11">
        <v>10</v>
      </c>
      <c r="J182" s="1">
        <v>481.24</v>
      </c>
      <c r="K182" s="11">
        <v>3.3679200000000002</v>
      </c>
      <c r="L182" s="1">
        <v>0</v>
      </c>
      <c r="M182" s="11">
        <v>6.2</v>
      </c>
      <c r="N182" s="1">
        <v>28.78</v>
      </c>
      <c r="O182" s="11">
        <v>2.8224999999999998</v>
      </c>
      <c r="P182" s="1">
        <f t="shared" si="28"/>
        <v>3093.7999999999997</v>
      </c>
      <c r="Q182" s="1">
        <v>3087.84</v>
      </c>
      <c r="R182" s="16">
        <f t="shared" si="29"/>
        <v>2044631.2227000003</v>
      </c>
      <c r="S182" s="1">
        <v>-719.77</v>
      </c>
      <c r="T182" s="1">
        <v>35.99</v>
      </c>
      <c r="U182" s="1">
        <v>63.21</v>
      </c>
      <c r="V182" s="1">
        <v>50.74</v>
      </c>
      <c r="W182" s="1" cm="1">
        <f t="array" ref="W182">SUM(ABS(S182:V182))</f>
        <v>869.71</v>
      </c>
      <c r="X182" s="25">
        <v>1.238</v>
      </c>
      <c r="Y182" s="42">
        <f t="shared" si="30"/>
        <v>269175.245</v>
      </c>
      <c r="Z182" s="20">
        <v>771.28000000000009</v>
      </c>
      <c r="AA182" s="20">
        <f t="shared" si="31"/>
        <v>1640.9900000000002</v>
      </c>
      <c r="AB182" s="21">
        <v>0.2</v>
      </c>
      <c r="AC182" s="21">
        <v>9.3800000000000008</v>
      </c>
      <c r="AD182" s="8">
        <f t="shared" si="32"/>
        <v>780.86000000000013</v>
      </c>
      <c r="AE182" s="25">
        <v>1.238</v>
      </c>
      <c r="AF182" s="25">
        <f t="shared" si="33"/>
        <v>241676.17000000004</v>
      </c>
      <c r="AG182" s="25">
        <f t="shared" si="34"/>
        <v>510851.41500000004</v>
      </c>
      <c r="AH182" s="1">
        <f t="shared" si="24"/>
        <v>3874.66</v>
      </c>
      <c r="AI182" s="1">
        <f t="shared" si="25"/>
        <v>3868.7000000000003</v>
      </c>
      <c r="AJ182" s="1">
        <v>4782.08</v>
      </c>
      <c r="AK182" s="1">
        <f t="shared" si="26"/>
        <v>-907.42000000000007</v>
      </c>
      <c r="AL182" s="29">
        <f t="shared" si="35"/>
        <v>913.37999999999965</v>
      </c>
      <c r="AM182" s="11">
        <f t="shared" si="27"/>
        <v>2555482.6377000003</v>
      </c>
    </row>
    <row r="183" spans="1:39" x14ac:dyDescent="0.3">
      <c r="A183" s="39">
        <v>45813.864583333336</v>
      </c>
      <c r="B183" s="1">
        <v>1488.8</v>
      </c>
      <c r="C183" s="11">
        <v>3.2732000000000001</v>
      </c>
      <c r="D183" s="1">
        <v>679.76</v>
      </c>
      <c r="E183" s="11">
        <v>3.0760000000000001</v>
      </c>
      <c r="F183" s="1">
        <v>717.12</v>
      </c>
      <c r="G183" s="11">
        <v>3.53</v>
      </c>
      <c r="H183" s="1">
        <v>-301.89999999999998</v>
      </c>
      <c r="I183" s="11">
        <v>10</v>
      </c>
      <c r="J183" s="1">
        <v>403.25</v>
      </c>
      <c r="K183" s="11">
        <v>3.8005100000000001</v>
      </c>
      <c r="L183" s="1">
        <v>0</v>
      </c>
      <c r="M183" s="11">
        <v>6.2</v>
      </c>
      <c r="N183" s="1">
        <v>27.13</v>
      </c>
      <c r="O183" s="11">
        <v>2.8224999999999998</v>
      </c>
      <c r="P183" s="1">
        <f t="shared" si="28"/>
        <v>3014.16</v>
      </c>
      <c r="Q183" s="1">
        <v>3075.49</v>
      </c>
      <c r="R183" s="16">
        <f t="shared" si="29"/>
        <v>2021411.4006250002</v>
      </c>
      <c r="S183" s="1">
        <v>-735.12</v>
      </c>
      <c r="T183" s="1">
        <v>35.99</v>
      </c>
      <c r="U183" s="1">
        <v>66.400000000000006</v>
      </c>
      <c r="V183" s="1">
        <v>50.73</v>
      </c>
      <c r="W183" s="1" cm="1">
        <f t="array" ref="W183">SUM(ABS(S183:V183))</f>
        <v>888.24</v>
      </c>
      <c r="X183" s="25">
        <v>1.238</v>
      </c>
      <c r="Y183" s="42">
        <f t="shared" si="30"/>
        <v>274910.28000000003</v>
      </c>
      <c r="Z183" s="20">
        <v>781.50000000000011</v>
      </c>
      <c r="AA183" s="20">
        <f t="shared" si="31"/>
        <v>1669.7400000000002</v>
      </c>
      <c r="AB183" s="21">
        <v>0.2</v>
      </c>
      <c r="AC183" s="21">
        <v>11.53</v>
      </c>
      <c r="AD183" s="8">
        <f t="shared" si="32"/>
        <v>793.23000000000013</v>
      </c>
      <c r="AE183" s="25">
        <v>1.238</v>
      </c>
      <c r="AF183" s="25">
        <f t="shared" si="33"/>
        <v>245504.68500000006</v>
      </c>
      <c r="AG183" s="25">
        <f t="shared" si="34"/>
        <v>520414.96500000008</v>
      </c>
      <c r="AH183" s="1">
        <f t="shared" si="24"/>
        <v>3807.39</v>
      </c>
      <c r="AI183" s="1">
        <f t="shared" si="25"/>
        <v>3868.72</v>
      </c>
      <c r="AJ183" s="1">
        <v>4803.21</v>
      </c>
      <c r="AK183" s="1">
        <f t="shared" si="26"/>
        <v>-995.82000000000016</v>
      </c>
      <c r="AL183" s="29">
        <f t="shared" si="35"/>
        <v>934.49000000000024</v>
      </c>
      <c r="AM183" s="11">
        <f t="shared" si="27"/>
        <v>2541826.3656250006</v>
      </c>
    </row>
    <row r="184" spans="1:39" x14ac:dyDescent="0.3">
      <c r="A184" s="39">
        <v>45813.875</v>
      </c>
      <c r="B184" s="1">
        <v>1488.8</v>
      </c>
      <c r="C184" s="11">
        <v>3.2732000000000001</v>
      </c>
      <c r="D184" s="1">
        <v>607.72</v>
      </c>
      <c r="E184" s="11">
        <v>3.0760000000000001</v>
      </c>
      <c r="F184" s="1">
        <v>717.12</v>
      </c>
      <c r="G184" s="11">
        <v>3.53</v>
      </c>
      <c r="H184" s="1">
        <v>-277.06</v>
      </c>
      <c r="I184" s="11">
        <v>10</v>
      </c>
      <c r="J184" s="1">
        <v>518.79999999999995</v>
      </c>
      <c r="K184" s="11">
        <v>3.4148100000000001</v>
      </c>
      <c r="L184" s="1">
        <v>0</v>
      </c>
      <c r="M184" s="11">
        <v>6.2</v>
      </c>
      <c r="N184" s="1">
        <v>25.61</v>
      </c>
      <c r="O184" s="11">
        <v>2.8224999999999998</v>
      </c>
      <c r="P184" s="1">
        <f t="shared" si="28"/>
        <v>3080.9900000000002</v>
      </c>
      <c r="Q184" s="1">
        <v>3071.98</v>
      </c>
      <c r="R184" s="16">
        <f t="shared" si="29"/>
        <v>2086802.0332500001</v>
      </c>
      <c r="S184" s="1">
        <v>-735.72</v>
      </c>
      <c r="T184" s="1">
        <v>36.020000000000003</v>
      </c>
      <c r="U184" s="1">
        <v>66.37</v>
      </c>
      <c r="V184" s="1">
        <v>50.74</v>
      </c>
      <c r="W184" s="1" cm="1">
        <f t="array" ref="W184">SUM(ABS(S184:V184))</f>
        <v>888.85</v>
      </c>
      <c r="X184" s="25">
        <v>1.238</v>
      </c>
      <c r="Y184" s="42">
        <f t="shared" si="30"/>
        <v>275099.07500000001</v>
      </c>
      <c r="Z184" s="20">
        <v>785.32999999999993</v>
      </c>
      <c r="AA184" s="20">
        <f t="shared" si="31"/>
        <v>1674.1799999999998</v>
      </c>
      <c r="AB184" s="21">
        <v>0.21000000000000002</v>
      </c>
      <c r="AC184" s="21">
        <v>12.86</v>
      </c>
      <c r="AD184" s="8">
        <f t="shared" si="32"/>
        <v>798.4</v>
      </c>
      <c r="AE184" s="25">
        <v>1.238</v>
      </c>
      <c r="AF184" s="25">
        <f t="shared" si="33"/>
        <v>247104.8</v>
      </c>
      <c r="AG184" s="25">
        <f t="shared" si="34"/>
        <v>522203.875</v>
      </c>
      <c r="AH184" s="1">
        <f t="shared" si="24"/>
        <v>3879.3900000000003</v>
      </c>
      <c r="AI184" s="1">
        <f t="shared" si="25"/>
        <v>3870.38</v>
      </c>
      <c r="AJ184" s="1">
        <v>4809.63</v>
      </c>
      <c r="AK184" s="1">
        <f t="shared" si="26"/>
        <v>-930.23999999999978</v>
      </c>
      <c r="AL184" s="29">
        <f t="shared" si="35"/>
        <v>939.25</v>
      </c>
      <c r="AM184" s="11">
        <f t="shared" si="27"/>
        <v>2609005.9082500003</v>
      </c>
    </row>
    <row r="185" spans="1:39" x14ac:dyDescent="0.3">
      <c r="A185" s="39">
        <v>45813.885416666664</v>
      </c>
      <c r="B185" s="1">
        <v>1488.8</v>
      </c>
      <c r="C185" s="11">
        <v>3.2732000000000001</v>
      </c>
      <c r="D185" s="1">
        <v>602.76</v>
      </c>
      <c r="E185" s="11">
        <v>3.0760000000000001</v>
      </c>
      <c r="F185" s="1">
        <v>717.12</v>
      </c>
      <c r="G185" s="11">
        <v>3.53</v>
      </c>
      <c r="H185" s="1">
        <v>-275.35000000000002</v>
      </c>
      <c r="I185" s="11">
        <v>10</v>
      </c>
      <c r="J185" s="1">
        <v>554.27</v>
      </c>
      <c r="K185" s="11">
        <v>3.4007299999999998</v>
      </c>
      <c r="L185" s="1">
        <v>0</v>
      </c>
      <c r="M185" s="11">
        <v>6.2</v>
      </c>
      <c r="N185" s="1">
        <v>24.38</v>
      </c>
      <c r="O185" s="11">
        <v>2.8224999999999998</v>
      </c>
      <c r="P185" s="1">
        <f t="shared" si="28"/>
        <v>3111.98</v>
      </c>
      <c r="Q185" s="1">
        <v>3130.54</v>
      </c>
      <c r="R185" s="16">
        <f t="shared" si="29"/>
        <v>2114724.6717749997</v>
      </c>
      <c r="S185" s="1">
        <v>-730.2</v>
      </c>
      <c r="T185" s="1">
        <v>36.020000000000003</v>
      </c>
      <c r="U185" s="1">
        <v>66.37</v>
      </c>
      <c r="V185" s="1">
        <v>44.42</v>
      </c>
      <c r="W185" s="1" cm="1">
        <f t="array" ref="W185">SUM(ABS(S185:V185))</f>
        <v>877.01</v>
      </c>
      <c r="X185" s="25">
        <v>1.238</v>
      </c>
      <c r="Y185" s="42">
        <f t="shared" si="30"/>
        <v>271434.59500000003</v>
      </c>
      <c r="Z185" s="20">
        <v>779.17000000000019</v>
      </c>
      <c r="AA185" s="20">
        <f t="shared" si="31"/>
        <v>1656.1800000000003</v>
      </c>
      <c r="AB185" s="21">
        <v>0.2</v>
      </c>
      <c r="AC185" s="21">
        <v>11.870000000000001</v>
      </c>
      <c r="AD185" s="8">
        <f t="shared" si="32"/>
        <v>791.24000000000024</v>
      </c>
      <c r="AE185" s="25">
        <v>1.238</v>
      </c>
      <c r="AF185" s="25">
        <f t="shared" si="33"/>
        <v>244888.78000000009</v>
      </c>
      <c r="AG185" s="25">
        <f t="shared" si="34"/>
        <v>516323.37500000012</v>
      </c>
      <c r="AH185" s="1">
        <f t="shared" si="24"/>
        <v>3903.2200000000003</v>
      </c>
      <c r="AI185" s="1">
        <f t="shared" si="25"/>
        <v>3921.78</v>
      </c>
      <c r="AJ185" s="1">
        <v>4847.1899999999996</v>
      </c>
      <c r="AK185" s="1">
        <f t="shared" si="26"/>
        <v>-943.96999999999935</v>
      </c>
      <c r="AL185" s="29">
        <f t="shared" si="35"/>
        <v>925.4099999999994</v>
      </c>
      <c r="AM185" s="11">
        <f t="shared" si="27"/>
        <v>2631048.0467749997</v>
      </c>
    </row>
    <row r="186" spans="1:39" x14ac:dyDescent="0.3">
      <c r="A186" s="39">
        <v>45813.895833333336</v>
      </c>
      <c r="B186" s="1">
        <v>1488.8</v>
      </c>
      <c r="C186" s="11">
        <v>3.2732000000000001</v>
      </c>
      <c r="D186" s="1">
        <v>602.76</v>
      </c>
      <c r="E186" s="11">
        <v>3.0760000000000001</v>
      </c>
      <c r="F186" s="1">
        <v>717.12</v>
      </c>
      <c r="G186" s="11">
        <v>3.53</v>
      </c>
      <c r="H186" s="1">
        <v>-275.35000000000002</v>
      </c>
      <c r="I186" s="11">
        <v>10</v>
      </c>
      <c r="J186" s="1">
        <v>607.61</v>
      </c>
      <c r="K186" s="11">
        <v>3.3900700000000001</v>
      </c>
      <c r="L186" s="1">
        <v>0</v>
      </c>
      <c r="M186" s="11">
        <v>6.2</v>
      </c>
      <c r="N186" s="1">
        <v>24.02</v>
      </c>
      <c r="O186" s="11">
        <v>2.8224999999999998</v>
      </c>
      <c r="P186" s="1">
        <f t="shared" si="28"/>
        <v>3164.96</v>
      </c>
      <c r="Q186" s="1">
        <v>3187.89</v>
      </c>
      <c r="R186" s="16">
        <f t="shared" si="29"/>
        <v>2158200.1006750003</v>
      </c>
      <c r="S186" s="1">
        <v>-735.98</v>
      </c>
      <c r="T186" s="1">
        <v>36.04</v>
      </c>
      <c r="U186" s="1">
        <v>66.34</v>
      </c>
      <c r="V186" s="1">
        <v>40.17</v>
      </c>
      <c r="W186" s="1" cm="1">
        <f t="array" ref="W186">SUM(ABS(S186:V186))</f>
        <v>878.53</v>
      </c>
      <c r="X186" s="25">
        <v>1.238</v>
      </c>
      <c r="Y186" s="42">
        <f t="shared" si="30"/>
        <v>271905.03499999997</v>
      </c>
      <c r="Z186" s="20">
        <v>778.4</v>
      </c>
      <c r="AA186" s="20">
        <f t="shared" si="31"/>
        <v>1656.9299999999998</v>
      </c>
      <c r="AB186" s="21">
        <v>0.2</v>
      </c>
      <c r="AC186" s="21">
        <v>10.76</v>
      </c>
      <c r="AD186" s="8">
        <f t="shared" si="32"/>
        <v>789.36</v>
      </c>
      <c r="AE186" s="25">
        <v>1.238</v>
      </c>
      <c r="AF186" s="25">
        <f t="shared" si="33"/>
        <v>244306.91999999998</v>
      </c>
      <c r="AG186" s="25">
        <f t="shared" si="34"/>
        <v>516211.95499999996</v>
      </c>
      <c r="AH186" s="1">
        <f t="shared" si="24"/>
        <v>3954.32</v>
      </c>
      <c r="AI186" s="1">
        <f t="shared" si="25"/>
        <v>3977.25</v>
      </c>
      <c r="AJ186" s="1">
        <v>4905.71</v>
      </c>
      <c r="AK186" s="1">
        <f t="shared" si="26"/>
        <v>-951.38999999999987</v>
      </c>
      <c r="AL186" s="29">
        <f t="shared" si="35"/>
        <v>928.46</v>
      </c>
      <c r="AM186" s="11">
        <f t="shared" si="27"/>
        <v>2674412.0556750004</v>
      </c>
    </row>
    <row r="187" spans="1:39" x14ac:dyDescent="0.3">
      <c r="A187" s="39">
        <v>45813.90625</v>
      </c>
      <c r="B187" s="1">
        <v>1488.8</v>
      </c>
      <c r="C187" s="11">
        <v>3.2732000000000001</v>
      </c>
      <c r="D187" s="1">
        <v>602.76</v>
      </c>
      <c r="E187" s="11">
        <v>3.0760000000000001</v>
      </c>
      <c r="F187" s="1">
        <v>717.12</v>
      </c>
      <c r="G187" s="11">
        <v>3.53</v>
      </c>
      <c r="H187" s="1">
        <v>-275.35000000000002</v>
      </c>
      <c r="I187" s="11">
        <v>10</v>
      </c>
      <c r="J187" s="1">
        <v>649</v>
      </c>
      <c r="K187" s="11">
        <v>3.4226100000000002</v>
      </c>
      <c r="L187" s="1">
        <v>0</v>
      </c>
      <c r="M187" s="11">
        <v>6.2</v>
      </c>
      <c r="N187" s="1">
        <v>30.68</v>
      </c>
      <c r="O187" s="11">
        <v>2.8224999999999998</v>
      </c>
      <c r="P187" s="1">
        <f t="shared" si="28"/>
        <v>3213.0099999999998</v>
      </c>
      <c r="Q187" s="1">
        <v>3240.86</v>
      </c>
      <c r="R187" s="16">
        <f t="shared" si="29"/>
        <v>2203257.9275000002</v>
      </c>
      <c r="S187" s="1">
        <v>-731.7</v>
      </c>
      <c r="T187" s="1">
        <v>36.06</v>
      </c>
      <c r="U187" s="1">
        <v>66.34</v>
      </c>
      <c r="V187" s="1">
        <v>45.84</v>
      </c>
      <c r="W187" s="1" cm="1">
        <f t="array" ref="W187">SUM(ABS(S187:V187))</f>
        <v>879.94</v>
      </c>
      <c r="X187" s="25">
        <v>1.238</v>
      </c>
      <c r="Y187" s="42">
        <f t="shared" si="30"/>
        <v>272341.43</v>
      </c>
      <c r="Z187" s="20">
        <v>777.75</v>
      </c>
      <c r="AA187" s="20">
        <f t="shared" si="31"/>
        <v>1657.69</v>
      </c>
      <c r="AB187" s="21">
        <v>0.2</v>
      </c>
      <c r="AC187" s="21">
        <v>10.209999999999999</v>
      </c>
      <c r="AD187" s="8">
        <f t="shared" si="32"/>
        <v>788.16000000000008</v>
      </c>
      <c r="AE187" s="25">
        <v>1.238</v>
      </c>
      <c r="AF187" s="25">
        <f t="shared" si="33"/>
        <v>243935.52000000002</v>
      </c>
      <c r="AG187" s="25">
        <f t="shared" si="34"/>
        <v>516276.95</v>
      </c>
      <c r="AH187" s="1">
        <f t="shared" si="24"/>
        <v>4001.17</v>
      </c>
      <c r="AI187" s="1">
        <f t="shared" si="25"/>
        <v>4029.0200000000004</v>
      </c>
      <c r="AJ187" s="1">
        <v>4983.88</v>
      </c>
      <c r="AK187" s="1">
        <f t="shared" si="26"/>
        <v>-982.71</v>
      </c>
      <c r="AL187" s="29">
        <f t="shared" si="35"/>
        <v>954.85999999999967</v>
      </c>
      <c r="AM187" s="11">
        <f t="shared" si="27"/>
        <v>2719534.8775000004</v>
      </c>
    </row>
    <row r="188" spans="1:39" x14ac:dyDescent="0.3">
      <c r="A188" s="39">
        <v>45813.916666666664</v>
      </c>
      <c r="B188" s="1">
        <v>1491.71</v>
      </c>
      <c r="C188" s="11">
        <v>3.2732000000000001</v>
      </c>
      <c r="D188" s="1">
        <v>587.88</v>
      </c>
      <c r="E188" s="11">
        <v>3.0760000000000001</v>
      </c>
      <c r="F188" s="1">
        <v>717.12</v>
      </c>
      <c r="G188" s="11">
        <v>3.53</v>
      </c>
      <c r="H188" s="1">
        <v>-121.64</v>
      </c>
      <c r="I188" s="11">
        <v>10</v>
      </c>
      <c r="J188" s="1">
        <v>577.27</v>
      </c>
      <c r="K188" s="11">
        <v>3.8003800000000001</v>
      </c>
      <c r="L188" s="1">
        <v>0</v>
      </c>
      <c r="M188" s="11">
        <v>6.2</v>
      </c>
      <c r="N188" s="1">
        <v>37.020000000000003</v>
      </c>
      <c r="O188" s="11">
        <v>2.8224999999999998</v>
      </c>
      <c r="P188" s="1">
        <f t="shared" si="28"/>
        <v>3289.36</v>
      </c>
      <c r="Q188" s="1">
        <v>3304.95</v>
      </c>
      <c r="R188" s="16">
        <f t="shared" si="29"/>
        <v>2576087.9911500001</v>
      </c>
      <c r="S188" s="1">
        <v>-733.52</v>
      </c>
      <c r="T188" s="1">
        <v>36.07</v>
      </c>
      <c r="U188" s="1">
        <v>66.349999999999994</v>
      </c>
      <c r="V188" s="1">
        <v>50.57</v>
      </c>
      <c r="W188" s="1" cm="1">
        <f t="array" ref="W188">SUM(ABS(S188:V188))</f>
        <v>886.5100000000001</v>
      </c>
      <c r="X188" s="25">
        <v>1.238</v>
      </c>
      <c r="Y188" s="42">
        <f t="shared" si="30"/>
        <v>274374.84500000003</v>
      </c>
      <c r="Z188" s="20">
        <v>785.31000000000006</v>
      </c>
      <c r="AA188" s="20">
        <f t="shared" si="31"/>
        <v>1671.8200000000002</v>
      </c>
      <c r="AB188" s="21">
        <v>0.2</v>
      </c>
      <c r="AC188" s="21">
        <v>10.030000000000001</v>
      </c>
      <c r="AD188" s="8">
        <f t="shared" si="32"/>
        <v>795.54000000000008</v>
      </c>
      <c r="AE188" s="25">
        <v>1.238</v>
      </c>
      <c r="AF188" s="25">
        <f t="shared" si="33"/>
        <v>246219.63000000003</v>
      </c>
      <c r="AG188" s="25">
        <f t="shared" si="34"/>
        <v>520594.47500000009</v>
      </c>
      <c r="AH188" s="1">
        <f t="shared" si="24"/>
        <v>4084.9</v>
      </c>
      <c r="AI188" s="1">
        <f t="shared" si="25"/>
        <v>4100.49</v>
      </c>
      <c r="AJ188" s="1">
        <v>5062.88</v>
      </c>
      <c r="AK188" s="1">
        <f t="shared" si="26"/>
        <v>-977.98</v>
      </c>
      <c r="AL188" s="29">
        <f t="shared" si="35"/>
        <v>962.39000000000033</v>
      </c>
      <c r="AM188" s="11">
        <f t="shared" si="27"/>
        <v>3096682.4661500002</v>
      </c>
    </row>
    <row r="189" spans="1:39" x14ac:dyDescent="0.3">
      <c r="A189" s="39">
        <v>45813.927083333336</v>
      </c>
      <c r="B189" s="1">
        <v>1492.78</v>
      </c>
      <c r="C189" s="11">
        <v>3.2732000000000001</v>
      </c>
      <c r="D189" s="1">
        <v>586.76</v>
      </c>
      <c r="E189" s="11">
        <v>3.0760000000000001</v>
      </c>
      <c r="F189" s="1">
        <v>717.12</v>
      </c>
      <c r="G189" s="11">
        <v>3.53</v>
      </c>
      <c r="H189" s="1">
        <v>-110.07</v>
      </c>
      <c r="I189" s="11">
        <v>10</v>
      </c>
      <c r="J189" s="1">
        <v>616.58000000000004</v>
      </c>
      <c r="K189" s="11">
        <v>4.0111999999999997</v>
      </c>
      <c r="L189" s="1">
        <v>0</v>
      </c>
      <c r="M189" s="11">
        <v>6.2</v>
      </c>
      <c r="N189" s="1">
        <v>30.82</v>
      </c>
      <c r="O189" s="11">
        <v>2.8224999999999998</v>
      </c>
      <c r="P189" s="1">
        <f t="shared" si="28"/>
        <v>3333.99</v>
      </c>
      <c r="Q189" s="1">
        <v>3350.39</v>
      </c>
      <c r="R189" s="16">
        <f t="shared" si="29"/>
        <v>2670497.5005000001</v>
      </c>
      <c r="S189" s="1">
        <v>-733.44</v>
      </c>
      <c r="T189" s="1">
        <v>36.08</v>
      </c>
      <c r="U189" s="1">
        <v>66.349999999999994</v>
      </c>
      <c r="V189" s="1">
        <v>50.63</v>
      </c>
      <c r="W189" s="1" cm="1">
        <f t="array" ref="W189">SUM(ABS(S189:V189))</f>
        <v>886.50000000000011</v>
      </c>
      <c r="X189" s="25">
        <v>1.238</v>
      </c>
      <c r="Y189" s="42">
        <f t="shared" si="30"/>
        <v>274371.75</v>
      </c>
      <c r="Z189" s="20">
        <v>786.38</v>
      </c>
      <c r="AA189" s="20">
        <f t="shared" si="31"/>
        <v>1672.88</v>
      </c>
      <c r="AB189" s="21">
        <v>0.2</v>
      </c>
      <c r="AC189" s="21">
        <v>10.28</v>
      </c>
      <c r="AD189" s="8">
        <f t="shared" si="32"/>
        <v>796.86</v>
      </c>
      <c r="AE189" s="25">
        <v>1.238</v>
      </c>
      <c r="AF189" s="25">
        <f t="shared" si="33"/>
        <v>246628.17</v>
      </c>
      <c r="AG189" s="25">
        <f t="shared" si="34"/>
        <v>520999.92000000004</v>
      </c>
      <c r="AH189" s="1">
        <f t="shared" si="24"/>
        <v>4130.8499999999995</v>
      </c>
      <c r="AI189" s="1">
        <f t="shared" si="25"/>
        <v>4147.25</v>
      </c>
      <c r="AJ189" s="1">
        <v>5112.32</v>
      </c>
      <c r="AK189" s="1">
        <f t="shared" si="26"/>
        <v>-981.47000000000025</v>
      </c>
      <c r="AL189" s="29">
        <f t="shared" si="35"/>
        <v>965.06999999999971</v>
      </c>
      <c r="AM189" s="11">
        <f t="shared" si="27"/>
        <v>3191497.4205</v>
      </c>
    </row>
    <row r="190" spans="1:39" x14ac:dyDescent="0.3">
      <c r="A190" s="39">
        <v>45813.9375</v>
      </c>
      <c r="B190" s="1">
        <v>1492.84</v>
      </c>
      <c r="C190" s="11">
        <v>3.2732000000000001</v>
      </c>
      <c r="D190" s="1">
        <v>586.76</v>
      </c>
      <c r="E190" s="11">
        <v>3.0760000000000001</v>
      </c>
      <c r="F190" s="1">
        <v>717.12</v>
      </c>
      <c r="G190" s="11">
        <v>3.53</v>
      </c>
      <c r="H190" s="1">
        <v>-110.07</v>
      </c>
      <c r="I190" s="11">
        <v>10</v>
      </c>
      <c r="J190" s="1">
        <v>709.95</v>
      </c>
      <c r="K190" s="11">
        <v>4.1635200000000001</v>
      </c>
      <c r="L190" s="1">
        <v>0</v>
      </c>
      <c r="M190" s="11">
        <v>6.2</v>
      </c>
      <c r="N190" s="1">
        <v>26.13</v>
      </c>
      <c r="O190" s="11">
        <v>2.8224999999999998</v>
      </c>
      <c r="P190" s="1">
        <f t="shared" si="28"/>
        <v>3422.7299999999996</v>
      </c>
      <c r="Q190" s="1">
        <v>3373.9</v>
      </c>
      <c r="R190" s="16">
        <f t="shared" si="29"/>
        <v>2787903.5492500006</v>
      </c>
      <c r="S190" s="1">
        <v>-735.1</v>
      </c>
      <c r="T190" s="1">
        <v>36.1</v>
      </c>
      <c r="U190" s="1">
        <v>66.36</v>
      </c>
      <c r="V190" s="1">
        <v>43.8</v>
      </c>
      <c r="W190" s="1" cm="1">
        <f t="array" ref="W190">SUM(ABS(S190:V190))</f>
        <v>881.36</v>
      </c>
      <c r="X190" s="25">
        <v>1.238</v>
      </c>
      <c r="Y190" s="42">
        <f t="shared" si="30"/>
        <v>272780.92</v>
      </c>
      <c r="Z190" s="20">
        <v>777.1400000000001</v>
      </c>
      <c r="AA190" s="20">
        <f t="shared" si="31"/>
        <v>1658.5</v>
      </c>
      <c r="AB190" s="21">
        <v>0.2</v>
      </c>
      <c r="AC190" s="21">
        <v>9.6999999999999993</v>
      </c>
      <c r="AD190" s="8">
        <f t="shared" si="32"/>
        <v>787.04000000000019</v>
      </c>
      <c r="AE190" s="25">
        <v>1.238</v>
      </c>
      <c r="AF190" s="25">
        <f t="shared" si="33"/>
        <v>243588.88000000003</v>
      </c>
      <c r="AG190" s="25">
        <f t="shared" si="34"/>
        <v>516369.80000000005</v>
      </c>
      <c r="AH190" s="1">
        <f t="shared" si="24"/>
        <v>4209.7699999999995</v>
      </c>
      <c r="AI190" s="1">
        <f t="shared" si="25"/>
        <v>4160.9400000000005</v>
      </c>
      <c r="AJ190" s="1">
        <v>5116.91</v>
      </c>
      <c r="AK190" s="1">
        <f t="shared" si="26"/>
        <v>-907.14000000000033</v>
      </c>
      <c r="AL190" s="29">
        <f t="shared" si="35"/>
        <v>955.96999999999935</v>
      </c>
      <c r="AM190" s="11">
        <f t="shared" si="27"/>
        <v>3304273.3492500009</v>
      </c>
    </row>
    <row r="191" spans="1:39" x14ac:dyDescent="0.3">
      <c r="A191" s="39">
        <v>45813.947916666664</v>
      </c>
      <c r="B191" s="1">
        <v>1491.14</v>
      </c>
      <c r="C191" s="11">
        <v>3.2732000000000001</v>
      </c>
      <c r="D191" s="1">
        <v>586.76</v>
      </c>
      <c r="E191" s="11">
        <v>3.0760000000000001</v>
      </c>
      <c r="F191" s="1">
        <v>717.12</v>
      </c>
      <c r="G191" s="11">
        <v>3.53</v>
      </c>
      <c r="H191" s="1">
        <v>-110.07</v>
      </c>
      <c r="I191" s="11">
        <v>10</v>
      </c>
      <c r="J191" s="1">
        <v>689.25</v>
      </c>
      <c r="K191" s="11">
        <v>4.4506899999999998</v>
      </c>
      <c r="L191" s="1">
        <v>0</v>
      </c>
      <c r="M191" s="11">
        <v>6.2</v>
      </c>
      <c r="N191" s="1">
        <v>23.57</v>
      </c>
      <c r="O191" s="11">
        <v>2.8224999999999998</v>
      </c>
      <c r="P191" s="1">
        <f t="shared" si="28"/>
        <v>3397.77</v>
      </c>
      <c r="Q191" s="1">
        <v>3361.94</v>
      </c>
      <c r="R191" s="16">
        <f t="shared" si="29"/>
        <v>2812642.8038750007</v>
      </c>
      <c r="S191" s="1">
        <v>-732.41</v>
      </c>
      <c r="T191" s="1">
        <v>36.06</v>
      </c>
      <c r="U191" s="1">
        <v>66.349999999999994</v>
      </c>
      <c r="V191" s="1">
        <v>38.61</v>
      </c>
      <c r="W191" s="1" cm="1">
        <f t="array" ref="W191">SUM(ABS(S191:V191))</f>
        <v>873.43000000000006</v>
      </c>
      <c r="X191" s="25">
        <v>1.238</v>
      </c>
      <c r="Y191" s="42">
        <f t="shared" si="30"/>
        <v>270326.58500000002</v>
      </c>
      <c r="Z191" s="20">
        <v>765</v>
      </c>
      <c r="AA191" s="20">
        <f t="shared" si="31"/>
        <v>1638.43</v>
      </c>
      <c r="AB191" s="21">
        <v>0.2</v>
      </c>
      <c r="AC191" s="21">
        <v>11.100000000000001</v>
      </c>
      <c r="AD191" s="8">
        <f t="shared" si="32"/>
        <v>776.30000000000007</v>
      </c>
      <c r="AE191" s="25">
        <v>1.238</v>
      </c>
      <c r="AF191" s="25">
        <f t="shared" si="33"/>
        <v>240264.85000000003</v>
      </c>
      <c r="AG191" s="25">
        <f t="shared" si="34"/>
        <v>510591.43500000006</v>
      </c>
      <c r="AH191" s="1">
        <f t="shared" si="24"/>
        <v>4174.07</v>
      </c>
      <c r="AI191" s="1">
        <f t="shared" si="25"/>
        <v>4138.24</v>
      </c>
      <c r="AJ191" s="1">
        <v>5084.51</v>
      </c>
      <c r="AK191" s="1">
        <f t="shared" si="26"/>
        <v>-910.44000000000051</v>
      </c>
      <c r="AL191" s="29">
        <f t="shared" si="35"/>
        <v>946.27000000000044</v>
      </c>
      <c r="AM191" s="11">
        <f t="shared" si="27"/>
        <v>3323234.2388750007</v>
      </c>
    </row>
    <row r="192" spans="1:39" x14ac:dyDescent="0.3">
      <c r="A192" s="39">
        <v>45813.958333333336</v>
      </c>
      <c r="B192" s="1">
        <v>1491.01</v>
      </c>
      <c r="C192" s="11">
        <v>3.2732000000000001</v>
      </c>
      <c r="D192" s="1">
        <v>587.69000000000005</v>
      </c>
      <c r="E192" s="11">
        <v>3.0760000000000001</v>
      </c>
      <c r="F192" s="1">
        <v>717.12</v>
      </c>
      <c r="G192" s="11">
        <v>3.53</v>
      </c>
      <c r="H192" s="1">
        <v>-111</v>
      </c>
      <c r="I192" s="11">
        <v>10</v>
      </c>
      <c r="J192" s="1">
        <v>714.25</v>
      </c>
      <c r="K192" s="11">
        <v>3.8506100000000001</v>
      </c>
      <c r="L192" s="1">
        <v>0</v>
      </c>
      <c r="M192" s="11">
        <v>6.2</v>
      </c>
      <c r="N192" s="1">
        <v>23.68</v>
      </c>
      <c r="O192" s="11">
        <v>2.8224999999999998</v>
      </c>
      <c r="P192" s="1">
        <f t="shared" si="28"/>
        <v>3422.7499999999995</v>
      </c>
      <c r="Q192" s="1">
        <v>3359.67</v>
      </c>
      <c r="R192" s="16">
        <f t="shared" si="29"/>
        <v>2731669.2411250002</v>
      </c>
      <c r="S192" s="1">
        <v>-690.56</v>
      </c>
      <c r="T192" s="1">
        <v>36.08</v>
      </c>
      <c r="U192" s="1">
        <v>66.349999999999994</v>
      </c>
      <c r="V192" s="1">
        <v>28.77</v>
      </c>
      <c r="W192" s="1" cm="1">
        <f t="array" ref="W192">SUM(ABS(S192:V192))</f>
        <v>821.76</v>
      </c>
      <c r="X192" s="25">
        <v>1.238</v>
      </c>
      <c r="Y192" s="42">
        <f t="shared" si="30"/>
        <v>254334.72</v>
      </c>
      <c r="Z192" s="20">
        <v>764.76</v>
      </c>
      <c r="AA192" s="20">
        <f t="shared" si="31"/>
        <v>1586.52</v>
      </c>
      <c r="AB192" s="21">
        <v>0.2</v>
      </c>
      <c r="AC192" s="21">
        <v>11.16</v>
      </c>
      <c r="AD192" s="8">
        <f t="shared" si="32"/>
        <v>776.12</v>
      </c>
      <c r="AE192" s="25">
        <v>1.238</v>
      </c>
      <c r="AF192" s="25">
        <f t="shared" si="33"/>
        <v>240209.13999999998</v>
      </c>
      <c r="AG192" s="25">
        <f t="shared" si="34"/>
        <v>494543.86</v>
      </c>
      <c r="AH192" s="1">
        <f t="shared" si="24"/>
        <v>4198.87</v>
      </c>
      <c r="AI192" s="1">
        <f t="shared" si="25"/>
        <v>4135.79</v>
      </c>
      <c r="AJ192" s="1">
        <v>5033.51</v>
      </c>
      <c r="AK192" s="1">
        <f t="shared" si="26"/>
        <v>-834.64000000000033</v>
      </c>
      <c r="AL192" s="29">
        <f t="shared" si="35"/>
        <v>897.72000000000025</v>
      </c>
      <c r="AM192" s="11">
        <f t="shared" si="27"/>
        <v>3226213.101125</v>
      </c>
    </row>
    <row r="193" spans="1:40" x14ac:dyDescent="0.3">
      <c r="A193" s="39">
        <v>45813.96875</v>
      </c>
      <c r="B193" s="1">
        <v>1491.01</v>
      </c>
      <c r="C193" s="11">
        <v>3.2732000000000001</v>
      </c>
      <c r="D193" s="1">
        <v>587.76</v>
      </c>
      <c r="E193" s="11">
        <v>3.0760000000000001</v>
      </c>
      <c r="F193" s="1">
        <v>717.12</v>
      </c>
      <c r="G193" s="11">
        <v>3.53</v>
      </c>
      <c r="H193" s="1">
        <v>-111.07</v>
      </c>
      <c r="I193" s="11">
        <v>10</v>
      </c>
      <c r="J193" s="1">
        <v>671.66</v>
      </c>
      <c r="K193" s="11">
        <v>3.47044</v>
      </c>
      <c r="L193" s="1">
        <v>0</v>
      </c>
      <c r="M193" s="11">
        <v>6.2</v>
      </c>
      <c r="N193" s="1">
        <v>22.03</v>
      </c>
      <c r="O193" s="11">
        <v>2.8224999999999998</v>
      </c>
      <c r="P193" s="1">
        <f t="shared" si="28"/>
        <v>3378.5099999999998</v>
      </c>
      <c r="Q193" s="1">
        <v>3320.02</v>
      </c>
      <c r="R193" s="16">
        <f t="shared" si="29"/>
        <v>2625548.17435</v>
      </c>
      <c r="S193" s="1">
        <v>-664.11</v>
      </c>
      <c r="T193" s="1">
        <v>36.06</v>
      </c>
      <c r="U193" s="1">
        <v>66.349999999999994</v>
      </c>
      <c r="V193" s="1">
        <v>25.79</v>
      </c>
      <c r="W193" s="1" cm="1">
        <f t="array" ref="W193">SUM(ABS(S193:V193))</f>
        <v>792.31000000000006</v>
      </c>
      <c r="X193" s="25">
        <v>1.238</v>
      </c>
      <c r="Y193" s="42">
        <f t="shared" si="30"/>
        <v>245219.94500000004</v>
      </c>
      <c r="Z193" s="20">
        <v>764.60000000000014</v>
      </c>
      <c r="AA193" s="20">
        <f t="shared" si="31"/>
        <v>1556.9100000000003</v>
      </c>
      <c r="AB193" s="21">
        <v>0.2</v>
      </c>
      <c r="AC193" s="21">
        <v>10.259999999999998</v>
      </c>
      <c r="AD193" s="8">
        <f t="shared" si="32"/>
        <v>775.06000000000017</v>
      </c>
      <c r="AE193" s="25">
        <v>1.238</v>
      </c>
      <c r="AF193" s="25">
        <f t="shared" si="33"/>
        <v>239881.07000000007</v>
      </c>
      <c r="AG193" s="25">
        <f t="shared" si="34"/>
        <v>485101.01500000013</v>
      </c>
      <c r="AH193" s="1">
        <f t="shared" si="24"/>
        <v>4153.57</v>
      </c>
      <c r="AI193" s="1">
        <f t="shared" si="25"/>
        <v>4095.08</v>
      </c>
      <c r="AJ193" s="1">
        <v>4962.21</v>
      </c>
      <c r="AK193" s="1">
        <f t="shared" si="26"/>
        <v>-808.64000000000033</v>
      </c>
      <c r="AL193" s="29">
        <f t="shared" si="35"/>
        <v>867.13000000000011</v>
      </c>
      <c r="AM193" s="11">
        <f t="shared" si="27"/>
        <v>3110649.1893500001</v>
      </c>
    </row>
    <row r="194" spans="1:40" x14ac:dyDescent="0.3">
      <c r="A194" s="39">
        <v>45813.979166666664</v>
      </c>
      <c r="B194" s="1">
        <v>1491.01</v>
      </c>
      <c r="C194" s="11">
        <v>3.2732000000000001</v>
      </c>
      <c r="D194" s="1">
        <v>587.76</v>
      </c>
      <c r="E194" s="11">
        <v>3.0760000000000001</v>
      </c>
      <c r="F194" s="1">
        <v>717.12</v>
      </c>
      <c r="G194" s="11">
        <v>3.53</v>
      </c>
      <c r="H194" s="1">
        <v>-111.07</v>
      </c>
      <c r="I194" s="11">
        <v>10</v>
      </c>
      <c r="J194" s="1">
        <v>451.53</v>
      </c>
      <c r="K194" s="11">
        <v>3.4221699999999999</v>
      </c>
      <c r="L194" s="1">
        <v>0</v>
      </c>
      <c r="M194" s="11">
        <v>6.2</v>
      </c>
      <c r="N194" s="1">
        <v>20.79</v>
      </c>
      <c r="O194" s="11">
        <v>2.8224999999999998</v>
      </c>
      <c r="P194" s="1">
        <f t="shared" si="28"/>
        <v>3157.1399999999994</v>
      </c>
      <c r="Q194" s="1">
        <v>3142.19</v>
      </c>
      <c r="R194" s="16">
        <f t="shared" si="29"/>
        <v>2428237.3717750004</v>
      </c>
      <c r="S194" s="1">
        <v>-715.75</v>
      </c>
      <c r="T194" s="1">
        <v>36.11</v>
      </c>
      <c r="U194" s="1">
        <v>66.349999999999994</v>
      </c>
      <c r="V194" s="1">
        <v>25.79</v>
      </c>
      <c r="W194" s="1" cm="1">
        <f t="array" ref="W194">SUM(ABS(S194:V194))</f>
        <v>844</v>
      </c>
      <c r="X194" s="25">
        <v>1.238</v>
      </c>
      <c r="Y194" s="42">
        <f t="shared" si="30"/>
        <v>261218.00000000003</v>
      </c>
      <c r="Z194" s="20">
        <v>764.48</v>
      </c>
      <c r="AA194" s="20">
        <f t="shared" si="31"/>
        <v>1608.48</v>
      </c>
      <c r="AB194" s="21">
        <v>0.2</v>
      </c>
      <c r="AC194" s="21">
        <v>10.69</v>
      </c>
      <c r="AD194" s="8">
        <f t="shared" si="32"/>
        <v>775.37000000000012</v>
      </c>
      <c r="AE194" s="25">
        <v>1.238</v>
      </c>
      <c r="AF194" s="25">
        <f t="shared" si="33"/>
        <v>239977.01500000001</v>
      </c>
      <c r="AG194" s="25">
        <f t="shared" si="34"/>
        <v>501195.01500000001</v>
      </c>
      <c r="AH194" s="1">
        <f t="shared" si="24"/>
        <v>3932.5099999999993</v>
      </c>
      <c r="AI194" s="1">
        <f t="shared" si="25"/>
        <v>3917.5600000000004</v>
      </c>
      <c r="AJ194" s="1">
        <v>4836.74</v>
      </c>
      <c r="AK194" s="1">
        <f t="shared" si="26"/>
        <v>-904.23000000000047</v>
      </c>
      <c r="AL194" s="29">
        <f t="shared" si="35"/>
        <v>919.17999999999938</v>
      </c>
      <c r="AM194" s="11">
        <f t="shared" si="27"/>
        <v>2929432.3867750005</v>
      </c>
    </row>
    <row r="195" spans="1:40" x14ac:dyDescent="0.3">
      <c r="A195" s="39">
        <v>45813.989583333336</v>
      </c>
      <c r="B195" s="1">
        <v>1491.01</v>
      </c>
      <c r="C195" s="11">
        <v>3.2732000000000001</v>
      </c>
      <c r="D195" s="1">
        <v>587.76</v>
      </c>
      <c r="E195" s="11">
        <v>3.0760000000000001</v>
      </c>
      <c r="F195" s="1">
        <v>717.12</v>
      </c>
      <c r="G195" s="11">
        <v>3.53</v>
      </c>
      <c r="H195" s="1">
        <v>-111.07</v>
      </c>
      <c r="I195" s="11">
        <v>10</v>
      </c>
      <c r="J195" s="1">
        <v>346.57</v>
      </c>
      <c r="K195" s="11">
        <v>3.3906700000000001</v>
      </c>
      <c r="L195" s="1">
        <v>0</v>
      </c>
      <c r="M195" s="11">
        <v>6.2</v>
      </c>
      <c r="N195" s="1">
        <v>23.47</v>
      </c>
      <c r="O195" s="11">
        <v>2.8224999999999998</v>
      </c>
      <c r="P195" s="1">
        <f t="shared" si="28"/>
        <v>3054.8599999999997</v>
      </c>
      <c r="Q195" s="1">
        <v>3003.28</v>
      </c>
      <c r="R195" s="16">
        <f t="shared" si="29"/>
        <v>2337601.4672250003</v>
      </c>
      <c r="S195" s="1">
        <v>-730</v>
      </c>
      <c r="T195" s="1">
        <v>36.14</v>
      </c>
      <c r="U195" s="1">
        <v>66.349999999999994</v>
      </c>
      <c r="V195" s="1">
        <v>25.79</v>
      </c>
      <c r="W195" s="1" cm="1">
        <f t="array" ref="W195">SUM(ABS(S195:V195))</f>
        <v>858.28</v>
      </c>
      <c r="X195" s="25">
        <v>1.238</v>
      </c>
      <c r="Y195" s="42">
        <f t="shared" si="30"/>
        <v>265637.65999999997</v>
      </c>
      <c r="Z195" s="20">
        <v>764.56999999999994</v>
      </c>
      <c r="AA195" s="20">
        <f t="shared" si="31"/>
        <v>1622.85</v>
      </c>
      <c r="AB195" s="21">
        <v>0.2</v>
      </c>
      <c r="AC195" s="21">
        <v>9.39</v>
      </c>
      <c r="AD195" s="8">
        <f t="shared" si="32"/>
        <v>774.16</v>
      </c>
      <c r="AE195" s="25">
        <v>1.238</v>
      </c>
      <c r="AF195" s="25">
        <f t="shared" si="33"/>
        <v>239602.52</v>
      </c>
      <c r="AG195" s="25">
        <f t="shared" si="34"/>
        <v>505240.17999999993</v>
      </c>
      <c r="AH195" s="1">
        <f t="shared" si="24"/>
        <v>3829.0199999999995</v>
      </c>
      <c r="AI195" s="1">
        <f t="shared" si="25"/>
        <v>3777.44</v>
      </c>
      <c r="AJ195" s="1">
        <v>4712.3900000000003</v>
      </c>
      <c r="AK195" s="1">
        <f t="shared" si="26"/>
        <v>-883.3700000000008</v>
      </c>
      <c r="AL195" s="29">
        <f t="shared" si="35"/>
        <v>934.95000000000027</v>
      </c>
      <c r="AM195" s="11">
        <f t="shared" si="27"/>
        <v>2842841.647225</v>
      </c>
      <c r="AN195" s="31">
        <f>SUM(AM100:AM195)</f>
        <v>251472407.45414993</v>
      </c>
    </row>
    <row r="196" spans="1:40" x14ac:dyDescent="0.3">
      <c r="A196" s="39">
        <v>45843</v>
      </c>
      <c r="B196" s="1">
        <v>1490.66</v>
      </c>
      <c r="C196" s="11">
        <v>3.2732000000000001</v>
      </c>
      <c r="D196" s="1">
        <v>764.14</v>
      </c>
      <c r="E196" s="11">
        <v>3.0760000000000001</v>
      </c>
      <c r="F196" s="1">
        <v>441.67</v>
      </c>
      <c r="G196" s="11">
        <v>3.53</v>
      </c>
      <c r="H196" s="1">
        <v>-8.94</v>
      </c>
      <c r="I196" s="11">
        <v>4.4330699999999998</v>
      </c>
      <c r="J196" s="1">
        <v>303.58999999999997</v>
      </c>
      <c r="K196" s="11">
        <v>3.4700799999999998</v>
      </c>
      <c r="L196" s="1">
        <v>0</v>
      </c>
      <c r="M196" s="11">
        <v>6.2</v>
      </c>
      <c r="N196" s="1">
        <v>40.26</v>
      </c>
      <c r="O196" s="11">
        <v>2.8224999999999998</v>
      </c>
      <c r="P196" s="1">
        <f t="shared" si="28"/>
        <v>3031.3800000000006</v>
      </c>
      <c r="Q196" s="1">
        <v>2932.57</v>
      </c>
      <c r="R196" s="16">
        <f t="shared" si="29"/>
        <v>2479075.4608499999</v>
      </c>
      <c r="S196" s="1">
        <v>-733.11</v>
      </c>
      <c r="T196" s="1">
        <v>36.130000000000003</v>
      </c>
      <c r="U196" s="1">
        <v>55.21</v>
      </c>
      <c r="V196" s="1">
        <v>25.83</v>
      </c>
      <c r="W196" s="1" cm="1">
        <f t="array" ref="W196">SUM(ABS(S196:V196))</f>
        <v>850.28000000000009</v>
      </c>
      <c r="X196" s="25">
        <v>1.238</v>
      </c>
      <c r="Y196" s="42">
        <f t="shared" si="30"/>
        <v>263161.66000000003</v>
      </c>
      <c r="Z196" s="20">
        <v>766.41</v>
      </c>
      <c r="AA196" s="20">
        <f t="shared" si="31"/>
        <v>1616.69</v>
      </c>
      <c r="AB196" s="21">
        <v>0.2</v>
      </c>
      <c r="AC196" s="21">
        <v>8.1199999999999992</v>
      </c>
      <c r="AD196" s="8">
        <f t="shared" si="32"/>
        <v>774.73</v>
      </c>
      <c r="AE196" s="25">
        <v>1.238</v>
      </c>
      <c r="AF196" s="25">
        <f t="shared" si="33"/>
        <v>239778.935</v>
      </c>
      <c r="AG196" s="25">
        <f t="shared" si="34"/>
        <v>502940.59500000003</v>
      </c>
      <c r="AH196" s="1">
        <f t="shared" ref="AH196:AH259" si="36">B196+D196+F196+H196+J196+L196+N196+AD196</f>
        <v>3806.1100000000006</v>
      </c>
      <c r="AI196" s="1">
        <f t="shared" ref="AI196:AI259" si="37">Q196+AD196</f>
        <v>3707.3</v>
      </c>
      <c r="AJ196" s="1">
        <v>4617.3900000000003</v>
      </c>
      <c r="AK196" s="1">
        <f t="shared" ref="AK196:AK259" si="38">AH196-AJ196</f>
        <v>-811.27999999999975</v>
      </c>
      <c r="AL196" s="29">
        <f t="shared" si="35"/>
        <v>910.09000000000015</v>
      </c>
      <c r="AM196" s="11">
        <f t="shared" ref="AM196:AM259" si="39">(R196+AG196)</f>
        <v>2982016.0558500001</v>
      </c>
    </row>
    <row r="197" spans="1:40" x14ac:dyDescent="0.3">
      <c r="A197" s="39">
        <v>45843.010416666664</v>
      </c>
      <c r="B197" s="1">
        <v>1490.73</v>
      </c>
      <c r="C197" s="11">
        <v>3.2732000000000001</v>
      </c>
      <c r="D197" s="1">
        <v>776.29</v>
      </c>
      <c r="E197" s="11">
        <v>3.0760000000000001</v>
      </c>
      <c r="F197" s="1">
        <v>422.7</v>
      </c>
      <c r="G197" s="11">
        <v>3.53</v>
      </c>
      <c r="H197" s="1">
        <v>-1.9</v>
      </c>
      <c r="I197" s="11">
        <v>4.2896800000000006</v>
      </c>
      <c r="J197" s="1">
        <v>229.71</v>
      </c>
      <c r="K197" s="11">
        <v>3.5007199999999998</v>
      </c>
      <c r="L197" s="1">
        <v>0</v>
      </c>
      <c r="M197" s="11">
        <v>6.2</v>
      </c>
      <c r="N197" s="1">
        <v>41.4</v>
      </c>
      <c r="O197" s="11">
        <v>2.8224999999999998</v>
      </c>
      <c r="P197" s="1">
        <f t="shared" ref="P197:P260" si="40">(B197+D197+F197+H197+J197+L197+N197)</f>
        <v>2958.93</v>
      </c>
      <c r="Q197" s="1">
        <v>2925.73</v>
      </c>
      <c r="R197" s="16">
        <f t="shared" ref="R197:R260" si="41">(((B197*C197)+(D197*E197)+(F197*G197)+(H197*I197)+(J197*K197)+(L197*M197)+(N197*O197))*(1000/4))</f>
        <v>2418076.9938000003</v>
      </c>
      <c r="S197" s="1">
        <v>-731.47</v>
      </c>
      <c r="T197" s="1">
        <v>36.11</v>
      </c>
      <c r="U197" s="1">
        <v>27.04</v>
      </c>
      <c r="V197" s="1">
        <v>25.83</v>
      </c>
      <c r="W197" s="1" cm="1">
        <f t="array" ref="W197">SUM(ABS(S197:V197))</f>
        <v>820.45</v>
      </c>
      <c r="X197" s="25">
        <v>1.238</v>
      </c>
      <c r="Y197" s="42">
        <f t="shared" ref="Y197:Y260" si="42">((W197*X197)*1000)/4</f>
        <v>253929.27500000002</v>
      </c>
      <c r="Z197" s="20">
        <v>731.85000000000014</v>
      </c>
      <c r="AA197" s="20">
        <f t="shared" ref="AA197:AA260" si="43">W197+Z197</f>
        <v>1552.3000000000002</v>
      </c>
      <c r="AB197" s="21">
        <v>0.2</v>
      </c>
      <c r="AC197" s="21">
        <v>7.56</v>
      </c>
      <c r="AD197" s="8">
        <f t="shared" ref="AD197:AD260" si="44">Z197+AB197+AC197</f>
        <v>739.61000000000013</v>
      </c>
      <c r="AE197" s="25">
        <v>1.238</v>
      </c>
      <c r="AF197" s="25">
        <f t="shared" ref="AF197:AF260" si="45">((AD197*AE197*1000)/4)</f>
        <v>228909.29500000004</v>
      </c>
      <c r="AG197" s="25">
        <f t="shared" ref="AG197:AG260" si="46">Y197+AF197</f>
        <v>482838.57000000007</v>
      </c>
      <c r="AH197" s="1">
        <f t="shared" si="36"/>
        <v>3698.54</v>
      </c>
      <c r="AI197" s="1">
        <f t="shared" si="37"/>
        <v>3665.34</v>
      </c>
      <c r="AJ197" s="1">
        <v>4534.59</v>
      </c>
      <c r="AK197" s="1">
        <f t="shared" si="38"/>
        <v>-836.05000000000018</v>
      </c>
      <c r="AL197" s="29">
        <f t="shared" ref="AL197:AL260" si="47">AJ197-AI197</f>
        <v>869.25</v>
      </c>
      <c r="AM197" s="11">
        <f t="shared" si="39"/>
        <v>2900915.5638000006</v>
      </c>
    </row>
    <row r="198" spans="1:40" x14ac:dyDescent="0.3">
      <c r="A198" s="39">
        <v>45843.020833333336</v>
      </c>
      <c r="B198" s="1">
        <v>1490.74</v>
      </c>
      <c r="C198" s="11">
        <v>3.2732000000000001</v>
      </c>
      <c r="D198" s="1">
        <v>776.29</v>
      </c>
      <c r="E198" s="11">
        <v>3.0760000000000001</v>
      </c>
      <c r="F198" s="1">
        <v>422.7</v>
      </c>
      <c r="G198" s="11">
        <v>3.53</v>
      </c>
      <c r="H198" s="1">
        <v>-1.9</v>
      </c>
      <c r="I198" s="11">
        <v>4.1693599999999993</v>
      </c>
      <c r="J198" s="1">
        <v>124.65</v>
      </c>
      <c r="K198" s="11">
        <v>3.4220999999999999</v>
      </c>
      <c r="L198" s="1">
        <v>0</v>
      </c>
      <c r="M198" s="11">
        <v>6.2</v>
      </c>
      <c r="N198" s="1">
        <v>41.4</v>
      </c>
      <c r="O198" s="11">
        <v>2.8224999999999998</v>
      </c>
      <c r="P198" s="1">
        <f t="shared" si="40"/>
        <v>2853.8799999999997</v>
      </c>
      <c r="Q198" s="1">
        <v>2852.84</v>
      </c>
      <c r="R198" s="16">
        <f t="shared" si="41"/>
        <v>2323745.9222499998</v>
      </c>
      <c r="S198" s="1">
        <v>-734.9</v>
      </c>
      <c r="T198" s="1">
        <v>36.159999999999997</v>
      </c>
      <c r="U198" s="1">
        <v>24</v>
      </c>
      <c r="V198" s="1">
        <v>25.87</v>
      </c>
      <c r="W198" s="1" cm="1">
        <f t="array" ref="W198">SUM(ABS(S198:V198))</f>
        <v>820.93</v>
      </c>
      <c r="X198" s="25">
        <v>1.238</v>
      </c>
      <c r="Y198" s="42">
        <f t="shared" si="42"/>
        <v>254077.83499999999</v>
      </c>
      <c r="Z198" s="20">
        <v>721.73000000000013</v>
      </c>
      <c r="AA198" s="20">
        <f t="shared" si="43"/>
        <v>1542.66</v>
      </c>
      <c r="AB198" s="21">
        <v>0.2</v>
      </c>
      <c r="AC198" s="21">
        <v>6.34</v>
      </c>
      <c r="AD198" s="8">
        <f t="shared" si="44"/>
        <v>728.27000000000021</v>
      </c>
      <c r="AE198" s="25">
        <v>1.238</v>
      </c>
      <c r="AF198" s="25">
        <f t="shared" si="45"/>
        <v>225399.56500000006</v>
      </c>
      <c r="AG198" s="25">
        <f t="shared" si="46"/>
        <v>479477.4</v>
      </c>
      <c r="AH198" s="1">
        <f t="shared" si="36"/>
        <v>3582.1499999999996</v>
      </c>
      <c r="AI198" s="1">
        <f t="shared" si="37"/>
        <v>3581.1100000000006</v>
      </c>
      <c r="AJ198" s="1">
        <v>4451.78</v>
      </c>
      <c r="AK198" s="1">
        <f t="shared" si="38"/>
        <v>-869.63000000000011</v>
      </c>
      <c r="AL198" s="29">
        <f t="shared" si="47"/>
        <v>870.66999999999916</v>
      </c>
      <c r="AM198" s="11">
        <f t="shared" si="39"/>
        <v>2803223.3222499997</v>
      </c>
    </row>
    <row r="199" spans="1:40" x14ac:dyDescent="0.3">
      <c r="A199" s="39">
        <v>45843.03125</v>
      </c>
      <c r="B199" s="1">
        <v>1490.74</v>
      </c>
      <c r="C199" s="11">
        <v>3.2732000000000001</v>
      </c>
      <c r="D199" s="1">
        <v>776.29</v>
      </c>
      <c r="E199" s="11">
        <v>3.0760000000000001</v>
      </c>
      <c r="F199" s="1">
        <v>422.7</v>
      </c>
      <c r="G199" s="11">
        <v>3.53</v>
      </c>
      <c r="H199" s="1">
        <v>-1.9</v>
      </c>
      <c r="I199" s="11">
        <v>4.0001100000000003</v>
      </c>
      <c r="J199" s="1">
        <v>46.04</v>
      </c>
      <c r="K199" s="11">
        <v>3.3900600000000001</v>
      </c>
      <c r="L199" s="1">
        <v>0</v>
      </c>
      <c r="M199" s="11">
        <v>6.2</v>
      </c>
      <c r="N199" s="1">
        <v>41.4</v>
      </c>
      <c r="O199" s="11">
        <v>2.8224999999999998</v>
      </c>
      <c r="P199" s="1">
        <f t="shared" si="40"/>
        <v>2775.2699999999995</v>
      </c>
      <c r="Q199" s="1">
        <v>2778.4</v>
      </c>
      <c r="R199" s="16">
        <f t="shared" si="41"/>
        <v>2256204.7153499997</v>
      </c>
      <c r="S199" s="1">
        <v>-734.68</v>
      </c>
      <c r="T199" s="1">
        <v>36.17</v>
      </c>
      <c r="U199" s="1">
        <v>24</v>
      </c>
      <c r="V199" s="1">
        <v>25.78</v>
      </c>
      <c r="W199" s="1" cm="1">
        <f t="array" ref="W199">SUM(ABS(S199:V199))</f>
        <v>820.62999999999988</v>
      </c>
      <c r="X199" s="25">
        <v>1.238</v>
      </c>
      <c r="Y199" s="42">
        <f t="shared" si="42"/>
        <v>253984.98499999996</v>
      </c>
      <c r="Z199" s="20">
        <v>722.21</v>
      </c>
      <c r="AA199" s="20">
        <f t="shared" si="43"/>
        <v>1542.84</v>
      </c>
      <c r="AB199" s="21">
        <v>0.2</v>
      </c>
      <c r="AC199" s="21">
        <v>6.88</v>
      </c>
      <c r="AD199" s="8">
        <f t="shared" si="44"/>
        <v>729.29000000000008</v>
      </c>
      <c r="AE199" s="25">
        <v>1.238</v>
      </c>
      <c r="AF199" s="25">
        <f t="shared" si="45"/>
        <v>225715.255</v>
      </c>
      <c r="AG199" s="25">
        <f t="shared" si="46"/>
        <v>479700.24</v>
      </c>
      <c r="AH199" s="1">
        <f t="shared" si="36"/>
        <v>3504.5599999999995</v>
      </c>
      <c r="AI199" s="1">
        <f t="shared" si="37"/>
        <v>3507.69</v>
      </c>
      <c r="AJ199" s="1">
        <v>4378.16</v>
      </c>
      <c r="AK199" s="1">
        <f t="shared" si="38"/>
        <v>-873.60000000000036</v>
      </c>
      <c r="AL199" s="29">
        <f t="shared" si="47"/>
        <v>870.4699999999998</v>
      </c>
      <c r="AM199" s="11">
        <f t="shared" si="39"/>
        <v>2735904.9553499995</v>
      </c>
    </row>
    <row r="200" spans="1:40" x14ac:dyDescent="0.3">
      <c r="A200" s="39">
        <v>45843.041666666664</v>
      </c>
      <c r="B200" s="1">
        <v>1490.74</v>
      </c>
      <c r="C200" s="11">
        <v>3.2732000000000001</v>
      </c>
      <c r="D200" s="1">
        <v>776.29</v>
      </c>
      <c r="E200" s="11">
        <v>3.0760000000000001</v>
      </c>
      <c r="F200" s="1">
        <v>422.7</v>
      </c>
      <c r="G200" s="11">
        <v>3.53</v>
      </c>
      <c r="H200" s="1">
        <v>-1.9</v>
      </c>
      <c r="I200" s="11">
        <v>3.93099</v>
      </c>
      <c r="J200" s="1">
        <v>40.46</v>
      </c>
      <c r="K200" s="11">
        <v>3.3678300000000001</v>
      </c>
      <c r="L200" s="1">
        <v>0</v>
      </c>
      <c r="M200" s="11">
        <v>6.2</v>
      </c>
      <c r="N200" s="1">
        <v>41.4</v>
      </c>
      <c r="O200" s="11">
        <v>2.8224999999999998</v>
      </c>
      <c r="P200" s="1">
        <f t="shared" si="40"/>
        <v>2769.6899999999996</v>
      </c>
      <c r="Q200" s="1">
        <v>2763.24</v>
      </c>
      <c r="R200" s="16">
        <f t="shared" si="41"/>
        <v>2251283.5571999997</v>
      </c>
      <c r="S200" s="1">
        <v>-728.05</v>
      </c>
      <c r="T200" s="1">
        <v>36.17</v>
      </c>
      <c r="U200" s="1">
        <v>13.47</v>
      </c>
      <c r="V200" s="1">
        <v>25.77</v>
      </c>
      <c r="W200" s="1" cm="1">
        <f t="array" ref="W200">SUM(ABS(S200:V200))</f>
        <v>803.45999999999992</v>
      </c>
      <c r="X200" s="25">
        <v>1.238</v>
      </c>
      <c r="Y200" s="42">
        <f t="shared" si="42"/>
        <v>248670.86999999997</v>
      </c>
      <c r="Z200" s="20">
        <v>689.5100000000001</v>
      </c>
      <c r="AA200" s="20">
        <f t="shared" si="43"/>
        <v>1492.97</v>
      </c>
      <c r="AB200" s="21">
        <v>0.2</v>
      </c>
      <c r="AC200" s="21">
        <v>5.98</v>
      </c>
      <c r="AD200" s="8">
        <f t="shared" si="44"/>
        <v>695.69000000000017</v>
      </c>
      <c r="AE200" s="25">
        <v>1.238</v>
      </c>
      <c r="AF200" s="25">
        <f t="shared" si="45"/>
        <v>215316.05500000005</v>
      </c>
      <c r="AG200" s="25">
        <f t="shared" si="46"/>
        <v>463986.92500000005</v>
      </c>
      <c r="AH200" s="1">
        <f t="shared" si="36"/>
        <v>3465.3799999999997</v>
      </c>
      <c r="AI200" s="1">
        <f t="shared" si="37"/>
        <v>3458.93</v>
      </c>
      <c r="AJ200" s="1">
        <v>4310.84</v>
      </c>
      <c r="AK200" s="1">
        <f t="shared" si="38"/>
        <v>-845.46000000000049</v>
      </c>
      <c r="AL200" s="29">
        <f t="shared" si="47"/>
        <v>851.91000000000031</v>
      </c>
      <c r="AM200" s="11">
        <f t="shared" si="39"/>
        <v>2715270.4821999995</v>
      </c>
    </row>
    <row r="201" spans="1:40" x14ac:dyDescent="0.3">
      <c r="A201" s="39">
        <v>45843.052083333336</v>
      </c>
      <c r="B201" s="1">
        <v>1490.74</v>
      </c>
      <c r="C201" s="11">
        <v>3.2732000000000001</v>
      </c>
      <c r="D201" s="1">
        <v>776.29</v>
      </c>
      <c r="E201" s="11">
        <v>3.0760000000000001</v>
      </c>
      <c r="F201" s="1">
        <v>422.7</v>
      </c>
      <c r="G201" s="11">
        <v>3.53</v>
      </c>
      <c r="H201" s="1">
        <v>-1.9</v>
      </c>
      <c r="I201" s="11">
        <v>3.9300999999999999</v>
      </c>
      <c r="J201" s="1">
        <v>-4.6399999999999997</v>
      </c>
      <c r="K201" s="11">
        <v>3.4141900000000001</v>
      </c>
      <c r="L201" s="1">
        <v>0</v>
      </c>
      <c r="M201" s="11">
        <v>6.2</v>
      </c>
      <c r="N201" s="1">
        <v>41.4</v>
      </c>
      <c r="O201" s="11">
        <v>2.8224999999999998</v>
      </c>
      <c r="P201" s="1">
        <f t="shared" si="40"/>
        <v>2724.5899999999997</v>
      </c>
      <c r="Q201" s="1">
        <v>2744.52</v>
      </c>
      <c r="R201" s="16">
        <f t="shared" si="41"/>
        <v>2213257.9191000001</v>
      </c>
      <c r="S201" s="1">
        <v>-725.25</v>
      </c>
      <c r="T201" s="1">
        <v>36.18</v>
      </c>
      <c r="U201" s="1">
        <v>12</v>
      </c>
      <c r="V201" s="1">
        <v>25.76</v>
      </c>
      <c r="W201" s="1" cm="1">
        <f t="array" ref="W201">SUM(ABS(S201:V201))</f>
        <v>799.18999999999994</v>
      </c>
      <c r="X201" s="25">
        <v>1.238</v>
      </c>
      <c r="Y201" s="42">
        <f t="shared" si="42"/>
        <v>247349.30499999999</v>
      </c>
      <c r="Z201" s="20">
        <v>651.76</v>
      </c>
      <c r="AA201" s="20">
        <f t="shared" si="43"/>
        <v>1450.9499999999998</v>
      </c>
      <c r="AB201" s="21">
        <v>0.2</v>
      </c>
      <c r="AC201" s="21">
        <v>5.58</v>
      </c>
      <c r="AD201" s="8">
        <f t="shared" si="44"/>
        <v>657.54000000000008</v>
      </c>
      <c r="AE201" s="25">
        <v>1.238</v>
      </c>
      <c r="AF201" s="25">
        <f t="shared" si="45"/>
        <v>203508.63</v>
      </c>
      <c r="AG201" s="25">
        <f t="shared" si="46"/>
        <v>450857.935</v>
      </c>
      <c r="AH201" s="1">
        <f t="shared" si="36"/>
        <v>3382.1299999999997</v>
      </c>
      <c r="AI201" s="1">
        <f t="shared" si="37"/>
        <v>3402.06</v>
      </c>
      <c r="AJ201" s="1">
        <v>4251.6000000000004</v>
      </c>
      <c r="AK201" s="1">
        <f t="shared" si="38"/>
        <v>-869.47000000000071</v>
      </c>
      <c r="AL201" s="29">
        <f t="shared" si="47"/>
        <v>849.54000000000042</v>
      </c>
      <c r="AM201" s="11">
        <f t="shared" si="39"/>
        <v>2664115.8541000001</v>
      </c>
    </row>
    <row r="202" spans="1:40" x14ac:dyDescent="0.3">
      <c r="A202" s="39">
        <v>45843.0625</v>
      </c>
      <c r="B202" s="1">
        <v>1490.74</v>
      </c>
      <c r="C202" s="11">
        <v>3.2732000000000001</v>
      </c>
      <c r="D202" s="1">
        <v>776.29</v>
      </c>
      <c r="E202" s="11">
        <v>3.0760000000000001</v>
      </c>
      <c r="F202" s="1">
        <v>422.7</v>
      </c>
      <c r="G202" s="11">
        <v>3.53</v>
      </c>
      <c r="H202" s="1">
        <v>-1.9</v>
      </c>
      <c r="I202" s="11">
        <v>3.6921500000000003</v>
      </c>
      <c r="J202" s="1">
        <v>-7.8</v>
      </c>
      <c r="K202" s="11">
        <v>3.4701999999999997</v>
      </c>
      <c r="L202" s="1">
        <v>0</v>
      </c>
      <c r="M202" s="11">
        <v>6.2</v>
      </c>
      <c r="N202" s="1">
        <v>39.729999999999997</v>
      </c>
      <c r="O202" s="11">
        <v>2.8224999999999998</v>
      </c>
      <c r="P202" s="1">
        <f t="shared" si="40"/>
        <v>2719.7599999999993</v>
      </c>
      <c r="Q202" s="1">
        <v>2715.55</v>
      </c>
      <c r="R202" s="16">
        <f t="shared" si="41"/>
        <v>2209386.1219999995</v>
      </c>
      <c r="S202" s="1">
        <v>-727.16</v>
      </c>
      <c r="T202" s="1">
        <v>36.18</v>
      </c>
      <c r="U202" s="1">
        <v>12</v>
      </c>
      <c r="V202" s="1">
        <v>25.77</v>
      </c>
      <c r="W202" s="1" cm="1">
        <f t="array" ref="W202">SUM(ABS(S202:V202))</f>
        <v>801.1099999999999</v>
      </c>
      <c r="X202" s="25">
        <v>1.238</v>
      </c>
      <c r="Y202" s="42">
        <f t="shared" si="42"/>
        <v>247943.54499999998</v>
      </c>
      <c r="Z202" s="20">
        <v>613.66000000000008</v>
      </c>
      <c r="AA202" s="20">
        <f t="shared" si="43"/>
        <v>1414.77</v>
      </c>
      <c r="AB202" s="21">
        <v>0.21</v>
      </c>
      <c r="AC202" s="21">
        <v>4.2700000000000005</v>
      </c>
      <c r="AD202" s="8">
        <f t="shared" si="44"/>
        <v>618.1400000000001</v>
      </c>
      <c r="AE202" s="25">
        <v>1.238</v>
      </c>
      <c r="AF202" s="25">
        <f t="shared" si="45"/>
        <v>191314.33000000005</v>
      </c>
      <c r="AG202" s="25">
        <f t="shared" si="46"/>
        <v>439257.875</v>
      </c>
      <c r="AH202" s="1">
        <f t="shared" si="36"/>
        <v>3337.8999999999996</v>
      </c>
      <c r="AI202" s="1">
        <f t="shared" si="37"/>
        <v>3333.6900000000005</v>
      </c>
      <c r="AJ202" s="1">
        <v>4183.57</v>
      </c>
      <c r="AK202" s="1">
        <f t="shared" si="38"/>
        <v>-845.67000000000007</v>
      </c>
      <c r="AL202" s="29">
        <f t="shared" si="47"/>
        <v>849.8799999999992</v>
      </c>
      <c r="AM202" s="11">
        <f t="shared" si="39"/>
        <v>2648643.9969999995</v>
      </c>
    </row>
    <row r="203" spans="1:40" x14ac:dyDescent="0.3">
      <c r="A203" s="39">
        <v>45843.072916666664</v>
      </c>
      <c r="B203" s="1">
        <v>1490.74</v>
      </c>
      <c r="C203" s="11">
        <v>3.2732000000000001</v>
      </c>
      <c r="D203" s="1">
        <v>776.29</v>
      </c>
      <c r="E203" s="11">
        <v>3.0760000000000001</v>
      </c>
      <c r="F203" s="1">
        <v>422.7</v>
      </c>
      <c r="G203" s="11">
        <v>3.53</v>
      </c>
      <c r="H203" s="1">
        <v>-1.9</v>
      </c>
      <c r="I203" s="11">
        <v>3.63971</v>
      </c>
      <c r="J203" s="1">
        <v>-7.8</v>
      </c>
      <c r="K203" s="11">
        <v>3.4224800000000002</v>
      </c>
      <c r="L203" s="1">
        <v>0</v>
      </c>
      <c r="M203" s="11">
        <v>6.2</v>
      </c>
      <c r="N203" s="1">
        <v>38.21</v>
      </c>
      <c r="O203" s="11">
        <v>2.8224999999999998</v>
      </c>
      <c r="P203" s="1">
        <f t="shared" si="40"/>
        <v>2718.2399999999993</v>
      </c>
      <c r="Q203" s="1">
        <v>2700.72</v>
      </c>
      <c r="R203" s="16">
        <f t="shared" si="41"/>
        <v>2208431.5349999997</v>
      </c>
      <c r="S203" s="1">
        <v>-726.74</v>
      </c>
      <c r="T203" s="1">
        <v>36.21</v>
      </c>
      <c r="U203" s="1">
        <v>12</v>
      </c>
      <c r="V203" s="1">
        <v>20.440000000000001</v>
      </c>
      <c r="W203" s="1" cm="1">
        <f t="array" ref="W203">SUM(ABS(S203:V203))</f>
        <v>795.3900000000001</v>
      </c>
      <c r="X203" s="25">
        <v>1.238</v>
      </c>
      <c r="Y203" s="42">
        <f t="shared" si="42"/>
        <v>246173.20500000002</v>
      </c>
      <c r="Z203" s="20">
        <v>584.14</v>
      </c>
      <c r="AA203" s="20">
        <f t="shared" si="43"/>
        <v>1379.5300000000002</v>
      </c>
      <c r="AB203" s="21">
        <v>0.21</v>
      </c>
      <c r="AC203" s="21">
        <v>4.17</v>
      </c>
      <c r="AD203" s="8">
        <f t="shared" si="44"/>
        <v>588.52</v>
      </c>
      <c r="AE203" s="25">
        <v>1.238</v>
      </c>
      <c r="AF203" s="25">
        <f t="shared" si="45"/>
        <v>182146.94</v>
      </c>
      <c r="AG203" s="25">
        <f t="shared" si="46"/>
        <v>428320.14500000002</v>
      </c>
      <c r="AH203" s="1">
        <f t="shared" si="36"/>
        <v>3306.7599999999993</v>
      </c>
      <c r="AI203" s="1">
        <f t="shared" si="37"/>
        <v>3289.24</v>
      </c>
      <c r="AJ203" s="1">
        <v>4133.3100000000004</v>
      </c>
      <c r="AK203" s="1">
        <f t="shared" si="38"/>
        <v>-826.55000000000109</v>
      </c>
      <c r="AL203" s="29">
        <f t="shared" si="47"/>
        <v>844.07000000000062</v>
      </c>
      <c r="AM203" s="11">
        <f t="shared" si="39"/>
        <v>2636751.6799999997</v>
      </c>
    </row>
    <row r="204" spans="1:40" x14ac:dyDescent="0.3">
      <c r="A204" s="39">
        <v>45843.083333333336</v>
      </c>
      <c r="B204" s="1">
        <v>1490.74</v>
      </c>
      <c r="C204" s="11">
        <v>3.2732000000000001</v>
      </c>
      <c r="D204" s="1">
        <v>776.29</v>
      </c>
      <c r="E204" s="11">
        <v>3.0760000000000001</v>
      </c>
      <c r="F204" s="1">
        <v>400.15</v>
      </c>
      <c r="G204" s="11">
        <v>3.53</v>
      </c>
      <c r="H204" s="1">
        <v>-1.9</v>
      </c>
      <c r="I204" s="11">
        <v>3.5654899999999996</v>
      </c>
      <c r="J204" s="1">
        <v>-7.8</v>
      </c>
      <c r="K204" s="11">
        <v>3.47098</v>
      </c>
      <c r="L204" s="1">
        <v>0</v>
      </c>
      <c r="M204" s="11">
        <v>6.2</v>
      </c>
      <c r="N204" s="1">
        <v>36.43</v>
      </c>
      <c r="O204" s="11">
        <v>2.8224999999999998</v>
      </c>
      <c r="P204" s="1">
        <f t="shared" si="40"/>
        <v>2693.9099999999994</v>
      </c>
      <c r="Q204" s="1">
        <v>2640.17</v>
      </c>
      <c r="R204" s="16">
        <f t="shared" si="41"/>
        <v>2187215.827</v>
      </c>
      <c r="S204" s="1">
        <v>-730.89</v>
      </c>
      <c r="T204" s="1">
        <v>36.21</v>
      </c>
      <c r="U204" s="1">
        <v>12</v>
      </c>
      <c r="V204" s="1">
        <v>19.149999999999999</v>
      </c>
      <c r="W204" s="1" cm="1">
        <f t="array" ref="W204">SUM(ABS(S204:V204))</f>
        <v>798.25</v>
      </c>
      <c r="X204" s="25">
        <v>1.238</v>
      </c>
      <c r="Y204" s="42">
        <f t="shared" si="42"/>
        <v>247058.37499999997</v>
      </c>
      <c r="Z204" s="20">
        <v>578.88000000000011</v>
      </c>
      <c r="AA204" s="20">
        <f t="shared" si="43"/>
        <v>1377.13</v>
      </c>
      <c r="AB204" s="21">
        <v>0.21</v>
      </c>
      <c r="AC204" s="21">
        <v>5.26</v>
      </c>
      <c r="AD204" s="8">
        <f t="shared" si="44"/>
        <v>584.35000000000014</v>
      </c>
      <c r="AE204" s="25">
        <v>1.238</v>
      </c>
      <c r="AF204" s="25">
        <f t="shared" si="45"/>
        <v>180856.32500000004</v>
      </c>
      <c r="AG204" s="25">
        <f t="shared" si="46"/>
        <v>427914.7</v>
      </c>
      <c r="AH204" s="1">
        <f t="shared" si="36"/>
        <v>3278.2599999999993</v>
      </c>
      <c r="AI204" s="1">
        <f t="shared" si="37"/>
        <v>3224.5200000000004</v>
      </c>
      <c r="AJ204" s="1">
        <v>4071.44</v>
      </c>
      <c r="AK204" s="1">
        <f t="shared" si="38"/>
        <v>-793.18000000000075</v>
      </c>
      <c r="AL204" s="29">
        <f t="shared" si="47"/>
        <v>846.91999999999962</v>
      </c>
      <c r="AM204" s="11">
        <f t="shared" si="39"/>
        <v>2615130.5270000002</v>
      </c>
    </row>
    <row r="205" spans="1:40" x14ac:dyDescent="0.3">
      <c r="A205" s="39">
        <v>45843.09375</v>
      </c>
      <c r="B205" s="1">
        <v>1490.74</v>
      </c>
      <c r="C205" s="11">
        <v>3.2732000000000001</v>
      </c>
      <c r="D205" s="1">
        <v>776.29</v>
      </c>
      <c r="E205" s="11">
        <v>3.0760000000000001</v>
      </c>
      <c r="F205" s="1">
        <v>398.57</v>
      </c>
      <c r="G205" s="11">
        <v>3.53</v>
      </c>
      <c r="H205" s="1">
        <v>-1.9</v>
      </c>
      <c r="I205" s="11">
        <v>3.56406</v>
      </c>
      <c r="J205" s="1">
        <v>-7.8</v>
      </c>
      <c r="K205" s="11">
        <v>3.6006999999999998</v>
      </c>
      <c r="L205" s="1">
        <v>0</v>
      </c>
      <c r="M205" s="11">
        <v>6.2</v>
      </c>
      <c r="N205" s="1">
        <v>34.909999999999997</v>
      </c>
      <c r="O205" s="11">
        <v>2.8224999999999998</v>
      </c>
      <c r="P205" s="1">
        <f t="shared" si="40"/>
        <v>2690.8099999999995</v>
      </c>
      <c r="Q205" s="1">
        <v>2632.99</v>
      </c>
      <c r="R205" s="16">
        <f t="shared" si="41"/>
        <v>2184496.6522499998</v>
      </c>
      <c r="S205" s="1">
        <v>-731.8</v>
      </c>
      <c r="T205" s="1">
        <v>36.229999999999997</v>
      </c>
      <c r="U205" s="1">
        <v>12</v>
      </c>
      <c r="V205" s="1">
        <v>16.91</v>
      </c>
      <c r="W205" s="1" cm="1">
        <f t="array" ref="W205">SUM(ABS(S205:V205))</f>
        <v>796.93999999999994</v>
      </c>
      <c r="X205" s="25">
        <v>1.238</v>
      </c>
      <c r="Y205" s="42">
        <f t="shared" si="42"/>
        <v>246652.92999999996</v>
      </c>
      <c r="Z205" s="20">
        <v>529.47000000000014</v>
      </c>
      <c r="AA205" s="20">
        <f t="shared" si="43"/>
        <v>1326.41</v>
      </c>
      <c r="AB205" s="21">
        <v>0.2</v>
      </c>
      <c r="AC205" s="21">
        <v>5.0999999999999996</v>
      </c>
      <c r="AD205" s="8">
        <f t="shared" si="44"/>
        <v>534.77000000000021</v>
      </c>
      <c r="AE205" s="25">
        <v>1.238</v>
      </c>
      <c r="AF205" s="25">
        <f t="shared" si="45"/>
        <v>165511.31500000006</v>
      </c>
      <c r="AG205" s="25">
        <f t="shared" si="46"/>
        <v>412164.245</v>
      </c>
      <c r="AH205" s="1">
        <f t="shared" si="36"/>
        <v>3225.58</v>
      </c>
      <c r="AI205" s="1">
        <f t="shared" si="37"/>
        <v>3167.76</v>
      </c>
      <c r="AJ205" s="1">
        <v>4015.6</v>
      </c>
      <c r="AK205" s="1">
        <f t="shared" si="38"/>
        <v>-790.02</v>
      </c>
      <c r="AL205" s="29">
        <f t="shared" si="47"/>
        <v>847.83999999999969</v>
      </c>
      <c r="AM205" s="11">
        <f t="shared" si="39"/>
        <v>2596660.8972499999</v>
      </c>
    </row>
    <row r="206" spans="1:40" x14ac:dyDescent="0.3">
      <c r="A206" s="39">
        <v>45843.104166666664</v>
      </c>
      <c r="B206" s="1">
        <v>1490.74</v>
      </c>
      <c r="C206" s="11">
        <v>3.2732000000000001</v>
      </c>
      <c r="D206" s="1">
        <v>776.29</v>
      </c>
      <c r="E206" s="11">
        <v>3.0760000000000001</v>
      </c>
      <c r="F206" s="1">
        <v>398.57</v>
      </c>
      <c r="G206" s="11">
        <v>3.53</v>
      </c>
      <c r="H206" s="1">
        <v>-1.9</v>
      </c>
      <c r="I206" s="11">
        <v>3.5005999999999999</v>
      </c>
      <c r="J206" s="1">
        <v>-7.8</v>
      </c>
      <c r="K206" s="11">
        <v>3.5821000000000001</v>
      </c>
      <c r="L206" s="1">
        <v>0</v>
      </c>
      <c r="M206" s="11">
        <v>6.2</v>
      </c>
      <c r="N206" s="1">
        <v>33.130000000000003</v>
      </c>
      <c r="O206" s="11">
        <v>2.8224999999999998</v>
      </c>
      <c r="P206" s="1">
        <f t="shared" si="40"/>
        <v>2689.0299999999997</v>
      </c>
      <c r="Q206" s="1">
        <v>2628.95</v>
      </c>
      <c r="R206" s="16">
        <f t="shared" si="41"/>
        <v>2183307.0532499999</v>
      </c>
      <c r="S206" s="1">
        <v>-730.07</v>
      </c>
      <c r="T206" s="1">
        <v>36.25</v>
      </c>
      <c r="U206" s="1">
        <v>12</v>
      </c>
      <c r="V206" s="1">
        <v>12.83</v>
      </c>
      <c r="W206" s="1" cm="1">
        <f t="array" ref="W206">SUM(ABS(S206:V206))</f>
        <v>791.15000000000009</v>
      </c>
      <c r="X206" s="25">
        <v>1.238</v>
      </c>
      <c r="Y206" s="42">
        <f t="shared" si="42"/>
        <v>244860.92500000005</v>
      </c>
      <c r="Z206" s="20">
        <v>493.41</v>
      </c>
      <c r="AA206" s="20">
        <f t="shared" si="43"/>
        <v>1284.5600000000002</v>
      </c>
      <c r="AB206" s="21">
        <v>0.21</v>
      </c>
      <c r="AC206" s="21">
        <v>5.97</v>
      </c>
      <c r="AD206" s="8">
        <f t="shared" si="44"/>
        <v>499.59000000000003</v>
      </c>
      <c r="AE206" s="25">
        <v>1.238</v>
      </c>
      <c r="AF206" s="25">
        <f t="shared" si="45"/>
        <v>154623.10500000001</v>
      </c>
      <c r="AG206" s="25">
        <f t="shared" si="46"/>
        <v>399484.03</v>
      </c>
      <c r="AH206" s="1">
        <f t="shared" si="36"/>
        <v>3188.62</v>
      </c>
      <c r="AI206" s="1">
        <f t="shared" si="37"/>
        <v>3128.54</v>
      </c>
      <c r="AJ206" s="1">
        <v>3970.29</v>
      </c>
      <c r="AK206" s="1">
        <f t="shared" si="38"/>
        <v>-781.67000000000007</v>
      </c>
      <c r="AL206" s="29">
        <f t="shared" si="47"/>
        <v>841.75</v>
      </c>
      <c r="AM206" s="11">
        <f t="shared" si="39"/>
        <v>2582791.0832500001</v>
      </c>
    </row>
    <row r="207" spans="1:40" x14ac:dyDescent="0.3">
      <c r="A207" s="39">
        <v>45843.114583333336</v>
      </c>
      <c r="B207" s="1">
        <v>1490.74</v>
      </c>
      <c r="C207" s="11">
        <v>3.2732000000000001</v>
      </c>
      <c r="D207" s="1">
        <v>776.29</v>
      </c>
      <c r="E207" s="11">
        <v>3.0760000000000001</v>
      </c>
      <c r="F207" s="1">
        <v>398.57</v>
      </c>
      <c r="G207" s="11">
        <v>3.53</v>
      </c>
      <c r="H207" s="1">
        <v>-1.9</v>
      </c>
      <c r="I207" s="11">
        <v>3.4992800000000002</v>
      </c>
      <c r="J207" s="1">
        <v>-7.8</v>
      </c>
      <c r="K207" s="11">
        <v>3.5821700000000001</v>
      </c>
      <c r="L207" s="1">
        <v>0</v>
      </c>
      <c r="M207" s="11">
        <v>6.2</v>
      </c>
      <c r="N207" s="1">
        <v>31.6</v>
      </c>
      <c r="O207" s="11">
        <v>2.8224999999999998</v>
      </c>
      <c r="P207" s="1">
        <f t="shared" si="40"/>
        <v>2687.4999999999995</v>
      </c>
      <c r="Q207" s="1">
        <v>2650.75</v>
      </c>
      <c r="R207" s="16">
        <f t="shared" si="41"/>
        <v>2182227.9375000005</v>
      </c>
      <c r="S207" s="1">
        <v>-684.17</v>
      </c>
      <c r="T207" s="1">
        <v>36.26</v>
      </c>
      <c r="U207" s="1">
        <v>12</v>
      </c>
      <c r="V207" s="1">
        <v>12.83</v>
      </c>
      <c r="W207" s="1" cm="1">
        <f t="array" ref="W207">SUM(ABS(S207:V207))</f>
        <v>745.26</v>
      </c>
      <c r="X207" s="25">
        <v>1.238</v>
      </c>
      <c r="Y207" s="42">
        <f t="shared" si="42"/>
        <v>230657.97</v>
      </c>
      <c r="Z207" s="20">
        <v>480.73999999999995</v>
      </c>
      <c r="AA207" s="20">
        <f t="shared" si="43"/>
        <v>1226</v>
      </c>
      <c r="AB207" s="21">
        <v>0.21</v>
      </c>
      <c r="AC207" s="21">
        <v>6.06</v>
      </c>
      <c r="AD207" s="8">
        <f t="shared" si="44"/>
        <v>487.00999999999993</v>
      </c>
      <c r="AE207" s="25">
        <v>1.238</v>
      </c>
      <c r="AF207" s="25">
        <f t="shared" si="45"/>
        <v>150729.595</v>
      </c>
      <c r="AG207" s="25">
        <f t="shared" si="46"/>
        <v>381387.565</v>
      </c>
      <c r="AH207" s="1">
        <f t="shared" si="36"/>
        <v>3174.5099999999993</v>
      </c>
      <c r="AI207" s="1">
        <f t="shared" si="37"/>
        <v>3137.7599999999998</v>
      </c>
      <c r="AJ207" s="1">
        <v>3933.82</v>
      </c>
      <c r="AK207" s="1">
        <f t="shared" si="38"/>
        <v>-759.31000000000085</v>
      </c>
      <c r="AL207" s="29">
        <f t="shared" si="47"/>
        <v>796.0600000000004</v>
      </c>
      <c r="AM207" s="11">
        <f t="shared" si="39"/>
        <v>2563615.5025000004</v>
      </c>
    </row>
    <row r="208" spans="1:40" x14ac:dyDescent="0.3">
      <c r="A208" s="39">
        <v>45843.125</v>
      </c>
      <c r="B208" s="1">
        <v>1471.96</v>
      </c>
      <c r="C208" s="11">
        <v>3.2732000000000001</v>
      </c>
      <c r="D208" s="1">
        <v>1145.19</v>
      </c>
      <c r="E208" s="11">
        <v>3.0760000000000001</v>
      </c>
      <c r="F208" s="1">
        <v>29.67</v>
      </c>
      <c r="G208" s="11">
        <v>3.53</v>
      </c>
      <c r="H208" s="1">
        <v>-1.9</v>
      </c>
      <c r="I208" s="11">
        <v>3.45146</v>
      </c>
      <c r="J208" s="1">
        <v>-7.8</v>
      </c>
      <c r="K208" s="11">
        <v>3.2935700000000003</v>
      </c>
      <c r="L208" s="1">
        <v>0</v>
      </c>
      <c r="M208" s="11">
        <v>6.2</v>
      </c>
      <c r="N208" s="1">
        <v>29.83</v>
      </c>
      <c r="O208" s="11">
        <v>2.8224999999999998</v>
      </c>
      <c r="P208" s="1">
        <f t="shared" si="40"/>
        <v>2666.95</v>
      </c>
      <c r="Q208" s="1">
        <v>2606.6999999999998</v>
      </c>
      <c r="R208" s="16">
        <f t="shared" si="41"/>
        <v>2124326.64175</v>
      </c>
      <c r="S208" s="1">
        <v>-689.7</v>
      </c>
      <c r="T208" s="1">
        <v>36.28</v>
      </c>
      <c r="U208" s="1">
        <v>12</v>
      </c>
      <c r="V208" s="1">
        <v>12.82</v>
      </c>
      <c r="W208" s="1" cm="1">
        <f t="array" ref="W208">SUM(ABS(S208:V208))</f>
        <v>750.80000000000007</v>
      </c>
      <c r="X208" s="25">
        <v>1.238</v>
      </c>
      <c r="Y208" s="42">
        <f t="shared" si="42"/>
        <v>232372.6</v>
      </c>
      <c r="Z208" s="20">
        <v>481.36000000000007</v>
      </c>
      <c r="AA208" s="20">
        <f t="shared" si="43"/>
        <v>1232.1600000000001</v>
      </c>
      <c r="AB208" s="21">
        <v>0.21</v>
      </c>
      <c r="AC208" s="21">
        <v>5.8400000000000007</v>
      </c>
      <c r="AD208" s="8">
        <f t="shared" si="44"/>
        <v>487.41</v>
      </c>
      <c r="AE208" s="25">
        <v>1.238</v>
      </c>
      <c r="AF208" s="25">
        <f t="shared" si="45"/>
        <v>150853.39500000002</v>
      </c>
      <c r="AG208" s="25">
        <f t="shared" si="46"/>
        <v>383225.995</v>
      </c>
      <c r="AH208" s="1">
        <f t="shared" si="36"/>
        <v>3154.3599999999997</v>
      </c>
      <c r="AI208" s="1">
        <f t="shared" si="37"/>
        <v>3094.1099999999997</v>
      </c>
      <c r="AJ208" s="1">
        <v>3894.88</v>
      </c>
      <c r="AK208" s="1">
        <f t="shared" si="38"/>
        <v>-740.52000000000044</v>
      </c>
      <c r="AL208" s="29">
        <f t="shared" si="47"/>
        <v>800.77000000000044</v>
      </c>
      <c r="AM208" s="11">
        <f t="shared" si="39"/>
        <v>2507552.6367500001</v>
      </c>
    </row>
    <row r="209" spans="1:39" x14ac:dyDescent="0.3">
      <c r="A209" s="39">
        <v>45843.135416666664</v>
      </c>
      <c r="B209" s="1">
        <v>1470.16</v>
      </c>
      <c r="C209" s="11">
        <v>3.2732000000000001</v>
      </c>
      <c r="D209" s="1">
        <v>1174.8599999999999</v>
      </c>
      <c r="E209" s="11">
        <v>3.0760000000000001</v>
      </c>
      <c r="F209" s="1">
        <v>0</v>
      </c>
      <c r="G209" s="11">
        <v>3.53</v>
      </c>
      <c r="H209" s="1">
        <v>-1.9</v>
      </c>
      <c r="I209" s="11">
        <v>3.45112</v>
      </c>
      <c r="J209" s="1">
        <v>-7.8</v>
      </c>
      <c r="K209" s="11">
        <v>3.246</v>
      </c>
      <c r="L209" s="1">
        <v>0</v>
      </c>
      <c r="M209" s="11">
        <v>6.2</v>
      </c>
      <c r="N209" s="1">
        <v>29.14</v>
      </c>
      <c r="O209" s="11">
        <v>2.8224999999999998</v>
      </c>
      <c r="P209" s="1">
        <f t="shared" si="40"/>
        <v>2664.4599999999996</v>
      </c>
      <c r="Q209" s="1">
        <v>2603.59</v>
      </c>
      <c r="R209" s="16">
        <f t="shared" si="41"/>
        <v>2119092.1984999999</v>
      </c>
      <c r="S209" s="1">
        <v>-670.53</v>
      </c>
      <c r="T209" s="1">
        <v>36.29</v>
      </c>
      <c r="U209" s="1">
        <v>12</v>
      </c>
      <c r="V209" s="1">
        <v>12.82</v>
      </c>
      <c r="W209" s="1" cm="1">
        <f t="array" ref="W209">SUM(ABS(S209:V209))</f>
        <v>731.64</v>
      </c>
      <c r="X209" s="25">
        <v>1.238</v>
      </c>
      <c r="Y209" s="42">
        <f t="shared" si="42"/>
        <v>226442.58</v>
      </c>
      <c r="Z209" s="20">
        <v>462.37999999999994</v>
      </c>
      <c r="AA209" s="20">
        <f t="shared" si="43"/>
        <v>1194.02</v>
      </c>
      <c r="AB209" s="21">
        <v>0.21</v>
      </c>
      <c r="AC209" s="21">
        <v>5.7899999999999991</v>
      </c>
      <c r="AD209" s="8">
        <f t="shared" si="44"/>
        <v>468.37999999999994</v>
      </c>
      <c r="AE209" s="25">
        <v>1.238</v>
      </c>
      <c r="AF209" s="25">
        <f t="shared" si="45"/>
        <v>144963.60999999999</v>
      </c>
      <c r="AG209" s="25">
        <f t="shared" si="46"/>
        <v>371406.18999999994</v>
      </c>
      <c r="AH209" s="1">
        <f t="shared" si="36"/>
        <v>3132.8399999999997</v>
      </c>
      <c r="AI209" s="1">
        <f t="shared" si="37"/>
        <v>3071.9700000000003</v>
      </c>
      <c r="AJ209" s="1">
        <v>3856</v>
      </c>
      <c r="AK209" s="1">
        <f t="shared" si="38"/>
        <v>-723.16000000000031</v>
      </c>
      <c r="AL209" s="29">
        <f t="shared" si="47"/>
        <v>784.02999999999975</v>
      </c>
      <c r="AM209" s="11">
        <f t="shared" si="39"/>
        <v>2490498.3884999999</v>
      </c>
    </row>
    <row r="210" spans="1:39" x14ac:dyDescent="0.3">
      <c r="A210" s="39">
        <v>45843.145833333336</v>
      </c>
      <c r="B210" s="1">
        <v>1470.13</v>
      </c>
      <c r="C210" s="11">
        <v>3.2732000000000001</v>
      </c>
      <c r="D210" s="1">
        <v>1174.8599999999999</v>
      </c>
      <c r="E210" s="11">
        <v>3.0760000000000001</v>
      </c>
      <c r="F210" s="1">
        <v>0</v>
      </c>
      <c r="G210" s="11">
        <v>3.53</v>
      </c>
      <c r="H210" s="1">
        <v>-1.9</v>
      </c>
      <c r="I210" s="11">
        <v>3.4272100000000001</v>
      </c>
      <c r="J210" s="1">
        <v>-7.8</v>
      </c>
      <c r="K210" s="11">
        <v>3.0537800000000002</v>
      </c>
      <c r="L210" s="1">
        <v>0</v>
      </c>
      <c r="M210" s="11">
        <v>6.2</v>
      </c>
      <c r="N210" s="1">
        <v>28.27</v>
      </c>
      <c r="O210" s="11">
        <v>2.8224999999999998</v>
      </c>
      <c r="P210" s="1">
        <f t="shared" si="40"/>
        <v>2663.5599999999995</v>
      </c>
      <c r="Q210" s="1">
        <v>2603.0700000000002</v>
      </c>
      <c r="R210" s="16">
        <f t="shared" si="41"/>
        <v>2118839.9419999998</v>
      </c>
      <c r="S210" s="1">
        <v>-645.88</v>
      </c>
      <c r="T210" s="1">
        <v>36.28</v>
      </c>
      <c r="U210" s="1">
        <v>12</v>
      </c>
      <c r="V210" s="1">
        <v>12.84</v>
      </c>
      <c r="W210" s="1" cm="1">
        <f t="array" ref="W210">SUM(ABS(S210:V210))</f>
        <v>707</v>
      </c>
      <c r="X210" s="25">
        <v>1.238</v>
      </c>
      <c r="Y210" s="42">
        <f t="shared" si="42"/>
        <v>218816.5</v>
      </c>
      <c r="Z210" s="20">
        <v>456.56</v>
      </c>
      <c r="AA210" s="20">
        <f t="shared" si="43"/>
        <v>1163.56</v>
      </c>
      <c r="AB210" s="21">
        <v>0.22</v>
      </c>
      <c r="AC210" s="21">
        <v>4.8600000000000003</v>
      </c>
      <c r="AD210" s="8">
        <f t="shared" si="44"/>
        <v>461.64000000000004</v>
      </c>
      <c r="AE210" s="25">
        <v>1.238</v>
      </c>
      <c r="AF210" s="25">
        <f t="shared" si="45"/>
        <v>142877.58000000002</v>
      </c>
      <c r="AG210" s="25">
        <f t="shared" si="46"/>
        <v>361694.08</v>
      </c>
      <c r="AH210" s="1">
        <f t="shared" si="36"/>
        <v>3125.1999999999994</v>
      </c>
      <c r="AI210" s="1">
        <f t="shared" si="37"/>
        <v>3064.71</v>
      </c>
      <c r="AJ210" s="1">
        <v>3822</v>
      </c>
      <c r="AK210" s="1">
        <f t="shared" si="38"/>
        <v>-696.80000000000064</v>
      </c>
      <c r="AL210" s="29">
        <f t="shared" si="47"/>
        <v>757.29</v>
      </c>
      <c r="AM210" s="11">
        <f t="shared" si="39"/>
        <v>2480534.0219999999</v>
      </c>
    </row>
    <row r="211" spans="1:39" x14ac:dyDescent="0.3">
      <c r="A211" s="39">
        <v>45843.15625</v>
      </c>
      <c r="B211" s="1">
        <v>1470.13</v>
      </c>
      <c r="C211" s="11">
        <v>3.2732000000000001</v>
      </c>
      <c r="D211" s="1">
        <v>1174.8599999999999</v>
      </c>
      <c r="E211" s="11">
        <v>3.0760000000000001</v>
      </c>
      <c r="F211" s="1">
        <v>0</v>
      </c>
      <c r="G211" s="11">
        <v>3.53</v>
      </c>
      <c r="H211" s="1">
        <v>-1.9</v>
      </c>
      <c r="I211" s="11">
        <v>3.4223000000000003</v>
      </c>
      <c r="J211" s="1">
        <v>-7.8</v>
      </c>
      <c r="K211" s="11">
        <v>3.0532600000000003</v>
      </c>
      <c r="L211" s="1">
        <v>0</v>
      </c>
      <c r="M211" s="11">
        <v>6.2</v>
      </c>
      <c r="N211" s="1">
        <v>27.09</v>
      </c>
      <c r="O211" s="11">
        <v>2.8224999999999998</v>
      </c>
      <c r="P211" s="1">
        <f t="shared" si="40"/>
        <v>2662.3799999999997</v>
      </c>
      <c r="Q211" s="1">
        <v>2621.52</v>
      </c>
      <c r="R211" s="16">
        <f t="shared" si="41"/>
        <v>2118010.65075</v>
      </c>
      <c r="S211" s="1">
        <v>-595.44000000000005</v>
      </c>
      <c r="T211" s="1">
        <v>36.29</v>
      </c>
      <c r="U211" s="1">
        <v>12</v>
      </c>
      <c r="V211" s="1">
        <v>12.82</v>
      </c>
      <c r="W211" s="1" cm="1">
        <f t="array" ref="W211">SUM(ABS(S211:V211))</f>
        <v>656.55000000000007</v>
      </c>
      <c r="X211" s="25">
        <v>1.238</v>
      </c>
      <c r="Y211" s="42">
        <f t="shared" si="42"/>
        <v>203202.22500000003</v>
      </c>
      <c r="Z211" s="20">
        <v>456.36999999999995</v>
      </c>
      <c r="AA211" s="20">
        <f t="shared" si="43"/>
        <v>1112.92</v>
      </c>
      <c r="AB211" s="21">
        <v>0.21</v>
      </c>
      <c r="AC211" s="21">
        <v>4.1399999999999997</v>
      </c>
      <c r="AD211" s="8">
        <f t="shared" si="44"/>
        <v>460.71999999999991</v>
      </c>
      <c r="AE211" s="25">
        <v>1.238</v>
      </c>
      <c r="AF211" s="25">
        <f t="shared" si="45"/>
        <v>142592.83999999997</v>
      </c>
      <c r="AG211" s="25">
        <f t="shared" si="46"/>
        <v>345795.065</v>
      </c>
      <c r="AH211" s="1">
        <f t="shared" si="36"/>
        <v>3123.0999999999995</v>
      </c>
      <c r="AI211" s="1">
        <f t="shared" si="37"/>
        <v>3082.24</v>
      </c>
      <c r="AJ211" s="1">
        <v>3789.75</v>
      </c>
      <c r="AK211" s="1">
        <f t="shared" si="38"/>
        <v>-666.65000000000055</v>
      </c>
      <c r="AL211" s="29">
        <f t="shared" si="47"/>
        <v>707.51000000000022</v>
      </c>
      <c r="AM211" s="11">
        <f t="shared" si="39"/>
        <v>2463805.71575</v>
      </c>
    </row>
    <row r="212" spans="1:39" x14ac:dyDescent="0.3">
      <c r="A212" s="39">
        <v>45843.166666666664</v>
      </c>
      <c r="B212" s="1">
        <v>1489.23</v>
      </c>
      <c r="C212" s="11">
        <v>3.2732000000000001</v>
      </c>
      <c r="D212" s="1">
        <v>1174.8599999999999</v>
      </c>
      <c r="E212" s="11">
        <v>3.0760000000000001</v>
      </c>
      <c r="F212" s="1">
        <v>0</v>
      </c>
      <c r="G212" s="11">
        <v>3.53</v>
      </c>
      <c r="H212" s="1">
        <v>-48.18</v>
      </c>
      <c r="I212" s="11">
        <v>3.4106300000000003</v>
      </c>
      <c r="J212" s="1">
        <v>-7.8</v>
      </c>
      <c r="K212" s="11">
        <v>3.3218299999999998</v>
      </c>
      <c r="L212" s="1">
        <v>0</v>
      </c>
      <c r="M212" s="11">
        <v>6.2</v>
      </c>
      <c r="N212" s="1">
        <v>26.44</v>
      </c>
      <c r="O212" s="11">
        <v>2.8224999999999998</v>
      </c>
      <c r="P212" s="1">
        <f t="shared" si="40"/>
        <v>2634.55</v>
      </c>
      <c r="Q212" s="1">
        <v>2598.5700000000002</v>
      </c>
      <c r="R212" s="16">
        <f t="shared" si="41"/>
        <v>2093202.3671499996</v>
      </c>
      <c r="S212" s="1">
        <v>-591.91999999999996</v>
      </c>
      <c r="T212" s="1">
        <v>36.31</v>
      </c>
      <c r="U212" s="1">
        <v>12</v>
      </c>
      <c r="V212" s="1">
        <v>12.79</v>
      </c>
      <c r="W212" s="1" cm="1">
        <f t="array" ref="W212">SUM(ABS(S212:V212))</f>
        <v>653.02</v>
      </c>
      <c r="X212" s="25">
        <v>1.238</v>
      </c>
      <c r="Y212" s="42">
        <f t="shared" si="42"/>
        <v>202109.69</v>
      </c>
      <c r="Z212" s="20">
        <v>456.65</v>
      </c>
      <c r="AA212" s="20">
        <f t="shared" si="43"/>
        <v>1109.67</v>
      </c>
      <c r="AB212" s="21">
        <v>0.21</v>
      </c>
      <c r="AC212" s="21">
        <v>4.68</v>
      </c>
      <c r="AD212" s="8">
        <f t="shared" si="44"/>
        <v>461.53999999999996</v>
      </c>
      <c r="AE212" s="25">
        <v>1.238</v>
      </c>
      <c r="AF212" s="25">
        <f t="shared" si="45"/>
        <v>142846.62999999998</v>
      </c>
      <c r="AG212" s="25">
        <f t="shared" si="46"/>
        <v>344956.31999999995</v>
      </c>
      <c r="AH212" s="1">
        <f t="shared" si="36"/>
        <v>3096.09</v>
      </c>
      <c r="AI212" s="1">
        <f t="shared" si="37"/>
        <v>3060.11</v>
      </c>
      <c r="AJ212" s="1">
        <v>3750.86</v>
      </c>
      <c r="AK212" s="1">
        <f t="shared" si="38"/>
        <v>-654.77</v>
      </c>
      <c r="AL212" s="29">
        <f t="shared" si="47"/>
        <v>690.75</v>
      </c>
      <c r="AM212" s="11">
        <f t="shared" si="39"/>
        <v>2438158.6871499997</v>
      </c>
    </row>
    <row r="213" spans="1:39" x14ac:dyDescent="0.3">
      <c r="A213" s="39">
        <v>45843.177083333336</v>
      </c>
      <c r="B213" s="1">
        <v>1479.52</v>
      </c>
      <c r="C213" s="11">
        <v>3.2732000000000001</v>
      </c>
      <c r="D213" s="1">
        <v>1174.8599999999999</v>
      </c>
      <c r="E213" s="11">
        <v>3.0760000000000001</v>
      </c>
      <c r="F213" s="1">
        <v>0</v>
      </c>
      <c r="G213" s="11">
        <v>3.53</v>
      </c>
      <c r="H213" s="1">
        <v>-14.68</v>
      </c>
      <c r="I213" s="11">
        <v>3.3992</v>
      </c>
      <c r="J213" s="1">
        <v>-7.8</v>
      </c>
      <c r="K213" s="11">
        <v>3.4222199999999998</v>
      </c>
      <c r="L213" s="1">
        <v>0</v>
      </c>
      <c r="M213" s="11">
        <v>6.2</v>
      </c>
      <c r="N213" s="1">
        <v>25.29</v>
      </c>
      <c r="O213" s="11">
        <v>2.8224999999999998</v>
      </c>
      <c r="P213" s="1">
        <f t="shared" si="40"/>
        <v>2657.19</v>
      </c>
      <c r="Q213" s="1">
        <v>2627.79</v>
      </c>
      <c r="R213" s="16">
        <f t="shared" si="41"/>
        <v>2112855.4192499998</v>
      </c>
      <c r="S213" s="1">
        <v>-574.34</v>
      </c>
      <c r="T213" s="1">
        <v>36.31</v>
      </c>
      <c r="U213" s="1">
        <v>12</v>
      </c>
      <c r="V213" s="1">
        <v>12.78</v>
      </c>
      <c r="W213" s="1" cm="1">
        <f t="array" ref="W213">SUM(ABS(S213:V213))</f>
        <v>635.43000000000006</v>
      </c>
      <c r="X213" s="25">
        <v>1.238</v>
      </c>
      <c r="Y213" s="42">
        <f t="shared" si="42"/>
        <v>196665.58500000002</v>
      </c>
      <c r="Z213" s="20">
        <v>456.56000000000006</v>
      </c>
      <c r="AA213" s="20">
        <f t="shared" si="43"/>
        <v>1091.9900000000002</v>
      </c>
      <c r="AB213" s="21">
        <v>0.22999999999999998</v>
      </c>
      <c r="AC213" s="21">
        <v>5.1499999999999995</v>
      </c>
      <c r="AD213" s="8">
        <f t="shared" si="44"/>
        <v>461.94000000000005</v>
      </c>
      <c r="AE213" s="25">
        <v>1.238</v>
      </c>
      <c r="AF213" s="25">
        <f t="shared" si="45"/>
        <v>142970.43000000002</v>
      </c>
      <c r="AG213" s="25">
        <f t="shared" si="46"/>
        <v>339636.01500000001</v>
      </c>
      <c r="AH213" s="1">
        <f t="shared" si="36"/>
        <v>3119.13</v>
      </c>
      <c r="AI213" s="1">
        <f t="shared" si="37"/>
        <v>3089.73</v>
      </c>
      <c r="AJ213" s="1">
        <v>3733.64</v>
      </c>
      <c r="AK213" s="1">
        <f t="shared" si="38"/>
        <v>-614.50999999999976</v>
      </c>
      <c r="AL213" s="29">
        <f t="shared" si="47"/>
        <v>643.90999999999985</v>
      </c>
      <c r="AM213" s="11">
        <f t="shared" si="39"/>
        <v>2452491.4342499999</v>
      </c>
    </row>
    <row r="214" spans="1:39" x14ac:dyDescent="0.3">
      <c r="A214" s="39">
        <v>45843.1875</v>
      </c>
      <c r="B214" s="1">
        <v>1472.36</v>
      </c>
      <c r="C214" s="11">
        <v>3.2732000000000001</v>
      </c>
      <c r="D214" s="1">
        <v>1174.8599999999999</v>
      </c>
      <c r="E214" s="11">
        <v>3.0760000000000001</v>
      </c>
      <c r="F214" s="1">
        <v>0</v>
      </c>
      <c r="G214" s="11">
        <v>3.53</v>
      </c>
      <c r="H214" s="1">
        <v>-2.5499999999999998</v>
      </c>
      <c r="I214" s="11">
        <v>3.3915100000000002</v>
      </c>
      <c r="J214" s="1">
        <v>-7.8</v>
      </c>
      <c r="K214" s="11">
        <v>3.4149499999999997</v>
      </c>
      <c r="L214" s="1">
        <v>0</v>
      </c>
      <c r="M214" s="11">
        <v>6.2</v>
      </c>
      <c r="N214" s="1">
        <v>23.81</v>
      </c>
      <c r="O214" s="11">
        <v>2.8224999999999998</v>
      </c>
      <c r="P214" s="1">
        <f t="shared" si="40"/>
        <v>2660.6799999999994</v>
      </c>
      <c r="Q214" s="1">
        <v>2628.17</v>
      </c>
      <c r="R214" s="16">
        <f t="shared" si="41"/>
        <v>2116279.2191249998</v>
      </c>
      <c r="S214" s="1">
        <v>-568.46</v>
      </c>
      <c r="T214" s="1">
        <v>36.35</v>
      </c>
      <c r="U214" s="1">
        <v>12</v>
      </c>
      <c r="V214" s="1">
        <v>12.78</v>
      </c>
      <c r="W214" s="1" cm="1">
        <f t="array" ref="W214">SUM(ABS(S214:V214))</f>
        <v>629.59</v>
      </c>
      <c r="X214" s="25">
        <v>1.238</v>
      </c>
      <c r="Y214" s="42">
        <f t="shared" si="42"/>
        <v>194858.10499999998</v>
      </c>
      <c r="Z214" s="20">
        <v>456.23999999999995</v>
      </c>
      <c r="AA214" s="20">
        <f t="shared" si="43"/>
        <v>1085.83</v>
      </c>
      <c r="AB214" s="21">
        <v>0.25</v>
      </c>
      <c r="AC214" s="21">
        <v>5.89</v>
      </c>
      <c r="AD214" s="8">
        <f t="shared" si="44"/>
        <v>462.37999999999994</v>
      </c>
      <c r="AE214" s="25">
        <v>1.238</v>
      </c>
      <c r="AF214" s="25">
        <f t="shared" si="45"/>
        <v>143106.60999999999</v>
      </c>
      <c r="AG214" s="25">
        <f t="shared" si="46"/>
        <v>337964.71499999997</v>
      </c>
      <c r="AH214" s="1">
        <f t="shared" si="36"/>
        <v>3123.0599999999995</v>
      </c>
      <c r="AI214" s="1">
        <f t="shared" si="37"/>
        <v>3090.55</v>
      </c>
      <c r="AJ214" s="1">
        <v>3727.05</v>
      </c>
      <c r="AK214" s="1">
        <f t="shared" si="38"/>
        <v>-603.99000000000069</v>
      </c>
      <c r="AL214" s="29">
        <f t="shared" si="47"/>
        <v>636.5</v>
      </c>
      <c r="AM214" s="11">
        <f t="shared" si="39"/>
        <v>2454243.9341249997</v>
      </c>
    </row>
    <row r="215" spans="1:39" x14ac:dyDescent="0.3">
      <c r="A215" s="39">
        <v>45843.197916666664</v>
      </c>
      <c r="B215" s="1">
        <v>1489.36</v>
      </c>
      <c r="C215" s="11">
        <v>3.2732000000000001</v>
      </c>
      <c r="D215" s="1">
        <v>1174.8599999999999</v>
      </c>
      <c r="E215" s="11">
        <v>3.0760000000000001</v>
      </c>
      <c r="F215" s="1">
        <v>0</v>
      </c>
      <c r="G215" s="11">
        <v>3.53</v>
      </c>
      <c r="H215" s="1">
        <v>-22.78</v>
      </c>
      <c r="I215" s="11">
        <v>3.3994499999999999</v>
      </c>
      <c r="J215" s="1">
        <v>-7.8</v>
      </c>
      <c r="K215" s="11">
        <v>3.4992399999999999</v>
      </c>
      <c r="L215" s="1">
        <v>0</v>
      </c>
      <c r="M215" s="11">
        <v>6.2</v>
      </c>
      <c r="N215" s="1">
        <v>22.59</v>
      </c>
      <c r="O215" s="11">
        <v>2.8224999999999998</v>
      </c>
      <c r="P215" s="1">
        <f t="shared" si="40"/>
        <v>2656.2299999999996</v>
      </c>
      <c r="Q215" s="1">
        <v>2630.6</v>
      </c>
      <c r="R215" s="16">
        <f t="shared" si="41"/>
        <v>2111967.3109999998</v>
      </c>
      <c r="S215" s="1">
        <v>-551.84</v>
      </c>
      <c r="T215" s="1">
        <v>36.33</v>
      </c>
      <c r="U215" s="1">
        <v>12</v>
      </c>
      <c r="V215" s="1">
        <v>12.78</v>
      </c>
      <c r="W215" s="1" cm="1">
        <f t="array" ref="W215">SUM(ABS(S215:V215))</f>
        <v>612.95000000000005</v>
      </c>
      <c r="X215" s="25">
        <v>1.238</v>
      </c>
      <c r="Y215" s="42">
        <f t="shared" si="42"/>
        <v>189708.02500000002</v>
      </c>
      <c r="Z215" s="20">
        <v>456.6</v>
      </c>
      <c r="AA215" s="20">
        <f t="shared" si="43"/>
        <v>1069.5500000000002</v>
      </c>
      <c r="AB215" s="21">
        <v>0.25</v>
      </c>
      <c r="AC215" s="21">
        <v>5.5</v>
      </c>
      <c r="AD215" s="8">
        <f t="shared" si="44"/>
        <v>462.35</v>
      </c>
      <c r="AE215" s="25">
        <v>1.238</v>
      </c>
      <c r="AF215" s="25">
        <f t="shared" si="45"/>
        <v>143097.32500000001</v>
      </c>
      <c r="AG215" s="25">
        <f t="shared" si="46"/>
        <v>332805.35000000003</v>
      </c>
      <c r="AH215" s="1">
        <f t="shared" si="36"/>
        <v>3118.5799999999995</v>
      </c>
      <c r="AI215" s="1">
        <f t="shared" si="37"/>
        <v>3092.95</v>
      </c>
      <c r="AJ215" s="1">
        <v>3712.79</v>
      </c>
      <c r="AK215" s="1">
        <f t="shared" si="38"/>
        <v>-594.21000000000049</v>
      </c>
      <c r="AL215" s="29">
        <f t="shared" si="47"/>
        <v>619.84000000000015</v>
      </c>
      <c r="AM215" s="11">
        <f t="shared" si="39"/>
        <v>2444772.6609999998</v>
      </c>
    </row>
    <row r="216" spans="1:39" x14ac:dyDescent="0.3">
      <c r="A216" s="39">
        <v>45843.208333333336</v>
      </c>
      <c r="B216" s="1">
        <v>1476.57</v>
      </c>
      <c r="C216" s="11">
        <v>3.2732000000000001</v>
      </c>
      <c r="D216" s="1">
        <v>1174.8599999999999</v>
      </c>
      <c r="E216" s="11">
        <v>3.0760000000000001</v>
      </c>
      <c r="F216" s="1">
        <v>0</v>
      </c>
      <c r="G216" s="11">
        <v>3.53</v>
      </c>
      <c r="H216" s="1">
        <v>-3.58</v>
      </c>
      <c r="I216" s="11">
        <v>3.0306799999999998</v>
      </c>
      <c r="J216" s="1">
        <v>-7.8</v>
      </c>
      <c r="K216" s="11">
        <v>3.42265</v>
      </c>
      <c r="L216" s="1">
        <v>0</v>
      </c>
      <c r="M216" s="11">
        <v>6.2</v>
      </c>
      <c r="N216" s="1">
        <v>20.83</v>
      </c>
      <c r="O216" s="11">
        <v>2.8224999999999998</v>
      </c>
      <c r="P216" s="1">
        <f t="shared" si="40"/>
        <v>2660.8799999999997</v>
      </c>
      <c r="Q216" s="1">
        <v>2648.18</v>
      </c>
      <c r="R216" s="16">
        <f t="shared" si="41"/>
        <v>2117056.1136500007</v>
      </c>
      <c r="S216" s="1">
        <v>-540.6</v>
      </c>
      <c r="T216" s="1">
        <v>36.35</v>
      </c>
      <c r="U216" s="1">
        <v>12</v>
      </c>
      <c r="V216" s="1">
        <v>12.77</v>
      </c>
      <c r="W216" s="1" cm="1">
        <f t="array" ref="W216">SUM(ABS(S216:V216))</f>
        <v>601.72</v>
      </c>
      <c r="X216" s="25">
        <v>1.238</v>
      </c>
      <c r="Y216" s="42">
        <f t="shared" si="42"/>
        <v>186232.34</v>
      </c>
      <c r="Z216" s="20">
        <v>456.40000000000003</v>
      </c>
      <c r="AA216" s="20">
        <f t="shared" si="43"/>
        <v>1058.1200000000001</v>
      </c>
      <c r="AB216" s="21">
        <v>0.24</v>
      </c>
      <c r="AC216" s="21">
        <v>4.34</v>
      </c>
      <c r="AD216" s="8">
        <f t="shared" si="44"/>
        <v>460.98</v>
      </c>
      <c r="AE216" s="25">
        <v>1.238</v>
      </c>
      <c r="AF216" s="25">
        <f t="shared" si="45"/>
        <v>142673.31000000003</v>
      </c>
      <c r="AG216" s="25">
        <f t="shared" si="46"/>
        <v>328905.65000000002</v>
      </c>
      <c r="AH216" s="1">
        <f t="shared" si="36"/>
        <v>3121.8599999999997</v>
      </c>
      <c r="AI216" s="1">
        <f t="shared" si="37"/>
        <v>3109.16</v>
      </c>
      <c r="AJ216" s="1">
        <v>3717.3</v>
      </c>
      <c r="AK216" s="1">
        <f t="shared" si="38"/>
        <v>-595.44000000000051</v>
      </c>
      <c r="AL216" s="29">
        <f t="shared" si="47"/>
        <v>608.14000000000033</v>
      </c>
      <c r="AM216" s="11">
        <f t="shared" si="39"/>
        <v>2445961.7636500006</v>
      </c>
    </row>
    <row r="217" spans="1:39" x14ac:dyDescent="0.3">
      <c r="A217" s="39">
        <v>45843.21875</v>
      </c>
      <c r="B217" s="1">
        <v>1476.71</v>
      </c>
      <c r="C217" s="11">
        <v>3.2732000000000001</v>
      </c>
      <c r="D217" s="1">
        <v>1174.8599999999999</v>
      </c>
      <c r="E217" s="11">
        <v>3.0760000000000001</v>
      </c>
      <c r="F217" s="1">
        <v>0</v>
      </c>
      <c r="G217" s="11">
        <v>3.53</v>
      </c>
      <c r="H217" s="1">
        <v>-1.9</v>
      </c>
      <c r="I217" s="11">
        <v>3.2289499999999998</v>
      </c>
      <c r="J217" s="1">
        <v>-7.8</v>
      </c>
      <c r="K217" s="11">
        <v>3.7280300000000004</v>
      </c>
      <c r="L217" s="1">
        <v>0</v>
      </c>
      <c r="M217" s="11">
        <v>6.2</v>
      </c>
      <c r="N217" s="1">
        <v>19.59</v>
      </c>
      <c r="O217" s="11">
        <v>2.8224999999999998</v>
      </c>
      <c r="P217" s="1">
        <f t="shared" si="40"/>
        <v>2661.4599999999996</v>
      </c>
      <c r="Q217" s="1">
        <v>2659.94</v>
      </c>
      <c r="R217" s="16">
        <f t="shared" si="41"/>
        <v>2116878.9169999999</v>
      </c>
      <c r="S217" s="1">
        <v>-546.28</v>
      </c>
      <c r="T217" s="1">
        <v>36.369999999999997</v>
      </c>
      <c r="U217" s="1">
        <v>12</v>
      </c>
      <c r="V217" s="1">
        <v>12.78</v>
      </c>
      <c r="W217" s="1" cm="1">
        <f t="array" ref="W217">SUM(ABS(S217:V217))</f>
        <v>607.42999999999995</v>
      </c>
      <c r="X217" s="25">
        <v>1.238</v>
      </c>
      <c r="Y217" s="42">
        <f t="shared" si="42"/>
        <v>187999.58499999999</v>
      </c>
      <c r="Z217" s="20">
        <v>456.34999999999997</v>
      </c>
      <c r="AA217" s="20">
        <f t="shared" si="43"/>
        <v>1063.78</v>
      </c>
      <c r="AB217" s="21">
        <v>0.24</v>
      </c>
      <c r="AC217" s="21">
        <v>1.71</v>
      </c>
      <c r="AD217" s="8">
        <f t="shared" si="44"/>
        <v>458.29999999999995</v>
      </c>
      <c r="AE217" s="25">
        <v>1.238</v>
      </c>
      <c r="AF217" s="25">
        <f t="shared" si="45"/>
        <v>141843.84999999998</v>
      </c>
      <c r="AG217" s="25">
        <f t="shared" si="46"/>
        <v>329843.43499999994</v>
      </c>
      <c r="AH217" s="1">
        <f t="shared" si="36"/>
        <v>3119.7599999999993</v>
      </c>
      <c r="AI217" s="1">
        <f t="shared" si="37"/>
        <v>3118.24</v>
      </c>
      <c r="AJ217" s="1">
        <v>3730.78</v>
      </c>
      <c r="AK217" s="1">
        <f t="shared" si="38"/>
        <v>-611.02000000000089</v>
      </c>
      <c r="AL217" s="29">
        <f t="shared" si="47"/>
        <v>612.54000000000042</v>
      </c>
      <c r="AM217" s="11">
        <f t="shared" si="39"/>
        <v>2446722.352</v>
      </c>
    </row>
    <row r="218" spans="1:39" x14ac:dyDescent="0.3">
      <c r="A218" s="39">
        <v>45843.229166666664</v>
      </c>
      <c r="B218" s="1">
        <v>1478.27</v>
      </c>
      <c r="C218" s="11">
        <v>3.2732000000000001</v>
      </c>
      <c r="D218" s="1">
        <v>1174.8599999999999</v>
      </c>
      <c r="E218" s="11">
        <v>3.0760000000000001</v>
      </c>
      <c r="F218" s="1">
        <v>0</v>
      </c>
      <c r="G218" s="11">
        <v>3.53</v>
      </c>
      <c r="H218" s="1">
        <v>-1.9</v>
      </c>
      <c r="I218" s="11">
        <v>3.2286599999999996</v>
      </c>
      <c r="J218" s="1">
        <v>-7.8</v>
      </c>
      <c r="K218" s="11">
        <v>3.49912</v>
      </c>
      <c r="L218" s="1">
        <v>0</v>
      </c>
      <c r="M218" s="11">
        <v>6.2</v>
      </c>
      <c r="N218" s="1">
        <v>18.39</v>
      </c>
      <c r="O218" s="11">
        <v>2.8224999999999998</v>
      </c>
      <c r="P218" s="1">
        <f t="shared" si="40"/>
        <v>2661.8199999999997</v>
      </c>
      <c r="Q218" s="1">
        <v>2631.31</v>
      </c>
      <c r="R218" s="16">
        <f t="shared" si="41"/>
        <v>2117755.2272499995</v>
      </c>
      <c r="S218" s="1">
        <v>-567.55999999999995</v>
      </c>
      <c r="T218" s="1">
        <v>36.42</v>
      </c>
      <c r="U218" s="1">
        <v>12</v>
      </c>
      <c r="V218" s="1">
        <v>12.77</v>
      </c>
      <c r="W218" s="1" cm="1">
        <f t="array" ref="W218">SUM(ABS(S218:V218))</f>
        <v>628.74999999999989</v>
      </c>
      <c r="X218" s="25">
        <v>1.238</v>
      </c>
      <c r="Y218" s="42">
        <f t="shared" si="42"/>
        <v>194598.12499999994</v>
      </c>
      <c r="Z218" s="20">
        <v>457.06</v>
      </c>
      <c r="AA218" s="20">
        <f t="shared" si="43"/>
        <v>1085.81</v>
      </c>
      <c r="AB218" s="21">
        <v>0.24</v>
      </c>
      <c r="AC218" s="21">
        <v>0.91999999999999993</v>
      </c>
      <c r="AD218" s="8">
        <f t="shared" si="44"/>
        <v>458.22</v>
      </c>
      <c r="AE218" s="25">
        <v>1.238</v>
      </c>
      <c r="AF218" s="25">
        <f t="shared" si="45"/>
        <v>141819.09000000003</v>
      </c>
      <c r="AG218" s="25">
        <f t="shared" si="46"/>
        <v>336417.21499999997</v>
      </c>
      <c r="AH218" s="1">
        <f t="shared" si="36"/>
        <v>3120.04</v>
      </c>
      <c r="AI218" s="1">
        <f t="shared" si="37"/>
        <v>3089.5299999999997</v>
      </c>
      <c r="AJ218" s="1">
        <v>3723.66</v>
      </c>
      <c r="AK218" s="1">
        <f t="shared" si="38"/>
        <v>-603.61999999999989</v>
      </c>
      <c r="AL218" s="29">
        <f t="shared" si="47"/>
        <v>634.13000000000011</v>
      </c>
      <c r="AM218" s="11">
        <f t="shared" si="39"/>
        <v>2454172.4422499994</v>
      </c>
    </row>
    <row r="219" spans="1:39" x14ac:dyDescent="0.3">
      <c r="A219" s="39">
        <v>45843.239583333336</v>
      </c>
      <c r="B219" s="1">
        <v>1474.08</v>
      </c>
      <c r="C219" s="11">
        <v>3.2732000000000001</v>
      </c>
      <c r="D219" s="1">
        <v>1174.8599999999999</v>
      </c>
      <c r="E219" s="11">
        <v>3.0760000000000001</v>
      </c>
      <c r="F219" s="1">
        <v>0</v>
      </c>
      <c r="G219" s="11">
        <v>3.53</v>
      </c>
      <c r="H219" s="1">
        <v>-1.9</v>
      </c>
      <c r="I219" s="11">
        <v>3.2289499999999998</v>
      </c>
      <c r="J219" s="1">
        <v>-7.8</v>
      </c>
      <c r="K219" s="11">
        <v>3.4938000000000002</v>
      </c>
      <c r="L219" s="1">
        <v>0</v>
      </c>
      <c r="M219" s="11">
        <v>6.2</v>
      </c>
      <c r="N219" s="1">
        <v>27.86</v>
      </c>
      <c r="O219" s="11">
        <v>2.8224999999999998</v>
      </c>
      <c r="P219" s="1">
        <f t="shared" si="40"/>
        <v>2667.0999999999995</v>
      </c>
      <c r="Q219" s="1">
        <v>2623.95</v>
      </c>
      <c r="R219" s="16">
        <f t="shared" si="41"/>
        <v>2121019.0552499997</v>
      </c>
      <c r="S219" s="1">
        <v>-578.54</v>
      </c>
      <c r="T219" s="1">
        <v>36.450000000000003</v>
      </c>
      <c r="U219" s="1">
        <v>12</v>
      </c>
      <c r="V219" s="1">
        <v>12.78</v>
      </c>
      <c r="W219" s="1" cm="1">
        <f t="array" ref="W219">SUM(ABS(S219:V219))</f>
        <v>639.77</v>
      </c>
      <c r="X219" s="25">
        <v>1.238</v>
      </c>
      <c r="Y219" s="42">
        <f t="shared" si="42"/>
        <v>198008.815</v>
      </c>
      <c r="Z219" s="20">
        <v>457.3</v>
      </c>
      <c r="AA219" s="20">
        <f t="shared" si="43"/>
        <v>1097.07</v>
      </c>
      <c r="AB219" s="21">
        <v>0.22999999999999998</v>
      </c>
      <c r="AC219" s="21">
        <v>0.29000000000000004</v>
      </c>
      <c r="AD219" s="8">
        <f t="shared" si="44"/>
        <v>457.82000000000005</v>
      </c>
      <c r="AE219" s="25">
        <v>1.238</v>
      </c>
      <c r="AF219" s="25">
        <f t="shared" si="45"/>
        <v>141695.29000000004</v>
      </c>
      <c r="AG219" s="25">
        <f t="shared" si="46"/>
        <v>339704.10500000004</v>
      </c>
      <c r="AH219" s="1">
        <f t="shared" si="36"/>
        <v>3124.9199999999996</v>
      </c>
      <c r="AI219" s="1">
        <f t="shared" si="37"/>
        <v>3081.77</v>
      </c>
      <c r="AJ219" s="1">
        <v>3727.75</v>
      </c>
      <c r="AK219" s="1">
        <f t="shared" si="38"/>
        <v>-602.83000000000038</v>
      </c>
      <c r="AL219" s="29">
        <f t="shared" si="47"/>
        <v>645.98</v>
      </c>
      <c r="AM219" s="11">
        <f t="shared" si="39"/>
        <v>2460723.1602499997</v>
      </c>
    </row>
    <row r="220" spans="1:39" x14ac:dyDescent="0.3">
      <c r="A220" s="39">
        <v>45843.25</v>
      </c>
      <c r="B220" s="1">
        <v>1500.23</v>
      </c>
      <c r="C220" s="11">
        <v>3.2732000000000001</v>
      </c>
      <c r="D220" s="1">
        <v>806.4</v>
      </c>
      <c r="E220" s="11">
        <v>3.0760000000000001</v>
      </c>
      <c r="F220" s="1">
        <v>368.46</v>
      </c>
      <c r="G220" s="11">
        <v>3.53</v>
      </c>
      <c r="H220" s="1">
        <v>8.01</v>
      </c>
      <c r="I220" s="11">
        <v>3.4227699999999999</v>
      </c>
      <c r="J220" s="1">
        <v>0.85</v>
      </c>
      <c r="K220" s="11">
        <v>3.43093</v>
      </c>
      <c r="L220" s="1">
        <v>0</v>
      </c>
      <c r="M220" s="11">
        <v>6.2</v>
      </c>
      <c r="N220" s="1">
        <v>31.12</v>
      </c>
      <c r="O220" s="11">
        <v>2.8224999999999998</v>
      </c>
      <c r="P220" s="1">
        <f t="shared" si="40"/>
        <v>2715.07</v>
      </c>
      <c r="Q220" s="1">
        <v>2684.34</v>
      </c>
      <c r="R220" s="16">
        <f t="shared" si="41"/>
        <v>2202467.9785499992</v>
      </c>
      <c r="S220" s="1">
        <v>-537.87</v>
      </c>
      <c r="T220" s="1">
        <v>36.43</v>
      </c>
      <c r="U220" s="1">
        <v>12</v>
      </c>
      <c r="V220" s="1">
        <v>12.8</v>
      </c>
      <c r="W220" s="1" cm="1">
        <f t="array" ref="W220">SUM(ABS(S220:V220))</f>
        <v>599.09999999999991</v>
      </c>
      <c r="X220" s="25">
        <v>1.238</v>
      </c>
      <c r="Y220" s="42">
        <f t="shared" si="42"/>
        <v>185421.44999999995</v>
      </c>
      <c r="Z220" s="20">
        <v>455.40999999999997</v>
      </c>
      <c r="AA220" s="20">
        <f t="shared" si="43"/>
        <v>1054.5099999999998</v>
      </c>
      <c r="AB220" s="21">
        <v>0.3</v>
      </c>
      <c r="AC220" s="21">
        <v>0.15</v>
      </c>
      <c r="AD220" s="8">
        <f t="shared" si="44"/>
        <v>455.85999999999996</v>
      </c>
      <c r="AE220" s="25">
        <v>1.238</v>
      </c>
      <c r="AF220" s="25">
        <f t="shared" si="45"/>
        <v>141088.66999999998</v>
      </c>
      <c r="AG220" s="25">
        <f t="shared" si="46"/>
        <v>326510.11999999994</v>
      </c>
      <c r="AH220" s="1">
        <f t="shared" si="36"/>
        <v>3170.9300000000003</v>
      </c>
      <c r="AI220" s="1">
        <f t="shared" si="37"/>
        <v>3140.2000000000003</v>
      </c>
      <c r="AJ220" s="1">
        <v>3745.62</v>
      </c>
      <c r="AK220" s="1">
        <f t="shared" si="38"/>
        <v>-574.6899999999996</v>
      </c>
      <c r="AL220" s="29">
        <f t="shared" si="47"/>
        <v>605.41999999999962</v>
      </c>
      <c r="AM220" s="11">
        <f t="shared" si="39"/>
        <v>2528978.0985499993</v>
      </c>
    </row>
    <row r="221" spans="1:39" x14ac:dyDescent="0.3">
      <c r="A221" s="39">
        <v>45843.260416666664</v>
      </c>
      <c r="B221" s="1">
        <v>1510.54</v>
      </c>
      <c r="C221" s="11">
        <v>3.2732000000000001</v>
      </c>
      <c r="D221" s="1">
        <v>776.29</v>
      </c>
      <c r="E221" s="11">
        <v>3.0760000000000001</v>
      </c>
      <c r="F221" s="1">
        <v>398.57</v>
      </c>
      <c r="G221" s="11">
        <v>3.53</v>
      </c>
      <c r="H221" s="1">
        <v>8.9</v>
      </c>
      <c r="I221" s="11">
        <v>3.42265</v>
      </c>
      <c r="J221" s="1">
        <v>-2.85</v>
      </c>
      <c r="K221" s="11">
        <v>3.6019299999999999</v>
      </c>
      <c r="L221" s="1">
        <v>0</v>
      </c>
      <c r="M221" s="11">
        <v>6.2</v>
      </c>
      <c r="N221" s="1">
        <v>37.43</v>
      </c>
      <c r="O221" s="11">
        <v>2.8224999999999998</v>
      </c>
      <c r="P221" s="1">
        <f t="shared" si="40"/>
        <v>2728.88</v>
      </c>
      <c r="Q221" s="1">
        <v>2704.31</v>
      </c>
      <c r="R221" s="16">
        <f t="shared" si="41"/>
        <v>2216240.4818750001</v>
      </c>
      <c r="S221" s="1">
        <v>-531.82000000000005</v>
      </c>
      <c r="T221" s="1">
        <v>36.47</v>
      </c>
      <c r="U221" s="1">
        <v>12</v>
      </c>
      <c r="V221" s="1">
        <v>12.8</v>
      </c>
      <c r="W221" s="1" cm="1">
        <f t="array" ref="W221">SUM(ABS(S221:V221))</f>
        <v>593.09</v>
      </c>
      <c r="X221" s="25">
        <v>1.238</v>
      </c>
      <c r="Y221" s="42">
        <f t="shared" si="42"/>
        <v>183561.35500000001</v>
      </c>
      <c r="Z221" s="20">
        <v>456.67</v>
      </c>
      <c r="AA221" s="20">
        <f t="shared" si="43"/>
        <v>1049.76</v>
      </c>
      <c r="AB221" s="21">
        <v>1.87</v>
      </c>
      <c r="AC221" s="21">
        <v>0.12000000000000001</v>
      </c>
      <c r="AD221" s="8">
        <f t="shared" si="44"/>
        <v>458.66</v>
      </c>
      <c r="AE221" s="25">
        <v>1.238</v>
      </c>
      <c r="AF221" s="25">
        <f t="shared" si="45"/>
        <v>141955.27000000002</v>
      </c>
      <c r="AG221" s="25">
        <f t="shared" si="46"/>
        <v>325516.625</v>
      </c>
      <c r="AH221" s="1">
        <f t="shared" si="36"/>
        <v>3187.54</v>
      </c>
      <c r="AI221" s="1">
        <f t="shared" si="37"/>
        <v>3162.97</v>
      </c>
      <c r="AJ221" s="1">
        <v>3759.92</v>
      </c>
      <c r="AK221" s="1">
        <f t="shared" si="38"/>
        <v>-572.38000000000011</v>
      </c>
      <c r="AL221" s="29">
        <f t="shared" si="47"/>
        <v>596.95000000000027</v>
      </c>
      <c r="AM221" s="11">
        <f t="shared" si="39"/>
        <v>2541757.1068750001</v>
      </c>
    </row>
    <row r="222" spans="1:39" x14ac:dyDescent="0.3">
      <c r="A222" s="39">
        <v>45843.270833333336</v>
      </c>
      <c r="B222" s="1">
        <v>1515.65</v>
      </c>
      <c r="C222" s="11">
        <v>3.2732000000000001</v>
      </c>
      <c r="D222" s="1">
        <v>776.29</v>
      </c>
      <c r="E222" s="11">
        <v>3.0760000000000001</v>
      </c>
      <c r="F222" s="1">
        <v>398.57</v>
      </c>
      <c r="G222" s="11">
        <v>3.53</v>
      </c>
      <c r="H222" s="1">
        <v>51.97</v>
      </c>
      <c r="I222" s="11">
        <v>3.3002399999999996</v>
      </c>
      <c r="J222" s="1">
        <v>11.62</v>
      </c>
      <c r="K222" s="11">
        <v>3.3673099999999998</v>
      </c>
      <c r="L222" s="1">
        <v>0</v>
      </c>
      <c r="M222" s="11">
        <v>6.2</v>
      </c>
      <c r="N222" s="1">
        <v>42.58</v>
      </c>
      <c r="O222" s="11">
        <v>2.8224999999999998</v>
      </c>
      <c r="P222" s="1">
        <f t="shared" si="40"/>
        <v>2796.68</v>
      </c>
      <c r="Q222" s="1">
        <v>2661.72</v>
      </c>
      <c r="R222" s="16">
        <f t="shared" si="41"/>
        <v>2271667.3462499999</v>
      </c>
      <c r="S222" s="1">
        <v>-574.25</v>
      </c>
      <c r="T222" s="1">
        <v>36.44</v>
      </c>
      <c r="U222" s="1">
        <v>12</v>
      </c>
      <c r="V222" s="1">
        <v>12.82</v>
      </c>
      <c r="W222" s="1" cm="1">
        <f t="array" ref="W222">SUM(ABS(S222:V222))</f>
        <v>635.5100000000001</v>
      </c>
      <c r="X222" s="25">
        <v>1.238</v>
      </c>
      <c r="Y222" s="42">
        <f t="shared" si="42"/>
        <v>196690.34500000003</v>
      </c>
      <c r="Z222" s="20">
        <v>456.53000000000003</v>
      </c>
      <c r="AA222" s="20">
        <f t="shared" si="43"/>
        <v>1092.0400000000002</v>
      </c>
      <c r="AB222" s="21">
        <v>7.9200000000000008</v>
      </c>
      <c r="AC222" s="21">
        <v>0.12</v>
      </c>
      <c r="AD222" s="8">
        <f t="shared" si="44"/>
        <v>464.57000000000005</v>
      </c>
      <c r="AE222" s="25">
        <v>1.238</v>
      </c>
      <c r="AF222" s="25">
        <f t="shared" si="45"/>
        <v>143784.41500000004</v>
      </c>
      <c r="AG222" s="25">
        <f t="shared" si="46"/>
        <v>340474.76000000007</v>
      </c>
      <c r="AH222" s="1">
        <f t="shared" si="36"/>
        <v>3261.25</v>
      </c>
      <c r="AI222" s="1">
        <f t="shared" si="37"/>
        <v>3126.29</v>
      </c>
      <c r="AJ222" s="1">
        <v>3766.81</v>
      </c>
      <c r="AK222" s="1">
        <f t="shared" si="38"/>
        <v>-505.55999999999995</v>
      </c>
      <c r="AL222" s="29">
        <f t="shared" si="47"/>
        <v>640.52</v>
      </c>
      <c r="AM222" s="11">
        <f t="shared" si="39"/>
        <v>2612142.1062500002</v>
      </c>
    </row>
    <row r="223" spans="1:39" x14ac:dyDescent="0.3">
      <c r="A223" s="39">
        <v>45843.28125</v>
      </c>
      <c r="B223" s="1">
        <v>1516.18</v>
      </c>
      <c r="C223" s="11">
        <v>3.2732000000000001</v>
      </c>
      <c r="D223" s="1">
        <v>776.29</v>
      </c>
      <c r="E223" s="11">
        <v>3.0760000000000001</v>
      </c>
      <c r="F223" s="1">
        <v>398.57</v>
      </c>
      <c r="G223" s="11">
        <v>3.53</v>
      </c>
      <c r="H223" s="1">
        <v>58.93</v>
      </c>
      <c r="I223" s="11">
        <v>3.1491799999999999</v>
      </c>
      <c r="J223" s="1">
        <v>19.809999999999999</v>
      </c>
      <c r="K223" s="11">
        <v>3.2017500000000001</v>
      </c>
      <c r="L223" s="1">
        <v>0</v>
      </c>
      <c r="M223" s="11">
        <v>6.2</v>
      </c>
      <c r="N223" s="1">
        <v>52.59</v>
      </c>
      <c r="O223" s="11">
        <v>2.8224999999999998</v>
      </c>
      <c r="P223" s="1">
        <f t="shared" si="40"/>
        <v>2822.3700000000003</v>
      </c>
      <c r="Q223" s="1">
        <v>2670.99</v>
      </c>
      <c r="R223" s="16">
        <f t="shared" si="41"/>
        <v>2288755.9089749996</v>
      </c>
      <c r="S223" s="1">
        <v>-543.13</v>
      </c>
      <c r="T223" s="1">
        <v>36.47</v>
      </c>
      <c r="U223" s="1">
        <v>12</v>
      </c>
      <c r="V223" s="1">
        <v>12.81</v>
      </c>
      <c r="W223" s="1" cm="1">
        <f t="array" ref="W223">SUM(ABS(S223:V223))</f>
        <v>604.41</v>
      </c>
      <c r="X223" s="25">
        <v>1.238</v>
      </c>
      <c r="Y223" s="42">
        <f t="shared" si="42"/>
        <v>187064.89499999999</v>
      </c>
      <c r="Z223" s="20">
        <v>418.4</v>
      </c>
      <c r="AA223" s="20">
        <f t="shared" si="43"/>
        <v>1022.81</v>
      </c>
      <c r="AB223" s="21">
        <v>15.16</v>
      </c>
      <c r="AC223" s="21">
        <v>6.9999999999999993E-2</v>
      </c>
      <c r="AD223" s="8">
        <f t="shared" si="44"/>
        <v>433.63</v>
      </c>
      <c r="AE223" s="25">
        <v>1.238</v>
      </c>
      <c r="AF223" s="25">
        <f t="shared" si="45"/>
        <v>134208.48499999999</v>
      </c>
      <c r="AG223" s="25">
        <f t="shared" si="46"/>
        <v>321273.38</v>
      </c>
      <c r="AH223" s="1">
        <f t="shared" si="36"/>
        <v>3256.0000000000005</v>
      </c>
      <c r="AI223" s="1">
        <f t="shared" si="37"/>
        <v>3104.62</v>
      </c>
      <c r="AJ223" s="1">
        <v>3720.67</v>
      </c>
      <c r="AK223" s="1">
        <f t="shared" si="38"/>
        <v>-464.66999999999962</v>
      </c>
      <c r="AL223" s="29">
        <f t="shared" si="47"/>
        <v>616.05000000000018</v>
      </c>
      <c r="AM223" s="11">
        <f t="shared" si="39"/>
        <v>2610029.2889749995</v>
      </c>
    </row>
    <row r="224" spans="1:39" x14ac:dyDescent="0.3">
      <c r="A224" s="39">
        <v>45843.291666666664</v>
      </c>
      <c r="B224" s="1">
        <v>1510.22</v>
      </c>
      <c r="C224" s="11">
        <v>3.2732000000000001</v>
      </c>
      <c r="D224" s="1">
        <v>776.29</v>
      </c>
      <c r="E224" s="11">
        <v>3.0760000000000001</v>
      </c>
      <c r="F224" s="1">
        <v>398.57</v>
      </c>
      <c r="G224" s="11">
        <v>3.53</v>
      </c>
      <c r="H224" s="1">
        <v>101.18</v>
      </c>
      <c r="I224" s="11">
        <v>2.9485199999999998</v>
      </c>
      <c r="J224" s="1">
        <v>15.93</v>
      </c>
      <c r="K224" s="11">
        <v>3.2391199999999998</v>
      </c>
      <c r="L224" s="1">
        <v>0</v>
      </c>
      <c r="M224" s="11">
        <v>6.2</v>
      </c>
      <c r="N224" s="1">
        <v>70.59</v>
      </c>
      <c r="O224" s="11">
        <v>2.8224999999999998</v>
      </c>
      <c r="P224" s="1">
        <f t="shared" si="40"/>
        <v>2872.78</v>
      </c>
      <c r="Q224" s="1">
        <v>2824.5</v>
      </c>
      <c r="R224" s="16">
        <f t="shared" si="41"/>
        <v>2321810.7385500004</v>
      </c>
      <c r="S224" s="1">
        <v>-374.2</v>
      </c>
      <c r="T224" s="1">
        <v>36.49</v>
      </c>
      <c r="U224" s="1">
        <v>12</v>
      </c>
      <c r="V224" s="1">
        <v>12.82</v>
      </c>
      <c r="W224" s="1" cm="1">
        <f t="array" ref="W224">SUM(ABS(S224:V224))</f>
        <v>435.51</v>
      </c>
      <c r="X224" s="25">
        <v>1.238</v>
      </c>
      <c r="Y224" s="42">
        <f t="shared" si="42"/>
        <v>134790.345</v>
      </c>
      <c r="Z224" s="20">
        <v>399.06000000000006</v>
      </c>
      <c r="AA224" s="20">
        <f t="shared" si="43"/>
        <v>834.57</v>
      </c>
      <c r="AB224" s="21">
        <v>19.720000000000002</v>
      </c>
      <c r="AC224" s="21">
        <v>6.9999999999999993E-2</v>
      </c>
      <c r="AD224" s="8">
        <f t="shared" si="44"/>
        <v>418.85000000000008</v>
      </c>
      <c r="AE224" s="25">
        <v>1.238</v>
      </c>
      <c r="AF224" s="25">
        <f t="shared" si="45"/>
        <v>129634.07500000003</v>
      </c>
      <c r="AG224" s="25">
        <f t="shared" si="46"/>
        <v>264424.42000000004</v>
      </c>
      <c r="AH224" s="1">
        <f t="shared" si="36"/>
        <v>3291.63</v>
      </c>
      <c r="AI224" s="1">
        <f t="shared" si="37"/>
        <v>3243.35</v>
      </c>
      <c r="AJ224" s="1">
        <v>3686.94</v>
      </c>
      <c r="AK224" s="1">
        <f t="shared" si="38"/>
        <v>-395.30999999999995</v>
      </c>
      <c r="AL224" s="29">
        <f t="shared" si="47"/>
        <v>443.59000000000015</v>
      </c>
      <c r="AM224" s="11">
        <f t="shared" si="39"/>
        <v>2586235.1585500003</v>
      </c>
    </row>
    <row r="225" spans="1:39" x14ac:dyDescent="0.3">
      <c r="A225" s="39">
        <v>45843.302083333336</v>
      </c>
      <c r="B225" s="1">
        <v>1505.42</v>
      </c>
      <c r="C225" s="11">
        <v>3.2732000000000001</v>
      </c>
      <c r="D225" s="1">
        <v>776.29</v>
      </c>
      <c r="E225" s="11">
        <v>3.0760000000000001</v>
      </c>
      <c r="F225" s="1">
        <v>398.57</v>
      </c>
      <c r="G225" s="11">
        <v>3.53</v>
      </c>
      <c r="H225" s="1">
        <v>104.94</v>
      </c>
      <c r="I225" s="11">
        <v>2.9021999999999997</v>
      </c>
      <c r="J225" s="1">
        <v>15.56</v>
      </c>
      <c r="K225" s="11">
        <v>2.9039099999999998</v>
      </c>
      <c r="L225" s="1">
        <v>0</v>
      </c>
      <c r="M225" s="11">
        <v>6.2</v>
      </c>
      <c r="N225" s="1">
        <v>93.52</v>
      </c>
      <c r="O225" s="11">
        <v>2.8224999999999998</v>
      </c>
      <c r="P225" s="1">
        <f t="shared" si="40"/>
        <v>2894.3</v>
      </c>
      <c r="Q225" s="1">
        <v>2826.61</v>
      </c>
      <c r="R225" s="16">
        <f t="shared" si="41"/>
        <v>2334015.6979000005</v>
      </c>
      <c r="S225" s="1">
        <v>-309.45</v>
      </c>
      <c r="T225" s="1">
        <v>36.51</v>
      </c>
      <c r="U225" s="1">
        <v>12</v>
      </c>
      <c r="V225" s="1">
        <v>12.9</v>
      </c>
      <c r="W225" s="1" cm="1">
        <f t="array" ref="W225">SUM(ABS(S225:V225))</f>
        <v>370.85999999999996</v>
      </c>
      <c r="X225" s="25">
        <v>1.238</v>
      </c>
      <c r="Y225" s="42">
        <f t="shared" si="42"/>
        <v>114781.16999999998</v>
      </c>
      <c r="Z225" s="20">
        <v>399.18000000000006</v>
      </c>
      <c r="AA225" s="20">
        <f t="shared" si="43"/>
        <v>770.04</v>
      </c>
      <c r="AB225" s="21">
        <v>33.500000000000007</v>
      </c>
      <c r="AC225" s="21">
        <v>6.0000000000000005E-2</v>
      </c>
      <c r="AD225" s="8">
        <f t="shared" si="44"/>
        <v>432.74000000000007</v>
      </c>
      <c r="AE225" s="25">
        <v>1.238</v>
      </c>
      <c r="AF225" s="25">
        <f t="shared" si="45"/>
        <v>133933.03000000003</v>
      </c>
      <c r="AG225" s="25">
        <f t="shared" si="46"/>
        <v>248714.2</v>
      </c>
      <c r="AH225" s="1">
        <f t="shared" si="36"/>
        <v>3327.0400000000004</v>
      </c>
      <c r="AI225" s="1">
        <f t="shared" si="37"/>
        <v>3259.3500000000004</v>
      </c>
      <c r="AJ225" s="1">
        <v>3637.22</v>
      </c>
      <c r="AK225" s="1">
        <f t="shared" si="38"/>
        <v>-310.17999999999938</v>
      </c>
      <c r="AL225" s="29">
        <f t="shared" si="47"/>
        <v>377.86999999999944</v>
      </c>
      <c r="AM225" s="11">
        <f t="shared" si="39"/>
        <v>2582729.8979000007</v>
      </c>
    </row>
    <row r="226" spans="1:39" x14ac:dyDescent="0.3">
      <c r="A226" s="39">
        <v>45843.3125</v>
      </c>
      <c r="B226" s="1">
        <v>1504.75</v>
      </c>
      <c r="C226" s="11">
        <v>3.2732000000000001</v>
      </c>
      <c r="D226" s="1">
        <v>776.29</v>
      </c>
      <c r="E226" s="11">
        <v>3.0760000000000001</v>
      </c>
      <c r="F226" s="1">
        <v>398.57</v>
      </c>
      <c r="G226" s="11">
        <v>3.53</v>
      </c>
      <c r="H226" s="1">
        <v>104.42</v>
      </c>
      <c r="I226" s="11">
        <v>2.4003100000000002</v>
      </c>
      <c r="J226" s="1">
        <v>17.72</v>
      </c>
      <c r="K226" s="11">
        <v>1.60517</v>
      </c>
      <c r="L226" s="1">
        <v>0</v>
      </c>
      <c r="M226" s="11">
        <v>6.2</v>
      </c>
      <c r="N226" s="1">
        <v>119.89</v>
      </c>
      <c r="O226" s="11">
        <v>2.8224999999999998</v>
      </c>
      <c r="P226" s="1">
        <f t="shared" si="40"/>
        <v>2921.64</v>
      </c>
      <c r="Q226" s="1">
        <v>2825.13</v>
      </c>
      <c r="R226" s="16">
        <f t="shared" si="41"/>
        <v>2334410.3369000005</v>
      </c>
      <c r="S226" s="1">
        <v>-251.7</v>
      </c>
      <c r="T226" s="1">
        <v>36.520000000000003</v>
      </c>
      <c r="U226" s="1">
        <v>12</v>
      </c>
      <c r="V226" s="1">
        <v>12.89</v>
      </c>
      <c r="W226" s="1" cm="1">
        <f t="array" ref="W226">SUM(ABS(S226:V226))</f>
        <v>313.10999999999996</v>
      </c>
      <c r="X226" s="25">
        <v>1.238</v>
      </c>
      <c r="Y226" s="42">
        <f t="shared" si="42"/>
        <v>96907.544999999984</v>
      </c>
      <c r="Z226" s="20">
        <v>399.34999999999997</v>
      </c>
      <c r="AA226" s="20">
        <f t="shared" si="43"/>
        <v>712.45999999999992</v>
      </c>
      <c r="AB226" s="21">
        <v>48.97</v>
      </c>
      <c r="AC226" s="21">
        <v>6.9999999999999993E-2</v>
      </c>
      <c r="AD226" s="8">
        <f t="shared" si="44"/>
        <v>448.38999999999993</v>
      </c>
      <c r="AE226" s="25">
        <v>1.238</v>
      </c>
      <c r="AF226" s="25">
        <f t="shared" si="45"/>
        <v>138776.70499999996</v>
      </c>
      <c r="AG226" s="25">
        <f t="shared" si="46"/>
        <v>235684.24999999994</v>
      </c>
      <c r="AH226" s="1">
        <f t="shared" si="36"/>
        <v>3370.0299999999997</v>
      </c>
      <c r="AI226" s="1">
        <f t="shared" si="37"/>
        <v>3273.52</v>
      </c>
      <c r="AJ226" s="1">
        <v>3592.33</v>
      </c>
      <c r="AK226" s="1">
        <f t="shared" si="38"/>
        <v>-222.30000000000018</v>
      </c>
      <c r="AL226" s="29">
        <f t="shared" si="47"/>
        <v>318.80999999999995</v>
      </c>
      <c r="AM226" s="11">
        <f t="shared" si="39"/>
        <v>2570094.5869000005</v>
      </c>
    </row>
    <row r="227" spans="1:39" x14ac:dyDescent="0.3">
      <c r="A227" s="39">
        <v>45843.322916666664</v>
      </c>
      <c r="B227" s="1">
        <v>1504.73</v>
      </c>
      <c r="C227" s="11">
        <v>3.2732000000000001</v>
      </c>
      <c r="D227" s="1">
        <v>776.29</v>
      </c>
      <c r="E227" s="11">
        <v>3.0760000000000001</v>
      </c>
      <c r="F227" s="1">
        <v>398.57</v>
      </c>
      <c r="G227" s="11">
        <v>3.53</v>
      </c>
      <c r="H227" s="1">
        <v>102.59</v>
      </c>
      <c r="I227" s="11">
        <v>2.3953200000000003</v>
      </c>
      <c r="J227" s="1">
        <v>17.88</v>
      </c>
      <c r="K227" s="11">
        <v>0.79992999999999992</v>
      </c>
      <c r="L227" s="1">
        <v>0</v>
      </c>
      <c r="M227" s="11">
        <v>6.2</v>
      </c>
      <c r="N227" s="1">
        <v>148.58000000000001</v>
      </c>
      <c r="O227" s="11">
        <v>2.8224999999999998</v>
      </c>
      <c r="P227" s="1">
        <f t="shared" si="40"/>
        <v>2948.6400000000003</v>
      </c>
      <c r="Q227" s="1">
        <v>2868.33</v>
      </c>
      <c r="R227" s="16">
        <f t="shared" si="41"/>
        <v>2349877.0133000002</v>
      </c>
      <c r="S227" s="1">
        <v>-161.25</v>
      </c>
      <c r="T227" s="1">
        <v>36.520000000000003</v>
      </c>
      <c r="U227" s="1">
        <v>12</v>
      </c>
      <c r="V227" s="1">
        <v>12.9</v>
      </c>
      <c r="W227" s="1" cm="1">
        <f t="array" ref="W227">SUM(ABS(S227:V227))</f>
        <v>222.67000000000002</v>
      </c>
      <c r="X227" s="25">
        <v>1.238</v>
      </c>
      <c r="Y227" s="42">
        <f t="shared" si="42"/>
        <v>68916.365000000005</v>
      </c>
      <c r="Z227" s="20">
        <v>399.33</v>
      </c>
      <c r="AA227" s="20">
        <f t="shared" si="43"/>
        <v>622</v>
      </c>
      <c r="AB227" s="21">
        <v>52.63</v>
      </c>
      <c r="AC227" s="21">
        <v>0.04</v>
      </c>
      <c r="AD227" s="8">
        <f t="shared" si="44"/>
        <v>452</v>
      </c>
      <c r="AE227" s="25">
        <v>1.238</v>
      </c>
      <c r="AF227" s="25">
        <f t="shared" si="45"/>
        <v>139894</v>
      </c>
      <c r="AG227" s="25">
        <f t="shared" si="46"/>
        <v>208810.36499999999</v>
      </c>
      <c r="AH227" s="1">
        <f t="shared" si="36"/>
        <v>3400.6400000000003</v>
      </c>
      <c r="AI227" s="1">
        <f t="shared" si="37"/>
        <v>3320.33</v>
      </c>
      <c r="AJ227" s="1">
        <v>3550.77</v>
      </c>
      <c r="AK227" s="1">
        <f t="shared" si="38"/>
        <v>-150.12999999999965</v>
      </c>
      <c r="AL227" s="29">
        <f t="shared" si="47"/>
        <v>230.44000000000005</v>
      </c>
      <c r="AM227" s="11">
        <f t="shared" si="39"/>
        <v>2558687.3783</v>
      </c>
    </row>
    <row r="228" spans="1:39" x14ac:dyDescent="0.3">
      <c r="A228" s="39">
        <v>45843.333333333336</v>
      </c>
      <c r="B228" s="1">
        <v>1418.02</v>
      </c>
      <c r="C228" s="11">
        <v>3.2732000000000001</v>
      </c>
      <c r="D228" s="1">
        <v>776.29</v>
      </c>
      <c r="E228" s="11">
        <v>3.0760000000000001</v>
      </c>
      <c r="F228" s="1">
        <v>398.57</v>
      </c>
      <c r="G228" s="11">
        <v>3.53</v>
      </c>
      <c r="H228" s="1">
        <v>105.25</v>
      </c>
      <c r="I228" s="11">
        <v>2.00081</v>
      </c>
      <c r="J228" s="1">
        <v>17.88</v>
      </c>
      <c r="K228" s="11">
        <v>1.96245</v>
      </c>
      <c r="L228" s="1">
        <v>1.79</v>
      </c>
      <c r="M228" s="11">
        <v>6.2</v>
      </c>
      <c r="N228" s="1">
        <v>185.55</v>
      </c>
      <c r="O228" s="11">
        <v>2.8224999999999998</v>
      </c>
      <c r="P228" s="1">
        <f t="shared" si="40"/>
        <v>2903.3500000000004</v>
      </c>
      <c r="Q228" s="1">
        <v>2851.1</v>
      </c>
      <c r="R228" s="16">
        <f t="shared" si="41"/>
        <v>2304192.484375</v>
      </c>
      <c r="S228" s="1">
        <v>-138.74</v>
      </c>
      <c r="T228" s="1">
        <v>36.53</v>
      </c>
      <c r="U228" s="1">
        <v>12</v>
      </c>
      <c r="V228" s="1">
        <v>12.92</v>
      </c>
      <c r="W228" s="1" cm="1">
        <f t="array" ref="W228">SUM(ABS(S228:V228))</f>
        <v>200.19</v>
      </c>
      <c r="X228" s="25">
        <v>1.238</v>
      </c>
      <c r="Y228" s="42">
        <f t="shared" si="42"/>
        <v>61958.805</v>
      </c>
      <c r="Z228" s="20">
        <v>399.12</v>
      </c>
      <c r="AA228" s="20">
        <f t="shared" si="43"/>
        <v>599.30999999999995</v>
      </c>
      <c r="AB228" s="21">
        <v>72.55</v>
      </c>
      <c r="AC228" s="21">
        <v>0.1</v>
      </c>
      <c r="AD228" s="8">
        <f t="shared" si="44"/>
        <v>471.77000000000004</v>
      </c>
      <c r="AE228" s="25">
        <v>1.238</v>
      </c>
      <c r="AF228" s="25">
        <f t="shared" si="45"/>
        <v>146012.81500000003</v>
      </c>
      <c r="AG228" s="25">
        <f t="shared" si="46"/>
        <v>207971.62000000002</v>
      </c>
      <c r="AH228" s="1">
        <f t="shared" si="36"/>
        <v>3375.1200000000003</v>
      </c>
      <c r="AI228" s="1">
        <f t="shared" si="37"/>
        <v>3322.87</v>
      </c>
      <c r="AJ228" s="1">
        <v>3527.05</v>
      </c>
      <c r="AK228" s="1">
        <f t="shared" si="38"/>
        <v>-151.92999999999984</v>
      </c>
      <c r="AL228" s="29">
        <f t="shared" si="47"/>
        <v>204.18000000000029</v>
      </c>
      <c r="AM228" s="11">
        <f t="shared" si="39"/>
        <v>2512164.1043750001</v>
      </c>
    </row>
    <row r="229" spans="1:39" x14ac:dyDescent="0.3">
      <c r="A229" s="39">
        <v>45843.34375</v>
      </c>
      <c r="B229" s="1">
        <v>1411.57</v>
      </c>
      <c r="C229" s="11">
        <v>3.2732000000000001</v>
      </c>
      <c r="D229" s="1">
        <v>776.29</v>
      </c>
      <c r="E229" s="11">
        <v>3.0760000000000001</v>
      </c>
      <c r="F229" s="1">
        <v>398.57</v>
      </c>
      <c r="G229" s="11">
        <v>3.53</v>
      </c>
      <c r="H229" s="1">
        <v>106.8</v>
      </c>
      <c r="I229" s="11">
        <v>2.0002200000000001</v>
      </c>
      <c r="J229" s="1">
        <v>17.88</v>
      </c>
      <c r="K229" s="11">
        <v>2.2012800000000001</v>
      </c>
      <c r="L229" s="1">
        <v>1.93</v>
      </c>
      <c r="M229" s="11">
        <v>6.2</v>
      </c>
      <c r="N229" s="1">
        <v>219.34</v>
      </c>
      <c r="O229" s="11">
        <v>2.8224999999999998</v>
      </c>
      <c r="P229" s="1">
        <f t="shared" si="40"/>
        <v>2932.38</v>
      </c>
      <c r="Q229" s="1">
        <v>2880.93</v>
      </c>
      <c r="R229" s="16">
        <f t="shared" si="41"/>
        <v>2324801.6491</v>
      </c>
      <c r="S229" s="1">
        <v>-120.78</v>
      </c>
      <c r="T229" s="1">
        <v>36.54</v>
      </c>
      <c r="U229" s="1">
        <v>12</v>
      </c>
      <c r="V229" s="1">
        <v>12.84</v>
      </c>
      <c r="W229" s="1" cm="1">
        <f t="array" ref="W229">SUM(ABS(S229:V229))</f>
        <v>182.16</v>
      </c>
      <c r="X229" s="25">
        <v>1.238</v>
      </c>
      <c r="Y229" s="42">
        <f t="shared" si="42"/>
        <v>56378.520000000004</v>
      </c>
      <c r="Z229" s="20">
        <v>338.99999999999994</v>
      </c>
      <c r="AA229" s="20">
        <f t="shared" si="43"/>
        <v>521.16</v>
      </c>
      <c r="AB229" s="21">
        <v>86.35</v>
      </c>
      <c r="AC229" s="21">
        <v>0.05</v>
      </c>
      <c r="AD229" s="8">
        <f t="shared" si="44"/>
        <v>425.39999999999992</v>
      </c>
      <c r="AE229" s="25">
        <v>1.238</v>
      </c>
      <c r="AF229" s="25">
        <f t="shared" si="45"/>
        <v>131661.29999999999</v>
      </c>
      <c r="AG229" s="25">
        <f t="shared" si="46"/>
        <v>188039.82</v>
      </c>
      <c r="AH229" s="1">
        <f t="shared" si="36"/>
        <v>3357.78</v>
      </c>
      <c r="AI229" s="1">
        <f t="shared" si="37"/>
        <v>3306.33</v>
      </c>
      <c r="AJ229" s="1">
        <v>3502.88</v>
      </c>
      <c r="AK229" s="1">
        <f t="shared" si="38"/>
        <v>-145.09999999999991</v>
      </c>
      <c r="AL229" s="29">
        <f t="shared" si="47"/>
        <v>196.55000000000018</v>
      </c>
      <c r="AM229" s="11">
        <f t="shared" si="39"/>
        <v>2512841.4690999999</v>
      </c>
    </row>
    <row r="230" spans="1:39" x14ac:dyDescent="0.3">
      <c r="A230" s="39">
        <v>45843.354166666664</v>
      </c>
      <c r="B230" s="1">
        <v>1369.1</v>
      </c>
      <c r="C230" s="11">
        <v>3.2732000000000001</v>
      </c>
      <c r="D230" s="1">
        <v>776.29</v>
      </c>
      <c r="E230" s="11">
        <v>3.0760000000000001</v>
      </c>
      <c r="F230" s="1">
        <v>398.57</v>
      </c>
      <c r="G230" s="11">
        <v>3.53</v>
      </c>
      <c r="H230" s="1">
        <v>103.85</v>
      </c>
      <c r="I230" s="11">
        <v>1.9998099999999999</v>
      </c>
      <c r="J230" s="1">
        <v>17.88</v>
      </c>
      <c r="K230" s="11">
        <v>2.2747600000000001</v>
      </c>
      <c r="L230" s="1">
        <v>5.68</v>
      </c>
      <c r="M230" s="11">
        <v>6.2</v>
      </c>
      <c r="N230" s="1">
        <v>252.6</v>
      </c>
      <c r="O230" s="11">
        <v>2.8224999999999998</v>
      </c>
      <c r="P230" s="1">
        <f t="shared" si="40"/>
        <v>2923.97</v>
      </c>
      <c r="Q230" s="1">
        <v>2921.7</v>
      </c>
      <c r="R230" s="16">
        <f t="shared" si="41"/>
        <v>2318172.6843250003</v>
      </c>
      <c r="S230" s="1">
        <v>-109.58</v>
      </c>
      <c r="T230" s="1">
        <v>36.49</v>
      </c>
      <c r="U230" s="1">
        <v>12</v>
      </c>
      <c r="V230" s="1">
        <v>12.83</v>
      </c>
      <c r="W230" s="1" cm="1">
        <f t="array" ref="W230">SUM(ABS(S230:V230))</f>
        <v>170.9</v>
      </c>
      <c r="X230" s="25">
        <v>1.238</v>
      </c>
      <c r="Y230" s="42">
        <f t="shared" si="42"/>
        <v>52893.55</v>
      </c>
      <c r="Z230" s="20">
        <v>291.75</v>
      </c>
      <c r="AA230" s="20">
        <f t="shared" si="43"/>
        <v>462.65</v>
      </c>
      <c r="AB230" s="21">
        <v>101.17</v>
      </c>
      <c r="AC230" s="21">
        <v>6.9999999999999993E-2</v>
      </c>
      <c r="AD230" s="8">
        <f t="shared" si="44"/>
        <v>392.99</v>
      </c>
      <c r="AE230" s="25">
        <v>1.238</v>
      </c>
      <c r="AF230" s="25">
        <f t="shared" si="45"/>
        <v>121630.405</v>
      </c>
      <c r="AG230" s="25">
        <f t="shared" si="46"/>
        <v>174523.95500000002</v>
      </c>
      <c r="AH230" s="1">
        <f t="shared" si="36"/>
        <v>3316.96</v>
      </c>
      <c r="AI230" s="1">
        <f t="shared" si="37"/>
        <v>3314.6899999999996</v>
      </c>
      <c r="AJ230" s="1">
        <v>3491.37</v>
      </c>
      <c r="AK230" s="1">
        <f t="shared" si="38"/>
        <v>-174.40999999999985</v>
      </c>
      <c r="AL230" s="29">
        <f t="shared" si="47"/>
        <v>176.68000000000029</v>
      </c>
      <c r="AM230" s="11">
        <f t="shared" si="39"/>
        <v>2492696.6393250003</v>
      </c>
    </row>
    <row r="231" spans="1:39" x14ac:dyDescent="0.3">
      <c r="A231" s="39">
        <v>45843.364583333336</v>
      </c>
      <c r="B231" s="1">
        <v>1365.68</v>
      </c>
      <c r="C231" s="11">
        <v>3.2732000000000001</v>
      </c>
      <c r="D231" s="1">
        <v>776.29</v>
      </c>
      <c r="E231" s="11">
        <v>3.0760000000000001</v>
      </c>
      <c r="F231" s="1">
        <v>398.57</v>
      </c>
      <c r="G231" s="11">
        <v>3.53</v>
      </c>
      <c r="H231" s="1">
        <v>83.18</v>
      </c>
      <c r="I231" s="11">
        <v>1.99959</v>
      </c>
      <c r="J231" s="1">
        <v>11.94</v>
      </c>
      <c r="K231" s="11">
        <v>2.1964899999999998</v>
      </c>
      <c r="L231" s="1">
        <v>33.619999999999997</v>
      </c>
      <c r="M231" s="11">
        <v>6.2</v>
      </c>
      <c r="N231" s="1">
        <v>286.20999999999998</v>
      </c>
      <c r="O231" s="11">
        <v>2.8224999999999998</v>
      </c>
      <c r="P231" s="1">
        <f t="shared" si="40"/>
        <v>2955.4900000000002</v>
      </c>
      <c r="Q231" s="1">
        <v>2958.34</v>
      </c>
      <c r="R231" s="16">
        <f t="shared" si="41"/>
        <v>2368446.9069499997</v>
      </c>
      <c r="S231" s="1">
        <v>-101.23</v>
      </c>
      <c r="T231" s="1">
        <v>36.450000000000003</v>
      </c>
      <c r="U231" s="1">
        <v>12</v>
      </c>
      <c r="V231" s="1">
        <v>9.2799999999999994</v>
      </c>
      <c r="W231" s="1" cm="1">
        <f t="array" ref="W231">SUM(ABS(S231:V231))</f>
        <v>158.96</v>
      </c>
      <c r="X231" s="25">
        <v>1.238</v>
      </c>
      <c r="Y231" s="42">
        <f t="shared" si="42"/>
        <v>49198.12</v>
      </c>
      <c r="Z231" s="20">
        <v>285.44</v>
      </c>
      <c r="AA231" s="20">
        <f t="shared" si="43"/>
        <v>444.4</v>
      </c>
      <c r="AB231" s="21">
        <v>94.42</v>
      </c>
      <c r="AC231" s="21">
        <v>6.0000000000000005E-2</v>
      </c>
      <c r="AD231" s="8">
        <f t="shared" si="44"/>
        <v>379.92</v>
      </c>
      <c r="AE231" s="25">
        <v>1.238</v>
      </c>
      <c r="AF231" s="25">
        <f t="shared" si="45"/>
        <v>117585.24</v>
      </c>
      <c r="AG231" s="25">
        <f t="shared" si="46"/>
        <v>166783.36000000002</v>
      </c>
      <c r="AH231" s="1">
        <f t="shared" si="36"/>
        <v>3335.4100000000003</v>
      </c>
      <c r="AI231" s="1">
        <f t="shared" si="37"/>
        <v>3338.26</v>
      </c>
      <c r="AJ231" s="1">
        <v>3507.25</v>
      </c>
      <c r="AK231" s="1">
        <f t="shared" si="38"/>
        <v>-171.83999999999969</v>
      </c>
      <c r="AL231" s="29">
        <f t="shared" si="47"/>
        <v>168.98999999999978</v>
      </c>
      <c r="AM231" s="11">
        <f t="shared" si="39"/>
        <v>2535230.2669499996</v>
      </c>
    </row>
    <row r="232" spans="1:39" x14ac:dyDescent="0.3">
      <c r="A232" s="39">
        <v>45843.375</v>
      </c>
      <c r="B232" s="1">
        <v>1128.97</v>
      </c>
      <c r="C232" s="11">
        <v>3.2732000000000001</v>
      </c>
      <c r="D232" s="1">
        <v>776.29</v>
      </c>
      <c r="E232" s="11">
        <v>3.0760000000000001</v>
      </c>
      <c r="F232" s="1">
        <v>398.57</v>
      </c>
      <c r="G232" s="11">
        <v>3.53</v>
      </c>
      <c r="H232" s="1">
        <v>62.1</v>
      </c>
      <c r="I232" s="11">
        <v>1.99943</v>
      </c>
      <c r="J232" s="1">
        <v>8.89</v>
      </c>
      <c r="K232" s="11">
        <v>2.7992499999999998</v>
      </c>
      <c r="L232" s="1">
        <v>57.21</v>
      </c>
      <c r="M232" s="11">
        <v>6.2</v>
      </c>
      <c r="N232" s="1">
        <v>318.37</v>
      </c>
      <c r="O232" s="11">
        <v>2.8224999999999998</v>
      </c>
      <c r="P232" s="1">
        <f t="shared" si="40"/>
        <v>2750.3999999999996</v>
      </c>
      <c r="Q232" s="1">
        <v>2784.5</v>
      </c>
      <c r="R232" s="16">
        <f t="shared" si="41"/>
        <v>2223129.001125</v>
      </c>
      <c r="S232" s="1">
        <v>-270.89</v>
      </c>
      <c r="T232" s="1">
        <v>36.44</v>
      </c>
      <c r="U232" s="1">
        <v>12</v>
      </c>
      <c r="V232" s="1">
        <v>6.32</v>
      </c>
      <c r="W232" s="1" cm="1">
        <f t="array" ref="W232">SUM(ABS(S232:V232))</f>
        <v>325.64999999999998</v>
      </c>
      <c r="X232" s="25">
        <v>1.238</v>
      </c>
      <c r="Y232" s="42">
        <f t="shared" si="42"/>
        <v>100788.675</v>
      </c>
      <c r="Z232" s="20">
        <v>329.87000000000006</v>
      </c>
      <c r="AA232" s="20">
        <f t="shared" si="43"/>
        <v>655.52</v>
      </c>
      <c r="AB232" s="21">
        <v>95.01</v>
      </c>
      <c r="AC232" s="21">
        <v>7.0000000000000007E-2</v>
      </c>
      <c r="AD232" s="8">
        <f t="shared" si="44"/>
        <v>424.95000000000005</v>
      </c>
      <c r="AE232" s="25">
        <v>1.238</v>
      </c>
      <c r="AF232" s="25">
        <f t="shared" si="45"/>
        <v>131522.02500000002</v>
      </c>
      <c r="AG232" s="25">
        <f t="shared" si="46"/>
        <v>232310.7</v>
      </c>
      <c r="AH232" s="1">
        <f t="shared" si="36"/>
        <v>3175.3499999999995</v>
      </c>
      <c r="AI232" s="1">
        <f t="shared" si="37"/>
        <v>3209.45</v>
      </c>
      <c r="AJ232" s="1">
        <v>3538.35</v>
      </c>
      <c r="AK232" s="1">
        <f t="shared" si="38"/>
        <v>-363.00000000000045</v>
      </c>
      <c r="AL232" s="29">
        <f t="shared" si="47"/>
        <v>328.90000000000009</v>
      </c>
      <c r="AM232" s="11">
        <f t="shared" si="39"/>
        <v>2455439.7011250001</v>
      </c>
    </row>
    <row r="233" spans="1:39" x14ac:dyDescent="0.3">
      <c r="A233" s="39">
        <v>45843.385416666664</v>
      </c>
      <c r="B233" s="1">
        <v>1110.54</v>
      </c>
      <c r="C233" s="11">
        <v>3.2732000000000001</v>
      </c>
      <c r="D233" s="1">
        <v>776.29</v>
      </c>
      <c r="E233" s="11">
        <v>3.0760000000000001</v>
      </c>
      <c r="F233" s="1">
        <v>398.57</v>
      </c>
      <c r="G233" s="11">
        <v>3.53</v>
      </c>
      <c r="H233" s="1">
        <v>60.75</v>
      </c>
      <c r="I233" s="11">
        <v>1.99952</v>
      </c>
      <c r="J233" s="1">
        <v>8.7100000000000009</v>
      </c>
      <c r="K233" s="11">
        <v>2.7995900000000002</v>
      </c>
      <c r="L233" s="1">
        <v>58.97</v>
      </c>
      <c r="M233" s="11">
        <v>6.2</v>
      </c>
      <c r="N233" s="1">
        <v>344.81</v>
      </c>
      <c r="O233" s="11">
        <v>2.8224999999999998</v>
      </c>
      <c r="P233" s="1">
        <f t="shared" si="40"/>
        <v>2758.64</v>
      </c>
      <c r="Q233" s="1">
        <v>2764.4</v>
      </c>
      <c r="R233" s="16">
        <f t="shared" si="41"/>
        <v>2228633.7904749997</v>
      </c>
      <c r="S233" s="1">
        <v>-379.27</v>
      </c>
      <c r="T233" s="1">
        <v>36.450000000000003</v>
      </c>
      <c r="U233" s="1">
        <v>12</v>
      </c>
      <c r="V233" s="1">
        <v>6.33</v>
      </c>
      <c r="W233" s="1" cm="1">
        <f t="array" ref="W233">SUM(ABS(S233:V233))</f>
        <v>434.04999999999995</v>
      </c>
      <c r="X233" s="25">
        <v>1.238</v>
      </c>
      <c r="Y233" s="42">
        <f t="shared" si="42"/>
        <v>134338.47499999998</v>
      </c>
      <c r="Z233" s="20">
        <v>293.73</v>
      </c>
      <c r="AA233" s="20">
        <f t="shared" si="43"/>
        <v>727.78</v>
      </c>
      <c r="AB233" s="21">
        <v>103.56000000000002</v>
      </c>
      <c r="AC233" s="21">
        <v>0.38</v>
      </c>
      <c r="AD233" s="8">
        <f t="shared" si="44"/>
        <v>397.67</v>
      </c>
      <c r="AE233" s="25">
        <v>1.238</v>
      </c>
      <c r="AF233" s="25">
        <f t="shared" si="45"/>
        <v>123078.86500000001</v>
      </c>
      <c r="AG233" s="25">
        <f t="shared" si="46"/>
        <v>257417.33999999997</v>
      </c>
      <c r="AH233" s="1">
        <f t="shared" si="36"/>
        <v>3156.31</v>
      </c>
      <c r="AI233" s="1">
        <f t="shared" si="37"/>
        <v>3162.07</v>
      </c>
      <c r="AJ233" s="1">
        <v>3612.39</v>
      </c>
      <c r="AK233" s="1">
        <f t="shared" si="38"/>
        <v>-456.07999999999993</v>
      </c>
      <c r="AL233" s="29">
        <f t="shared" si="47"/>
        <v>450.31999999999971</v>
      </c>
      <c r="AM233" s="11">
        <f t="shared" si="39"/>
        <v>2486051.1304749995</v>
      </c>
    </row>
    <row r="234" spans="1:39" x14ac:dyDescent="0.3">
      <c r="A234" s="39">
        <v>45843.395833333336</v>
      </c>
      <c r="B234" s="1">
        <v>1111.46</v>
      </c>
      <c r="C234" s="11">
        <v>3.2732000000000001</v>
      </c>
      <c r="D234" s="1">
        <v>776.29</v>
      </c>
      <c r="E234" s="11">
        <v>3.0760000000000001</v>
      </c>
      <c r="F234" s="1">
        <v>398.57</v>
      </c>
      <c r="G234" s="11">
        <v>3.53</v>
      </c>
      <c r="H234" s="1">
        <v>58.05</v>
      </c>
      <c r="I234" s="11">
        <v>1.9993800000000002</v>
      </c>
      <c r="J234" s="1">
        <v>55.41</v>
      </c>
      <c r="K234" s="11">
        <v>1.9958800000000001</v>
      </c>
      <c r="L234" s="1">
        <v>59.52</v>
      </c>
      <c r="M234" s="11">
        <v>6.2</v>
      </c>
      <c r="N234" s="1">
        <v>367.73</v>
      </c>
      <c r="O234" s="11">
        <v>2.8224999999999998</v>
      </c>
      <c r="P234" s="1">
        <f t="shared" si="40"/>
        <v>2827.03</v>
      </c>
      <c r="Q234" s="1">
        <v>2827.83</v>
      </c>
      <c r="R234" s="16">
        <f t="shared" si="41"/>
        <v>2266612.1642000005</v>
      </c>
      <c r="S234" s="1">
        <v>-355.34</v>
      </c>
      <c r="T234" s="1">
        <v>36.42</v>
      </c>
      <c r="U234" s="1">
        <v>12</v>
      </c>
      <c r="V234" s="1">
        <v>6.34</v>
      </c>
      <c r="W234" s="1" cm="1">
        <f t="array" ref="W234">SUM(ABS(S234:V234))</f>
        <v>410.09999999999997</v>
      </c>
      <c r="X234" s="25">
        <v>1.238</v>
      </c>
      <c r="Y234" s="42">
        <f t="shared" si="42"/>
        <v>126925.94999999998</v>
      </c>
      <c r="Z234" s="20">
        <v>277.35000000000002</v>
      </c>
      <c r="AA234" s="20">
        <f t="shared" si="43"/>
        <v>687.45</v>
      </c>
      <c r="AB234" s="21">
        <v>121.35999999999999</v>
      </c>
      <c r="AC234" s="21">
        <v>0.99</v>
      </c>
      <c r="AD234" s="8">
        <f t="shared" si="44"/>
        <v>399.70000000000005</v>
      </c>
      <c r="AE234" s="25">
        <v>1.238</v>
      </c>
      <c r="AF234" s="25">
        <f t="shared" si="45"/>
        <v>123707.15000000001</v>
      </c>
      <c r="AG234" s="25">
        <f t="shared" si="46"/>
        <v>250633.09999999998</v>
      </c>
      <c r="AH234" s="1">
        <f t="shared" si="36"/>
        <v>3226.7300000000005</v>
      </c>
      <c r="AI234" s="1">
        <f t="shared" si="37"/>
        <v>3227.5299999999997</v>
      </c>
      <c r="AJ234" s="1">
        <v>3649.97</v>
      </c>
      <c r="AK234" s="1">
        <f t="shared" si="38"/>
        <v>-423.23999999999933</v>
      </c>
      <c r="AL234" s="29">
        <f t="shared" si="47"/>
        <v>422.44000000000005</v>
      </c>
      <c r="AM234" s="11">
        <f t="shared" si="39"/>
        <v>2517245.2642000006</v>
      </c>
    </row>
    <row r="235" spans="1:39" x14ac:dyDescent="0.3">
      <c r="A235" s="39">
        <v>45843.40625</v>
      </c>
      <c r="B235" s="1">
        <v>1113.1199999999999</v>
      </c>
      <c r="C235" s="11">
        <v>3.2732000000000001</v>
      </c>
      <c r="D235" s="1">
        <v>776.29</v>
      </c>
      <c r="E235" s="11">
        <v>3.0760000000000001</v>
      </c>
      <c r="F235" s="1">
        <v>398.57</v>
      </c>
      <c r="G235" s="11">
        <v>3.53</v>
      </c>
      <c r="H235" s="1">
        <v>59.63</v>
      </c>
      <c r="I235" s="11">
        <v>1.9994400000000001</v>
      </c>
      <c r="J235" s="1">
        <v>58.81</v>
      </c>
      <c r="K235" s="11">
        <v>1.9959800000000001</v>
      </c>
      <c r="L235" s="1">
        <v>59.65</v>
      </c>
      <c r="M235" s="11">
        <v>6.2</v>
      </c>
      <c r="N235" s="1">
        <v>388.44</v>
      </c>
      <c r="O235" s="11">
        <v>2.8224999999999998</v>
      </c>
      <c r="P235" s="1">
        <f t="shared" si="40"/>
        <v>2854.51</v>
      </c>
      <c r="Q235" s="1">
        <v>2861.47</v>
      </c>
      <c r="R235" s="16">
        <f t="shared" si="41"/>
        <v>2285274.1537500001</v>
      </c>
      <c r="S235" s="1">
        <v>-341.11</v>
      </c>
      <c r="T235" s="1">
        <v>36.380000000000003</v>
      </c>
      <c r="U235" s="1">
        <v>12</v>
      </c>
      <c r="V235" s="1">
        <v>6.34</v>
      </c>
      <c r="W235" s="1" cm="1">
        <f t="array" ref="W235">SUM(ABS(S235:V235))</f>
        <v>395.83</v>
      </c>
      <c r="X235" s="25">
        <v>1.238</v>
      </c>
      <c r="Y235" s="42">
        <f t="shared" si="42"/>
        <v>122509.38499999999</v>
      </c>
      <c r="Z235" s="20">
        <v>276.52000000000004</v>
      </c>
      <c r="AA235" s="20">
        <f t="shared" si="43"/>
        <v>672.35</v>
      </c>
      <c r="AB235" s="21">
        <v>143.56</v>
      </c>
      <c r="AC235" s="21">
        <v>0.97000000000000008</v>
      </c>
      <c r="AD235" s="8">
        <f t="shared" si="44"/>
        <v>421.05000000000007</v>
      </c>
      <c r="AE235" s="25">
        <v>1.238</v>
      </c>
      <c r="AF235" s="25">
        <f t="shared" si="45"/>
        <v>130314.97500000003</v>
      </c>
      <c r="AG235" s="25">
        <f t="shared" si="46"/>
        <v>252824.36000000004</v>
      </c>
      <c r="AH235" s="1">
        <f t="shared" si="36"/>
        <v>3275.5600000000004</v>
      </c>
      <c r="AI235" s="1">
        <f t="shared" si="37"/>
        <v>3282.52</v>
      </c>
      <c r="AJ235" s="1">
        <v>3691.17</v>
      </c>
      <c r="AK235" s="1">
        <f t="shared" si="38"/>
        <v>-415.60999999999967</v>
      </c>
      <c r="AL235" s="29">
        <f t="shared" si="47"/>
        <v>408.65000000000009</v>
      </c>
      <c r="AM235" s="11">
        <f t="shared" si="39"/>
        <v>2538098.5137499999</v>
      </c>
    </row>
    <row r="236" spans="1:39" x14ac:dyDescent="0.3">
      <c r="A236" s="39">
        <v>45843.416666666664</v>
      </c>
      <c r="B236" s="1">
        <v>1116.6500000000001</v>
      </c>
      <c r="C236" s="11">
        <v>3.2732000000000001</v>
      </c>
      <c r="D236" s="1">
        <v>757.56</v>
      </c>
      <c r="E236" s="11">
        <v>3.0760000000000001</v>
      </c>
      <c r="F236" s="1">
        <v>398.57</v>
      </c>
      <c r="G236" s="11">
        <v>3.53</v>
      </c>
      <c r="H236" s="1">
        <v>30.53</v>
      </c>
      <c r="I236" s="11">
        <v>1.9992300000000001</v>
      </c>
      <c r="J236" s="1">
        <v>61.61</v>
      </c>
      <c r="K236" s="11">
        <v>1.7808900000000001</v>
      </c>
      <c r="L236" s="1">
        <v>86.4</v>
      </c>
      <c r="M236" s="11">
        <v>6.2</v>
      </c>
      <c r="N236" s="1">
        <v>398.9</v>
      </c>
      <c r="O236" s="11">
        <v>2.8224999999999998</v>
      </c>
      <c r="P236" s="1">
        <f t="shared" si="40"/>
        <v>2850.2200000000007</v>
      </c>
      <c r="Q236" s="1">
        <v>2893.81</v>
      </c>
      <c r="R236" s="16">
        <f t="shared" si="41"/>
        <v>2306139.4537</v>
      </c>
      <c r="S236" s="1">
        <v>-335.67</v>
      </c>
      <c r="T236" s="1">
        <v>36.39</v>
      </c>
      <c r="U236" s="1">
        <v>12</v>
      </c>
      <c r="V236" s="1">
        <v>6.33</v>
      </c>
      <c r="W236" s="1" cm="1">
        <f t="array" ref="W236">SUM(ABS(S236:V236))</f>
        <v>390.39</v>
      </c>
      <c r="X236" s="25">
        <v>1.238</v>
      </c>
      <c r="Y236" s="42">
        <f t="shared" si="42"/>
        <v>120825.705</v>
      </c>
      <c r="Z236" s="20">
        <v>266</v>
      </c>
      <c r="AA236" s="20">
        <f t="shared" si="43"/>
        <v>656.39</v>
      </c>
      <c r="AB236" s="21">
        <v>156.11000000000004</v>
      </c>
      <c r="AC236" s="21">
        <v>1.3099999999999998</v>
      </c>
      <c r="AD236" s="8">
        <f t="shared" si="44"/>
        <v>423.42</v>
      </c>
      <c r="AE236" s="25">
        <v>1.238</v>
      </c>
      <c r="AF236" s="25">
        <f t="shared" si="45"/>
        <v>131048.49000000002</v>
      </c>
      <c r="AG236" s="25">
        <f t="shared" si="46"/>
        <v>251874.19500000001</v>
      </c>
      <c r="AH236" s="1">
        <f t="shared" si="36"/>
        <v>3273.6400000000008</v>
      </c>
      <c r="AI236" s="1">
        <f t="shared" si="37"/>
        <v>3317.23</v>
      </c>
      <c r="AJ236" s="1">
        <v>3715.13</v>
      </c>
      <c r="AK236" s="1">
        <f t="shared" si="38"/>
        <v>-441.48999999999933</v>
      </c>
      <c r="AL236" s="29">
        <f t="shared" si="47"/>
        <v>397.90000000000009</v>
      </c>
      <c r="AM236" s="11">
        <f t="shared" si="39"/>
        <v>2558013.6486999998</v>
      </c>
    </row>
    <row r="237" spans="1:39" x14ac:dyDescent="0.3">
      <c r="A237" s="39">
        <v>45843.427083333336</v>
      </c>
      <c r="B237" s="1">
        <v>1119.32</v>
      </c>
      <c r="C237" s="11">
        <v>3.2732000000000001</v>
      </c>
      <c r="D237" s="1">
        <v>737.52</v>
      </c>
      <c r="E237" s="11">
        <v>3.0760000000000001</v>
      </c>
      <c r="F237" s="1">
        <v>398.57</v>
      </c>
      <c r="G237" s="11">
        <v>3.53</v>
      </c>
      <c r="H237" s="1">
        <v>28.51</v>
      </c>
      <c r="I237" s="11">
        <v>1.9993099999999999</v>
      </c>
      <c r="J237" s="1">
        <v>61.8</v>
      </c>
      <c r="K237" s="11">
        <v>1.7501500000000001</v>
      </c>
      <c r="L237" s="1">
        <v>88.43</v>
      </c>
      <c r="M237" s="11">
        <v>6.2</v>
      </c>
      <c r="N237" s="1">
        <v>413.84</v>
      </c>
      <c r="O237" s="11">
        <v>2.8224999999999998</v>
      </c>
      <c r="P237" s="1">
        <f t="shared" si="40"/>
        <v>2847.9900000000002</v>
      </c>
      <c r="Q237" s="1">
        <v>2929.68</v>
      </c>
      <c r="R237" s="16">
        <f t="shared" si="41"/>
        <v>2305202.710525</v>
      </c>
      <c r="S237" s="1">
        <v>-331.78</v>
      </c>
      <c r="T237" s="1">
        <v>36.340000000000003</v>
      </c>
      <c r="U237" s="1">
        <v>12</v>
      </c>
      <c r="V237" s="1">
        <v>6.37</v>
      </c>
      <c r="W237" s="1" cm="1">
        <f t="array" ref="W237">SUM(ABS(S237:V237))</f>
        <v>386.49</v>
      </c>
      <c r="X237" s="25">
        <v>1.238</v>
      </c>
      <c r="Y237" s="42">
        <f t="shared" si="42"/>
        <v>119618.655</v>
      </c>
      <c r="Z237" s="20">
        <v>267.98</v>
      </c>
      <c r="AA237" s="20">
        <f t="shared" si="43"/>
        <v>654.47</v>
      </c>
      <c r="AB237" s="21">
        <v>151.04999999999998</v>
      </c>
      <c r="AC237" s="21">
        <v>1.99</v>
      </c>
      <c r="AD237" s="8">
        <f t="shared" si="44"/>
        <v>421.02</v>
      </c>
      <c r="AE237" s="25">
        <v>1.238</v>
      </c>
      <c r="AF237" s="25">
        <f t="shared" si="45"/>
        <v>130305.69</v>
      </c>
      <c r="AG237" s="25">
        <f t="shared" si="46"/>
        <v>249924.345</v>
      </c>
      <c r="AH237" s="1">
        <f t="shared" si="36"/>
        <v>3269.01</v>
      </c>
      <c r="AI237" s="1">
        <f t="shared" si="37"/>
        <v>3350.7</v>
      </c>
      <c r="AJ237" s="1">
        <v>3748.37</v>
      </c>
      <c r="AK237" s="1">
        <f t="shared" si="38"/>
        <v>-479.35999999999967</v>
      </c>
      <c r="AL237" s="29">
        <f t="shared" si="47"/>
        <v>397.67000000000007</v>
      </c>
      <c r="AM237" s="11">
        <f t="shared" si="39"/>
        <v>2555127.0555250002</v>
      </c>
    </row>
    <row r="238" spans="1:39" x14ac:dyDescent="0.3">
      <c r="A238" s="39">
        <v>45843.4375</v>
      </c>
      <c r="B238" s="1">
        <v>1119.51</v>
      </c>
      <c r="C238" s="11">
        <v>3.2732000000000001</v>
      </c>
      <c r="D238" s="1">
        <v>717.28</v>
      </c>
      <c r="E238" s="11">
        <v>3.0760000000000001</v>
      </c>
      <c r="F238" s="1">
        <v>398.57</v>
      </c>
      <c r="G238" s="11">
        <v>3.53</v>
      </c>
      <c r="H238" s="1">
        <v>28.51</v>
      </c>
      <c r="I238" s="11">
        <v>1.9993699999999999</v>
      </c>
      <c r="J238" s="1">
        <v>105.47</v>
      </c>
      <c r="K238" s="11">
        <v>1.7667599999999999</v>
      </c>
      <c r="L238" s="1">
        <v>88.51</v>
      </c>
      <c r="M238" s="11">
        <v>6.2</v>
      </c>
      <c r="N238" s="1">
        <v>429.08</v>
      </c>
      <c r="O238" s="11">
        <v>2.8224999999999998</v>
      </c>
      <c r="P238" s="1">
        <f t="shared" si="40"/>
        <v>2886.9300000000003</v>
      </c>
      <c r="Q238" s="1">
        <v>2905.44</v>
      </c>
      <c r="R238" s="16">
        <f t="shared" si="41"/>
        <v>2320217.0069749998</v>
      </c>
      <c r="S238" s="1">
        <v>-304.7</v>
      </c>
      <c r="T238" s="1">
        <v>36.33</v>
      </c>
      <c r="U238" s="1">
        <v>12</v>
      </c>
      <c r="V238" s="1">
        <v>6.37</v>
      </c>
      <c r="W238" s="1" cm="1">
        <f t="array" ref="W238">SUM(ABS(S238:V238))</f>
        <v>359.4</v>
      </c>
      <c r="X238" s="25">
        <v>1.238</v>
      </c>
      <c r="Y238" s="42">
        <f t="shared" si="42"/>
        <v>111234.29999999999</v>
      </c>
      <c r="Z238" s="20">
        <v>319.45</v>
      </c>
      <c r="AA238" s="20">
        <f t="shared" si="43"/>
        <v>678.84999999999991</v>
      </c>
      <c r="AB238" s="21">
        <v>137.18</v>
      </c>
      <c r="AC238" s="21">
        <v>3.0100000000000002</v>
      </c>
      <c r="AD238" s="8">
        <f t="shared" si="44"/>
        <v>459.64</v>
      </c>
      <c r="AE238" s="25">
        <v>1.238</v>
      </c>
      <c r="AF238" s="25">
        <f t="shared" si="45"/>
        <v>142258.57999999999</v>
      </c>
      <c r="AG238" s="25">
        <f t="shared" si="46"/>
        <v>253492.87999999998</v>
      </c>
      <c r="AH238" s="1">
        <f t="shared" si="36"/>
        <v>3346.57</v>
      </c>
      <c r="AI238" s="1">
        <f t="shared" si="37"/>
        <v>3365.08</v>
      </c>
      <c r="AJ238" s="1">
        <v>3732.86</v>
      </c>
      <c r="AK238" s="1">
        <f t="shared" si="38"/>
        <v>-386.28999999999996</v>
      </c>
      <c r="AL238" s="29">
        <f t="shared" si="47"/>
        <v>367.7800000000002</v>
      </c>
      <c r="AM238" s="11">
        <f t="shared" si="39"/>
        <v>2573709.8869749997</v>
      </c>
    </row>
    <row r="239" spans="1:39" x14ac:dyDescent="0.3">
      <c r="A239" s="39">
        <v>45843.447916666664</v>
      </c>
      <c r="B239" s="1">
        <v>1119.51</v>
      </c>
      <c r="C239" s="11">
        <v>3.2732000000000001</v>
      </c>
      <c r="D239" s="1">
        <v>697.7</v>
      </c>
      <c r="E239" s="11">
        <v>3.0760000000000001</v>
      </c>
      <c r="F239" s="1">
        <v>398.57</v>
      </c>
      <c r="G239" s="11">
        <v>3.53</v>
      </c>
      <c r="H239" s="1">
        <v>28.51</v>
      </c>
      <c r="I239" s="11">
        <v>1.9993800000000002</v>
      </c>
      <c r="J239" s="1">
        <v>109.1</v>
      </c>
      <c r="K239" s="11">
        <v>1.7661</v>
      </c>
      <c r="L239" s="1">
        <v>88.33</v>
      </c>
      <c r="M239" s="11">
        <v>6.2</v>
      </c>
      <c r="N239" s="1">
        <v>436.11</v>
      </c>
      <c r="O239" s="11">
        <v>2.8224999999999998</v>
      </c>
      <c r="P239" s="1">
        <f t="shared" si="40"/>
        <v>2877.8300000000004</v>
      </c>
      <c r="Q239" s="1">
        <v>2929.01</v>
      </c>
      <c r="R239" s="16">
        <f t="shared" si="41"/>
        <v>2311426.9352000002</v>
      </c>
      <c r="S239" s="1">
        <v>-293.7</v>
      </c>
      <c r="T239" s="1">
        <v>36.32</v>
      </c>
      <c r="U239" s="1">
        <v>12</v>
      </c>
      <c r="V239" s="1">
        <v>6.38</v>
      </c>
      <c r="W239" s="1" cm="1">
        <f t="array" ref="W239">SUM(ABS(S239:V239))</f>
        <v>348.4</v>
      </c>
      <c r="X239" s="25">
        <v>1.238</v>
      </c>
      <c r="Y239" s="42">
        <f t="shared" si="42"/>
        <v>107829.79999999999</v>
      </c>
      <c r="Z239" s="20">
        <v>319.73000000000008</v>
      </c>
      <c r="AA239" s="20">
        <f t="shared" si="43"/>
        <v>668.13000000000011</v>
      </c>
      <c r="AB239" s="21">
        <v>131.29</v>
      </c>
      <c r="AC239" s="21">
        <v>2.99</v>
      </c>
      <c r="AD239" s="8">
        <f t="shared" si="44"/>
        <v>454.0100000000001</v>
      </c>
      <c r="AE239" s="25">
        <v>1.238</v>
      </c>
      <c r="AF239" s="25">
        <f t="shared" si="45"/>
        <v>140516.09500000003</v>
      </c>
      <c r="AG239" s="25">
        <f t="shared" si="46"/>
        <v>248345.89500000002</v>
      </c>
      <c r="AH239" s="1">
        <f t="shared" si="36"/>
        <v>3331.8400000000006</v>
      </c>
      <c r="AI239" s="1">
        <f t="shared" si="37"/>
        <v>3383.0200000000004</v>
      </c>
      <c r="AJ239" s="1">
        <v>3743.94</v>
      </c>
      <c r="AK239" s="1">
        <f t="shared" si="38"/>
        <v>-412.09999999999945</v>
      </c>
      <c r="AL239" s="29">
        <f t="shared" si="47"/>
        <v>360.91999999999962</v>
      </c>
      <c r="AM239" s="11">
        <f t="shared" si="39"/>
        <v>2559772.8302000002</v>
      </c>
    </row>
    <row r="240" spans="1:39" x14ac:dyDescent="0.3">
      <c r="A240" s="39">
        <v>45843.458333333336</v>
      </c>
      <c r="B240" s="1">
        <v>1119.51</v>
      </c>
      <c r="C240" s="11">
        <v>3.2732000000000001</v>
      </c>
      <c r="D240" s="1">
        <v>677.52</v>
      </c>
      <c r="E240" s="11">
        <v>3.0760000000000001</v>
      </c>
      <c r="F240" s="1">
        <v>398.57</v>
      </c>
      <c r="G240" s="11">
        <v>3.53</v>
      </c>
      <c r="H240" s="1">
        <v>28.51</v>
      </c>
      <c r="I240" s="11">
        <v>1.98098</v>
      </c>
      <c r="J240" s="1">
        <v>189.04</v>
      </c>
      <c r="K240" s="11">
        <v>1.7660499999999999</v>
      </c>
      <c r="L240" s="1">
        <v>88.68</v>
      </c>
      <c r="M240" s="11">
        <v>6.2</v>
      </c>
      <c r="N240" s="1">
        <v>439.5</v>
      </c>
      <c r="O240" s="11">
        <v>2.8224999999999998</v>
      </c>
      <c r="P240" s="1">
        <f t="shared" si="40"/>
        <v>2941.33</v>
      </c>
      <c r="Q240" s="1">
        <v>2967.09</v>
      </c>
      <c r="R240" s="16">
        <f t="shared" si="41"/>
        <v>2334005.0834499998</v>
      </c>
      <c r="S240" s="1">
        <v>-245.38</v>
      </c>
      <c r="T240" s="1">
        <v>36.33</v>
      </c>
      <c r="U240" s="1">
        <v>12</v>
      </c>
      <c r="V240" s="1">
        <v>6.38</v>
      </c>
      <c r="W240" s="1" cm="1">
        <f t="array" ref="W240">SUM(ABS(S240:V240))</f>
        <v>300.08999999999997</v>
      </c>
      <c r="X240" s="25">
        <v>1.238</v>
      </c>
      <c r="Y240" s="42">
        <f t="shared" si="42"/>
        <v>92877.854999999996</v>
      </c>
      <c r="Z240" s="20">
        <v>317.89000000000004</v>
      </c>
      <c r="AA240" s="20">
        <f t="shared" si="43"/>
        <v>617.98</v>
      </c>
      <c r="AB240" s="21">
        <v>143.80999999999997</v>
      </c>
      <c r="AC240" s="21">
        <v>3.3200000000000003</v>
      </c>
      <c r="AD240" s="8">
        <f t="shared" si="44"/>
        <v>465.02000000000004</v>
      </c>
      <c r="AE240" s="25">
        <v>1.238</v>
      </c>
      <c r="AF240" s="25">
        <f t="shared" si="45"/>
        <v>143923.69000000003</v>
      </c>
      <c r="AG240" s="25">
        <f t="shared" si="46"/>
        <v>236801.54500000004</v>
      </c>
      <c r="AH240" s="1">
        <f t="shared" si="36"/>
        <v>3406.35</v>
      </c>
      <c r="AI240" s="1">
        <f t="shared" si="37"/>
        <v>3432.11</v>
      </c>
      <c r="AJ240" s="1">
        <v>3746.15</v>
      </c>
      <c r="AK240" s="1">
        <f t="shared" si="38"/>
        <v>-339.80000000000018</v>
      </c>
      <c r="AL240" s="29">
        <f t="shared" si="47"/>
        <v>314.03999999999996</v>
      </c>
      <c r="AM240" s="11">
        <f t="shared" si="39"/>
        <v>2570806.6284499997</v>
      </c>
    </row>
    <row r="241" spans="1:39" x14ac:dyDescent="0.3">
      <c r="A241" s="39">
        <v>45843.46875</v>
      </c>
      <c r="B241" s="1">
        <v>1119.51</v>
      </c>
      <c r="C241" s="11">
        <v>3.2732000000000001</v>
      </c>
      <c r="D241" s="1">
        <v>639.12</v>
      </c>
      <c r="E241" s="11">
        <v>3.0760000000000001</v>
      </c>
      <c r="F241" s="1">
        <v>398.57</v>
      </c>
      <c r="G241" s="11">
        <v>3.53</v>
      </c>
      <c r="H241" s="1">
        <v>28.51</v>
      </c>
      <c r="I241" s="11">
        <v>1.9007000000000001</v>
      </c>
      <c r="J241" s="1">
        <v>237.36</v>
      </c>
      <c r="K241" s="11">
        <v>1.7802200000000001</v>
      </c>
      <c r="L241" s="1">
        <v>88.8</v>
      </c>
      <c r="M241" s="11">
        <v>6.2</v>
      </c>
      <c r="N241" s="1">
        <v>441.95</v>
      </c>
      <c r="O241" s="11">
        <v>2.8224999999999998</v>
      </c>
      <c r="P241" s="1">
        <f t="shared" si="40"/>
        <v>2953.8200000000006</v>
      </c>
      <c r="Q241" s="1">
        <v>2985.26</v>
      </c>
      <c r="R241" s="16">
        <f t="shared" si="41"/>
        <v>2327992.8008000003</v>
      </c>
      <c r="S241" s="1">
        <v>-230.33</v>
      </c>
      <c r="T241" s="1">
        <v>36.35</v>
      </c>
      <c r="U241" s="1">
        <v>12</v>
      </c>
      <c r="V241" s="1">
        <v>6.38</v>
      </c>
      <c r="W241" s="1" cm="1">
        <f t="array" ref="W241">SUM(ABS(S241:V241))</f>
        <v>285.06</v>
      </c>
      <c r="X241" s="25">
        <v>1.238</v>
      </c>
      <c r="Y241" s="42">
        <f t="shared" si="42"/>
        <v>88226.069999999992</v>
      </c>
      <c r="Z241" s="20">
        <v>319.94000000000005</v>
      </c>
      <c r="AA241" s="20">
        <f t="shared" si="43"/>
        <v>605</v>
      </c>
      <c r="AB241" s="21">
        <v>161.86000000000004</v>
      </c>
      <c r="AC241" s="21">
        <v>3.4699999999999998</v>
      </c>
      <c r="AD241" s="8">
        <f t="shared" si="44"/>
        <v>485.2700000000001</v>
      </c>
      <c r="AE241" s="25">
        <v>1.238</v>
      </c>
      <c r="AF241" s="25">
        <f t="shared" si="45"/>
        <v>150191.06500000003</v>
      </c>
      <c r="AG241" s="25">
        <f t="shared" si="46"/>
        <v>238417.13500000001</v>
      </c>
      <c r="AH241" s="1">
        <f t="shared" si="36"/>
        <v>3439.0900000000006</v>
      </c>
      <c r="AI241" s="1">
        <f t="shared" si="37"/>
        <v>3470.53</v>
      </c>
      <c r="AJ241" s="1">
        <v>3763.61</v>
      </c>
      <c r="AK241" s="1">
        <f t="shared" si="38"/>
        <v>-324.51999999999953</v>
      </c>
      <c r="AL241" s="29">
        <f t="shared" si="47"/>
        <v>293.07999999999993</v>
      </c>
      <c r="AM241" s="11">
        <f t="shared" si="39"/>
        <v>2566409.9358000001</v>
      </c>
    </row>
    <row r="242" spans="1:39" x14ac:dyDescent="0.3">
      <c r="A242" s="39">
        <v>45843.479166666664</v>
      </c>
      <c r="B242" s="1">
        <v>1122.6600000000001</v>
      </c>
      <c r="C242" s="11">
        <v>3.2732000000000001</v>
      </c>
      <c r="D242" s="1">
        <v>636.09</v>
      </c>
      <c r="E242" s="11">
        <v>3.0760000000000001</v>
      </c>
      <c r="F242" s="1">
        <v>398.57</v>
      </c>
      <c r="G242" s="11">
        <v>3.53</v>
      </c>
      <c r="H242" s="1">
        <v>28.51</v>
      </c>
      <c r="I242" s="11">
        <v>1.90069</v>
      </c>
      <c r="J242" s="1">
        <v>211.1</v>
      </c>
      <c r="K242" s="11">
        <v>1.98037</v>
      </c>
      <c r="L242" s="1">
        <v>88.99</v>
      </c>
      <c r="M242" s="11">
        <v>6.2</v>
      </c>
      <c r="N242" s="1">
        <v>451.07</v>
      </c>
      <c r="O242" s="11">
        <v>2.8224999999999998</v>
      </c>
      <c r="P242" s="1">
        <f t="shared" si="40"/>
        <v>2936.9900000000002</v>
      </c>
      <c r="Q242" s="1">
        <v>2997.27</v>
      </c>
      <c r="R242" s="16">
        <f t="shared" si="41"/>
        <v>2333845.8764750008</v>
      </c>
      <c r="S242" s="1">
        <v>-229.79</v>
      </c>
      <c r="T242" s="1">
        <v>36.340000000000003</v>
      </c>
      <c r="U242" s="1">
        <v>12</v>
      </c>
      <c r="V242" s="1">
        <v>6.41</v>
      </c>
      <c r="W242" s="1" cm="1">
        <f t="array" ref="W242">SUM(ABS(S242:V242))</f>
        <v>284.54000000000002</v>
      </c>
      <c r="X242" s="25">
        <v>1.238</v>
      </c>
      <c r="Y242" s="42">
        <f t="shared" si="42"/>
        <v>88065.13</v>
      </c>
      <c r="Z242" s="20">
        <v>319.31</v>
      </c>
      <c r="AA242" s="20">
        <f t="shared" si="43"/>
        <v>603.85</v>
      </c>
      <c r="AB242" s="21">
        <v>167.67000000000002</v>
      </c>
      <c r="AC242" s="21">
        <v>3.12</v>
      </c>
      <c r="AD242" s="8">
        <f t="shared" si="44"/>
        <v>490.1</v>
      </c>
      <c r="AE242" s="25">
        <v>1.238</v>
      </c>
      <c r="AF242" s="25">
        <f t="shared" si="45"/>
        <v>151685.95000000001</v>
      </c>
      <c r="AG242" s="25">
        <f t="shared" si="46"/>
        <v>239751.08000000002</v>
      </c>
      <c r="AH242" s="1">
        <f t="shared" si="36"/>
        <v>3427.09</v>
      </c>
      <c r="AI242" s="1">
        <f t="shared" si="37"/>
        <v>3487.37</v>
      </c>
      <c r="AJ242" s="1">
        <v>3783.9</v>
      </c>
      <c r="AK242" s="1">
        <f t="shared" si="38"/>
        <v>-356.80999999999995</v>
      </c>
      <c r="AL242" s="29">
        <f t="shared" si="47"/>
        <v>296.5300000000002</v>
      </c>
      <c r="AM242" s="11">
        <f t="shared" si="39"/>
        <v>2573596.9564750008</v>
      </c>
    </row>
    <row r="243" spans="1:39" x14ac:dyDescent="0.3">
      <c r="A243" s="39">
        <v>45843.489583333336</v>
      </c>
      <c r="B243" s="1">
        <v>1122.9000000000001</v>
      </c>
      <c r="C243" s="11">
        <v>3.2732000000000001</v>
      </c>
      <c r="D243" s="1">
        <v>636.09</v>
      </c>
      <c r="E243" s="11">
        <v>3.0760000000000001</v>
      </c>
      <c r="F243" s="1">
        <v>398.57</v>
      </c>
      <c r="G243" s="11">
        <v>3.53</v>
      </c>
      <c r="H243" s="1">
        <v>28.51</v>
      </c>
      <c r="I243" s="11">
        <v>1.9005999999999998</v>
      </c>
      <c r="J243" s="1">
        <v>206.32</v>
      </c>
      <c r="K243" s="11">
        <v>1.99569</v>
      </c>
      <c r="L243" s="1">
        <v>88.91</v>
      </c>
      <c r="M243" s="11">
        <v>6.2</v>
      </c>
      <c r="N243" s="1">
        <v>451.6</v>
      </c>
      <c r="O243" s="11">
        <v>2.8224999999999998</v>
      </c>
      <c r="P243" s="1">
        <f t="shared" si="40"/>
        <v>2932.9000000000005</v>
      </c>
      <c r="Q243" s="1">
        <v>2983.01</v>
      </c>
      <c r="R243" s="16">
        <f t="shared" si="41"/>
        <v>2332715.2717000004</v>
      </c>
      <c r="S243" s="1">
        <v>-229.79</v>
      </c>
      <c r="T243" s="1">
        <v>36.35</v>
      </c>
      <c r="U243" s="1">
        <v>12</v>
      </c>
      <c r="V243" s="1">
        <v>6.41</v>
      </c>
      <c r="W243" s="1" cm="1">
        <f t="array" ref="W243">SUM(ABS(S243:V243))</f>
        <v>284.55</v>
      </c>
      <c r="X243" s="25">
        <v>1.238</v>
      </c>
      <c r="Y243" s="42">
        <f t="shared" si="42"/>
        <v>88068.224999999991</v>
      </c>
      <c r="Z243" s="20">
        <v>319.14000000000004</v>
      </c>
      <c r="AA243" s="20">
        <f t="shared" si="43"/>
        <v>603.69000000000005</v>
      </c>
      <c r="AB243" s="21">
        <v>163.05000000000001</v>
      </c>
      <c r="AC243" s="21">
        <v>3.4699999999999998</v>
      </c>
      <c r="AD243" s="8">
        <f t="shared" si="44"/>
        <v>485.66000000000008</v>
      </c>
      <c r="AE243" s="25">
        <v>1.238</v>
      </c>
      <c r="AF243" s="25">
        <f t="shared" si="45"/>
        <v>150311.77000000002</v>
      </c>
      <c r="AG243" s="25">
        <f t="shared" si="46"/>
        <v>238379.995</v>
      </c>
      <c r="AH243" s="1">
        <f t="shared" si="36"/>
        <v>3418.5600000000004</v>
      </c>
      <c r="AI243" s="1">
        <f t="shared" si="37"/>
        <v>3468.67</v>
      </c>
      <c r="AJ243" s="1">
        <v>3762.84</v>
      </c>
      <c r="AK243" s="1">
        <f t="shared" si="38"/>
        <v>-344.27999999999975</v>
      </c>
      <c r="AL243" s="29">
        <f t="shared" si="47"/>
        <v>294.17000000000007</v>
      </c>
      <c r="AM243" s="11">
        <f t="shared" si="39"/>
        <v>2571095.2667000005</v>
      </c>
    </row>
    <row r="244" spans="1:39" x14ac:dyDescent="0.3">
      <c r="A244" s="39">
        <v>45843.5</v>
      </c>
      <c r="B244" s="1">
        <v>1122.9000000000001</v>
      </c>
      <c r="C244" s="11">
        <v>3.2732000000000001</v>
      </c>
      <c r="D244" s="1">
        <v>636.09</v>
      </c>
      <c r="E244" s="11">
        <v>3.0760000000000001</v>
      </c>
      <c r="F244" s="1">
        <v>398.57</v>
      </c>
      <c r="G244" s="11">
        <v>3.53</v>
      </c>
      <c r="H244" s="1">
        <v>28.06</v>
      </c>
      <c r="I244" s="11">
        <v>1.9006500000000002</v>
      </c>
      <c r="J244" s="1">
        <v>209.81</v>
      </c>
      <c r="K244" s="11">
        <v>1.9808299999999999</v>
      </c>
      <c r="L244" s="1">
        <v>87.83</v>
      </c>
      <c r="M244" s="11">
        <v>6.2</v>
      </c>
      <c r="N244" s="1">
        <v>451</v>
      </c>
      <c r="O244" s="11">
        <v>2.8224999999999998</v>
      </c>
      <c r="P244" s="1">
        <f t="shared" si="40"/>
        <v>2934.26</v>
      </c>
      <c r="Q244" s="1">
        <v>3060.33</v>
      </c>
      <c r="R244" s="16">
        <f t="shared" si="41"/>
        <v>2331366.2253250005</v>
      </c>
      <c r="S244" s="1">
        <v>-163.62</v>
      </c>
      <c r="T244" s="1">
        <v>36.35</v>
      </c>
      <c r="U244" s="1">
        <v>12</v>
      </c>
      <c r="V244" s="1">
        <v>6.4</v>
      </c>
      <c r="W244" s="1" cm="1">
        <f t="array" ref="W244">SUM(ABS(S244:V244))</f>
        <v>218.37</v>
      </c>
      <c r="X244" s="25">
        <v>1.238</v>
      </c>
      <c r="Y244" s="42">
        <f t="shared" si="42"/>
        <v>67585.514999999999</v>
      </c>
      <c r="Z244" s="20">
        <v>315.37</v>
      </c>
      <c r="AA244" s="20">
        <f t="shared" si="43"/>
        <v>533.74</v>
      </c>
      <c r="AB244" s="21">
        <v>172.18</v>
      </c>
      <c r="AC244" s="21">
        <v>4.87</v>
      </c>
      <c r="AD244" s="8">
        <f t="shared" si="44"/>
        <v>492.42</v>
      </c>
      <c r="AE244" s="25">
        <v>1.238</v>
      </c>
      <c r="AF244" s="25">
        <f t="shared" si="45"/>
        <v>152403.99</v>
      </c>
      <c r="AG244" s="25">
        <f t="shared" si="46"/>
        <v>219989.505</v>
      </c>
      <c r="AH244" s="1">
        <f t="shared" si="36"/>
        <v>3426.6800000000003</v>
      </c>
      <c r="AI244" s="1">
        <f t="shared" si="37"/>
        <v>3552.75</v>
      </c>
      <c r="AJ244" s="1">
        <v>3784.94</v>
      </c>
      <c r="AK244" s="1">
        <f t="shared" si="38"/>
        <v>-358.25999999999976</v>
      </c>
      <c r="AL244" s="29">
        <f t="shared" si="47"/>
        <v>232.19000000000005</v>
      </c>
      <c r="AM244" s="11">
        <f t="shared" si="39"/>
        <v>2551355.7303250004</v>
      </c>
    </row>
    <row r="245" spans="1:39" x14ac:dyDescent="0.3">
      <c r="A245" s="39">
        <v>45843.510416666664</v>
      </c>
      <c r="B245" s="1">
        <v>1122.9000000000001</v>
      </c>
      <c r="C245" s="11">
        <v>3.2732000000000001</v>
      </c>
      <c r="D245" s="1">
        <v>636.09</v>
      </c>
      <c r="E245" s="11">
        <v>3.0760000000000001</v>
      </c>
      <c r="F245" s="1">
        <v>398.57</v>
      </c>
      <c r="G245" s="11">
        <v>3.53</v>
      </c>
      <c r="H245" s="1">
        <v>28.02</v>
      </c>
      <c r="I245" s="11">
        <v>1.9006099999999999</v>
      </c>
      <c r="J245" s="1">
        <v>210.81</v>
      </c>
      <c r="K245" s="11">
        <v>1.9760899999999999</v>
      </c>
      <c r="L245" s="1">
        <v>87.3</v>
      </c>
      <c r="M245" s="11">
        <v>6.2</v>
      </c>
      <c r="N245" s="1">
        <v>450.34</v>
      </c>
      <c r="O245" s="11">
        <v>2.8224999999999998</v>
      </c>
      <c r="P245" s="1">
        <f t="shared" si="40"/>
        <v>2934.0300000000007</v>
      </c>
      <c r="Q245" s="1">
        <v>3141.11</v>
      </c>
      <c r="R245" s="16">
        <f t="shared" si="41"/>
        <v>2330305.1237750007</v>
      </c>
      <c r="S245" s="1">
        <v>-117.72</v>
      </c>
      <c r="T245" s="1">
        <v>36.369999999999997</v>
      </c>
      <c r="U245" s="1">
        <v>12</v>
      </c>
      <c r="V245" s="1">
        <v>6.4</v>
      </c>
      <c r="W245" s="1" cm="1">
        <f t="array" ref="W245">SUM(ABS(S245:V245))</f>
        <v>172.49</v>
      </c>
      <c r="X245" s="25">
        <v>1.238</v>
      </c>
      <c r="Y245" s="42">
        <f t="shared" si="42"/>
        <v>53385.654999999999</v>
      </c>
      <c r="Z245" s="20">
        <v>318.71000000000004</v>
      </c>
      <c r="AA245" s="20">
        <f t="shared" si="43"/>
        <v>491.20000000000005</v>
      </c>
      <c r="AB245" s="21">
        <v>161.98000000000002</v>
      </c>
      <c r="AC245" s="21">
        <v>4.7300000000000004</v>
      </c>
      <c r="AD245" s="8">
        <f t="shared" si="44"/>
        <v>485.42000000000007</v>
      </c>
      <c r="AE245" s="25">
        <v>1.238</v>
      </c>
      <c r="AF245" s="25">
        <f t="shared" si="45"/>
        <v>150237.49000000002</v>
      </c>
      <c r="AG245" s="25">
        <f t="shared" si="46"/>
        <v>203623.14500000002</v>
      </c>
      <c r="AH245" s="1">
        <f t="shared" si="36"/>
        <v>3419.4500000000007</v>
      </c>
      <c r="AI245" s="1">
        <f t="shared" si="37"/>
        <v>3626.53</v>
      </c>
      <c r="AJ245" s="1">
        <v>3804.63</v>
      </c>
      <c r="AK245" s="1">
        <f t="shared" si="38"/>
        <v>-385.17999999999938</v>
      </c>
      <c r="AL245" s="29">
        <f t="shared" si="47"/>
        <v>178.09999999999991</v>
      </c>
      <c r="AM245" s="11">
        <f t="shared" si="39"/>
        <v>2533928.2687750007</v>
      </c>
    </row>
    <row r="246" spans="1:39" x14ac:dyDescent="0.3">
      <c r="A246" s="39">
        <v>45843.520833333336</v>
      </c>
      <c r="B246" s="1">
        <v>1122.9000000000001</v>
      </c>
      <c r="C246" s="11">
        <v>3.2732000000000001</v>
      </c>
      <c r="D246" s="1">
        <v>636.09</v>
      </c>
      <c r="E246" s="11">
        <v>3.0760000000000001</v>
      </c>
      <c r="F246" s="1">
        <v>398.57</v>
      </c>
      <c r="G246" s="11">
        <v>3.53</v>
      </c>
      <c r="H246" s="1">
        <v>26.21</v>
      </c>
      <c r="I246" s="11">
        <v>1.9007000000000001</v>
      </c>
      <c r="J246" s="1">
        <v>224.08</v>
      </c>
      <c r="K246" s="11">
        <v>1.8589200000000001</v>
      </c>
      <c r="L246" s="1">
        <v>86.64</v>
      </c>
      <c r="M246" s="11">
        <v>6.2</v>
      </c>
      <c r="N246" s="1">
        <v>456.56</v>
      </c>
      <c r="O246" s="11">
        <v>2.8224999999999998</v>
      </c>
      <c r="P246" s="1">
        <f t="shared" si="40"/>
        <v>2951.05</v>
      </c>
      <c r="Q246" s="1">
        <v>3101.3</v>
      </c>
      <c r="R246" s="16">
        <f t="shared" si="41"/>
        <v>2332803.4901500004</v>
      </c>
      <c r="S246" s="1">
        <v>-163.54</v>
      </c>
      <c r="T246" s="1">
        <v>36.43</v>
      </c>
      <c r="U246" s="1">
        <v>12.52</v>
      </c>
      <c r="V246" s="1">
        <v>6.42</v>
      </c>
      <c r="W246" s="1" cm="1">
        <f t="array" ref="W246">SUM(ABS(S246:V246))</f>
        <v>218.91</v>
      </c>
      <c r="X246" s="25">
        <v>1.238</v>
      </c>
      <c r="Y246" s="42">
        <f t="shared" si="42"/>
        <v>67752.645000000004</v>
      </c>
      <c r="Z246" s="20">
        <v>319.11</v>
      </c>
      <c r="AA246" s="20">
        <f t="shared" si="43"/>
        <v>538.02</v>
      </c>
      <c r="AB246" s="21">
        <v>183.70999999999998</v>
      </c>
      <c r="AC246" s="21">
        <v>5.8900000000000006</v>
      </c>
      <c r="AD246" s="8">
        <f t="shared" si="44"/>
        <v>508.71</v>
      </c>
      <c r="AE246" s="25">
        <v>1.238</v>
      </c>
      <c r="AF246" s="25">
        <f t="shared" si="45"/>
        <v>157445.745</v>
      </c>
      <c r="AG246" s="25">
        <f t="shared" si="46"/>
        <v>225198.39</v>
      </c>
      <c r="AH246" s="1">
        <f t="shared" si="36"/>
        <v>3459.76</v>
      </c>
      <c r="AI246" s="1">
        <f t="shared" si="37"/>
        <v>3610.01</v>
      </c>
      <c r="AJ246" s="1">
        <v>3842.4</v>
      </c>
      <c r="AK246" s="1">
        <f t="shared" si="38"/>
        <v>-382.63999999999987</v>
      </c>
      <c r="AL246" s="29">
        <f t="shared" si="47"/>
        <v>232.38999999999987</v>
      </c>
      <c r="AM246" s="11">
        <f t="shared" si="39"/>
        <v>2558001.8801500006</v>
      </c>
    </row>
    <row r="247" spans="1:39" x14ac:dyDescent="0.3">
      <c r="A247" s="39">
        <v>45843.53125</v>
      </c>
      <c r="B247" s="1">
        <v>1120.2</v>
      </c>
      <c r="C247" s="11">
        <v>3.2732000000000001</v>
      </c>
      <c r="D247" s="1">
        <v>636.09</v>
      </c>
      <c r="E247" s="11">
        <v>3.0760000000000001</v>
      </c>
      <c r="F247" s="1">
        <v>398.57</v>
      </c>
      <c r="G247" s="11">
        <v>3.53</v>
      </c>
      <c r="H247" s="1">
        <v>27.88</v>
      </c>
      <c r="I247" s="11">
        <v>1.90073</v>
      </c>
      <c r="J247" s="1">
        <v>225</v>
      </c>
      <c r="K247" s="11">
        <v>1.8588199999999999</v>
      </c>
      <c r="L247" s="1">
        <v>86.59</v>
      </c>
      <c r="M247" s="11">
        <v>6.2</v>
      </c>
      <c r="N247" s="1">
        <v>457.19</v>
      </c>
      <c r="O247" s="11">
        <v>2.8224999999999998</v>
      </c>
      <c r="P247" s="1">
        <f t="shared" si="40"/>
        <v>2951.5200000000004</v>
      </c>
      <c r="Q247" s="1">
        <v>3108.66</v>
      </c>
      <c r="R247" s="16">
        <f t="shared" si="41"/>
        <v>2332176.8018500004</v>
      </c>
      <c r="S247" s="1">
        <v>-165.52</v>
      </c>
      <c r="T247" s="1">
        <v>36.42</v>
      </c>
      <c r="U247" s="1">
        <v>15.24</v>
      </c>
      <c r="V247" s="1">
        <v>6.32</v>
      </c>
      <c r="W247" s="1" cm="1">
        <f t="array" ref="W247">SUM(ABS(S247:V247))</f>
        <v>223.5</v>
      </c>
      <c r="X247" s="25">
        <v>1.238</v>
      </c>
      <c r="Y247" s="42">
        <f t="shared" si="42"/>
        <v>69173.25</v>
      </c>
      <c r="Z247" s="20">
        <v>319.53000000000003</v>
      </c>
      <c r="AA247" s="20">
        <f t="shared" si="43"/>
        <v>543.03</v>
      </c>
      <c r="AB247" s="21">
        <v>183.9</v>
      </c>
      <c r="AC247" s="21">
        <v>6.84</v>
      </c>
      <c r="AD247" s="8">
        <f t="shared" si="44"/>
        <v>510.27000000000004</v>
      </c>
      <c r="AE247" s="25">
        <v>1.238</v>
      </c>
      <c r="AF247" s="25">
        <f t="shared" si="45"/>
        <v>157928.56500000003</v>
      </c>
      <c r="AG247" s="25">
        <f t="shared" si="46"/>
        <v>227101.81500000003</v>
      </c>
      <c r="AH247" s="1">
        <f t="shared" si="36"/>
        <v>3461.7900000000004</v>
      </c>
      <c r="AI247" s="1">
        <f t="shared" si="37"/>
        <v>3618.93</v>
      </c>
      <c r="AJ247" s="1">
        <v>3855.81</v>
      </c>
      <c r="AK247" s="1">
        <f t="shared" si="38"/>
        <v>-394.01999999999953</v>
      </c>
      <c r="AL247" s="29">
        <f t="shared" si="47"/>
        <v>236.88000000000011</v>
      </c>
      <c r="AM247" s="11">
        <f t="shared" si="39"/>
        <v>2559278.6168500003</v>
      </c>
    </row>
    <row r="248" spans="1:39" x14ac:dyDescent="0.3">
      <c r="A248" s="39">
        <v>45843.541666666664</v>
      </c>
      <c r="B248" s="1">
        <v>1120</v>
      </c>
      <c r="C248" s="11">
        <v>3.2732000000000001</v>
      </c>
      <c r="D248" s="1">
        <v>636.09</v>
      </c>
      <c r="E248" s="11">
        <v>3.0760000000000001</v>
      </c>
      <c r="F248" s="1">
        <v>398.57</v>
      </c>
      <c r="G248" s="11">
        <v>3.53</v>
      </c>
      <c r="H248" s="1">
        <v>26.41</v>
      </c>
      <c r="I248" s="11">
        <v>1.9005999999999998</v>
      </c>
      <c r="J248" s="1">
        <v>134.34</v>
      </c>
      <c r="K248" s="11">
        <v>1.8580300000000001</v>
      </c>
      <c r="L248" s="1">
        <v>87.13</v>
      </c>
      <c r="M248" s="11">
        <v>6.2</v>
      </c>
      <c r="N248" s="1">
        <v>457.56</v>
      </c>
      <c r="O248" s="11">
        <v>2.8224999999999998</v>
      </c>
      <c r="P248" s="1">
        <f t="shared" si="40"/>
        <v>2860.1000000000004</v>
      </c>
      <c r="Q248" s="1">
        <v>3089.83</v>
      </c>
      <c r="R248" s="16">
        <f t="shared" si="41"/>
        <v>2290255.1590500004</v>
      </c>
      <c r="S248" s="1">
        <v>-179.46</v>
      </c>
      <c r="T248" s="1">
        <v>36.35</v>
      </c>
      <c r="U248" s="1">
        <v>12</v>
      </c>
      <c r="V248" s="1">
        <v>6.32</v>
      </c>
      <c r="W248" s="1" cm="1">
        <f t="array" ref="W248">SUM(ABS(S248:V248))</f>
        <v>234.13</v>
      </c>
      <c r="X248" s="25">
        <v>1.238</v>
      </c>
      <c r="Y248" s="42">
        <f t="shared" si="42"/>
        <v>72463.235000000001</v>
      </c>
      <c r="Z248" s="20">
        <v>311.88000000000005</v>
      </c>
      <c r="AA248" s="20">
        <f t="shared" si="43"/>
        <v>546.01</v>
      </c>
      <c r="AB248" s="21">
        <v>181.36</v>
      </c>
      <c r="AC248" s="21">
        <v>5.75</v>
      </c>
      <c r="AD248" s="8">
        <f t="shared" si="44"/>
        <v>498.99000000000007</v>
      </c>
      <c r="AE248" s="25">
        <v>1.238</v>
      </c>
      <c r="AF248" s="25">
        <f t="shared" si="45"/>
        <v>154437.405</v>
      </c>
      <c r="AG248" s="25">
        <f t="shared" si="46"/>
        <v>226900.64</v>
      </c>
      <c r="AH248" s="1">
        <f t="shared" si="36"/>
        <v>3359.0900000000006</v>
      </c>
      <c r="AI248" s="1">
        <f t="shared" si="37"/>
        <v>3588.82</v>
      </c>
      <c r="AJ248" s="1">
        <v>3831.34</v>
      </c>
      <c r="AK248" s="1">
        <f t="shared" si="38"/>
        <v>-472.24999999999955</v>
      </c>
      <c r="AL248" s="29">
        <f t="shared" si="47"/>
        <v>242.51999999999998</v>
      </c>
      <c r="AM248" s="11">
        <f t="shared" si="39"/>
        <v>2517155.7990500005</v>
      </c>
    </row>
    <row r="249" spans="1:39" x14ac:dyDescent="0.3">
      <c r="A249" s="39">
        <v>45843.552083333336</v>
      </c>
      <c r="B249" s="1">
        <v>1120</v>
      </c>
      <c r="C249" s="11">
        <v>3.2732000000000001</v>
      </c>
      <c r="D249" s="1">
        <v>636.09</v>
      </c>
      <c r="E249" s="11">
        <v>3.0760000000000001</v>
      </c>
      <c r="F249" s="1">
        <v>398.57</v>
      </c>
      <c r="G249" s="11">
        <v>3.53</v>
      </c>
      <c r="H249" s="1">
        <v>25.39</v>
      </c>
      <c r="I249" s="11">
        <v>1.9005699999999999</v>
      </c>
      <c r="J249" s="1">
        <v>136.35</v>
      </c>
      <c r="K249" s="11">
        <v>1.79972</v>
      </c>
      <c r="L249" s="1">
        <v>86.98</v>
      </c>
      <c r="M249" s="11">
        <v>6.2</v>
      </c>
      <c r="N249" s="1">
        <v>446.42</v>
      </c>
      <c r="O249" s="11">
        <v>2.8224999999999998</v>
      </c>
      <c r="P249" s="1">
        <f t="shared" si="40"/>
        <v>2849.8</v>
      </c>
      <c r="Q249" s="1">
        <v>3030.94</v>
      </c>
      <c r="R249" s="16">
        <f t="shared" si="41"/>
        <v>2280623.171075</v>
      </c>
      <c r="S249" s="1">
        <v>-259.87</v>
      </c>
      <c r="T249" s="1">
        <v>36.36</v>
      </c>
      <c r="U249" s="1">
        <v>12</v>
      </c>
      <c r="V249" s="1">
        <v>6.31</v>
      </c>
      <c r="W249" s="1" cm="1">
        <f t="array" ref="W249">SUM(ABS(S249:V249))</f>
        <v>314.54000000000002</v>
      </c>
      <c r="X249" s="25">
        <v>1.238</v>
      </c>
      <c r="Y249" s="42">
        <f t="shared" si="42"/>
        <v>97350.13</v>
      </c>
      <c r="Z249" s="20">
        <v>317.65000000000003</v>
      </c>
      <c r="AA249" s="20">
        <f t="shared" si="43"/>
        <v>632.19000000000005</v>
      </c>
      <c r="AB249" s="21">
        <v>205.79999999999998</v>
      </c>
      <c r="AC249" s="21">
        <v>6.4</v>
      </c>
      <c r="AD249" s="8">
        <f t="shared" si="44"/>
        <v>529.85</v>
      </c>
      <c r="AE249" s="25">
        <v>1.238</v>
      </c>
      <c r="AF249" s="25">
        <f t="shared" si="45"/>
        <v>163988.57500000001</v>
      </c>
      <c r="AG249" s="25">
        <f t="shared" si="46"/>
        <v>261338.70500000002</v>
      </c>
      <c r="AH249" s="1">
        <f t="shared" si="36"/>
        <v>3379.65</v>
      </c>
      <c r="AI249" s="1">
        <f t="shared" si="37"/>
        <v>3560.79</v>
      </c>
      <c r="AJ249" s="1">
        <v>3884.43</v>
      </c>
      <c r="AK249" s="1">
        <f t="shared" si="38"/>
        <v>-504.77999999999975</v>
      </c>
      <c r="AL249" s="29">
        <f t="shared" si="47"/>
        <v>323.63999999999987</v>
      </c>
      <c r="AM249" s="11">
        <f t="shared" si="39"/>
        <v>2541961.876075</v>
      </c>
    </row>
    <row r="250" spans="1:39" x14ac:dyDescent="0.3">
      <c r="A250" s="39">
        <v>45843.5625</v>
      </c>
      <c r="B250" s="1">
        <v>1120</v>
      </c>
      <c r="C250" s="11">
        <v>3.2732000000000001</v>
      </c>
      <c r="D250" s="1">
        <v>636.09</v>
      </c>
      <c r="E250" s="11">
        <v>3.0760000000000001</v>
      </c>
      <c r="F250" s="1">
        <v>398.57</v>
      </c>
      <c r="G250" s="11">
        <v>3.53</v>
      </c>
      <c r="H250" s="1">
        <v>25.32</v>
      </c>
      <c r="I250" s="11">
        <v>1.9008800000000001</v>
      </c>
      <c r="J250" s="1">
        <v>171.74</v>
      </c>
      <c r="K250" s="11">
        <v>1.98048</v>
      </c>
      <c r="L250" s="1">
        <v>86.79</v>
      </c>
      <c r="M250" s="11">
        <v>6.2</v>
      </c>
      <c r="N250" s="1">
        <v>441.8</v>
      </c>
      <c r="O250" s="11">
        <v>2.8224999999999998</v>
      </c>
      <c r="P250" s="1">
        <f t="shared" si="40"/>
        <v>2880.3100000000004</v>
      </c>
      <c r="Q250" s="1">
        <v>3036.48</v>
      </c>
      <c r="R250" s="16">
        <f t="shared" si="41"/>
        <v>2300721.3392000003</v>
      </c>
      <c r="S250" s="1">
        <v>-268.56</v>
      </c>
      <c r="T250" s="1">
        <v>36.4</v>
      </c>
      <c r="U250" s="1">
        <v>12</v>
      </c>
      <c r="V250" s="1">
        <v>6.3</v>
      </c>
      <c r="W250" s="1" cm="1">
        <f t="array" ref="W250">SUM(ABS(S250:V250))</f>
        <v>323.26</v>
      </c>
      <c r="X250" s="25">
        <v>1.238</v>
      </c>
      <c r="Y250" s="42">
        <f t="shared" si="42"/>
        <v>100048.97</v>
      </c>
      <c r="Z250" s="20">
        <v>319.44</v>
      </c>
      <c r="AA250" s="20">
        <f t="shared" si="43"/>
        <v>642.70000000000005</v>
      </c>
      <c r="AB250" s="21">
        <v>204.9</v>
      </c>
      <c r="AC250" s="21">
        <v>6.38</v>
      </c>
      <c r="AD250" s="8">
        <f t="shared" si="44"/>
        <v>530.72</v>
      </c>
      <c r="AE250" s="25">
        <v>1.238</v>
      </c>
      <c r="AF250" s="25">
        <f t="shared" si="45"/>
        <v>164257.84000000003</v>
      </c>
      <c r="AG250" s="25">
        <f t="shared" si="46"/>
        <v>264306.81000000006</v>
      </c>
      <c r="AH250" s="1">
        <f t="shared" si="36"/>
        <v>3411.0300000000007</v>
      </c>
      <c r="AI250" s="1">
        <f t="shared" si="37"/>
        <v>3567.2</v>
      </c>
      <c r="AJ250" s="1">
        <v>3901.03</v>
      </c>
      <c r="AK250" s="1">
        <f t="shared" si="38"/>
        <v>-489.99999999999955</v>
      </c>
      <c r="AL250" s="29">
        <f t="shared" si="47"/>
        <v>333.83000000000038</v>
      </c>
      <c r="AM250" s="11">
        <f t="shared" si="39"/>
        <v>2565028.1492000003</v>
      </c>
    </row>
    <row r="251" spans="1:39" x14ac:dyDescent="0.3">
      <c r="A251" s="39">
        <v>45843.572916666664</v>
      </c>
      <c r="B251" s="1">
        <v>1120</v>
      </c>
      <c r="C251" s="11">
        <v>3.2732000000000001</v>
      </c>
      <c r="D251" s="1">
        <v>636.09</v>
      </c>
      <c r="E251" s="11">
        <v>3.0760000000000001</v>
      </c>
      <c r="F251" s="1">
        <v>398.57</v>
      </c>
      <c r="G251" s="11">
        <v>3.53</v>
      </c>
      <c r="H251" s="1">
        <v>26.22</v>
      </c>
      <c r="I251" s="11">
        <v>1.9803299999999999</v>
      </c>
      <c r="J251" s="1">
        <v>199.64</v>
      </c>
      <c r="K251" s="11">
        <v>2.0763000000000003</v>
      </c>
      <c r="L251" s="1">
        <v>87.14</v>
      </c>
      <c r="M251" s="11">
        <v>6.2</v>
      </c>
      <c r="N251" s="1">
        <v>438.9</v>
      </c>
      <c r="O251" s="11">
        <v>2.8224999999999998</v>
      </c>
      <c r="P251" s="1">
        <f t="shared" si="40"/>
        <v>2906.56</v>
      </c>
      <c r="Q251" s="1">
        <v>3084.37</v>
      </c>
      <c r="R251" s="16">
        <f t="shared" si="41"/>
        <v>2318762.2436500001</v>
      </c>
      <c r="S251" s="1">
        <v>-291.76</v>
      </c>
      <c r="T251" s="1">
        <v>36.369999999999997</v>
      </c>
      <c r="U251" s="1">
        <v>12.01</v>
      </c>
      <c r="V251" s="1">
        <v>6.3</v>
      </c>
      <c r="W251" s="1" cm="1">
        <f t="array" ref="W251">SUM(ABS(S251:V251))</f>
        <v>346.44</v>
      </c>
      <c r="X251" s="25">
        <v>1.238</v>
      </c>
      <c r="Y251" s="42">
        <f t="shared" si="42"/>
        <v>107223.18</v>
      </c>
      <c r="Z251" s="20">
        <v>319.85000000000002</v>
      </c>
      <c r="AA251" s="20">
        <f t="shared" si="43"/>
        <v>666.29</v>
      </c>
      <c r="AB251" s="21">
        <v>198.52</v>
      </c>
      <c r="AC251" s="21">
        <v>7.5500000000000007</v>
      </c>
      <c r="AD251" s="8">
        <f t="shared" si="44"/>
        <v>525.91999999999996</v>
      </c>
      <c r="AE251" s="25">
        <v>1.238</v>
      </c>
      <c r="AF251" s="25">
        <f t="shared" si="45"/>
        <v>162772.24</v>
      </c>
      <c r="AG251" s="25">
        <f t="shared" si="46"/>
        <v>269995.42</v>
      </c>
      <c r="AH251" s="1">
        <f t="shared" si="36"/>
        <v>3432.48</v>
      </c>
      <c r="AI251" s="1">
        <f t="shared" si="37"/>
        <v>3610.29</v>
      </c>
      <c r="AJ251" s="1">
        <v>3965.71</v>
      </c>
      <c r="AK251" s="1">
        <f t="shared" si="38"/>
        <v>-533.23</v>
      </c>
      <c r="AL251" s="29">
        <f t="shared" si="47"/>
        <v>355.42000000000007</v>
      </c>
      <c r="AM251" s="11">
        <f t="shared" si="39"/>
        <v>2588757.66365</v>
      </c>
    </row>
    <row r="252" spans="1:39" x14ac:dyDescent="0.3">
      <c r="A252" s="39">
        <v>45843.583333333336</v>
      </c>
      <c r="B252" s="1">
        <v>1120</v>
      </c>
      <c r="C252" s="11">
        <v>3.2732000000000001</v>
      </c>
      <c r="D252" s="1">
        <v>636.09</v>
      </c>
      <c r="E252" s="11">
        <v>3.0760000000000001</v>
      </c>
      <c r="F252" s="1">
        <v>398.57</v>
      </c>
      <c r="G252" s="11">
        <v>3.53</v>
      </c>
      <c r="H252" s="1">
        <v>27.81</v>
      </c>
      <c r="I252" s="11">
        <v>2.37182</v>
      </c>
      <c r="J252" s="1">
        <v>155.34</v>
      </c>
      <c r="K252" s="11">
        <v>2.90036</v>
      </c>
      <c r="L252" s="1">
        <v>84.83</v>
      </c>
      <c r="M252" s="11">
        <v>6.2</v>
      </c>
      <c r="N252" s="1">
        <v>448.56</v>
      </c>
      <c r="O252" s="11">
        <v>2.8224999999999998</v>
      </c>
      <c r="P252" s="1">
        <f t="shared" si="40"/>
        <v>2871.2000000000003</v>
      </c>
      <c r="Q252" s="1">
        <v>3085.2</v>
      </c>
      <c r="R252" s="16">
        <f t="shared" si="41"/>
        <v>2334514.4441500003</v>
      </c>
      <c r="S252" s="1">
        <v>-417.55</v>
      </c>
      <c r="T252" s="1">
        <v>36.39</v>
      </c>
      <c r="U252" s="1">
        <v>12</v>
      </c>
      <c r="V252" s="1">
        <v>6.31</v>
      </c>
      <c r="W252" s="1" cm="1">
        <f t="array" ref="W252">SUM(ABS(S252:V252))</f>
        <v>472.25</v>
      </c>
      <c r="X252" s="25">
        <v>1.238</v>
      </c>
      <c r="Y252" s="42">
        <f t="shared" si="42"/>
        <v>146161.375</v>
      </c>
      <c r="Z252" s="20">
        <v>319.65000000000009</v>
      </c>
      <c r="AA252" s="20">
        <f t="shared" si="43"/>
        <v>791.90000000000009</v>
      </c>
      <c r="AB252" s="21">
        <v>186.76000000000002</v>
      </c>
      <c r="AC252" s="21">
        <v>6.54</v>
      </c>
      <c r="AD252" s="8">
        <f t="shared" si="44"/>
        <v>512.95000000000005</v>
      </c>
      <c r="AE252" s="25">
        <v>1.238</v>
      </c>
      <c r="AF252" s="25">
        <f t="shared" si="45"/>
        <v>158758.02499999999</v>
      </c>
      <c r="AG252" s="25">
        <f t="shared" si="46"/>
        <v>304919.40000000002</v>
      </c>
      <c r="AH252" s="1">
        <f t="shared" si="36"/>
        <v>3384.1500000000005</v>
      </c>
      <c r="AI252" s="1">
        <f t="shared" si="37"/>
        <v>3598.1499999999996</v>
      </c>
      <c r="AJ252" s="1">
        <v>4082.61</v>
      </c>
      <c r="AK252" s="1">
        <f t="shared" si="38"/>
        <v>-698.45999999999958</v>
      </c>
      <c r="AL252" s="29">
        <f t="shared" si="47"/>
        <v>484.46000000000049</v>
      </c>
      <c r="AM252" s="11">
        <f t="shared" si="39"/>
        <v>2639433.8441500003</v>
      </c>
    </row>
    <row r="253" spans="1:39" x14ac:dyDescent="0.3">
      <c r="A253" s="39">
        <v>45843.59375</v>
      </c>
      <c r="B253" s="1">
        <v>1120</v>
      </c>
      <c r="C253" s="11">
        <v>3.2732000000000001</v>
      </c>
      <c r="D253" s="1">
        <v>636.09</v>
      </c>
      <c r="E253" s="11">
        <v>3.0760000000000001</v>
      </c>
      <c r="F253" s="1">
        <v>398.57</v>
      </c>
      <c r="G253" s="11">
        <v>3.53</v>
      </c>
      <c r="H253" s="1">
        <v>28.82</v>
      </c>
      <c r="I253" s="11">
        <v>2.3952300000000002</v>
      </c>
      <c r="J253" s="1">
        <v>151.87</v>
      </c>
      <c r="K253" s="11">
        <v>2.9803699999999997</v>
      </c>
      <c r="L253" s="1">
        <v>84.84</v>
      </c>
      <c r="M253" s="11">
        <v>6.2</v>
      </c>
      <c r="N253" s="1">
        <v>448.81</v>
      </c>
      <c r="O253" s="11">
        <v>2.8224999999999998</v>
      </c>
      <c r="P253" s="1">
        <f t="shared" si="40"/>
        <v>2869.0000000000005</v>
      </c>
      <c r="Q253" s="1">
        <v>3106.17</v>
      </c>
      <c r="R253" s="16">
        <f t="shared" si="41"/>
        <v>2335995.6213750001</v>
      </c>
      <c r="S253" s="1">
        <v>-495.39</v>
      </c>
      <c r="T253" s="1">
        <v>36.42</v>
      </c>
      <c r="U253" s="1">
        <v>12</v>
      </c>
      <c r="V253" s="1">
        <v>6.39</v>
      </c>
      <c r="W253" s="1" cm="1">
        <f t="array" ref="W253">SUM(ABS(S253:V253))</f>
        <v>550.19999999999993</v>
      </c>
      <c r="X253" s="25">
        <v>1.238</v>
      </c>
      <c r="Y253" s="42">
        <f t="shared" si="42"/>
        <v>170286.89999999997</v>
      </c>
      <c r="Z253" s="20">
        <v>329.07</v>
      </c>
      <c r="AA253" s="20">
        <f t="shared" si="43"/>
        <v>879.27</v>
      </c>
      <c r="AB253" s="21">
        <v>195.54</v>
      </c>
      <c r="AC253" s="21">
        <v>7.7299999999999995</v>
      </c>
      <c r="AD253" s="8">
        <f t="shared" si="44"/>
        <v>532.34</v>
      </c>
      <c r="AE253" s="25">
        <v>1.238</v>
      </c>
      <c r="AF253" s="25">
        <f t="shared" si="45"/>
        <v>164759.23000000001</v>
      </c>
      <c r="AG253" s="25">
        <f t="shared" si="46"/>
        <v>335046.13</v>
      </c>
      <c r="AH253" s="1">
        <f t="shared" si="36"/>
        <v>3401.3400000000006</v>
      </c>
      <c r="AI253" s="1">
        <f t="shared" si="37"/>
        <v>3638.51</v>
      </c>
      <c r="AJ253" s="1">
        <v>4200.99</v>
      </c>
      <c r="AK253" s="1">
        <f t="shared" si="38"/>
        <v>-799.64999999999918</v>
      </c>
      <c r="AL253" s="29">
        <f t="shared" si="47"/>
        <v>562.47999999999956</v>
      </c>
      <c r="AM253" s="11">
        <f t="shared" si="39"/>
        <v>2671041.751375</v>
      </c>
    </row>
    <row r="254" spans="1:39" x14ac:dyDescent="0.3">
      <c r="A254" s="39">
        <v>45843.604166666664</v>
      </c>
      <c r="B254" s="1">
        <v>1120</v>
      </c>
      <c r="C254" s="11">
        <v>3.2732000000000001</v>
      </c>
      <c r="D254" s="1">
        <v>636.09</v>
      </c>
      <c r="E254" s="11">
        <v>3.0760000000000001</v>
      </c>
      <c r="F254" s="1">
        <v>398.57</v>
      </c>
      <c r="G254" s="11">
        <v>3.53</v>
      </c>
      <c r="H254" s="1">
        <v>28.89</v>
      </c>
      <c r="I254" s="11">
        <v>2.39588</v>
      </c>
      <c r="J254" s="1">
        <v>106.09</v>
      </c>
      <c r="K254" s="11">
        <v>2.9001300000000003</v>
      </c>
      <c r="L254" s="1">
        <v>83.94</v>
      </c>
      <c r="M254" s="11">
        <v>6.2</v>
      </c>
      <c r="N254" s="1">
        <v>434.97</v>
      </c>
      <c r="O254" s="11">
        <v>2.8224999999999998</v>
      </c>
      <c r="P254" s="1">
        <f t="shared" si="40"/>
        <v>2808.55</v>
      </c>
      <c r="Q254" s="1">
        <v>3083.53</v>
      </c>
      <c r="R254" s="16">
        <f t="shared" si="41"/>
        <v>2288642.8824749999</v>
      </c>
      <c r="S254" s="1">
        <v>-599.08000000000004</v>
      </c>
      <c r="T254" s="1">
        <v>36.43</v>
      </c>
      <c r="U254" s="1">
        <v>12.68</v>
      </c>
      <c r="V254" s="1">
        <v>11</v>
      </c>
      <c r="W254" s="1" cm="1">
        <f t="array" ref="W254">SUM(ABS(S254:V254))</f>
        <v>659.18999999999994</v>
      </c>
      <c r="X254" s="25">
        <v>1.238</v>
      </c>
      <c r="Y254" s="42">
        <f t="shared" si="42"/>
        <v>204019.30499999996</v>
      </c>
      <c r="Z254" s="20">
        <v>357.6</v>
      </c>
      <c r="AA254" s="20">
        <f t="shared" si="43"/>
        <v>1016.79</v>
      </c>
      <c r="AB254" s="21">
        <v>189.02</v>
      </c>
      <c r="AC254" s="21">
        <v>9.2199999999999989</v>
      </c>
      <c r="AD254" s="8">
        <f t="shared" si="44"/>
        <v>555.84</v>
      </c>
      <c r="AE254" s="25">
        <v>1.238</v>
      </c>
      <c r="AF254" s="25">
        <f t="shared" si="45"/>
        <v>172032.48</v>
      </c>
      <c r="AG254" s="25">
        <f t="shared" si="46"/>
        <v>376051.78499999997</v>
      </c>
      <c r="AH254" s="1">
        <f t="shared" si="36"/>
        <v>3364.3900000000003</v>
      </c>
      <c r="AI254" s="1">
        <f t="shared" si="37"/>
        <v>3639.3700000000003</v>
      </c>
      <c r="AJ254" s="1">
        <v>4306.05</v>
      </c>
      <c r="AK254" s="1">
        <f t="shared" si="38"/>
        <v>-941.65999999999985</v>
      </c>
      <c r="AL254" s="29">
        <f t="shared" si="47"/>
        <v>666.67999999999984</v>
      </c>
      <c r="AM254" s="11">
        <f t="shared" si="39"/>
        <v>2664694.667475</v>
      </c>
    </row>
    <row r="255" spans="1:39" x14ac:dyDescent="0.3">
      <c r="A255" s="39">
        <v>45843.614583333336</v>
      </c>
      <c r="B255" s="1">
        <v>1115.74</v>
      </c>
      <c r="C255" s="11">
        <v>3.2732000000000001</v>
      </c>
      <c r="D255" s="1">
        <v>636.09</v>
      </c>
      <c r="E255" s="11">
        <v>3.0760000000000001</v>
      </c>
      <c r="F255" s="1">
        <v>398.57</v>
      </c>
      <c r="G255" s="11">
        <v>3.53</v>
      </c>
      <c r="H255" s="1">
        <v>28.89</v>
      </c>
      <c r="I255" s="11">
        <v>2.60005</v>
      </c>
      <c r="J255" s="1">
        <v>12.97</v>
      </c>
      <c r="K255" s="11">
        <v>3.00061</v>
      </c>
      <c r="L255" s="1">
        <v>84.51</v>
      </c>
      <c r="M255" s="11">
        <v>6.2</v>
      </c>
      <c r="N255" s="1">
        <v>415.49</v>
      </c>
      <c r="O255" s="11">
        <v>2.8224999999999998</v>
      </c>
      <c r="P255" s="1">
        <f t="shared" si="40"/>
        <v>2692.26</v>
      </c>
      <c r="Q255" s="1">
        <v>3027.58</v>
      </c>
      <c r="R255" s="16">
        <f t="shared" si="41"/>
        <v>2206580.2473000004</v>
      </c>
      <c r="S255" s="1">
        <v>-622.94000000000005</v>
      </c>
      <c r="T255" s="1">
        <v>36.44</v>
      </c>
      <c r="U255" s="1">
        <v>24</v>
      </c>
      <c r="V255" s="1">
        <v>19.03</v>
      </c>
      <c r="W255" s="1" cm="1">
        <f t="array" ref="W255">SUM(ABS(S255:V255))</f>
        <v>702.41000000000008</v>
      </c>
      <c r="X255" s="25">
        <v>1.238</v>
      </c>
      <c r="Y255" s="42">
        <f t="shared" si="42"/>
        <v>217395.89500000002</v>
      </c>
      <c r="Z255" s="20">
        <v>393.70000000000005</v>
      </c>
      <c r="AA255" s="20">
        <f t="shared" si="43"/>
        <v>1096.1100000000001</v>
      </c>
      <c r="AB255" s="21">
        <v>183.77</v>
      </c>
      <c r="AC255" s="21">
        <v>9.19</v>
      </c>
      <c r="AD255" s="8">
        <f t="shared" si="44"/>
        <v>586.66000000000008</v>
      </c>
      <c r="AE255" s="25">
        <v>1.238</v>
      </c>
      <c r="AF255" s="25">
        <f t="shared" si="45"/>
        <v>181571.27000000002</v>
      </c>
      <c r="AG255" s="25">
        <f t="shared" si="46"/>
        <v>398967.16500000004</v>
      </c>
      <c r="AH255" s="1">
        <f t="shared" si="36"/>
        <v>3278.92</v>
      </c>
      <c r="AI255" s="1">
        <f t="shared" si="37"/>
        <v>3614.24</v>
      </c>
      <c r="AJ255" s="1">
        <v>4330.3599999999997</v>
      </c>
      <c r="AK255" s="1">
        <f t="shared" si="38"/>
        <v>-1051.4399999999996</v>
      </c>
      <c r="AL255" s="29">
        <f t="shared" si="47"/>
        <v>716.11999999999989</v>
      </c>
      <c r="AM255" s="11">
        <f t="shared" si="39"/>
        <v>2605547.4123000004</v>
      </c>
    </row>
    <row r="256" spans="1:39" x14ac:dyDescent="0.3">
      <c r="A256" s="39">
        <v>45843.625</v>
      </c>
      <c r="B256" s="1">
        <v>1115.4100000000001</v>
      </c>
      <c r="C256" s="11">
        <v>3.2732000000000001</v>
      </c>
      <c r="D256" s="1">
        <v>636.09</v>
      </c>
      <c r="E256" s="11">
        <v>3.0760000000000001</v>
      </c>
      <c r="F256" s="1">
        <v>398.57</v>
      </c>
      <c r="G256" s="11">
        <v>3.53</v>
      </c>
      <c r="H256" s="1">
        <v>49.13</v>
      </c>
      <c r="I256" s="11">
        <v>2.8492600000000001</v>
      </c>
      <c r="J256" s="1">
        <v>9.7899999999999991</v>
      </c>
      <c r="K256" s="11">
        <v>3.17475</v>
      </c>
      <c r="L256" s="1">
        <v>39.17</v>
      </c>
      <c r="M256" s="11">
        <v>6.2</v>
      </c>
      <c r="N256" s="1">
        <v>401.7</v>
      </c>
      <c r="O256" s="11">
        <v>2.8224999999999998</v>
      </c>
      <c r="P256" s="1">
        <f t="shared" si="40"/>
        <v>2649.86</v>
      </c>
      <c r="Q256" s="1">
        <v>3026.16</v>
      </c>
      <c r="R256" s="16">
        <f t="shared" si="41"/>
        <v>2140560.5370750003</v>
      </c>
      <c r="S256" s="1">
        <v>-619.34</v>
      </c>
      <c r="T256" s="1">
        <v>36.78</v>
      </c>
      <c r="U256" s="1">
        <v>24</v>
      </c>
      <c r="V256" s="1">
        <v>29.42</v>
      </c>
      <c r="W256" s="1" cm="1">
        <f t="array" ref="W256">SUM(ABS(S256:V256))</f>
        <v>709.54</v>
      </c>
      <c r="X256" s="25">
        <v>1.238</v>
      </c>
      <c r="Y256" s="42">
        <f t="shared" si="42"/>
        <v>219602.62999999998</v>
      </c>
      <c r="Z256" s="20">
        <v>401.12</v>
      </c>
      <c r="AA256" s="20">
        <f t="shared" si="43"/>
        <v>1110.6599999999999</v>
      </c>
      <c r="AB256" s="21">
        <v>182.09</v>
      </c>
      <c r="AC256" s="21">
        <v>8.66</v>
      </c>
      <c r="AD256" s="8">
        <f t="shared" si="44"/>
        <v>591.87</v>
      </c>
      <c r="AE256" s="25">
        <v>1.238</v>
      </c>
      <c r="AF256" s="25">
        <f t="shared" si="45"/>
        <v>183183.76499999998</v>
      </c>
      <c r="AG256" s="25">
        <f t="shared" si="46"/>
        <v>402786.39499999996</v>
      </c>
      <c r="AH256" s="1">
        <f t="shared" si="36"/>
        <v>3241.73</v>
      </c>
      <c r="AI256" s="1">
        <f t="shared" si="37"/>
        <v>3618.0299999999997</v>
      </c>
      <c r="AJ256" s="1">
        <v>4352.29</v>
      </c>
      <c r="AK256" s="1">
        <f t="shared" si="38"/>
        <v>-1110.56</v>
      </c>
      <c r="AL256" s="29">
        <f t="shared" si="47"/>
        <v>734.26000000000022</v>
      </c>
      <c r="AM256" s="11">
        <f t="shared" si="39"/>
        <v>2543346.9320750004</v>
      </c>
    </row>
    <row r="257" spans="1:39" x14ac:dyDescent="0.3">
      <c r="A257" s="39">
        <v>45843.635416666664</v>
      </c>
      <c r="B257" s="1">
        <v>1115.4100000000001</v>
      </c>
      <c r="C257" s="11">
        <v>3.2732000000000001</v>
      </c>
      <c r="D257" s="1">
        <v>636.09</v>
      </c>
      <c r="E257" s="11">
        <v>3.0760000000000001</v>
      </c>
      <c r="F257" s="1">
        <v>398.57</v>
      </c>
      <c r="G257" s="11">
        <v>3.53</v>
      </c>
      <c r="H257" s="1">
        <v>54.93</v>
      </c>
      <c r="I257" s="11">
        <v>2.9021399999999997</v>
      </c>
      <c r="J257" s="1">
        <v>10.06</v>
      </c>
      <c r="K257" s="11">
        <v>3.1905799999999997</v>
      </c>
      <c r="L257" s="1">
        <v>31.39</v>
      </c>
      <c r="M257" s="11">
        <v>6.2</v>
      </c>
      <c r="N257" s="1">
        <v>390.75</v>
      </c>
      <c r="O257" s="11">
        <v>2.8224999999999998</v>
      </c>
      <c r="P257" s="1">
        <f t="shared" si="40"/>
        <v>2637.2</v>
      </c>
      <c r="Q257" s="1">
        <v>3076.92</v>
      </c>
      <c r="R257" s="16">
        <f t="shared" si="41"/>
        <v>2125886.6530000004</v>
      </c>
      <c r="S257" s="1">
        <v>-616.24</v>
      </c>
      <c r="T257" s="1">
        <v>36.75</v>
      </c>
      <c r="U257" s="1">
        <v>24</v>
      </c>
      <c r="V257" s="1">
        <v>37.979999999999997</v>
      </c>
      <c r="W257" s="1" cm="1">
        <f t="array" ref="W257">SUM(ABS(S257:V257))</f>
        <v>714.97</v>
      </c>
      <c r="X257" s="25">
        <v>1.238</v>
      </c>
      <c r="Y257" s="42">
        <f t="shared" si="42"/>
        <v>221283.21500000003</v>
      </c>
      <c r="Z257" s="20">
        <v>422.88</v>
      </c>
      <c r="AA257" s="20">
        <f t="shared" si="43"/>
        <v>1137.8499999999999</v>
      </c>
      <c r="AB257" s="21">
        <v>174.7</v>
      </c>
      <c r="AC257" s="21">
        <v>10.4</v>
      </c>
      <c r="AD257" s="8">
        <f t="shared" si="44"/>
        <v>607.9799999999999</v>
      </c>
      <c r="AE257" s="25">
        <v>1.238</v>
      </c>
      <c r="AF257" s="25">
        <f t="shared" si="45"/>
        <v>188169.80999999997</v>
      </c>
      <c r="AG257" s="25">
        <f t="shared" si="46"/>
        <v>409453.02500000002</v>
      </c>
      <c r="AH257" s="1">
        <f t="shared" si="36"/>
        <v>3245.18</v>
      </c>
      <c r="AI257" s="1">
        <f t="shared" si="37"/>
        <v>3684.9</v>
      </c>
      <c r="AJ257" s="1">
        <v>4428.8900000000003</v>
      </c>
      <c r="AK257" s="1">
        <f t="shared" si="38"/>
        <v>-1183.7100000000005</v>
      </c>
      <c r="AL257" s="29">
        <f t="shared" si="47"/>
        <v>743.99000000000024</v>
      </c>
      <c r="AM257" s="11">
        <f t="shared" si="39"/>
        <v>2535339.6780000003</v>
      </c>
    </row>
    <row r="258" spans="1:39" x14ac:dyDescent="0.3">
      <c r="A258" s="39">
        <v>45843.645833333336</v>
      </c>
      <c r="B258" s="1">
        <v>1110.98</v>
      </c>
      <c r="C258" s="11">
        <v>3.2732000000000001</v>
      </c>
      <c r="D258" s="1">
        <v>636.09</v>
      </c>
      <c r="E258" s="11">
        <v>3.0760000000000001</v>
      </c>
      <c r="F258" s="1">
        <v>398.57</v>
      </c>
      <c r="G258" s="11">
        <v>3.53</v>
      </c>
      <c r="H258" s="1">
        <v>76.09</v>
      </c>
      <c r="I258" s="11">
        <v>2.903</v>
      </c>
      <c r="J258" s="1">
        <v>10.54</v>
      </c>
      <c r="K258" s="11">
        <v>3.3225100000000003</v>
      </c>
      <c r="L258" s="1">
        <v>3.74</v>
      </c>
      <c r="M258" s="11">
        <v>6.2</v>
      </c>
      <c r="N258" s="1">
        <v>360.37</v>
      </c>
      <c r="O258" s="11">
        <v>2.8224999999999998</v>
      </c>
      <c r="P258" s="1">
        <f t="shared" si="40"/>
        <v>2596.38</v>
      </c>
      <c r="Q258" s="1">
        <v>2945.79</v>
      </c>
      <c r="R258" s="16">
        <f t="shared" si="41"/>
        <v>2074066.3816000002</v>
      </c>
      <c r="S258" s="1">
        <v>-688.33</v>
      </c>
      <c r="T258" s="1">
        <v>36.74</v>
      </c>
      <c r="U258" s="1">
        <v>24</v>
      </c>
      <c r="V258" s="1">
        <v>37.97</v>
      </c>
      <c r="W258" s="1" cm="1">
        <f t="array" ref="W258">SUM(ABS(S258:V258))</f>
        <v>787.04000000000008</v>
      </c>
      <c r="X258" s="25">
        <v>1.238</v>
      </c>
      <c r="Y258" s="42">
        <f t="shared" si="42"/>
        <v>243588.88</v>
      </c>
      <c r="Z258" s="20">
        <v>508.03</v>
      </c>
      <c r="AA258" s="20">
        <f t="shared" si="43"/>
        <v>1295.0700000000002</v>
      </c>
      <c r="AB258" s="21">
        <v>169.05</v>
      </c>
      <c r="AC258" s="21">
        <v>10.23</v>
      </c>
      <c r="AD258" s="8">
        <f t="shared" si="44"/>
        <v>687.31</v>
      </c>
      <c r="AE258" s="25">
        <v>1.238</v>
      </c>
      <c r="AF258" s="25">
        <f t="shared" si="45"/>
        <v>212722.44500000001</v>
      </c>
      <c r="AG258" s="25">
        <f t="shared" si="46"/>
        <v>456311.32500000001</v>
      </c>
      <c r="AH258" s="1">
        <f t="shared" si="36"/>
        <v>3283.69</v>
      </c>
      <c r="AI258" s="1">
        <f t="shared" si="37"/>
        <v>3633.1</v>
      </c>
      <c r="AJ258" s="1">
        <v>4441.12</v>
      </c>
      <c r="AK258" s="1">
        <f t="shared" si="38"/>
        <v>-1157.4299999999998</v>
      </c>
      <c r="AL258" s="29">
        <f t="shared" si="47"/>
        <v>808.02</v>
      </c>
      <c r="AM258" s="11">
        <f t="shared" si="39"/>
        <v>2530377.7066000002</v>
      </c>
    </row>
    <row r="259" spans="1:39" x14ac:dyDescent="0.3">
      <c r="A259" s="39">
        <v>45843.65625</v>
      </c>
      <c r="B259" s="1">
        <v>1110.6600000000001</v>
      </c>
      <c r="C259" s="11">
        <v>3.2732000000000001</v>
      </c>
      <c r="D259" s="1">
        <v>636.09</v>
      </c>
      <c r="E259" s="11">
        <v>3.0760000000000001</v>
      </c>
      <c r="F259" s="1">
        <v>398.57</v>
      </c>
      <c r="G259" s="11">
        <v>3.53</v>
      </c>
      <c r="H259" s="1">
        <v>78.44</v>
      </c>
      <c r="I259" s="11">
        <v>2.9025599999999998</v>
      </c>
      <c r="J259" s="1">
        <v>10.58</v>
      </c>
      <c r="K259" s="11">
        <v>3.3509899999999999</v>
      </c>
      <c r="L259" s="1">
        <v>1.93</v>
      </c>
      <c r="M259" s="11">
        <v>6.2</v>
      </c>
      <c r="N259" s="1">
        <v>336.04</v>
      </c>
      <c r="O259" s="11">
        <v>2.8224999999999998</v>
      </c>
      <c r="P259" s="1">
        <f t="shared" si="40"/>
        <v>2572.31</v>
      </c>
      <c r="Q259" s="1">
        <v>2949.73</v>
      </c>
      <c r="R259" s="16">
        <f t="shared" si="41"/>
        <v>2055636.60815</v>
      </c>
      <c r="S259" s="1">
        <v>-688.29</v>
      </c>
      <c r="T259" s="1">
        <v>36.659999999999997</v>
      </c>
      <c r="U259" s="1">
        <v>24</v>
      </c>
      <c r="V259" s="1">
        <v>37.950000000000003</v>
      </c>
      <c r="W259" s="1" cm="1">
        <f t="array" ref="W259">SUM(ABS(S259:V259))</f>
        <v>786.9</v>
      </c>
      <c r="X259" s="25">
        <v>1.238</v>
      </c>
      <c r="Y259" s="42">
        <f t="shared" si="42"/>
        <v>243545.55</v>
      </c>
      <c r="Z259" s="20">
        <v>538.23000000000013</v>
      </c>
      <c r="AA259" s="20">
        <f t="shared" si="43"/>
        <v>1325.13</v>
      </c>
      <c r="AB259" s="21">
        <v>165.57</v>
      </c>
      <c r="AC259" s="21">
        <v>11.62</v>
      </c>
      <c r="AD259" s="8">
        <f t="shared" si="44"/>
        <v>715.42000000000019</v>
      </c>
      <c r="AE259" s="25">
        <v>1.238</v>
      </c>
      <c r="AF259" s="25">
        <f t="shared" si="45"/>
        <v>221422.49000000008</v>
      </c>
      <c r="AG259" s="25">
        <f t="shared" si="46"/>
        <v>464968.04000000004</v>
      </c>
      <c r="AH259" s="1">
        <f t="shared" si="36"/>
        <v>3287.73</v>
      </c>
      <c r="AI259" s="1">
        <f t="shared" si="37"/>
        <v>3665.15</v>
      </c>
      <c r="AJ259" s="1">
        <v>4478.4799999999996</v>
      </c>
      <c r="AK259" s="1">
        <f t="shared" si="38"/>
        <v>-1190.7499999999995</v>
      </c>
      <c r="AL259" s="29">
        <f t="shared" si="47"/>
        <v>813.32999999999947</v>
      </c>
      <c r="AM259" s="11">
        <f t="shared" si="39"/>
        <v>2520604.6481499998</v>
      </c>
    </row>
    <row r="260" spans="1:39" x14ac:dyDescent="0.3">
      <c r="A260" s="39">
        <v>45843.666666666664</v>
      </c>
      <c r="B260" s="1">
        <v>1043.08</v>
      </c>
      <c r="C260" s="11">
        <v>3.2732000000000001</v>
      </c>
      <c r="D260" s="1">
        <v>636.09</v>
      </c>
      <c r="E260" s="11">
        <v>3.0760000000000001</v>
      </c>
      <c r="F260" s="1">
        <v>694.47</v>
      </c>
      <c r="G260" s="11">
        <v>3.53</v>
      </c>
      <c r="H260" s="1">
        <v>79.760000000000005</v>
      </c>
      <c r="I260" s="11">
        <v>2.94869</v>
      </c>
      <c r="J260" s="1">
        <v>11.49</v>
      </c>
      <c r="K260" s="11">
        <v>3.3212700000000002</v>
      </c>
      <c r="L260" s="1">
        <v>0.12</v>
      </c>
      <c r="M260" s="11">
        <v>6.2</v>
      </c>
      <c r="N260" s="1">
        <v>303.61</v>
      </c>
      <c r="O260" s="11">
        <v>2.8224999999999998</v>
      </c>
      <c r="P260" s="1">
        <f t="shared" si="40"/>
        <v>2768.6200000000003</v>
      </c>
      <c r="Q260" s="1">
        <v>3151.46</v>
      </c>
      <c r="R260" s="16">
        <f t="shared" si="41"/>
        <v>2238333.3819250003</v>
      </c>
      <c r="S260" s="1">
        <v>-367.08</v>
      </c>
      <c r="T260" s="1">
        <v>36.67</v>
      </c>
      <c r="U260" s="1">
        <v>24</v>
      </c>
      <c r="V260" s="1">
        <v>33.51</v>
      </c>
      <c r="W260" s="1" cm="1">
        <f t="array" ref="W260">SUM(ABS(S260:V260))</f>
        <v>461.26</v>
      </c>
      <c r="X260" s="25">
        <v>1.238</v>
      </c>
      <c r="Y260" s="42">
        <f t="shared" si="42"/>
        <v>142759.97</v>
      </c>
      <c r="Z260" s="20">
        <v>518.16</v>
      </c>
      <c r="AA260" s="20">
        <f t="shared" si="43"/>
        <v>979.42</v>
      </c>
      <c r="AB260" s="21">
        <v>158.24</v>
      </c>
      <c r="AC260" s="21">
        <v>12.54</v>
      </c>
      <c r="AD260" s="8">
        <f t="shared" si="44"/>
        <v>688.93999999999994</v>
      </c>
      <c r="AE260" s="25">
        <v>1.238</v>
      </c>
      <c r="AF260" s="25">
        <f t="shared" si="45"/>
        <v>213226.93</v>
      </c>
      <c r="AG260" s="25">
        <f t="shared" si="46"/>
        <v>355986.9</v>
      </c>
      <c r="AH260" s="1">
        <f t="shared" ref="AH260:AH323" si="48">B260+D260+F260+H260+J260+L260+N260+AD260</f>
        <v>3457.5600000000004</v>
      </c>
      <c r="AI260" s="1">
        <f t="shared" ref="AI260:AI323" si="49">Q260+AD260</f>
        <v>3840.4</v>
      </c>
      <c r="AJ260" s="1">
        <v>4329.99</v>
      </c>
      <c r="AK260" s="1">
        <f t="shared" ref="AK260:AK323" si="50">AH260-AJ260</f>
        <v>-872.42999999999938</v>
      </c>
      <c r="AL260" s="29">
        <f t="shared" si="47"/>
        <v>489.58999999999969</v>
      </c>
      <c r="AM260" s="11">
        <f t="shared" ref="AM260:AM323" si="51">(R260+AG260)</f>
        <v>2594320.2819250003</v>
      </c>
    </row>
    <row r="261" spans="1:39" x14ac:dyDescent="0.3">
      <c r="A261" s="39">
        <v>45843.677083333336</v>
      </c>
      <c r="B261" s="1">
        <v>1038.42</v>
      </c>
      <c r="C261" s="11">
        <v>3.2732000000000001</v>
      </c>
      <c r="D261" s="1">
        <v>636.09</v>
      </c>
      <c r="E261" s="11">
        <v>3.0760000000000001</v>
      </c>
      <c r="F261" s="1">
        <v>717.12</v>
      </c>
      <c r="G261" s="11">
        <v>3.53</v>
      </c>
      <c r="H261" s="1">
        <v>80.39</v>
      </c>
      <c r="I261" s="11">
        <v>3.0306199999999999</v>
      </c>
      <c r="J261" s="1">
        <v>11.55</v>
      </c>
      <c r="K261" s="11">
        <v>3.32273</v>
      </c>
      <c r="L261" s="1">
        <v>0</v>
      </c>
      <c r="M261" s="11">
        <v>6.2</v>
      </c>
      <c r="N261" s="1">
        <v>276.32</v>
      </c>
      <c r="O261" s="11">
        <v>2.8224999999999998</v>
      </c>
      <c r="P261" s="1">
        <f t="shared" ref="P261:P324" si="52">(B261+D261+F261+H261+J261+L261+N261)</f>
        <v>2759.8900000000003</v>
      </c>
      <c r="Q261" s="1">
        <v>2997.48</v>
      </c>
      <c r="R261" s="16">
        <f t="shared" ref="R261:R324" si="53">(((B261*C261)+(D261*E261)+(F261*G261)+(H261*I261)+(J261*K261)+(L261*M261)+(N261*O261))*(1000/4))</f>
        <v>2237231.2643250003</v>
      </c>
      <c r="S261" s="1">
        <v>-574.54999999999995</v>
      </c>
      <c r="T261" s="1">
        <v>36.700000000000003</v>
      </c>
      <c r="U261" s="1">
        <v>24</v>
      </c>
      <c r="V261" s="1">
        <v>25.25</v>
      </c>
      <c r="W261" s="1" cm="1">
        <f t="array" ref="W261">SUM(ABS(S261:V261))</f>
        <v>660.5</v>
      </c>
      <c r="X261" s="25">
        <v>1.238</v>
      </c>
      <c r="Y261" s="42">
        <f t="shared" ref="Y261:Y324" si="54">((W261*X261)*1000)/4</f>
        <v>204424.75</v>
      </c>
      <c r="Z261" s="20">
        <v>521.46</v>
      </c>
      <c r="AA261" s="20">
        <f t="shared" ref="AA261:AA324" si="55">W261+Z261</f>
        <v>1181.96</v>
      </c>
      <c r="AB261" s="21">
        <v>151.74</v>
      </c>
      <c r="AC261" s="21">
        <v>12.899999999999999</v>
      </c>
      <c r="AD261" s="8">
        <f t="shared" ref="AD261:AD324" si="56">Z261+AB261+AC261</f>
        <v>686.1</v>
      </c>
      <c r="AE261" s="25">
        <v>1.238</v>
      </c>
      <c r="AF261" s="25">
        <f t="shared" ref="AF261:AF324" si="57">((AD261*AE261*1000)/4)</f>
        <v>212347.95</v>
      </c>
      <c r="AG261" s="25">
        <f t="shared" ref="AG261:AG324" si="58">Y261+AF261</f>
        <v>416772.7</v>
      </c>
      <c r="AH261" s="1">
        <f t="shared" si="48"/>
        <v>3445.9900000000002</v>
      </c>
      <c r="AI261" s="1">
        <f t="shared" si="49"/>
        <v>3683.58</v>
      </c>
      <c r="AJ261" s="1">
        <v>4368.8900000000003</v>
      </c>
      <c r="AK261" s="1">
        <f t="shared" si="50"/>
        <v>-922.90000000000009</v>
      </c>
      <c r="AL261" s="29">
        <f t="shared" ref="AL261:AL324" si="59">AJ261-AI261</f>
        <v>685.3100000000004</v>
      </c>
      <c r="AM261" s="11">
        <f t="shared" si="51"/>
        <v>2654003.9643250005</v>
      </c>
    </row>
    <row r="262" spans="1:39" x14ac:dyDescent="0.3">
      <c r="A262" s="39">
        <v>45843.6875</v>
      </c>
      <c r="B262" s="1">
        <v>1068.53</v>
      </c>
      <c r="C262" s="11">
        <v>3.2732000000000001</v>
      </c>
      <c r="D262" s="1">
        <v>636.09</v>
      </c>
      <c r="E262" s="11">
        <v>3.0760000000000001</v>
      </c>
      <c r="F262" s="1">
        <v>717.12</v>
      </c>
      <c r="G262" s="11">
        <v>3.53</v>
      </c>
      <c r="H262" s="1">
        <v>77.489999999999995</v>
      </c>
      <c r="I262" s="11">
        <v>3.30002</v>
      </c>
      <c r="J262" s="1">
        <v>275.48</v>
      </c>
      <c r="K262" s="11">
        <v>3.4940000000000002</v>
      </c>
      <c r="L262" s="1">
        <v>0</v>
      </c>
      <c r="M262" s="11">
        <v>6.2</v>
      </c>
      <c r="N262" s="1">
        <v>252.59</v>
      </c>
      <c r="O262" s="11">
        <v>2.8224999999999998</v>
      </c>
      <c r="P262" s="1">
        <f t="shared" si="52"/>
        <v>3027.2999999999997</v>
      </c>
      <c r="Q262" s="1">
        <v>3123.79</v>
      </c>
      <c r="R262" s="16">
        <f t="shared" si="53"/>
        <v>2479184.9452</v>
      </c>
      <c r="S262" s="1">
        <v>-456.35</v>
      </c>
      <c r="T262" s="1">
        <v>36.74</v>
      </c>
      <c r="U262" s="1">
        <v>24</v>
      </c>
      <c r="V262" s="1">
        <v>25.34</v>
      </c>
      <c r="W262" s="1" cm="1">
        <f t="array" ref="W262">SUM(ABS(S262:V262))</f>
        <v>542.43000000000006</v>
      </c>
      <c r="X262" s="25">
        <v>1.238</v>
      </c>
      <c r="Y262" s="42">
        <f t="shared" si="54"/>
        <v>167882.08500000002</v>
      </c>
      <c r="Z262" s="20">
        <v>523</v>
      </c>
      <c r="AA262" s="20">
        <f t="shared" si="55"/>
        <v>1065.43</v>
      </c>
      <c r="AB262" s="21">
        <v>144.76999999999998</v>
      </c>
      <c r="AC262" s="21">
        <v>12.29</v>
      </c>
      <c r="AD262" s="8">
        <f t="shared" si="56"/>
        <v>680.06</v>
      </c>
      <c r="AE262" s="25">
        <v>1.238</v>
      </c>
      <c r="AF262" s="25">
        <f t="shared" si="57"/>
        <v>210478.56999999998</v>
      </c>
      <c r="AG262" s="25">
        <f t="shared" si="58"/>
        <v>378360.65500000003</v>
      </c>
      <c r="AH262" s="1">
        <f t="shared" si="48"/>
        <v>3707.3599999999997</v>
      </c>
      <c r="AI262" s="1">
        <f t="shared" si="49"/>
        <v>3803.85</v>
      </c>
      <c r="AJ262" s="1">
        <v>4410.16</v>
      </c>
      <c r="AK262" s="1">
        <f t="shared" si="50"/>
        <v>-702.80000000000018</v>
      </c>
      <c r="AL262" s="29">
        <f t="shared" si="59"/>
        <v>606.30999999999995</v>
      </c>
      <c r="AM262" s="11">
        <f t="shared" si="51"/>
        <v>2857545.6002000002</v>
      </c>
    </row>
    <row r="263" spans="1:39" x14ac:dyDescent="0.3">
      <c r="A263" s="39">
        <v>45843.697916666664</v>
      </c>
      <c r="B263" s="1">
        <v>1132.4000000000001</v>
      </c>
      <c r="C263" s="11">
        <v>3.2732000000000001</v>
      </c>
      <c r="D263" s="1">
        <v>636.09</v>
      </c>
      <c r="E263" s="11">
        <v>3.0760000000000001</v>
      </c>
      <c r="F263" s="1">
        <v>717.12</v>
      </c>
      <c r="G263" s="11">
        <v>3.53</v>
      </c>
      <c r="H263" s="1">
        <v>77.17</v>
      </c>
      <c r="I263" s="11">
        <v>3.3279800000000002</v>
      </c>
      <c r="J263" s="1">
        <v>223.44</v>
      </c>
      <c r="K263" s="11">
        <v>3.4220900000000003</v>
      </c>
      <c r="L263" s="1">
        <v>0</v>
      </c>
      <c r="M263" s="11">
        <v>6.2</v>
      </c>
      <c r="N263" s="1">
        <v>224.67</v>
      </c>
      <c r="O263" s="11">
        <v>2.8224999999999998</v>
      </c>
      <c r="P263" s="1">
        <f t="shared" si="52"/>
        <v>3010.8900000000003</v>
      </c>
      <c r="Q263" s="1">
        <v>3185.31</v>
      </c>
      <c r="R263" s="16">
        <f t="shared" si="53"/>
        <v>2462550.3002999998</v>
      </c>
      <c r="S263" s="1">
        <v>-404.6</v>
      </c>
      <c r="T263" s="1">
        <v>36.72</v>
      </c>
      <c r="U263" s="1">
        <v>24</v>
      </c>
      <c r="V263" s="1">
        <v>31.48</v>
      </c>
      <c r="W263" s="1" cm="1">
        <f t="array" ref="W263">SUM(ABS(S263:V263))</f>
        <v>496.80000000000007</v>
      </c>
      <c r="X263" s="25">
        <v>1.238</v>
      </c>
      <c r="Y263" s="42">
        <f t="shared" si="54"/>
        <v>153759.6</v>
      </c>
      <c r="Z263" s="20">
        <v>535.44000000000005</v>
      </c>
      <c r="AA263" s="20">
        <f t="shared" si="55"/>
        <v>1032.2400000000002</v>
      </c>
      <c r="AB263" s="21">
        <v>139.10000000000002</v>
      </c>
      <c r="AC263" s="21">
        <v>9.3099999999999987</v>
      </c>
      <c r="AD263" s="8">
        <f t="shared" si="56"/>
        <v>683.85</v>
      </c>
      <c r="AE263" s="25">
        <v>1.238</v>
      </c>
      <c r="AF263" s="25">
        <f t="shared" si="57"/>
        <v>211651.57500000001</v>
      </c>
      <c r="AG263" s="25">
        <f t="shared" si="58"/>
        <v>365411.17500000005</v>
      </c>
      <c r="AH263" s="1">
        <f t="shared" si="48"/>
        <v>3694.7400000000002</v>
      </c>
      <c r="AI263" s="1">
        <f t="shared" si="49"/>
        <v>3869.16</v>
      </c>
      <c r="AJ263" s="1">
        <v>4421.79</v>
      </c>
      <c r="AK263" s="1">
        <f t="shared" si="50"/>
        <v>-727.04999999999973</v>
      </c>
      <c r="AL263" s="29">
        <f t="shared" si="59"/>
        <v>552.63000000000011</v>
      </c>
      <c r="AM263" s="11">
        <f t="shared" si="51"/>
        <v>2827961.4753</v>
      </c>
    </row>
    <row r="264" spans="1:39" x14ac:dyDescent="0.3">
      <c r="A264" s="39">
        <v>45843.708333333336</v>
      </c>
      <c r="B264" s="1">
        <v>1149.3900000000001</v>
      </c>
      <c r="C264" s="11">
        <v>3.2732000000000001</v>
      </c>
      <c r="D264" s="1">
        <v>636.09</v>
      </c>
      <c r="E264" s="11">
        <v>3.0760000000000001</v>
      </c>
      <c r="F264" s="1">
        <v>717.12</v>
      </c>
      <c r="G264" s="11">
        <v>3.53</v>
      </c>
      <c r="H264" s="1">
        <v>70.069999999999993</v>
      </c>
      <c r="I264" s="11">
        <v>3.2365399999999998</v>
      </c>
      <c r="J264" s="1">
        <v>213.62</v>
      </c>
      <c r="K264" s="11">
        <v>3.2006600000000001</v>
      </c>
      <c r="L264" s="1">
        <v>0</v>
      </c>
      <c r="M264" s="11">
        <v>6.2</v>
      </c>
      <c r="N264" s="1">
        <v>193.28</v>
      </c>
      <c r="O264" s="11">
        <v>2.8224999999999998</v>
      </c>
      <c r="P264" s="1">
        <f t="shared" si="52"/>
        <v>2979.57</v>
      </c>
      <c r="Q264" s="1">
        <v>3191.4</v>
      </c>
      <c r="R264" s="16">
        <f t="shared" si="53"/>
        <v>2426567.9837500001</v>
      </c>
      <c r="S264" s="1">
        <v>-392.4</v>
      </c>
      <c r="T264" s="1">
        <v>36.729999999999997</v>
      </c>
      <c r="U264" s="1">
        <v>21.61</v>
      </c>
      <c r="V264" s="1">
        <v>31.69</v>
      </c>
      <c r="W264" s="1" cm="1">
        <f t="array" ref="W264">SUM(ABS(S264:V264))</f>
        <v>482.43</v>
      </c>
      <c r="X264" s="25">
        <v>1.238</v>
      </c>
      <c r="Y264" s="42">
        <f t="shared" si="54"/>
        <v>149312.08499999999</v>
      </c>
      <c r="Z264" s="20">
        <v>498.4</v>
      </c>
      <c r="AA264" s="20">
        <f t="shared" si="55"/>
        <v>980.82999999999993</v>
      </c>
      <c r="AB264" s="21">
        <v>131.63999999999999</v>
      </c>
      <c r="AC264" s="21">
        <v>7.8100000000000005</v>
      </c>
      <c r="AD264" s="8">
        <f t="shared" si="56"/>
        <v>637.84999999999991</v>
      </c>
      <c r="AE264" s="25">
        <v>1.238</v>
      </c>
      <c r="AF264" s="25">
        <f t="shared" si="57"/>
        <v>197414.57499999995</v>
      </c>
      <c r="AG264" s="25">
        <f t="shared" si="58"/>
        <v>346726.65999999992</v>
      </c>
      <c r="AH264" s="1">
        <f t="shared" si="48"/>
        <v>3617.42</v>
      </c>
      <c r="AI264" s="1">
        <f t="shared" si="49"/>
        <v>3829.25</v>
      </c>
      <c r="AJ264" s="1">
        <v>4370.75</v>
      </c>
      <c r="AK264" s="1">
        <f t="shared" si="50"/>
        <v>-753.32999999999993</v>
      </c>
      <c r="AL264" s="29">
        <f t="shared" si="59"/>
        <v>541.5</v>
      </c>
      <c r="AM264" s="11">
        <f t="shared" si="51"/>
        <v>2773294.6437499998</v>
      </c>
    </row>
    <row r="265" spans="1:39" x14ac:dyDescent="0.3">
      <c r="A265" s="39">
        <v>45843.71875</v>
      </c>
      <c r="B265" s="1">
        <v>1243.47</v>
      </c>
      <c r="C265" s="11">
        <v>3.2732000000000001</v>
      </c>
      <c r="D265" s="1">
        <v>636.09</v>
      </c>
      <c r="E265" s="11">
        <v>3.0760000000000001</v>
      </c>
      <c r="F265" s="1">
        <v>717.12</v>
      </c>
      <c r="G265" s="11">
        <v>3.53</v>
      </c>
      <c r="H265" s="1">
        <v>69.45</v>
      </c>
      <c r="I265" s="11">
        <v>3.3005399999999998</v>
      </c>
      <c r="J265" s="1">
        <v>123.74</v>
      </c>
      <c r="K265" s="11">
        <v>3.2107199999999998</v>
      </c>
      <c r="L265" s="1">
        <v>0</v>
      </c>
      <c r="M265" s="11">
        <v>6.2</v>
      </c>
      <c r="N265" s="1">
        <v>163.82</v>
      </c>
      <c r="O265" s="11">
        <v>2.8224999999999998</v>
      </c>
      <c r="P265" s="1">
        <f t="shared" si="52"/>
        <v>2953.6899999999996</v>
      </c>
      <c r="Q265" s="1">
        <v>3166.31</v>
      </c>
      <c r="R265" s="16">
        <f t="shared" si="53"/>
        <v>2411767.8474499998</v>
      </c>
      <c r="S265" s="1">
        <v>-441.18</v>
      </c>
      <c r="T265" s="1">
        <v>36.92</v>
      </c>
      <c r="U265" s="1">
        <v>12</v>
      </c>
      <c r="V265" s="1">
        <v>33.26</v>
      </c>
      <c r="W265" s="1" cm="1">
        <f t="array" ref="W265">SUM(ABS(S265:V265))</f>
        <v>523.36</v>
      </c>
      <c r="X265" s="25">
        <v>1.238</v>
      </c>
      <c r="Y265" s="42">
        <f t="shared" si="54"/>
        <v>161979.91999999998</v>
      </c>
      <c r="Z265" s="20">
        <v>451.91999999999996</v>
      </c>
      <c r="AA265" s="20">
        <f t="shared" si="55"/>
        <v>975.28</v>
      </c>
      <c r="AB265" s="21">
        <v>94.219999999999985</v>
      </c>
      <c r="AC265" s="21">
        <v>11.37</v>
      </c>
      <c r="AD265" s="8">
        <f t="shared" si="56"/>
        <v>557.51</v>
      </c>
      <c r="AE265" s="25">
        <v>1.238</v>
      </c>
      <c r="AF265" s="25">
        <f t="shared" si="57"/>
        <v>172549.345</v>
      </c>
      <c r="AG265" s="25">
        <f t="shared" si="58"/>
        <v>334529.26500000001</v>
      </c>
      <c r="AH265" s="1">
        <f t="shared" si="48"/>
        <v>3511.2</v>
      </c>
      <c r="AI265" s="1">
        <f t="shared" si="49"/>
        <v>3723.8199999999997</v>
      </c>
      <c r="AJ265" s="1">
        <v>4303.3900000000003</v>
      </c>
      <c r="AK265" s="1">
        <f t="shared" si="50"/>
        <v>-792.19000000000051</v>
      </c>
      <c r="AL265" s="29">
        <f t="shared" si="59"/>
        <v>579.57000000000062</v>
      </c>
      <c r="AM265" s="11">
        <f t="shared" si="51"/>
        <v>2746297.1124499999</v>
      </c>
    </row>
    <row r="266" spans="1:39" x14ac:dyDescent="0.3">
      <c r="A266" s="39">
        <v>45843.729166666664</v>
      </c>
      <c r="B266" s="1">
        <v>1269.44</v>
      </c>
      <c r="C266" s="11">
        <v>3.2732000000000001</v>
      </c>
      <c r="D266" s="1">
        <v>636.09</v>
      </c>
      <c r="E266" s="11">
        <v>3.0760000000000001</v>
      </c>
      <c r="F266" s="1">
        <v>717.12</v>
      </c>
      <c r="G266" s="11">
        <v>3.53</v>
      </c>
      <c r="H266" s="1">
        <v>-26.2</v>
      </c>
      <c r="I266" s="11">
        <v>3.42238</v>
      </c>
      <c r="J266" s="1">
        <v>151</v>
      </c>
      <c r="K266" s="11">
        <v>3.3229499999999996</v>
      </c>
      <c r="L266" s="1">
        <v>0</v>
      </c>
      <c r="M266" s="11">
        <v>6.2</v>
      </c>
      <c r="N266" s="1">
        <v>146.77000000000001</v>
      </c>
      <c r="O266" s="11">
        <v>2.8224999999999998</v>
      </c>
      <c r="P266" s="1">
        <f t="shared" si="52"/>
        <v>2894.2200000000003</v>
      </c>
      <c r="Q266" s="1">
        <v>3020.43</v>
      </c>
      <c r="R266" s="16">
        <f t="shared" si="53"/>
        <v>2367383.7167500006</v>
      </c>
      <c r="S266" s="1">
        <v>-590.29999999999995</v>
      </c>
      <c r="T266" s="1">
        <v>36.96</v>
      </c>
      <c r="U266" s="1">
        <v>12</v>
      </c>
      <c r="V266" s="1">
        <v>29.82</v>
      </c>
      <c r="W266" s="1" cm="1">
        <f t="array" ref="W266">SUM(ABS(S266:V266))</f>
        <v>669.08</v>
      </c>
      <c r="X266" s="25">
        <v>1.238</v>
      </c>
      <c r="Y266" s="42">
        <f t="shared" si="54"/>
        <v>207080.26</v>
      </c>
      <c r="Z266" s="20">
        <v>450.42000000000007</v>
      </c>
      <c r="AA266" s="20">
        <f t="shared" si="55"/>
        <v>1119.5</v>
      </c>
      <c r="AB266" s="21">
        <v>36.059999999999995</v>
      </c>
      <c r="AC266" s="21">
        <v>15.66</v>
      </c>
      <c r="AD266" s="8">
        <f t="shared" si="56"/>
        <v>502.1400000000001</v>
      </c>
      <c r="AE266" s="25">
        <v>1.238</v>
      </c>
      <c r="AF266" s="25">
        <f t="shared" si="57"/>
        <v>155412.33000000002</v>
      </c>
      <c r="AG266" s="25">
        <f t="shared" si="58"/>
        <v>362492.59</v>
      </c>
      <c r="AH266" s="1">
        <f t="shared" si="48"/>
        <v>3396.3600000000006</v>
      </c>
      <c r="AI266" s="1">
        <f t="shared" si="49"/>
        <v>3522.5699999999997</v>
      </c>
      <c r="AJ266" s="1">
        <v>4243.8900000000003</v>
      </c>
      <c r="AK266" s="1">
        <f t="shared" si="50"/>
        <v>-847.52999999999975</v>
      </c>
      <c r="AL266" s="29">
        <f t="shared" si="59"/>
        <v>721.32000000000062</v>
      </c>
      <c r="AM266" s="11">
        <f t="shared" si="51"/>
        <v>2729876.3067500005</v>
      </c>
    </row>
    <row r="267" spans="1:39" x14ac:dyDescent="0.3">
      <c r="A267" s="39">
        <v>45843.739583333336</v>
      </c>
      <c r="B267" s="1">
        <v>1270.73</v>
      </c>
      <c r="C267" s="11">
        <v>3.2732000000000001</v>
      </c>
      <c r="D267" s="1">
        <v>636.09</v>
      </c>
      <c r="E267" s="11">
        <v>3.0760000000000001</v>
      </c>
      <c r="F267" s="1">
        <v>717.12</v>
      </c>
      <c r="G267" s="11">
        <v>3.53</v>
      </c>
      <c r="H267" s="1">
        <v>-36.520000000000003</v>
      </c>
      <c r="I267" s="11">
        <v>3.4518899999999997</v>
      </c>
      <c r="J267" s="1">
        <v>122.82</v>
      </c>
      <c r="K267" s="11">
        <v>3.4220199999999998</v>
      </c>
      <c r="L267" s="1">
        <v>0</v>
      </c>
      <c r="M267" s="11">
        <v>6.2</v>
      </c>
      <c r="N267" s="1">
        <v>118.15</v>
      </c>
      <c r="O267" s="11">
        <v>2.8224999999999998</v>
      </c>
      <c r="P267" s="1">
        <f t="shared" si="52"/>
        <v>2828.3900000000003</v>
      </c>
      <c r="Q267" s="1">
        <v>2978.72</v>
      </c>
      <c r="R267" s="16">
        <f t="shared" si="53"/>
        <v>2318776.9311500005</v>
      </c>
      <c r="S267" s="1">
        <v>-595.72</v>
      </c>
      <c r="T267" s="1">
        <v>36.909999999999997</v>
      </c>
      <c r="U267" s="1">
        <v>12</v>
      </c>
      <c r="V267" s="1">
        <v>38.51</v>
      </c>
      <c r="W267" s="1" cm="1">
        <f t="array" ref="W267">SUM(ABS(S267:V267))</f>
        <v>683.14</v>
      </c>
      <c r="X267" s="25">
        <v>1.238</v>
      </c>
      <c r="Y267" s="42">
        <f t="shared" si="54"/>
        <v>211431.83</v>
      </c>
      <c r="Z267" s="20">
        <v>465.67</v>
      </c>
      <c r="AA267" s="20">
        <f t="shared" si="55"/>
        <v>1148.81</v>
      </c>
      <c r="AB267" s="21">
        <v>23.889999999999997</v>
      </c>
      <c r="AC267" s="21">
        <v>16.53</v>
      </c>
      <c r="AD267" s="8">
        <f t="shared" si="56"/>
        <v>506.09000000000003</v>
      </c>
      <c r="AE267" s="25">
        <v>1.238</v>
      </c>
      <c r="AF267" s="25">
        <f t="shared" si="57"/>
        <v>156634.85500000001</v>
      </c>
      <c r="AG267" s="25">
        <f t="shared" si="58"/>
        <v>368066.685</v>
      </c>
      <c r="AH267" s="1">
        <f t="shared" si="48"/>
        <v>3334.4800000000005</v>
      </c>
      <c r="AI267" s="1">
        <f t="shared" si="49"/>
        <v>3484.81</v>
      </c>
      <c r="AJ267" s="1">
        <v>4218.55</v>
      </c>
      <c r="AK267" s="1">
        <f t="shared" si="50"/>
        <v>-884.06999999999971</v>
      </c>
      <c r="AL267" s="29">
        <f t="shared" si="59"/>
        <v>733.74000000000024</v>
      </c>
      <c r="AM267" s="11">
        <f t="shared" si="51"/>
        <v>2686843.6161500006</v>
      </c>
    </row>
    <row r="268" spans="1:39" x14ac:dyDescent="0.3">
      <c r="A268" s="39">
        <v>45843.75</v>
      </c>
      <c r="B268" s="1">
        <v>1401.94</v>
      </c>
      <c r="C268" s="11">
        <v>3.2732000000000001</v>
      </c>
      <c r="D268" s="1">
        <v>636.09</v>
      </c>
      <c r="E268" s="11">
        <v>3.0760000000000001</v>
      </c>
      <c r="F268" s="1">
        <v>717.12</v>
      </c>
      <c r="G268" s="11">
        <v>3.53</v>
      </c>
      <c r="H268" s="1">
        <v>-2.0499999999999998</v>
      </c>
      <c r="I268" s="11">
        <v>3.5422199999999999</v>
      </c>
      <c r="J268" s="1">
        <v>288.58999999999997</v>
      </c>
      <c r="K268" s="11">
        <v>3.09415</v>
      </c>
      <c r="L268" s="1">
        <v>13.1</v>
      </c>
      <c r="M268" s="11">
        <v>6.2</v>
      </c>
      <c r="N268" s="1">
        <v>94.01</v>
      </c>
      <c r="O268" s="11">
        <v>2.8224999999999998</v>
      </c>
      <c r="P268" s="1">
        <f t="shared" si="52"/>
        <v>3148.8</v>
      </c>
      <c r="Q268" s="1">
        <v>3191.58</v>
      </c>
      <c r="R268" s="16">
        <f t="shared" si="53"/>
        <v>2577279.717625</v>
      </c>
      <c r="S268" s="1">
        <v>-346.18</v>
      </c>
      <c r="T268" s="1">
        <v>36.5</v>
      </c>
      <c r="U268" s="1">
        <v>12.01</v>
      </c>
      <c r="V268" s="1">
        <v>48.49</v>
      </c>
      <c r="W268" s="1" cm="1">
        <f t="array" ref="W268">SUM(ABS(S268:V268))</f>
        <v>443.18</v>
      </c>
      <c r="X268" s="25">
        <v>1.238</v>
      </c>
      <c r="Y268" s="42">
        <f t="shared" si="54"/>
        <v>137164.21</v>
      </c>
      <c r="Z268" s="20">
        <v>488.67</v>
      </c>
      <c r="AA268" s="20">
        <f t="shared" si="55"/>
        <v>931.85</v>
      </c>
      <c r="AB268" s="21">
        <v>12.189999999999998</v>
      </c>
      <c r="AC268" s="21">
        <v>16.850000000000001</v>
      </c>
      <c r="AD268" s="8">
        <f t="shared" si="56"/>
        <v>517.71</v>
      </c>
      <c r="AE268" s="25">
        <v>1.238</v>
      </c>
      <c r="AF268" s="25">
        <f t="shared" si="57"/>
        <v>160231.245</v>
      </c>
      <c r="AG268" s="25">
        <f t="shared" si="58"/>
        <v>297395.45499999996</v>
      </c>
      <c r="AH268" s="1">
        <f t="shared" si="48"/>
        <v>3666.51</v>
      </c>
      <c r="AI268" s="1">
        <f t="shared" si="49"/>
        <v>3709.29</v>
      </c>
      <c r="AJ268" s="1">
        <v>4209.0600000000004</v>
      </c>
      <c r="AK268" s="1">
        <f t="shared" si="50"/>
        <v>-542.55000000000018</v>
      </c>
      <c r="AL268" s="29">
        <f t="shared" si="59"/>
        <v>499.77000000000044</v>
      </c>
      <c r="AM268" s="11">
        <f t="shared" si="51"/>
        <v>2874675.1726250001</v>
      </c>
    </row>
    <row r="269" spans="1:39" x14ac:dyDescent="0.3">
      <c r="A269" s="39">
        <v>45843.760416666664</v>
      </c>
      <c r="B269" s="1">
        <v>1411.82</v>
      </c>
      <c r="C269" s="11">
        <v>3.2732000000000001</v>
      </c>
      <c r="D269" s="1">
        <v>636.09</v>
      </c>
      <c r="E269" s="11">
        <v>3.0760000000000001</v>
      </c>
      <c r="F269" s="1">
        <v>717.12</v>
      </c>
      <c r="G269" s="11">
        <v>3.53</v>
      </c>
      <c r="H269" s="1">
        <v>99.81</v>
      </c>
      <c r="I269" s="11">
        <v>3.8773299999999997</v>
      </c>
      <c r="J269" s="1">
        <v>304.81</v>
      </c>
      <c r="K269" s="11">
        <v>3.5408499999999998</v>
      </c>
      <c r="L269" s="1">
        <v>5.29</v>
      </c>
      <c r="M269" s="11">
        <v>6.2</v>
      </c>
      <c r="N269" s="1">
        <v>74.64</v>
      </c>
      <c r="O269" s="11">
        <v>2.8224999999999998</v>
      </c>
      <c r="P269" s="1">
        <f t="shared" si="52"/>
        <v>3249.5799999999995</v>
      </c>
      <c r="Q269" s="1">
        <v>3188.41</v>
      </c>
      <c r="R269" s="16">
        <f t="shared" si="53"/>
        <v>2704741.9649500004</v>
      </c>
      <c r="S269" s="1">
        <v>-315.39</v>
      </c>
      <c r="T269" s="1">
        <v>36.450000000000003</v>
      </c>
      <c r="U269" s="1">
        <v>29.19</v>
      </c>
      <c r="V269" s="1">
        <v>50.47</v>
      </c>
      <c r="W269" s="1" cm="1">
        <f t="array" ref="W269">SUM(ABS(S269:V269))</f>
        <v>431.5</v>
      </c>
      <c r="X269" s="25">
        <v>1.238</v>
      </c>
      <c r="Y269" s="42">
        <f t="shared" si="54"/>
        <v>133549.25</v>
      </c>
      <c r="Z269" s="20">
        <v>538.83000000000004</v>
      </c>
      <c r="AA269" s="20">
        <f t="shared" si="55"/>
        <v>970.33</v>
      </c>
      <c r="AB269" s="21">
        <v>4.93</v>
      </c>
      <c r="AC269" s="21">
        <v>13.05</v>
      </c>
      <c r="AD269" s="8">
        <f t="shared" si="56"/>
        <v>556.80999999999995</v>
      </c>
      <c r="AE269" s="25">
        <v>1.238</v>
      </c>
      <c r="AF269" s="25">
        <f t="shared" si="57"/>
        <v>172332.69499999998</v>
      </c>
      <c r="AG269" s="25">
        <f t="shared" si="58"/>
        <v>305881.94499999995</v>
      </c>
      <c r="AH269" s="1">
        <f t="shared" si="48"/>
        <v>3806.3899999999994</v>
      </c>
      <c r="AI269" s="1">
        <f t="shared" si="49"/>
        <v>3745.22</v>
      </c>
      <c r="AJ269" s="1">
        <v>4231.54</v>
      </c>
      <c r="AK269" s="1">
        <f t="shared" si="50"/>
        <v>-425.15000000000055</v>
      </c>
      <c r="AL269" s="29">
        <f t="shared" si="59"/>
        <v>486.32000000000016</v>
      </c>
      <c r="AM269" s="11">
        <f t="shared" si="51"/>
        <v>3010623.9099500002</v>
      </c>
    </row>
    <row r="270" spans="1:39" x14ac:dyDescent="0.3">
      <c r="A270" s="39">
        <v>45843.770833333336</v>
      </c>
      <c r="B270" s="1">
        <v>1469.22</v>
      </c>
      <c r="C270" s="11">
        <v>3.2732000000000001</v>
      </c>
      <c r="D270" s="1">
        <v>636.09</v>
      </c>
      <c r="E270" s="11">
        <v>3.0760000000000001</v>
      </c>
      <c r="F270" s="1">
        <v>717.12</v>
      </c>
      <c r="G270" s="11">
        <v>3.53</v>
      </c>
      <c r="H270" s="1">
        <v>107.19</v>
      </c>
      <c r="I270" s="11">
        <v>4.1707900000000002</v>
      </c>
      <c r="J270" s="1">
        <v>59.42</v>
      </c>
      <c r="K270" s="11">
        <v>3.7697699999999998</v>
      </c>
      <c r="L270" s="1">
        <v>0.33</v>
      </c>
      <c r="M270" s="11">
        <v>6.2</v>
      </c>
      <c r="N270" s="1">
        <v>60.49</v>
      </c>
      <c r="O270" s="11">
        <v>2.8224999999999998</v>
      </c>
      <c r="P270" s="1">
        <f t="shared" si="52"/>
        <v>3049.8599999999997</v>
      </c>
      <c r="Q270" s="1">
        <v>3130.12</v>
      </c>
      <c r="R270" s="16">
        <f t="shared" si="53"/>
        <v>2535235.7706250004</v>
      </c>
      <c r="S270" s="1">
        <v>-450.09</v>
      </c>
      <c r="T270" s="1">
        <v>36.36</v>
      </c>
      <c r="U270" s="1">
        <v>48.61</v>
      </c>
      <c r="V270" s="1">
        <v>50.46</v>
      </c>
      <c r="W270" s="1" cm="1">
        <f t="array" ref="W270">SUM(ABS(S270:V270))</f>
        <v>585.52</v>
      </c>
      <c r="X270" s="25">
        <v>1.238</v>
      </c>
      <c r="Y270" s="42">
        <f t="shared" si="54"/>
        <v>181218.43999999997</v>
      </c>
      <c r="Z270" s="20">
        <v>597.11</v>
      </c>
      <c r="AA270" s="20">
        <f t="shared" si="55"/>
        <v>1182.6300000000001</v>
      </c>
      <c r="AB270" s="21">
        <v>1.1300000000000001</v>
      </c>
      <c r="AC270" s="21">
        <v>12.58</v>
      </c>
      <c r="AD270" s="8">
        <f t="shared" si="56"/>
        <v>610.82000000000005</v>
      </c>
      <c r="AE270" s="25">
        <v>1.238</v>
      </c>
      <c r="AF270" s="25">
        <f t="shared" si="57"/>
        <v>189048.79000000004</v>
      </c>
      <c r="AG270" s="25">
        <f t="shared" si="58"/>
        <v>370267.23</v>
      </c>
      <c r="AH270" s="1">
        <f t="shared" si="48"/>
        <v>3660.68</v>
      </c>
      <c r="AI270" s="1">
        <f t="shared" si="49"/>
        <v>3740.94</v>
      </c>
      <c r="AJ270" s="1">
        <v>4369.2</v>
      </c>
      <c r="AK270" s="1">
        <f t="shared" si="50"/>
        <v>-708.52</v>
      </c>
      <c r="AL270" s="29">
        <f t="shared" si="59"/>
        <v>628.25999999999976</v>
      </c>
      <c r="AM270" s="11">
        <f t="shared" si="51"/>
        <v>2905503.0006250003</v>
      </c>
    </row>
    <row r="271" spans="1:39" x14ac:dyDescent="0.3">
      <c r="A271" s="39">
        <v>45843.78125</v>
      </c>
      <c r="B271" s="1">
        <v>1476.51</v>
      </c>
      <c r="C271" s="11">
        <v>3.2732000000000001</v>
      </c>
      <c r="D271" s="1">
        <v>636.09</v>
      </c>
      <c r="E271" s="11">
        <v>3.0760000000000001</v>
      </c>
      <c r="F271" s="1">
        <v>717.12</v>
      </c>
      <c r="G271" s="11">
        <v>3.53</v>
      </c>
      <c r="H271" s="1">
        <v>108.61</v>
      </c>
      <c r="I271" s="11">
        <v>4.4096599999999997</v>
      </c>
      <c r="J271" s="1">
        <v>61.9</v>
      </c>
      <c r="K271" s="11">
        <v>4.0002199999999997</v>
      </c>
      <c r="L271" s="1">
        <v>0</v>
      </c>
      <c r="M271" s="11">
        <v>6.2</v>
      </c>
      <c r="N271" s="1">
        <v>39.700000000000003</v>
      </c>
      <c r="O271" s="11">
        <v>2.8224999999999998</v>
      </c>
      <c r="P271" s="1">
        <f t="shared" si="52"/>
        <v>3039.93</v>
      </c>
      <c r="Q271" s="1">
        <v>2983.13</v>
      </c>
      <c r="R271" s="16">
        <f t="shared" si="53"/>
        <v>2539889.7531500002</v>
      </c>
      <c r="S271" s="1">
        <v>-642.83000000000004</v>
      </c>
      <c r="T271" s="1">
        <v>36.35</v>
      </c>
      <c r="U271" s="1">
        <v>48.62</v>
      </c>
      <c r="V271" s="1">
        <v>50.47</v>
      </c>
      <c r="W271" s="1" cm="1">
        <f t="array" ref="W271">SUM(ABS(S271:V271))</f>
        <v>778.2700000000001</v>
      </c>
      <c r="X271" s="25">
        <v>1.238</v>
      </c>
      <c r="Y271" s="42">
        <f t="shared" si="54"/>
        <v>240874.56500000003</v>
      </c>
      <c r="Z271" s="20">
        <v>715.56000000000006</v>
      </c>
      <c r="AA271" s="20">
        <f t="shared" si="55"/>
        <v>1493.8300000000002</v>
      </c>
      <c r="AB271" s="21">
        <v>0.28000000000000003</v>
      </c>
      <c r="AC271" s="21">
        <v>13.89</v>
      </c>
      <c r="AD271" s="8">
        <f t="shared" si="56"/>
        <v>729.73</v>
      </c>
      <c r="AE271" s="25">
        <v>1.238</v>
      </c>
      <c r="AF271" s="25">
        <f t="shared" si="57"/>
        <v>225851.435</v>
      </c>
      <c r="AG271" s="25">
        <f t="shared" si="58"/>
        <v>466726</v>
      </c>
      <c r="AH271" s="1">
        <f t="shared" si="48"/>
        <v>3769.66</v>
      </c>
      <c r="AI271" s="1">
        <f t="shared" si="49"/>
        <v>3712.86</v>
      </c>
      <c r="AJ271" s="1">
        <v>4540.8900000000003</v>
      </c>
      <c r="AK271" s="1">
        <f t="shared" si="50"/>
        <v>-771.23000000000047</v>
      </c>
      <c r="AL271" s="29">
        <f t="shared" si="59"/>
        <v>828.0300000000002</v>
      </c>
      <c r="AM271" s="11">
        <f t="shared" si="51"/>
        <v>3006615.7531500002</v>
      </c>
    </row>
    <row r="272" spans="1:39" x14ac:dyDescent="0.3">
      <c r="A272" s="39">
        <v>45843.791666666664</v>
      </c>
      <c r="B272" s="1">
        <v>1476.72</v>
      </c>
      <c r="C272" s="11">
        <v>3.2732000000000001</v>
      </c>
      <c r="D272" s="1">
        <v>636.09</v>
      </c>
      <c r="E272" s="11">
        <v>3.0760000000000001</v>
      </c>
      <c r="F272" s="1">
        <v>717.12</v>
      </c>
      <c r="G272" s="11">
        <v>3.53</v>
      </c>
      <c r="H272" s="1">
        <v>108</v>
      </c>
      <c r="I272" s="11">
        <v>4.5827299999999997</v>
      </c>
      <c r="J272" s="1">
        <v>99.17</v>
      </c>
      <c r="K272" s="11">
        <v>4.5002200000000006</v>
      </c>
      <c r="L272" s="1">
        <v>0</v>
      </c>
      <c r="M272" s="11">
        <v>6.2</v>
      </c>
      <c r="N272" s="1">
        <v>31.91</v>
      </c>
      <c r="O272" s="11">
        <v>2.8224999999999998</v>
      </c>
      <c r="P272" s="1">
        <f t="shared" si="52"/>
        <v>3069.0099999999998</v>
      </c>
      <c r="Q272" s="1">
        <v>3055.98</v>
      </c>
      <c r="R272" s="16">
        <f t="shared" si="53"/>
        <v>2588233.4940999998</v>
      </c>
      <c r="S272" s="1">
        <v>-657.49</v>
      </c>
      <c r="T272" s="1">
        <v>36.39</v>
      </c>
      <c r="U272" s="1">
        <v>48.64</v>
      </c>
      <c r="V272" s="1">
        <v>50.55</v>
      </c>
      <c r="W272" s="1" cm="1">
        <f t="array" ref="W272">SUM(ABS(S272:V272))</f>
        <v>793.06999999999994</v>
      </c>
      <c r="X272" s="25">
        <v>1.238</v>
      </c>
      <c r="Y272" s="42">
        <f t="shared" si="54"/>
        <v>245455.16499999998</v>
      </c>
      <c r="Z272" s="20">
        <v>720.1</v>
      </c>
      <c r="AA272" s="20">
        <f t="shared" si="55"/>
        <v>1513.17</v>
      </c>
      <c r="AB272" s="21">
        <v>0.27</v>
      </c>
      <c r="AC272" s="21">
        <v>14.95</v>
      </c>
      <c r="AD272" s="8">
        <f t="shared" si="56"/>
        <v>735.32</v>
      </c>
      <c r="AE272" s="25">
        <v>1.238</v>
      </c>
      <c r="AF272" s="25">
        <f t="shared" si="57"/>
        <v>227581.54</v>
      </c>
      <c r="AG272" s="25">
        <f t="shared" si="58"/>
        <v>473036.70499999996</v>
      </c>
      <c r="AH272" s="1">
        <f t="shared" si="48"/>
        <v>3804.33</v>
      </c>
      <c r="AI272" s="1">
        <f t="shared" si="49"/>
        <v>3791.3</v>
      </c>
      <c r="AJ272" s="1">
        <v>4630.63</v>
      </c>
      <c r="AK272" s="1">
        <f t="shared" si="50"/>
        <v>-826.30000000000018</v>
      </c>
      <c r="AL272" s="29">
        <f t="shared" si="59"/>
        <v>839.32999999999993</v>
      </c>
      <c r="AM272" s="11">
        <f t="shared" si="51"/>
        <v>3061270.1990999999</v>
      </c>
    </row>
    <row r="273" spans="1:39" x14ac:dyDescent="0.3">
      <c r="A273" s="39">
        <v>45843.802083333336</v>
      </c>
      <c r="B273" s="1">
        <v>1476.72</v>
      </c>
      <c r="C273" s="11">
        <v>3.2732000000000001</v>
      </c>
      <c r="D273" s="1">
        <v>636.09</v>
      </c>
      <c r="E273" s="11">
        <v>3.0760000000000001</v>
      </c>
      <c r="F273" s="1">
        <v>717.12</v>
      </c>
      <c r="G273" s="11">
        <v>3.53</v>
      </c>
      <c r="H273" s="1">
        <v>108.94</v>
      </c>
      <c r="I273" s="11">
        <v>5.0796599999999996</v>
      </c>
      <c r="J273" s="1">
        <v>119.96</v>
      </c>
      <c r="K273" s="11">
        <v>4.7891199999999996</v>
      </c>
      <c r="L273" s="1">
        <v>0</v>
      </c>
      <c r="M273" s="11">
        <v>6.2</v>
      </c>
      <c r="N273" s="1">
        <v>24.52</v>
      </c>
      <c r="O273" s="11">
        <v>2.8224999999999998</v>
      </c>
      <c r="P273" s="1">
        <f t="shared" si="52"/>
        <v>3083.35</v>
      </c>
      <c r="Q273" s="1">
        <v>3004.31</v>
      </c>
      <c r="R273" s="16">
        <f t="shared" si="53"/>
        <v>2629683.7599000004</v>
      </c>
      <c r="S273" s="1">
        <v>-722.21</v>
      </c>
      <c r="T273" s="1">
        <v>36.39</v>
      </c>
      <c r="U273" s="1">
        <v>48.62</v>
      </c>
      <c r="V273" s="1">
        <v>50.66</v>
      </c>
      <c r="W273" s="1" cm="1">
        <f t="array" ref="W273">SUM(ABS(S273:V273))</f>
        <v>857.88</v>
      </c>
      <c r="X273" s="25">
        <v>1.238</v>
      </c>
      <c r="Y273" s="42">
        <f t="shared" si="54"/>
        <v>265513.86000000004</v>
      </c>
      <c r="Z273" s="20">
        <v>728.91</v>
      </c>
      <c r="AA273" s="20">
        <f t="shared" si="55"/>
        <v>1586.79</v>
      </c>
      <c r="AB273" s="21">
        <v>0.25</v>
      </c>
      <c r="AC273" s="21">
        <v>16</v>
      </c>
      <c r="AD273" s="8">
        <f t="shared" si="56"/>
        <v>745.16</v>
      </c>
      <c r="AE273" s="25">
        <v>1.238</v>
      </c>
      <c r="AF273" s="25">
        <f t="shared" si="57"/>
        <v>230627.02</v>
      </c>
      <c r="AG273" s="25">
        <f t="shared" si="58"/>
        <v>496140.88</v>
      </c>
      <c r="AH273" s="1">
        <f t="shared" si="48"/>
        <v>3828.5099999999998</v>
      </c>
      <c r="AI273" s="1">
        <f t="shared" si="49"/>
        <v>3749.47</v>
      </c>
      <c r="AJ273" s="1">
        <v>4657.8500000000004</v>
      </c>
      <c r="AK273" s="1">
        <f t="shared" si="50"/>
        <v>-829.3400000000006</v>
      </c>
      <c r="AL273" s="29">
        <f t="shared" si="59"/>
        <v>908.38000000000056</v>
      </c>
      <c r="AM273" s="11">
        <f t="shared" si="51"/>
        <v>3125824.6399000003</v>
      </c>
    </row>
    <row r="274" spans="1:39" x14ac:dyDescent="0.3">
      <c r="A274" s="39">
        <v>45843.8125</v>
      </c>
      <c r="B274" s="1">
        <v>1476.72</v>
      </c>
      <c r="C274" s="11">
        <v>3.2732000000000001</v>
      </c>
      <c r="D274" s="1">
        <v>636.09</v>
      </c>
      <c r="E274" s="11">
        <v>3.0760000000000001</v>
      </c>
      <c r="F274" s="1">
        <v>717.12</v>
      </c>
      <c r="G274" s="11">
        <v>3.53</v>
      </c>
      <c r="H274" s="1">
        <v>108.83</v>
      </c>
      <c r="I274" s="11">
        <v>5.4503399999999997</v>
      </c>
      <c r="J274" s="1">
        <v>65.7</v>
      </c>
      <c r="K274" s="11">
        <v>4.5001499999999997</v>
      </c>
      <c r="L274" s="1">
        <v>0</v>
      </c>
      <c r="M274" s="11">
        <v>6.2</v>
      </c>
      <c r="N274" s="1">
        <v>24</v>
      </c>
      <c r="O274" s="11">
        <v>2.8224999999999998</v>
      </c>
      <c r="P274" s="1">
        <f t="shared" si="52"/>
        <v>3028.4599999999996</v>
      </c>
      <c r="Q274" s="1">
        <v>3015.76</v>
      </c>
      <c r="R274" s="16">
        <f t="shared" si="53"/>
        <v>2569551.6753000002</v>
      </c>
      <c r="S274" s="1">
        <v>-715.34</v>
      </c>
      <c r="T274" s="1">
        <v>36.4</v>
      </c>
      <c r="U274" s="1">
        <v>48.6</v>
      </c>
      <c r="V274" s="1">
        <v>50.64</v>
      </c>
      <c r="W274" s="1" cm="1">
        <f t="array" ref="W274">SUM(ABS(S274:V274))</f>
        <v>850.98</v>
      </c>
      <c r="X274" s="25">
        <v>1.238</v>
      </c>
      <c r="Y274" s="42">
        <f t="shared" si="54"/>
        <v>263378.31</v>
      </c>
      <c r="Z274" s="20">
        <v>732.03</v>
      </c>
      <c r="AA274" s="20">
        <f t="shared" si="55"/>
        <v>1583.01</v>
      </c>
      <c r="AB274" s="21">
        <v>0.25</v>
      </c>
      <c r="AC274" s="21">
        <v>14.62</v>
      </c>
      <c r="AD274" s="8">
        <f t="shared" si="56"/>
        <v>746.9</v>
      </c>
      <c r="AE274" s="25">
        <v>1.238</v>
      </c>
      <c r="AF274" s="25">
        <f t="shared" si="57"/>
        <v>231165.55</v>
      </c>
      <c r="AG274" s="25">
        <f t="shared" si="58"/>
        <v>494543.86</v>
      </c>
      <c r="AH274" s="1">
        <f t="shared" si="48"/>
        <v>3775.3599999999997</v>
      </c>
      <c r="AI274" s="1">
        <f t="shared" si="49"/>
        <v>3762.6600000000003</v>
      </c>
      <c r="AJ274" s="1">
        <v>4664.1400000000003</v>
      </c>
      <c r="AK274" s="1">
        <f t="shared" si="50"/>
        <v>-888.78000000000065</v>
      </c>
      <c r="AL274" s="29">
        <f t="shared" si="59"/>
        <v>901.48</v>
      </c>
      <c r="AM274" s="11">
        <f t="shared" si="51"/>
        <v>3064095.5353000001</v>
      </c>
    </row>
    <row r="275" spans="1:39" x14ac:dyDescent="0.3">
      <c r="A275" s="39">
        <v>45843.822916666664</v>
      </c>
      <c r="B275" s="1">
        <v>1476.72</v>
      </c>
      <c r="C275" s="11">
        <v>3.2732000000000001</v>
      </c>
      <c r="D275" s="1">
        <v>636.09</v>
      </c>
      <c r="E275" s="11">
        <v>3.0760000000000001</v>
      </c>
      <c r="F275" s="1">
        <v>717.12</v>
      </c>
      <c r="G275" s="11">
        <v>3.53</v>
      </c>
      <c r="H275" s="1">
        <v>110.08</v>
      </c>
      <c r="I275" s="11">
        <v>5.0756999999999994</v>
      </c>
      <c r="J275" s="1">
        <v>61.07</v>
      </c>
      <c r="K275" s="11">
        <v>4.1072100000000002</v>
      </c>
      <c r="L275" s="1">
        <v>0</v>
      </c>
      <c r="M275" s="11">
        <v>6.2</v>
      </c>
      <c r="N275" s="1">
        <v>24</v>
      </c>
      <c r="O275" s="11">
        <v>2.8224999999999998</v>
      </c>
      <c r="P275" s="1">
        <f t="shared" si="52"/>
        <v>3025.08</v>
      </c>
      <c r="Q275" s="1">
        <v>3012.37</v>
      </c>
      <c r="R275" s="16">
        <f t="shared" si="53"/>
        <v>2549736.6786750001</v>
      </c>
      <c r="S275" s="1">
        <v>-722.05</v>
      </c>
      <c r="T275" s="1">
        <v>36.39</v>
      </c>
      <c r="U275" s="1">
        <v>48.58</v>
      </c>
      <c r="V275" s="1">
        <v>50.64</v>
      </c>
      <c r="W275" s="1" cm="1">
        <f t="array" ref="W275">SUM(ABS(S275:V275))</f>
        <v>857.66</v>
      </c>
      <c r="X275" s="25">
        <v>1.238</v>
      </c>
      <c r="Y275" s="42">
        <f t="shared" si="54"/>
        <v>265445.76999999996</v>
      </c>
      <c r="Z275" s="20">
        <v>729.5100000000001</v>
      </c>
      <c r="AA275" s="20">
        <f t="shared" si="55"/>
        <v>1587.17</v>
      </c>
      <c r="AB275" s="21">
        <v>0.25</v>
      </c>
      <c r="AC275" s="21">
        <v>12.649999999999999</v>
      </c>
      <c r="AD275" s="8">
        <f t="shared" si="56"/>
        <v>742.41000000000008</v>
      </c>
      <c r="AE275" s="25">
        <v>1.238</v>
      </c>
      <c r="AF275" s="25">
        <f t="shared" si="57"/>
        <v>229775.89500000002</v>
      </c>
      <c r="AG275" s="25">
        <f t="shared" si="58"/>
        <v>495221.66499999998</v>
      </c>
      <c r="AH275" s="1">
        <f t="shared" si="48"/>
        <v>3767.49</v>
      </c>
      <c r="AI275" s="1">
        <f t="shared" si="49"/>
        <v>3754.7799999999997</v>
      </c>
      <c r="AJ275" s="1">
        <v>4664.7299999999996</v>
      </c>
      <c r="AK275" s="1">
        <f t="shared" si="50"/>
        <v>-897.23999999999978</v>
      </c>
      <c r="AL275" s="29">
        <f t="shared" si="59"/>
        <v>909.94999999999982</v>
      </c>
      <c r="AM275" s="11">
        <f t="shared" si="51"/>
        <v>3044958.3436750001</v>
      </c>
    </row>
    <row r="276" spans="1:39" x14ac:dyDescent="0.3">
      <c r="A276" s="39">
        <v>45843.833333333336</v>
      </c>
      <c r="B276" s="1">
        <v>1476.72</v>
      </c>
      <c r="C276" s="11">
        <v>3.2732000000000001</v>
      </c>
      <c r="D276" s="1">
        <v>636.09</v>
      </c>
      <c r="E276" s="11">
        <v>3.0760000000000001</v>
      </c>
      <c r="F276" s="1">
        <v>717.12</v>
      </c>
      <c r="G276" s="11">
        <v>3.53</v>
      </c>
      <c r="H276" s="1">
        <v>109.99</v>
      </c>
      <c r="I276" s="11">
        <v>5.0228199999999994</v>
      </c>
      <c r="J276" s="1">
        <v>195.53</v>
      </c>
      <c r="K276" s="11">
        <v>3.4306999999999999</v>
      </c>
      <c r="L276" s="1">
        <v>0</v>
      </c>
      <c r="M276" s="11">
        <v>6.2</v>
      </c>
      <c r="N276" s="1">
        <v>23.44</v>
      </c>
      <c r="O276" s="11">
        <v>2.8224999999999998</v>
      </c>
      <c r="P276" s="1">
        <f t="shared" si="52"/>
        <v>3158.89</v>
      </c>
      <c r="Q276" s="1">
        <v>3157.38</v>
      </c>
      <c r="R276" s="16">
        <f t="shared" si="53"/>
        <v>2652767.6217</v>
      </c>
      <c r="S276" s="1">
        <v>-564.84</v>
      </c>
      <c r="T276" s="1">
        <v>36.39</v>
      </c>
      <c r="U276" s="1">
        <v>48.59</v>
      </c>
      <c r="V276" s="1">
        <v>50.6</v>
      </c>
      <c r="W276" s="1" cm="1">
        <f t="array" ref="W276">SUM(ABS(S276:V276))</f>
        <v>700.42000000000007</v>
      </c>
      <c r="X276" s="25">
        <v>1.238</v>
      </c>
      <c r="Y276" s="42">
        <f t="shared" si="54"/>
        <v>216779.99000000002</v>
      </c>
      <c r="Z276" s="20">
        <v>730.86</v>
      </c>
      <c r="AA276" s="20">
        <f t="shared" si="55"/>
        <v>1431.2800000000002</v>
      </c>
      <c r="AB276" s="21">
        <v>0.24</v>
      </c>
      <c r="AC276" s="21">
        <v>13.700000000000001</v>
      </c>
      <c r="AD276" s="8">
        <f t="shared" si="56"/>
        <v>744.80000000000007</v>
      </c>
      <c r="AE276" s="25">
        <v>1.238</v>
      </c>
      <c r="AF276" s="25">
        <f t="shared" si="57"/>
        <v>230515.6</v>
      </c>
      <c r="AG276" s="25">
        <f t="shared" si="58"/>
        <v>447295.59</v>
      </c>
      <c r="AH276" s="1">
        <f t="shared" si="48"/>
        <v>3903.69</v>
      </c>
      <c r="AI276" s="1">
        <f t="shared" si="49"/>
        <v>3902.1800000000003</v>
      </c>
      <c r="AJ276" s="1">
        <v>4660.2299999999996</v>
      </c>
      <c r="AK276" s="1">
        <f t="shared" si="50"/>
        <v>-756.53999999999951</v>
      </c>
      <c r="AL276" s="29">
        <f t="shared" si="59"/>
        <v>758.04999999999927</v>
      </c>
      <c r="AM276" s="11">
        <f t="shared" si="51"/>
        <v>3100063.2116999999</v>
      </c>
    </row>
    <row r="277" spans="1:39" x14ac:dyDescent="0.3">
      <c r="A277" s="39">
        <v>45843.84375</v>
      </c>
      <c r="B277" s="1">
        <v>1476.72</v>
      </c>
      <c r="C277" s="11">
        <v>3.2732000000000001</v>
      </c>
      <c r="D277" s="1">
        <v>636.09</v>
      </c>
      <c r="E277" s="11">
        <v>3.0760000000000001</v>
      </c>
      <c r="F277" s="1">
        <v>717.12</v>
      </c>
      <c r="G277" s="11">
        <v>3.53</v>
      </c>
      <c r="H277" s="1">
        <v>109.8</v>
      </c>
      <c r="I277" s="11">
        <v>5.00047</v>
      </c>
      <c r="J277" s="1">
        <v>206.35</v>
      </c>
      <c r="K277" s="11">
        <v>3.5003000000000002</v>
      </c>
      <c r="L277" s="1">
        <v>0</v>
      </c>
      <c r="M277" s="11">
        <v>6.2</v>
      </c>
      <c r="N277" s="1">
        <v>22.56</v>
      </c>
      <c r="O277" s="11">
        <v>2.8224999999999998</v>
      </c>
      <c r="P277" s="1">
        <f t="shared" si="52"/>
        <v>3168.64</v>
      </c>
      <c r="Q277" s="1">
        <v>3132.62</v>
      </c>
      <c r="R277" s="16">
        <f t="shared" si="53"/>
        <v>2664165.1137500009</v>
      </c>
      <c r="S277" s="1">
        <v>-596.77</v>
      </c>
      <c r="T277" s="1">
        <v>36.4</v>
      </c>
      <c r="U277" s="1">
        <v>48.59</v>
      </c>
      <c r="V277" s="1">
        <v>50.63</v>
      </c>
      <c r="W277" s="1" cm="1">
        <f t="array" ref="W277">SUM(ABS(S277:V277))</f>
        <v>732.39</v>
      </c>
      <c r="X277" s="25">
        <v>1.238</v>
      </c>
      <c r="Y277" s="42">
        <f t="shared" si="54"/>
        <v>226674.70499999999</v>
      </c>
      <c r="Z277" s="20">
        <v>735.62000000000012</v>
      </c>
      <c r="AA277" s="20">
        <f t="shared" si="55"/>
        <v>1468.0100000000002</v>
      </c>
      <c r="AB277" s="21">
        <v>0.25</v>
      </c>
      <c r="AC277" s="21">
        <v>13.459999999999999</v>
      </c>
      <c r="AD277" s="8">
        <f t="shared" si="56"/>
        <v>749.33000000000015</v>
      </c>
      <c r="AE277" s="25">
        <v>1.238</v>
      </c>
      <c r="AF277" s="25">
        <f t="shared" si="57"/>
        <v>231917.63500000004</v>
      </c>
      <c r="AG277" s="25">
        <f t="shared" si="58"/>
        <v>458592.34</v>
      </c>
      <c r="AH277" s="1">
        <f t="shared" si="48"/>
        <v>3917.9700000000003</v>
      </c>
      <c r="AI277" s="1">
        <f t="shared" si="49"/>
        <v>3881.95</v>
      </c>
      <c r="AJ277" s="1">
        <v>4660.6099999999997</v>
      </c>
      <c r="AK277" s="1">
        <f t="shared" si="50"/>
        <v>-742.63999999999942</v>
      </c>
      <c r="AL277" s="29">
        <f t="shared" si="59"/>
        <v>778.65999999999985</v>
      </c>
      <c r="AM277" s="11">
        <f t="shared" si="51"/>
        <v>3122757.4537500008</v>
      </c>
    </row>
    <row r="278" spans="1:39" x14ac:dyDescent="0.3">
      <c r="A278" s="39">
        <v>45843.854166666664</v>
      </c>
      <c r="B278" s="1">
        <v>1477.7</v>
      </c>
      <c r="C278" s="11">
        <v>3.2732000000000001</v>
      </c>
      <c r="D278" s="1">
        <v>636.09</v>
      </c>
      <c r="E278" s="11">
        <v>3.0760000000000001</v>
      </c>
      <c r="F278" s="1">
        <v>717.12</v>
      </c>
      <c r="G278" s="11">
        <v>3.53</v>
      </c>
      <c r="H278" s="1">
        <v>108.79</v>
      </c>
      <c r="I278" s="11">
        <v>5.0753000000000004</v>
      </c>
      <c r="J278" s="1">
        <v>205.9</v>
      </c>
      <c r="K278" s="11">
        <v>3.87588</v>
      </c>
      <c r="L278" s="1">
        <v>0</v>
      </c>
      <c r="M278" s="11">
        <v>6.2</v>
      </c>
      <c r="N278" s="1">
        <v>22.5</v>
      </c>
      <c r="O278" s="11">
        <v>2.8224999999999998</v>
      </c>
      <c r="P278" s="1">
        <f t="shared" si="52"/>
        <v>3168.1</v>
      </c>
      <c r="Q278" s="1">
        <v>3011.76</v>
      </c>
      <c r="R278" s="16">
        <f t="shared" si="53"/>
        <v>2684636.47725</v>
      </c>
      <c r="S278" s="1">
        <v>-708.83</v>
      </c>
      <c r="T278" s="1">
        <v>36.43</v>
      </c>
      <c r="U278" s="1">
        <v>48.6</v>
      </c>
      <c r="V278" s="1">
        <v>50.67</v>
      </c>
      <c r="W278" s="1" cm="1">
        <f t="array" ref="W278">SUM(ABS(S278:V278))</f>
        <v>844.53</v>
      </c>
      <c r="X278" s="25">
        <v>1.238</v>
      </c>
      <c r="Y278" s="42">
        <f t="shared" si="54"/>
        <v>261382.03499999997</v>
      </c>
      <c r="Z278" s="20">
        <v>737.7</v>
      </c>
      <c r="AA278" s="20">
        <f t="shared" si="55"/>
        <v>1582.23</v>
      </c>
      <c r="AB278" s="21">
        <v>0.24</v>
      </c>
      <c r="AC278" s="21">
        <v>13.25</v>
      </c>
      <c r="AD278" s="8">
        <f t="shared" si="56"/>
        <v>751.19</v>
      </c>
      <c r="AE278" s="25">
        <v>1.238</v>
      </c>
      <c r="AF278" s="25">
        <f t="shared" si="57"/>
        <v>232493.30500000002</v>
      </c>
      <c r="AG278" s="25">
        <f t="shared" si="58"/>
        <v>493875.33999999997</v>
      </c>
      <c r="AH278" s="1">
        <f t="shared" si="48"/>
        <v>3919.29</v>
      </c>
      <c r="AI278" s="1">
        <f t="shared" si="49"/>
        <v>3762.9500000000003</v>
      </c>
      <c r="AJ278" s="1">
        <v>4654.08</v>
      </c>
      <c r="AK278" s="1">
        <f t="shared" si="50"/>
        <v>-734.79</v>
      </c>
      <c r="AL278" s="29">
        <f t="shared" si="59"/>
        <v>891.12999999999965</v>
      </c>
      <c r="AM278" s="11">
        <f t="shared" si="51"/>
        <v>3178511.8172499998</v>
      </c>
    </row>
    <row r="279" spans="1:39" x14ac:dyDescent="0.3">
      <c r="A279" s="39">
        <v>45843.864583333336</v>
      </c>
      <c r="B279" s="1">
        <v>1478.08</v>
      </c>
      <c r="C279" s="11">
        <v>3.2732000000000001</v>
      </c>
      <c r="D279" s="1">
        <v>636.09</v>
      </c>
      <c r="E279" s="11">
        <v>3.0760000000000001</v>
      </c>
      <c r="F279" s="1">
        <v>717.12</v>
      </c>
      <c r="G279" s="11">
        <v>3.53</v>
      </c>
      <c r="H279" s="1">
        <v>108.81</v>
      </c>
      <c r="I279" s="11">
        <v>5.0750900000000003</v>
      </c>
      <c r="J279" s="1">
        <v>205.86</v>
      </c>
      <c r="K279" s="11">
        <v>3.5826199999999999</v>
      </c>
      <c r="L279" s="1">
        <v>0</v>
      </c>
      <c r="M279" s="11">
        <v>6.2</v>
      </c>
      <c r="N279" s="1">
        <v>22.5</v>
      </c>
      <c r="O279" s="11">
        <v>2.8224999999999998</v>
      </c>
      <c r="P279" s="1">
        <f t="shared" si="52"/>
        <v>3168.46</v>
      </c>
      <c r="Q279" s="1">
        <v>3007.74</v>
      </c>
      <c r="R279" s="16">
        <f t="shared" si="53"/>
        <v>2669835.7105250005</v>
      </c>
      <c r="S279" s="1">
        <v>-719.95</v>
      </c>
      <c r="T279" s="1">
        <v>36.43</v>
      </c>
      <c r="U279" s="1">
        <v>48.59</v>
      </c>
      <c r="V279" s="1">
        <v>50.67</v>
      </c>
      <c r="W279" s="1" cm="1">
        <f t="array" ref="W279">SUM(ABS(S279:V279))</f>
        <v>855.64</v>
      </c>
      <c r="X279" s="25">
        <v>1.238</v>
      </c>
      <c r="Y279" s="42">
        <f t="shared" si="54"/>
        <v>264820.58</v>
      </c>
      <c r="Z279" s="20">
        <v>736.44</v>
      </c>
      <c r="AA279" s="20">
        <f t="shared" si="55"/>
        <v>1592.08</v>
      </c>
      <c r="AB279" s="21">
        <v>0.24</v>
      </c>
      <c r="AC279" s="21">
        <v>14.4</v>
      </c>
      <c r="AD279" s="8">
        <f t="shared" si="56"/>
        <v>751.08</v>
      </c>
      <c r="AE279" s="25">
        <v>1.238</v>
      </c>
      <c r="AF279" s="25">
        <f t="shared" si="57"/>
        <v>232459.26</v>
      </c>
      <c r="AG279" s="25">
        <f t="shared" si="58"/>
        <v>497279.84</v>
      </c>
      <c r="AH279" s="1">
        <f t="shared" si="48"/>
        <v>3919.54</v>
      </c>
      <c r="AI279" s="1">
        <f t="shared" si="49"/>
        <v>3758.8199999999997</v>
      </c>
      <c r="AJ279" s="1">
        <v>4670.16</v>
      </c>
      <c r="AK279" s="1">
        <f t="shared" si="50"/>
        <v>-750.61999999999989</v>
      </c>
      <c r="AL279" s="29">
        <f t="shared" si="59"/>
        <v>911.34000000000015</v>
      </c>
      <c r="AM279" s="11">
        <f t="shared" si="51"/>
        <v>3167115.5505250003</v>
      </c>
    </row>
    <row r="280" spans="1:39" x14ac:dyDescent="0.3">
      <c r="A280" s="39">
        <v>45843.875</v>
      </c>
      <c r="B280" s="1">
        <v>1460.08</v>
      </c>
      <c r="C280" s="11">
        <v>3.2732000000000001</v>
      </c>
      <c r="D280" s="1">
        <v>636.09</v>
      </c>
      <c r="E280" s="11">
        <v>3.0760000000000001</v>
      </c>
      <c r="F280" s="1">
        <v>717.12</v>
      </c>
      <c r="G280" s="11">
        <v>3.53</v>
      </c>
      <c r="H280" s="1">
        <v>75.52</v>
      </c>
      <c r="I280" s="11">
        <v>6.2812000000000001</v>
      </c>
      <c r="J280" s="1">
        <v>241.3</v>
      </c>
      <c r="K280" s="11">
        <v>3.5316300000000003</v>
      </c>
      <c r="L280" s="1">
        <v>0</v>
      </c>
      <c r="M280" s="11">
        <v>6.2</v>
      </c>
      <c r="N280" s="1">
        <v>35.04</v>
      </c>
      <c r="O280" s="11">
        <v>2.8224999999999998</v>
      </c>
      <c r="P280" s="1">
        <f t="shared" si="52"/>
        <v>3165.15</v>
      </c>
      <c r="Q280" s="1">
        <v>3041.97</v>
      </c>
      <c r="R280" s="16">
        <f t="shared" si="53"/>
        <v>2673154.80975</v>
      </c>
      <c r="S280" s="1">
        <v>-709.11</v>
      </c>
      <c r="T280" s="1">
        <v>36.4</v>
      </c>
      <c r="U280" s="1">
        <v>48.62</v>
      </c>
      <c r="V280" s="1">
        <v>50.69</v>
      </c>
      <c r="W280" s="1" cm="1">
        <f t="array" ref="W280">SUM(ABS(S280:V280))</f>
        <v>844.81999999999994</v>
      </c>
      <c r="X280" s="25">
        <v>1.238</v>
      </c>
      <c r="Y280" s="42">
        <f t="shared" si="54"/>
        <v>261471.79</v>
      </c>
      <c r="Z280" s="20">
        <v>734.33</v>
      </c>
      <c r="AA280" s="20">
        <f t="shared" si="55"/>
        <v>1579.15</v>
      </c>
      <c r="AB280" s="21">
        <v>0.24</v>
      </c>
      <c r="AC280" s="21">
        <v>13.299999999999999</v>
      </c>
      <c r="AD280" s="8">
        <f t="shared" si="56"/>
        <v>747.87</v>
      </c>
      <c r="AE280" s="25">
        <v>1.238</v>
      </c>
      <c r="AF280" s="25">
        <f t="shared" si="57"/>
        <v>231465.76500000001</v>
      </c>
      <c r="AG280" s="25">
        <f t="shared" si="58"/>
        <v>492937.55500000005</v>
      </c>
      <c r="AH280" s="1">
        <f t="shared" si="48"/>
        <v>3913.02</v>
      </c>
      <c r="AI280" s="1">
        <f t="shared" si="49"/>
        <v>3789.8399999999997</v>
      </c>
      <c r="AJ280" s="1">
        <v>4680.22</v>
      </c>
      <c r="AK280" s="1">
        <f t="shared" si="50"/>
        <v>-767.20000000000027</v>
      </c>
      <c r="AL280" s="29">
        <f t="shared" si="59"/>
        <v>890.38000000000056</v>
      </c>
      <c r="AM280" s="11">
        <f t="shared" si="51"/>
        <v>3166092.3647500002</v>
      </c>
    </row>
    <row r="281" spans="1:39" x14ac:dyDescent="0.3">
      <c r="A281" s="39">
        <v>45843.885416666664</v>
      </c>
      <c r="B281" s="1">
        <v>1458.7</v>
      </c>
      <c r="C281" s="11">
        <v>3.2732000000000001</v>
      </c>
      <c r="D281" s="1">
        <v>636.09</v>
      </c>
      <c r="E281" s="11">
        <v>3.0760000000000001</v>
      </c>
      <c r="F281" s="1">
        <v>717.12</v>
      </c>
      <c r="G281" s="11">
        <v>3.53</v>
      </c>
      <c r="H281" s="1">
        <v>77.489999999999995</v>
      </c>
      <c r="I281" s="11">
        <v>5.4004599999999998</v>
      </c>
      <c r="J281" s="1">
        <v>275.24</v>
      </c>
      <c r="K281" s="11">
        <v>3.7808299999999999</v>
      </c>
      <c r="L281" s="1">
        <v>0</v>
      </c>
      <c r="M281" s="11">
        <v>6.2</v>
      </c>
      <c r="N281" s="1">
        <v>36</v>
      </c>
      <c r="O281" s="11">
        <v>2.8224999999999998</v>
      </c>
      <c r="P281" s="1">
        <f t="shared" si="52"/>
        <v>3200.6399999999994</v>
      </c>
      <c r="Q281" s="1">
        <v>3080.77</v>
      </c>
      <c r="R281" s="16">
        <f t="shared" si="53"/>
        <v>2705847.64365</v>
      </c>
      <c r="S281" s="1">
        <v>-702.44</v>
      </c>
      <c r="T281" s="1">
        <v>36.369999999999997</v>
      </c>
      <c r="U281" s="1">
        <v>48.6</v>
      </c>
      <c r="V281" s="1">
        <v>50.68</v>
      </c>
      <c r="W281" s="1" cm="1">
        <f t="array" ref="W281">SUM(ABS(S281:V281))</f>
        <v>838.09</v>
      </c>
      <c r="X281" s="25">
        <v>1.238</v>
      </c>
      <c r="Y281" s="42">
        <f t="shared" si="54"/>
        <v>259388.85500000004</v>
      </c>
      <c r="Z281" s="20">
        <v>733.71</v>
      </c>
      <c r="AA281" s="20">
        <f t="shared" si="55"/>
        <v>1571.8000000000002</v>
      </c>
      <c r="AB281" s="21">
        <v>0.22999999999999998</v>
      </c>
      <c r="AC281" s="21">
        <v>13.02</v>
      </c>
      <c r="AD281" s="8">
        <f t="shared" si="56"/>
        <v>746.96</v>
      </c>
      <c r="AE281" s="25">
        <v>1.238</v>
      </c>
      <c r="AF281" s="25">
        <f t="shared" si="57"/>
        <v>231184.12</v>
      </c>
      <c r="AG281" s="25">
        <f t="shared" si="58"/>
        <v>490572.97500000003</v>
      </c>
      <c r="AH281" s="1">
        <f t="shared" si="48"/>
        <v>3947.5999999999995</v>
      </c>
      <c r="AI281" s="1">
        <f t="shared" si="49"/>
        <v>3827.73</v>
      </c>
      <c r="AJ281" s="1">
        <v>4713.4799999999996</v>
      </c>
      <c r="AK281" s="1">
        <f t="shared" si="50"/>
        <v>-765.88000000000011</v>
      </c>
      <c r="AL281" s="29">
        <f t="shared" si="59"/>
        <v>885.74999999999955</v>
      </c>
      <c r="AM281" s="11">
        <f t="shared" si="51"/>
        <v>3196420.6186500001</v>
      </c>
    </row>
    <row r="282" spans="1:39" x14ac:dyDescent="0.3">
      <c r="A282" s="39">
        <v>45843.895833333336</v>
      </c>
      <c r="B282" s="1">
        <v>1458.7</v>
      </c>
      <c r="C282" s="11">
        <v>3.2732000000000001</v>
      </c>
      <c r="D282" s="1">
        <v>636.09</v>
      </c>
      <c r="E282" s="11">
        <v>3.0760000000000001</v>
      </c>
      <c r="F282" s="1">
        <v>717.12</v>
      </c>
      <c r="G282" s="11">
        <v>3.53</v>
      </c>
      <c r="H282" s="1">
        <v>73.430000000000007</v>
      </c>
      <c r="I282" s="11">
        <v>5.4002799999999995</v>
      </c>
      <c r="J282" s="1">
        <v>259.70999999999998</v>
      </c>
      <c r="K282" s="11">
        <v>4.1200100000000006</v>
      </c>
      <c r="L282" s="1">
        <v>0</v>
      </c>
      <c r="M282" s="11">
        <v>6.2</v>
      </c>
      <c r="N282" s="1">
        <v>36</v>
      </c>
      <c r="O282" s="11">
        <v>2.8224999999999998</v>
      </c>
      <c r="P282" s="1">
        <f t="shared" si="52"/>
        <v>3181.0499999999997</v>
      </c>
      <c r="Q282" s="1">
        <v>3158.61</v>
      </c>
      <c r="R282" s="16">
        <f t="shared" si="53"/>
        <v>2707705.9093750003</v>
      </c>
      <c r="S282" s="1">
        <v>-666.45</v>
      </c>
      <c r="T282" s="1">
        <v>36.380000000000003</v>
      </c>
      <c r="U282" s="1">
        <v>48.6</v>
      </c>
      <c r="V282" s="1">
        <v>50.67</v>
      </c>
      <c r="W282" s="1" cm="1">
        <f t="array" ref="W282">SUM(ABS(S282:V282))</f>
        <v>802.1</v>
      </c>
      <c r="X282" s="25">
        <v>1.238</v>
      </c>
      <c r="Y282" s="42">
        <f t="shared" si="54"/>
        <v>248249.95</v>
      </c>
      <c r="Z282" s="20">
        <v>734.24</v>
      </c>
      <c r="AA282" s="20">
        <f t="shared" si="55"/>
        <v>1536.3400000000001</v>
      </c>
      <c r="AB282" s="21">
        <v>0.22999999999999998</v>
      </c>
      <c r="AC282" s="21">
        <v>11.370000000000001</v>
      </c>
      <c r="AD282" s="8">
        <f t="shared" si="56"/>
        <v>745.84</v>
      </c>
      <c r="AE282" s="25">
        <v>1.238</v>
      </c>
      <c r="AF282" s="25">
        <f t="shared" si="57"/>
        <v>230837.48</v>
      </c>
      <c r="AG282" s="25">
        <f t="shared" si="58"/>
        <v>479087.43000000005</v>
      </c>
      <c r="AH282" s="1">
        <f t="shared" si="48"/>
        <v>3926.89</v>
      </c>
      <c r="AI282" s="1">
        <f t="shared" si="49"/>
        <v>3904.4500000000003</v>
      </c>
      <c r="AJ282" s="1">
        <v>4753.25</v>
      </c>
      <c r="AK282" s="1">
        <f t="shared" si="50"/>
        <v>-826.36000000000013</v>
      </c>
      <c r="AL282" s="29">
        <f t="shared" si="59"/>
        <v>848.79999999999973</v>
      </c>
      <c r="AM282" s="11">
        <f t="shared" si="51"/>
        <v>3186793.3393750004</v>
      </c>
    </row>
    <row r="283" spans="1:39" x14ac:dyDescent="0.3">
      <c r="A283" s="39">
        <v>45843.90625</v>
      </c>
      <c r="B283" s="1">
        <v>1458.7</v>
      </c>
      <c r="C283" s="11">
        <v>3.2732000000000001</v>
      </c>
      <c r="D283" s="1">
        <v>636.09</v>
      </c>
      <c r="E283" s="11">
        <v>3.0760000000000001</v>
      </c>
      <c r="F283" s="1">
        <v>717.12</v>
      </c>
      <c r="G283" s="11">
        <v>3.53</v>
      </c>
      <c r="H283" s="1">
        <v>46.89</v>
      </c>
      <c r="I283" s="11">
        <v>6.49953</v>
      </c>
      <c r="J283" s="1">
        <v>369.39</v>
      </c>
      <c r="K283" s="11">
        <v>4.4108599999999996</v>
      </c>
      <c r="L283" s="1">
        <v>0</v>
      </c>
      <c r="M283" s="11">
        <v>6.2</v>
      </c>
      <c r="N283" s="1">
        <v>36</v>
      </c>
      <c r="O283" s="11">
        <v>2.8224999999999998</v>
      </c>
      <c r="P283" s="1">
        <f t="shared" si="52"/>
        <v>3264.1899999999996</v>
      </c>
      <c r="Q283" s="1">
        <v>3205.59</v>
      </c>
      <c r="R283" s="16">
        <f t="shared" si="53"/>
        <v>2824590.9542750004</v>
      </c>
      <c r="S283" s="1">
        <v>-693.6</v>
      </c>
      <c r="T283" s="1">
        <v>36.380000000000003</v>
      </c>
      <c r="U283" s="1">
        <v>48.58</v>
      </c>
      <c r="V283" s="1">
        <v>50.7</v>
      </c>
      <c r="W283" s="1" cm="1">
        <f t="array" ref="W283">SUM(ABS(S283:V283))</f>
        <v>829.2600000000001</v>
      </c>
      <c r="X283" s="25">
        <v>1.238</v>
      </c>
      <c r="Y283" s="42">
        <f t="shared" si="54"/>
        <v>256655.97000000003</v>
      </c>
      <c r="Z283" s="20">
        <v>732.56000000000006</v>
      </c>
      <c r="AA283" s="20">
        <f t="shared" si="55"/>
        <v>1561.8200000000002</v>
      </c>
      <c r="AB283" s="21">
        <v>0.22999999999999998</v>
      </c>
      <c r="AC283" s="21">
        <v>10.900000000000002</v>
      </c>
      <c r="AD283" s="8">
        <f t="shared" si="56"/>
        <v>743.69</v>
      </c>
      <c r="AE283" s="25">
        <v>1.238</v>
      </c>
      <c r="AF283" s="25">
        <f t="shared" si="57"/>
        <v>230172.05500000002</v>
      </c>
      <c r="AG283" s="25">
        <f t="shared" si="58"/>
        <v>486828.02500000002</v>
      </c>
      <c r="AH283" s="1">
        <f t="shared" si="48"/>
        <v>4007.8799999999997</v>
      </c>
      <c r="AI283" s="1">
        <f t="shared" si="49"/>
        <v>3949.28</v>
      </c>
      <c r="AJ283" s="1">
        <v>4828.46</v>
      </c>
      <c r="AK283" s="1">
        <f t="shared" si="50"/>
        <v>-820.58000000000038</v>
      </c>
      <c r="AL283" s="29">
        <f t="shared" si="59"/>
        <v>879.17999999999984</v>
      </c>
      <c r="AM283" s="11">
        <f t="shared" si="51"/>
        <v>3311418.9792750003</v>
      </c>
    </row>
    <row r="284" spans="1:39" x14ac:dyDescent="0.3">
      <c r="A284" s="39">
        <v>45843.916666666664</v>
      </c>
      <c r="B284" s="1">
        <v>1460.44</v>
      </c>
      <c r="C284" s="11">
        <v>3.2732000000000001</v>
      </c>
      <c r="D284" s="1">
        <v>636.09</v>
      </c>
      <c r="E284" s="11">
        <v>3.0760000000000001</v>
      </c>
      <c r="F284" s="1">
        <v>717.12</v>
      </c>
      <c r="G284" s="11">
        <v>3.53</v>
      </c>
      <c r="H284" s="1">
        <v>1.33</v>
      </c>
      <c r="I284" s="11">
        <v>9.49939</v>
      </c>
      <c r="J284" s="1">
        <v>427.22</v>
      </c>
      <c r="K284" s="11">
        <v>4.0111999999999997</v>
      </c>
      <c r="L284" s="1">
        <v>0</v>
      </c>
      <c r="M284" s="11">
        <v>6.2</v>
      </c>
      <c r="N284" s="1">
        <v>36</v>
      </c>
      <c r="O284" s="11">
        <v>2.8224999999999998</v>
      </c>
      <c r="P284" s="1">
        <f t="shared" si="52"/>
        <v>3278.2</v>
      </c>
      <c r="Q284" s="1">
        <v>3282.84</v>
      </c>
      <c r="R284" s="16">
        <f t="shared" si="53"/>
        <v>2774066.9251750004</v>
      </c>
      <c r="S284" s="1">
        <v>-682.63</v>
      </c>
      <c r="T284" s="1">
        <v>36.42</v>
      </c>
      <c r="U284" s="1">
        <v>48.62</v>
      </c>
      <c r="V284" s="1">
        <v>50.67</v>
      </c>
      <c r="W284" s="1" cm="1">
        <f t="array" ref="W284">SUM(ABS(S284:V284))</f>
        <v>818.33999999999992</v>
      </c>
      <c r="X284" s="25">
        <v>1.238</v>
      </c>
      <c r="Y284" s="42">
        <f t="shared" si="54"/>
        <v>253276.22999999998</v>
      </c>
      <c r="Z284" s="20">
        <v>735.13000000000011</v>
      </c>
      <c r="AA284" s="20">
        <f t="shared" si="55"/>
        <v>1553.47</v>
      </c>
      <c r="AB284" s="21">
        <v>0.22999999999999998</v>
      </c>
      <c r="AC284" s="21">
        <v>12.540000000000001</v>
      </c>
      <c r="AD284" s="8">
        <f t="shared" si="56"/>
        <v>747.90000000000009</v>
      </c>
      <c r="AE284" s="25">
        <v>1.238</v>
      </c>
      <c r="AF284" s="25">
        <f t="shared" si="57"/>
        <v>231475.05000000005</v>
      </c>
      <c r="AG284" s="25">
        <f t="shared" si="58"/>
        <v>484751.28</v>
      </c>
      <c r="AH284" s="1">
        <f t="shared" si="48"/>
        <v>4026.1</v>
      </c>
      <c r="AI284" s="1">
        <f t="shared" si="49"/>
        <v>4030.7400000000002</v>
      </c>
      <c r="AJ284" s="1">
        <v>4890.63</v>
      </c>
      <c r="AK284" s="1">
        <f t="shared" si="50"/>
        <v>-864.5300000000002</v>
      </c>
      <c r="AL284" s="29">
        <f t="shared" si="59"/>
        <v>859.88999999999987</v>
      </c>
      <c r="AM284" s="11">
        <f t="shared" si="51"/>
        <v>3258818.2051750002</v>
      </c>
    </row>
    <row r="285" spans="1:39" x14ac:dyDescent="0.3">
      <c r="A285" s="39">
        <v>45843.927083333336</v>
      </c>
      <c r="B285" s="1">
        <v>1460.84</v>
      </c>
      <c r="C285" s="11">
        <v>3.2732000000000001</v>
      </c>
      <c r="D285" s="1">
        <v>636.09</v>
      </c>
      <c r="E285" s="11">
        <v>3.0760000000000001</v>
      </c>
      <c r="F285" s="1">
        <v>717.12</v>
      </c>
      <c r="G285" s="11">
        <v>3.53</v>
      </c>
      <c r="H285" s="1">
        <v>-32.25</v>
      </c>
      <c r="I285" s="11">
        <v>9.9093300000000006</v>
      </c>
      <c r="J285" s="1">
        <v>511.09</v>
      </c>
      <c r="K285" s="11">
        <v>4.2743799999999998</v>
      </c>
      <c r="L285" s="1">
        <v>0</v>
      </c>
      <c r="M285" s="11">
        <v>6.2</v>
      </c>
      <c r="N285" s="1">
        <v>36</v>
      </c>
      <c r="O285" s="11">
        <v>2.8224999999999998</v>
      </c>
      <c r="P285" s="1">
        <f t="shared" si="52"/>
        <v>3328.89</v>
      </c>
      <c r="Q285" s="1">
        <v>3112.74</v>
      </c>
      <c r="R285" s="16">
        <f t="shared" si="53"/>
        <v>2809073.7274250006</v>
      </c>
      <c r="S285" s="1">
        <v>-573.96</v>
      </c>
      <c r="T285" s="1">
        <v>36.42</v>
      </c>
      <c r="U285" s="1">
        <v>48.58</v>
      </c>
      <c r="V285" s="1">
        <v>50.67</v>
      </c>
      <c r="W285" s="1" cm="1">
        <f t="array" ref="W285">SUM(ABS(S285:V285))</f>
        <v>709.63</v>
      </c>
      <c r="X285" s="25">
        <v>1.238</v>
      </c>
      <c r="Y285" s="42">
        <f t="shared" si="54"/>
        <v>219630.48499999999</v>
      </c>
      <c r="Z285" s="20">
        <v>683.04</v>
      </c>
      <c r="AA285" s="20">
        <f t="shared" si="55"/>
        <v>1392.67</v>
      </c>
      <c r="AB285" s="21">
        <v>0.21000000000000002</v>
      </c>
      <c r="AC285" s="21">
        <v>13.27</v>
      </c>
      <c r="AD285" s="8">
        <f t="shared" si="56"/>
        <v>696.52</v>
      </c>
      <c r="AE285" s="25">
        <v>1.238</v>
      </c>
      <c r="AF285" s="25">
        <f t="shared" si="57"/>
        <v>215572.94</v>
      </c>
      <c r="AG285" s="25">
        <f t="shared" si="58"/>
        <v>435203.42499999999</v>
      </c>
      <c r="AH285" s="1">
        <f t="shared" si="48"/>
        <v>4025.41</v>
      </c>
      <c r="AI285" s="1">
        <f t="shared" si="49"/>
        <v>3809.2599999999998</v>
      </c>
      <c r="AJ285" s="1">
        <v>4564.84</v>
      </c>
      <c r="AK285" s="1">
        <f t="shared" si="50"/>
        <v>-539.43000000000029</v>
      </c>
      <c r="AL285" s="29">
        <f t="shared" si="59"/>
        <v>755.58000000000038</v>
      </c>
      <c r="AM285" s="11">
        <f t="shared" si="51"/>
        <v>3244277.1524250004</v>
      </c>
    </row>
    <row r="286" spans="1:39" x14ac:dyDescent="0.3">
      <c r="A286" s="39">
        <v>45843.9375</v>
      </c>
      <c r="B286" s="1">
        <v>1460.86</v>
      </c>
      <c r="C286" s="11">
        <v>3.2732000000000001</v>
      </c>
      <c r="D286" s="1">
        <v>636.09</v>
      </c>
      <c r="E286" s="11">
        <v>3.0760000000000001</v>
      </c>
      <c r="F286" s="1">
        <v>717.12</v>
      </c>
      <c r="G286" s="11">
        <v>3.53</v>
      </c>
      <c r="H286" s="1">
        <v>-93.35</v>
      </c>
      <c r="I286" s="11">
        <v>9.9099599999999999</v>
      </c>
      <c r="J286" s="1">
        <v>589.03</v>
      </c>
      <c r="K286" s="11">
        <v>4.9203700000000001</v>
      </c>
      <c r="L286" s="1">
        <v>0</v>
      </c>
      <c r="M286" s="11">
        <v>6.2</v>
      </c>
      <c r="N286" s="1">
        <v>36</v>
      </c>
      <c r="O286" s="11">
        <v>2.8224999999999998</v>
      </c>
      <c r="P286" s="1">
        <f t="shared" si="52"/>
        <v>3345.75</v>
      </c>
      <c r="Q286" s="1">
        <v>3129.53</v>
      </c>
      <c r="R286" s="16">
        <f t="shared" si="53"/>
        <v>2836123.5417750003</v>
      </c>
      <c r="S286" s="1">
        <v>-231.31</v>
      </c>
      <c r="T286" s="1">
        <v>36.36</v>
      </c>
      <c r="U286" s="1">
        <v>48.56</v>
      </c>
      <c r="V286" s="1">
        <v>50.62</v>
      </c>
      <c r="W286" s="1" cm="1">
        <f t="array" ref="W286">SUM(ABS(S286:V286))</f>
        <v>366.85</v>
      </c>
      <c r="X286" s="25">
        <v>1.238</v>
      </c>
      <c r="Y286" s="42">
        <f t="shared" si="54"/>
        <v>113540.075</v>
      </c>
      <c r="Z286" s="20">
        <v>450.79</v>
      </c>
      <c r="AA286" s="20">
        <f t="shared" si="55"/>
        <v>817.6400000000001</v>
      </c>
      <c r="AB286" s="21">
        <v>0.19</v>
      </c>
      <c r="AC286" s="21">
        <v>14.09</v>
      </c>
      <c r="AD286" s="8">
        <f t="shared" si="56"/>
        <v>465.07</v>
      </c>
      <c r="AE286" s="25">
        <v>1.238</v>
      </c>
      <c r="AF286" s="25">
        <f t="shared" si="57"/>
        <v>143939.16500000001</v>
      </c>
      <c r="AG286" s="25">
        <f t="shared" si="58"/>
        <v>257479.24</v>
      </c>
      <c r="AH286" s="1">
        <f t="shared" si="48"/>
        <v>3810.82</v>
      </c>
      <c r="AI286" s="1">
        <f t="shared" si="49"/>
        <v>3594.6000000000004</v>
      </c>
      <c r="AJ286" s="1">
        <v>3997</v>
      </c>
      <c r="AK286" s="1">
        <f t="shared" si="50"/>
        <v>-186.17999999999984</v>
      </c>
      <c r="AL286" s="29">
        <f t="shared" si="59"/>
        <v>402.39999999999964</v>
      </c>
      <c r="AM286" s="11">
        <f t="shared" si="51"/>
        <v>3093602.7817750005</v>
      </c>
    </row>
    <row r="287" spans="1:39" x14ac:dyDescent="0.3">
      <c r="A287" s="39">
        <v>45843.947916666664</v>
      </c>
      <c r="B287" s="1">
        <v>1459.26</v>
      </c>
      <c r="C287" s="11">
        <v>3.2732000000000001</v>
      </c>
      <c r="D287" s="1">
        <v>636.09</v>
      </c>
      <c r="E287" s="11">
        <v>3.0760000000000001</v>
      </c>
      <c r="F287" s="1">
        <v>717.12</v>
      </c>
      <c r="G287" s="11">
        <v>3.53</v>
      </c>
      <c r="H287" s="1">
        <v>-101.61</v>
      </c>
      <c r="I287" s="11">
        <v>9.9994399999999999</v>
      </c>
      <c r="J287" s="1">
        <v>612.75</v>
      </c>
      <c r="K287" s="11">
        <v>5.0003400000000005</v>
      </c>
      <c r="L287" s="1">
        <v>0</v>
      </c>
      <c r="M287" s="11">
        <v>6.2</v>
      </c>
      <c r="N287" s="1">
        <v>36</v>
      </c>
      <c r="O287" s="11">
        <v>2.8224999999999998</v>
      </c>
      <c r="P287" s="1">
        <f t="shared" si="52"/>
        <v>3359.6099999999997</v>
      </c>
      <c r="Q287" s="1">
        <v>3003.36</v>
      </c>
      <c r="R287" s="16">
        <f t="shared" si="53"/>
        <v>2853505.3771500005</v>
      </c>
      <c r="S287" s="1">
        <v>-231.4</v>
      </c>
      <c r="T287" s="1">
        <v>36.270000000000003</v>
      </c>
      <c r="U287" s="1">
        <v>48.58</v>
      </c>
      <c r="V287" s="1">
        <v>50.28</v>
      </c>
      <c r="W287" s="1" cm="1">
        <f t="array" ref="W287">SUM(ABS(S287:V287))</f>
        <v>366.53</v>
      </c>
      <c r="X287" s="25">
        <v>1.238</v>
      </c>
      <c r="Y287" s="42">
        <f t="shared" si="54"/>
        <v>113441.03499999999</v>
      </c>
      <c r="Z287" s="20">
        <v>425.79</v>
      </c>
      <c r="AA287" s="20">
        <f t="shared" si="55"/>
        <v>792.31999999999994</v>
      </c>
      <c r="AB287" s="21">
        <v>0.18999999999999997</v>
      </c>
      <c r="AC287" s="21">
        <v>13.610000000000001</v>
      </c>
      <c r="AD287" s="8">
        <f t="shared" si="56"/>
        <v>439.59000000000003</v>
      </c>
      <c r="AE287" s="25">
        <v>1.238</v>
      </c>
      <c r="AF287" s="25">
        <f t="shared" si="57"/>
        <v>136053.10500000001</v>
      </c>
      <c r="AG287" s="25">
        <f t="shared" si="58"/>
        <v>249494.14</v>
      </c>
      <c r="AH287" s="1">
        <f t="shared" si="48"/>
        <v>3799.2</v>
      </c>
      <c r="AI287" s="1">
        <f t="shared" si="49"/>
        <v>3442.9500000000003</v>
      </c>
      <c r="AJ287" s="1">
        <v>3856.34</v>
      </c>
      <c r="AK287" s="1">
        <f t="shared" si="50"/>
        <v>-57.140000000000327</v>
      </c>
      <c r="AL287" s="29">
        <f t="shared" si="59"/>
        <v>413.38999999999987</v>
      </c>
      <c r="AM287" s="11">
        <f t="shared" si="51"/>
        <v>3102999.5171500007</v>
      </c>
    </row>
    <row r="288" spans="1:39" x14ac:dyDescent="0.3">
      <c r="A288" s="39">
        <v>45843.958333333336</v>
      </c>
      <c r="B288" s="1">
        <v>1459.14</v>
      </c>
      <c r="C288" s="11">
        <v>3.2732000000000001</v>
      </c>
      <c r="D288" s="1">
        <v>636.09</v>
      </c>
      <c r="E288" s="11">
        <v>3.0760000000000001</v>
      </c>
      <c r="F288" s="1">
        <v>717.12</v>
      </c>
      <c r="G288" s="11">
        <v>3.53</v>
      </c>
      <c r="H288" s="1">
        <v>-101.9</v>
      </c>
      <c r="I288" s="11">
        <v>9.4998299999999993</v>
      </c>
      <c r="J288" s="1">
        <v>560.45000000000005</v>
      </c>
      <c r="K288" s="11">
        <v>3.9990900000000003</v>
      </c>
      <c r="L288" s="1">
        <v>0</v>
      </c>
      <c r="M288" s="11">
        <v>6.2</v>
      </c>
      <c r="N288" s="1">
        <v>36</v>
      </c>
      <c r="O288" s="11">
        <v>2.8224999999999998</v>
      </c>
      <c r="P288" s="1">
        <f t="shared" si="52"/>
        <v>3306.8999999999996</v>
      </c>
      <c r="Q288" s="1">
        <v>3087.33</v>
      </c>
      <c r="R288" s="16">
        <f t="shared" si="53"/>
        <v>2659742.7003750009</v>
      </c>
      <c r="S288" s="1">
        <v>-202.76</v>
      </c>
      <c r="T288" s="1">
        <v>36.200000000000003</v>
      </c>
      <c r="U288" s="1">
        <v>48.59</v>
      </c>
      <c r="V288" s="1">
        <v>25.68</v>
      </c>
      <c r="W288" s="1" cm="1">
        <f t="array" ref="W288">SUM(ABS(S288:V288))</f>
        <v>313.22999999999996</v>
      </c>
      <c r="X288" s="25">
        <v>1.238</v>
      </c>
      <c r="Y288" s="42">
        <f t="shared" si="54"/>
        <v>96944.684999999998</v>
      </c>
      <c r="Z288" s="20">
        <v>397.17999999999995</v>
      </c>
      <c r="AA288" s="20">
        <f t="shared" si="55"/>
        <v>710.40999999999985</v>
      </c>
      <c r="AB288" s="21">
        <v>0.26</v>
      </c>
      <c r="AC288" s="21">
        <v>11.940000000000001</v>
      </c>
      <c r="AD288" s="8">
        <f t="shared" si="56"/>
        <v>409.37999999999994</v>
      </c>
      <c r="AE288" s="25">
        <v>1.238</v>
      </c>
      <c r="AF288" s="25">
        <f t="shared" si="57"/>
        <v>126703.10999999999</v>
      </c>
      <c r="AG288" s="25">
        <f t="shared" si="58"/>
        <v>223647.79499999998</v>
      </c>
      <c r="AH288" s="1">
        <f t="shared" si="48"/>
        <v>3716.2799999999997</v>
      </c>
      <c r="AI288" s="1">
        <f t="shared" si="49"/>
        <v>3496.71</v>
      </c>
      <c r="AJ288" s="1">
        <v>3850.89</v>
      </c>
      <c r="AK288" s="1">
        <f t="shared" si="50"/>
        <v>-134.61000000000013</v>
      </c>
      <c r="AL288" s="29">
        <f t="shared" si="59"/>
        <v>354.17999999999984</v>
      </c>
      <c r="AM288" s="11">
        <f t="shared" si="51"/>
        <v>2883390.4953750009</v>
      </c>
    </row>
    <row r="289" spans="1:40" x14ac:dyDescent="0.3">
      <c r="A289" s="39">
        <v>45843.96875</v>
      </c>
      <c r="B289" s="1">
        <v>1459.14</v>
      </c>
      <c r="C289" s="11">
        <v>3.2732000000000001</v>
      </c>
      <c r="D289" s="1">
        <v>636.09</v>
      </c>
      <c r="E289" s="11">
        <v>3.0760000000000001</v>
      </c>
      <c r="F289" s="1">
        <v>717.12</v>
      </c>
      <c r="G289" s="11">
        <v>3.53</v>
      </c>
      <c r="H289" s="1">
        <v>-195.01</v>
      </c>
      <c r="I289" s="11">
        <v>9.9991800000000008</v>
      </c>
      <c r="J289" s="1">
        <v>573.96</v>
      </c>
      <c r="K289" s="11">
        <v>3.9907600000000003</v>
      </c>
      <c r="L289" s="1">
        <v>0</v>
      </c>
      <c r="M289" s="11">
        <v>6.2</v>
      </c>
      <c r="N289" s="1">
        <v>36</v>
      </c>
      <c r="O289" s="11">
        <v>2.8224999999999998</v>
      </c>
      <c r="P289" s="1">
        <f t="shared" si="52"/>
        <v>3227.3</v>
      </c>
      <c r="Q289" s="1">
        <v>3120.81</v>
      </c>
      <c r="R289" s="16">
        <f t="shared" si="53"/>
        <v>2426577.5014500003</v>
      </c>
      <c r="S289" s="1">
        <v>-200.03</v>
      </c>
      <c r="T289" s="1">
        <v>36.14</v>
      </c>
      <c r="U289" s="1">
        <v>48.58</v>
      </c>
      <c r="V289" s="1">
        <v>25.8</v>
      </c>
      <c r="W289" s="1" cm="1">
        <f t="array" ref="W289">SUM(ABS(S289:V289))</f>
        <v>310.55</v>
      </c>
      <c r="X289" s="25">
        <v>1.238</v>
      </c>
      <c r="Y289" s="42">
        <f t="shared" si="54"/>
        <v>96115.225000000006</v>
      </c>
      <c r="Z289" s="20">
        <v>409.65999999999991</v>
      </c>
      <c r="AA289" s="20">
        <f t="shared" si="55"/>
        <v>720.20999999999992</v>
      </c>
      <c r="AB289" s="21">
        <v>0.26</v>
      </c>
      <c r="AC289" s="21">
        <v>9.18</v>
      </c>
      <c r="AD289" s="8">
        <f t="shared" si="56"/>
        <v>419.09999999999991</v>
      </c>
      <c r="AE289" s="25">
        <v>1.238</v>
      </c>
      <c r="AF289" s="25">
        <f t="shared" si="57"/>
        <v>129711.44999999995</v>
      </c>
      <c r="AG289" s="25">
        <f t="shared" si="58"/>
        <v>225826.67499999996</v>
      </c>
      <c r="AH289" s="1">
        <f t="shared" si="48"/>
        <v>3646.4</v>
      </c>
      <c r="AI289" s="1">
        <f t="shared" si="49"/>
        <v>3539.91</v>
      </c>
      <c r="AJ289" s="1">
        <v>3891.89</v>
      </c>
      <c r="AK289" s="1">
        <f t="shared" si="50"/>
        <v>-245.48999999999978</v>
      </c>
      <c r="AL289" s="29">
        <f t="shared" si="59"/>
        <v>351.98</v>
      </c>
      <c r="AM289" s="11">
        <f t="shared" si="51"/>
        <v>2652404.1764500001</v>
      </c>
    </row>
    <row r="290" spans="1:40" x14ac:dyDescent="0.3">
      <c r="A290" s="39">
        <v>45843.979166666664</v>
      </c>
      <c r="B290" s="1">
        <v>1461.28</v>
      </c>
      <c r="C290" s="11">
        <v>3.2732000000000001</v>
      </c>
      <c r="D290" s="1">
        <v>636.09</v>
      </c>
      <c r="E290" s="11">
        <v>3.0760000000000001</v>
      </c>
      <c r="F290" s="1">
        <v>717.12</v>
      </c>
      <c r="G290" s="11">
        <v>3.53</v>
      </c>
      <c r="H290" s="1">
        <v>-108.79</v>
      </c>
      <c r="I290" s="11">
        <v>9.0856600000000007</v>
      </c>
      <c r="J290" s="1">
        <v>396.69</v>
      </c>
      <c r="K290" s="11">
        <v>3.82002</v>
      </c>
      <c r="L290" s="1">
        <v>0</v>
      </c>
      <c r="M290" s="11">
        <v>6.2</v>
      </c>
      <c r="N290" s="1">
        <v>36</v>
      </c>
      <c r="O290" s="11">
        <v>2.8224999999999998</v>
      </c>
      <c r="P290" s="1">
        <f t="shared" si="52"/>
        <v>3138.39</v>
      </c>
      <c r="Q290" s="1">
        <v>3147.44</v>
      </c>
      <c r="R290" s="16">
        <f t="shared" si="53"/>
        <v>2474913.2296000007</v>
      </c>
      <c r="S290" s="1">
        <v>-350.19</v>
      </c>
      <c r="T290" s="1">
        <v>36.1</v>
      </c>
      <c r="U290" s="1">
        <v>48.59</v>
      </c>
      <c r="V290" s="1">
        <v>25.88</v>
      </c>
      <c r="W290" s="1" cm="1">
        <f t="array" ref="W290">SUM(ABS(S290:V290))</f>
        <v>460.76</v>
      </c>
      <c r="X290" s="25">
        <v>1.238</v>
      </c>
      <c r="Y290" s="42">
        <f t="shared" si="54"/>
        <v>142605.22</v>
      </c>
      <c r="Z290" s="20">
        <v>523.89</v>
      </c>
      <c r="AA290" s="20">
        <f t="shared" si="55"/>
        <v>984.65</v>
      </c>
      <c r="AB290" s="21">
        <v>0.26</v>
      </c>
      <c r="AC290" s="21">
        <v>7.4099999999999993</v>
      </c>
      <c r="AD290" s="8">
        <f t="shared" si="56"/>
        <v>531.55999999999995</v>
      </c>
      <c r="AE290" s="25">
        <v>1.238</v>
      </c>
      <c r="AF290" s="25">
        <f t="shared" si="57"/>
        <v>164517.81999999998</v>
      </c>
      <c r="AG290" s="25">
        <f t="shared" si="58"/>
        <v>307123.03999999998</v>
      </c>
      <c r="AH290" s="1">
        <f t="shared" si="48"/>
        <v>3669.95</v>
      </c>
      <c r="AI290" s="1">
        <f t="shared" si="49"/>
        <v>3679</v>
      </c>
      <c r="AJ290" s="1">
        <v>4183.6000000000004</v>
      </c>
      <c r="AK290" s="1">
        <f t="shared" si="50"/>
        <v>-513.65000000000055</v>
      </c>
      <c r="AL290" s="29">
        <f t="shared" si="59"/>
        <v>504.60000000000036</v>
      </c>
      <c r="AM290" s="11">
        <f t="shared" si="51"/>
        <v>2782036.2696000007</v>
      </c>
    </row>
    <row r="291" spans="1:40" x14ac:dyDescent="0.3">
      <c r="A291" s="39">
        <v>45843.989583333336</v>
      </c>
      <c r="B291" s="1">
        <v>1461.82</v>
      </c>
      <c r="C291" s="11">
        <v>3.2732000000000001</v>
      </c>
      <c r="D291" s="1">
        <v>636.09</v>
      </c>
      <c r="E291" s="11">
        <v>3.0760000000000001</v>
      </c>
      <c r="F291" s="1">
        <v>717.12</v>
      </c>
      <c r="G291" s="11">
        <v>3.53</v>
      </c>
      <c r="H291" s="1">
        <v>-101.9</v>
      </c>
      <c r="I291" s="11">
        <v>9.0666799999999999</v>
      </c>
      <c r="J291" s="1">
        <v>301.04000000000002</v>
      </c>
      <c r="K291" s="11">
        <v>3.62059</v>
      </c>
      <c r="L291" s="1">
        <v>0</v>
      </c>
      <c r="M291" s="11">
        <v>6.2</v>
      </c>
      <c r="N291" s="1">
        <v>36</v>
      </c>
      <c r="O291" s="11">
        <v>2.8224999999999998</v>
      </c>
      <c r="P291" s="1">
        <f t="shared" si="52"/>
        <v>3050.1699999999996</v>
      </c>
      <c r="Q291" s="1">
        <v>3013.87</v>
      </c>
      <c r="R291" s="16">
        <f t="shared" si="53"/>
        <v>2385133.3464000006</v>
      </c>
      <c r="S291" s="1">
        <v>-655.71</v>
      </c>
      <c r="T291" s="1">
        <v>36.090000000000003</v>
      </c>
      <c r="U291" s="1">
        <v>48.97</v>
      </c>
      <c r="V291" s="1">
        <v>37.31</v>
      </c>
      <c r="W291" s="1" cm="1">
        <f t="array" ref="W291">SUM(ABS(S291:V291))</f>
        <v>778.08000000000015</v>
      </c>
      <c r="X291" s="25">
        <v>1.238</v>
      </c>
      <c r="Y291" s="42">
        <f t="shared" si="54"/>
        <v>240815.76000000004</v>
      </c>
      <c r="Z291" s="20">
        <v>637.29999999999984</v>
      </c>
      <c r="AA291" s="20">
        <f t="shared" si="55"/>
        <v>1415.38</v>
      </c>
      <c r="AB291" s="21">
        <v>0.22999999999999998</v>
      </c>
      <c r="AC291" s="21">
        <v>7.04</v>
      </c>
      <c r="AD291" s="8">
        <f t="shared" si="56"/>
        <v>644.56999999999982</v>
      </c>
      <c r="AE291" s="25">
        <v>1.238</v>
      </c>
      <c r="AF291" s="25">
        <f t="shared" si="57"/>
        <v>199494.41499999995</v>
      </c>
      <c r="AG291" s="25">
        <f t="shared" si="58"/>
        <v>440310.17499999999</v>
      </c>
      <c r="AH291" s="1">
        <f t="shared" si="48"/>
        <v>3694.7399999999993</v>
      </c>
      <c r="AI291" s="1">
        <f t="shared" si="49"/>
        <v>3658.4399999999996</v>
      </c>
      <c r="AJ291" s="1">
        <v>4479.29</v>
      </c>
      <c r="AK291" s="1">
        <f t="shared" si="50"/>
        <v>-784.55000000000064</v>
      </c>
      <c r="AL291" s="29">
        <f t="shared" si="59"/>
        <v>820.85000000000036</v>
      </c>
      <c r="AM291" s="11">
        <f t="shared" si="51"/>
        <v>2825443.5214000004</v>
      </c>
      <c r="AN291" s="31">
        <f>SUM(AM196:AM291)</f>
        <v>259515339.67265001</v>
      </c>
    </row>
    <row r="292" spans="1:40" x14ac:dyDescent="0.3">
      <c r="A292" s="39">
        <v>45874</v>
      </c>
      <c r="B292" s="1">
        <v>1461.3</v>
      </c>
      <c r="C292" s="11">
        <v>3.2732000000000001</v>
      </c>
      <c r="D292" s="1">
        <v>547.1</v>
      </c>
      <c r="E292" s="11">
        <v>3.0760000000000001</v>
      </c>
      <c r="F292" s="1">
        <v>444.29</v>
      </c>
      <c r="G292" s="11">
        <v>3.53</v>
      </c>
      <c r="H292" s="1">
        <v>-101.9</v>
      </c>
      <c r="I292" s="11">
        <v>4.0526</v>
      </c>
      <c r="J292" s="1">
        <v>16.809999999999999</v>
      </c>
      <c r="K292" s="11">
        <v>3.8207900000000001</v>
      </c>
      <c r="L292" s="1">
        <v>0</v>
      </c>
      <c r="M292" s="11">
        <v>6.2</v>
      </c>
      <c r="N292" s="1">
        <v>22.1</v>
      </c>
      <c r="O292" s="11">
        <v>2.8224999999999998</v>
      </c>
      <c r="P292" s="1">
        <f t="shared" si="52"/>
        <v>2389.6999999999998</v>
      </c>
      <c r="Q292" s="1">
        <v>2885.33</v>
      </c>
      <c r="R292" s="16">
        <f t="shared" si="53"/>
        <v>1936998.8124749998</v>
      </c>
      <c r="S292" s="1">
        <v>-731.87</v>
      </c>
      <c r="T292" s="1">
        <v>36.090000000000003</v>
      </c>
      <c r="U292" s="1">
        <v>64.23</v>
      </c>
      <c r="V292" s="1">
        <v>50.68</v>
      </c>
      <c r="W292" s="1" cm="1">
        <f t="array" ref="W292">SUM(ABS(S292:V292))</f>
        <v>882.87</v>
      </c>
      <c r="X292" s="25">
        <v>1.238</v>
      </c>
      <c r="Y292" s="42">
        <f t="shared" si="54"/>
        <v>273248.26500000001</v>
      </c>
      <c r="Z292" s="20">
        <v>666.16000000000008</v>
      </c>
      <c r="AA292" s="20">
        <f t="shared" si="55"/>
        <v>1549.0300000000002</v>
      </c>
      <c r="AB292" s="21">
        <v>0.24</v>
      </c>
      <c r="AC292" s="21">
        <v>6.41</v>
      </c>
      <c r="AD292" s="8">
        <f t="shared" si="56"/>
        <v>672.81000000000006</v>
      </c>
      <c r="AE292" s="25">
        <v>1.238</v>
      </c>
      <c r="AF292" s="25">
        <f t="shared" si="57"/>
        <v>208234.69500000001</v>
      </c>
      <c r="AG292" s="25">
        <f t="shared" si="58"/>
        <v>481482.96</v>
      </c>
      <c r="AH292" s="1">
        <f t="shared" si="48"/>
        <v>3062.5099999999998</v>
      </c>
      <c r="AI292" s="1">
        <f t="shared" si="49"/>
        <v>3558.14</v>
      </c>
      <c r="AJ292" s="1">
        <v>4491.08</v>
      </c>
      <c r="AK292" s="1">
        <f t="shared" si="50"/>
        <v>-1428.5700000000002</v>
      </c>
      <c r="AL292" s="29">
        <f t="shared" si="59"/>
        <v>932.94</v>
      </c>
      <c r="AM292" s="11">
        <f t="shared" si="51"/>
        <v>2418481.772475</v>
      </c>
    </row>
    <row r="293" spans="1:40" x14ac:dyDescent="0.3">
      <c r="A293" s="39">
        <v>45874.010416666664</v>
      </c>
      <c r="B293" s="1">
        <v>1461.94</v>
      </c>
      <c r="C293" s="11">
        <v>3.2732000000000001</v>
      </c>
      <c r="D293" s="1">
        <v>540.05999999999995</v>
      </c>
      <c r="E293" s="11">
        <v>3.0760000000000001</v>
      </c>
      <c r="F293" s="1">
        <v>422.7</v>
      </c>
      <c r="G293" s="11">
        <v>3.53</v>
      </c>
      <c r="H293" s="1">
        <v>-101.9</v>
      </c>
      <c r="I293" s="11">
        <v>3.7716099999999999</v>
      </c>
      <c r="J293" s="1">
        <v>-3.8</v>
      </c>
      <c r="K293" s="11">
        <v>3.5624899999999999</v>
      </c>
      <c r="L293" s="1">
        <v>0</v>
      </c>
      <c r="M293" s="11">
        <v>6.2</v>
      </c>
      <c r="N293" s="1">
        <v>20.45</v>
      </c>
      <c r="O293" s="11">
        <v>2.8224999999999998</v>
      </c>
      <c r="P293" s="1">
        <f t="shared" si="52"/>
        <v>2339.4499999999994</v>
      </c>
      <c r="Q293" s="1">
        <v>2797.61</v>
      </c>
      <c r="R293" s="16">
        <f t="shared" si="53"/>
        <v>1899608.2930000001</v>
      </c>
      <c r="S293" s="1">
        <v>-730.09</v>
      </c>
      <c r="T293" s="1">
        <v>36.06</v>
      </c>
      <c r="U293" s="1">
        <v>66.349999999999994</v>
      </c>
      <c r="V293" s="1">
        <v>50.62</v>
      </c>
      <c r="W293" s="1" cm="1">
        <f t="array" ref="W293">SUM(ABS(S293:V293))</f>
        <v>883.12000000000012</v>
      </c>
      <c r="X293" s="25">
        <v>1.238</v>
      </c>
      <c r="Y293" s="42">
        <f t="shared" si="54"/>
        <v>273325.64</v>
      </c>
      <c r="Z293" s="20">
        <v>678.76999999999987</v>
      </c>
      <c r="AA293" s="20">
        <f t="shared" si="55"/>
        <v>1561.8899999999999</v>
      </c>
      <c r="AB293" s="21">
        <v>0.24</v>
      </c>
      <c r="AC293" s="21">
        <v>4.43</v>
      </c>
      <c r="AD293" s="8">
        <f t="shared" si="56"/>
        <v>683.43999999999983</v>
      </c>
      <c r="AE293" s="25">
        <v>1.238</v>
      </c>
      <c r="AF293" s="25">
        <f t="shared" si="57"/>
        <v>211524.67999999993</v>
      </c>
      <c r="AG293" s="25">
        <f t="shared" si="58"/>
        <v>484850.31999999995</v>
      </c>
      <c r="AH293" s="1">
        <f t="shared" si="48"/>
        <v>3022.8899999999994</v>
      </c>
      <c r="AI293" s="1">
        <f t="shared" si="49"/>
        <v>3481.05</v>
      </c>
      <c r="AJ293" s="1">
        <v>4443.47</v>
      </c>
      <c r="AK293" s="1">
        <f t="shared" si="50"/>
        <v>-1420.5800000000008</v>
      </c>
      <c r="AL293" s="29">
        <f t="shared" si="59"/>
        <v>962.42000000000007</v>
      </c>
      <c r="AM293" s="11">
        <f t="shared" si="51"/>
        <v>2384458.6129999999</v>
      </c>
    </row>
    <row r="294" spans="1:40" x14ac:dyDescent="0.3">
      <c r="A294" s="39">
        <v>45874.020833333336</v>
      </c>
      <c r="B294" s="1">
        <v>1462</v>
      </c>
      <c r="C294" s="11">
        <v>3.2732000000000001</v>
      </c>
      <c r="D294" s="1">
        <v>540.05999999999995</v>
      </c>
      <c r="E294" s="11">
        <v>3.0760000000000001</v>
      </c>
      <c r="F294" s="1">
        <v>422.7</v>
      </c>
      <c r="G294" s="11">
        <v>3.53</v>
      </c>
      <c r="H294" s="1">
        <v>-101.9</v>
      </c>
      <c r="I294" s="11">
        <v>3.5853800000000002</v>
      </c>
      <c r="J294" s="1">
        <v>442.38</v>
      </c>
      <c r="K294" s="11">
        <v>3.77129</v>
      </c>
      <c r="L294" s="1">
        <v>0</v>
      </c>
      <c r="M294" s="11">
        <v>6.2</v>
      </c>
      <c r="N294" s="1">
        <v>19.559999999999999</v>
      </c>
      <c r="O294" s="11">
        <v>2.8224999999999998</v>
      </c>
      <c r="P294" s="1">
        <f t="shared" si="52"/>
        <v>2784.7999999999997</v>
      </c>
      <c r="Q294" s="1">
        <v>2763.9</v>
      </c>
      <c r="R294" s="16">
        <f t="shared" si="53"/>
        <v>2324243.7770500001</v>
      </c>
      <c r="S294" s="1">
        <v>-644.55999999999995</v>
      </c>
      <c r="T294" s="1">
        <v>36.08</v>
      </c>
      <c r="U294" s="1">
        <v>66.349999999999994</v>
      </c>
      <c r="V294" s="1">
        <v>50.62</v>
      </c>
      <c r="W294" s="1" cm="1">
        <f t="array" ref="W294">SUM(ABS(S294:V294))</f>
        <v>797.61</v>
      </c>
      <c r="X294" s="25">
        <v>1.238</v>
      </c>
      <c r="Y294" s="42">
        <f t="shared" si="54"/>
        <v>246860.29500000001</v>
      </c>
      <c r="Z294" s="20">
        <v>712.20999999999992</v>
      </c>
      <c r="AA294" s="20">
        <f t="shared" si="55"/>
        <v>1509.82</v>
      </c>
      <c r="AB294" s="21">
        <v>0.25</v>
      </c>
      <c r="AC294" s="21">
        <v>3.73</v>
      </c>
      <c r="AD294" s="8">
        <f t="shared" si="56"/>
        <v>716.18999999999994</v>
      </c>
      <c r="AE294" s="25">
        <v>1.238</v>
      </c>
      <c r="AF294" s="25">
        <f t="shared" si="57"/>
        <v>221660.80499999999</v>
      </c>
      <c r="AG294" s="25">
        <f t="shared" si="58"/>
        <v>468521.1</v>
      </c>
      <c r="AH294" s="1">
        <f t="shared" si="48"/>
        <v>3500.99</v>
      </c>
      <c r="AI294" s="1">
        <f t="shared" si="49"/>
        <v>3480.09</v>
      </c>
      <c r="AJ294" s="1">
        <v>4360.54</v>
      </c>
      <c r="AK294" s="1">
        <f t="shared" si="50"/>
        <v>-859.55000000000018</v>
      </c>
      <c r="AL294" s="29">
        <f t="shared" si="59"/>
        <v>880.44999999999982</v>
      </c>
      <c r="AM294" s="11">
        <f t="shared" si="51"/>
        <v>2792764.8770500002</v>
      </c>
    </row>
    <row r="295" spans="1:40" x14ac:dyDescent="0.3">
      <c r="A295" s="39">
        <v>45874.03125</v>
      </c>
      <c r="B295" s="1">
        <v>1462</v>
      </c>
      <c r="C295" s="11">
        <v>3.2732000000000001</v>
      </c>
      <c r="D295" s="1">
        <v>540.05999999999995</v>
      </c>
      <c r="E295" s="11">
        <v>3.0760000000000001</v>
      </c>
      <c r="F295" s="1">
        <v>422.7</v>
      </c>
      <c r="G295" s="11">
        <v>3.53</v>
      </c>
      <c r="H295" s="1">
        <v>-101.9</v>
      </c>
      <c r="I295" s="11">
        <v>3.5606</v>
      </c>
      <c r="J295" s="1">
        <v>406.69</v>
      </c>
      <c r="K295" s="11">
        <v>3.71027</v>
      </c>
      <c r="L295" s="1">
        <v>0</v>
      </c>
      <c r="M295" s="11">
        <v>6.2</v>
      </c>
      <c r="N295" s="1">
        <v>18.66</v>
      </c>
      <c r="O295" s="11">
        <v>2.8224999999999998</v>
      </c>
      <c r="P295" s="1">
        <f t="shared" si="52"/>
        <v>2748.2099999999996</v>
      </c>
      <c r="Q295" s="1">
        <v>2740.58</v>
      </c>
      <c r="R295" s="16">
        <f t="shared" si="53"/>
        <v>2284386.5940750004</v>
      </c>
      <c r="S295" s="1">
        <v>-636.63</v>
      </c>
      <c r="T295" s="1">
        <v>36.08</v>
      </c>
      <c r="U295" s="1">
        <v>31.77</v>
      </c>
      <c r="V295" s="1">
        <v>50.68</v>
      </c>
      <c r="W295" s="1" cm="1">
        <f t="array" ref="W295">SUM(ABS(S295:V295))</f>
        <v>755.16</v>
      </c>
      <c r="X295" s="25">
        <v>1.238</v>
      </c>
      <c r="Y295" s="42">
        <f t="shared" si="54"/>
        <v>233722.02</v>
      </c>
      <c r="Z295" s="20">
        <v>711.24</v>
      </c>
      <c r="AA295" s="20">
        <f t="shared" si="55"/>
        <v>1466.4</v>
      </c>
      <c r="AB295" s="21">
        <v>0.25</v>
      </c>
      <c r="AC295" s="21">
        <v>2.74</v>
      </c>
      <c r="AD295" s="8">
        <f t="shared" si="56"/>
        <v>714.23</v>
      </c>
      <c r="AE295" s="25">
        <v>1.238</v>
      </c>
      <c r="AF295" s="25">
        <f t="shared" si="57"/>
        <v>221054.185</v>
      </c>
      <c r="AG295" s="25">
        <f t="shared" si="58"/>
        <v>454776.20499999996</v>
      </c>
      <c r="AH295" s="1">
        <f t="shared" si="48"/>
        <v>3462.4399999999996</v>
      </c>
      <c r="AI295" s="1">
        <f t="shared" si="49"/>
        <v>3454.81</v>
      </c>
      <c r="AJ295" s="1">
        <v>4288.51</v>
      </c>
      <c r="AK295" s="1">
        <f t="shared" si="50"/>
        <v>-826.07000000000062</v>
      </c>
      <c r="AL295" s="29">
        <f t="shared" si="59"/>
        <v>833.70000000000027</v>
      </c>
      <c r="AM295" s="11">
        <f t="shared" si="51"/>
        <v>2739162.7990750005</v>
      </c>
    </row>
    <row r="296" spans="1:40" x14ac:dyDescent="0.3">
      <c r="A296" s="39">
        <v>45874.041666666664</v>
      </c>
      <c r="B296" s="1">
        <v>1463.07</v>
      </c>
      <c r="C296" s="11">
        <v>3.2732000000000001</v>
      </c>
      <c r="D296" s="1">
        <v>540.05999999999995</v>
      </c>
      <c r="E296" s="11">
        <v>3.0760000000000001</v>
      </c>
      <c r="F296" s="1">
        <v>422.7</v>
      </c>
      <c r="G296" s="11">
        <v>3.53</v>
      </c>
      <c r="H296" s="1">
        <v>-101.9</v>
      </c>
      <c r="I296" s="11">
        <v>3.40665</v>
      </c>
      <c r="J296" s="1">
        <v>294.41000000000003</v>
      </c>
      <c r="K296" s="11">
        <v>3.7384899999999996</v>
      </c>
      <c r="L296" s="1">
        <v>0</v>
      </c>
      <c r="M296" s="11">
        <v>6.2</v>
      </c>
      <c r="N296" s="1">
        <v>9.67</v>
      </c>
      <c r="O296" s="11">
        <v>2.8224999999999998</v>
      </c>
      <c r="P296" s="1">
        <f t="shared" si="52"/>
        <v>2628.0099999999998</v>
      </c>
      <c r="Q296" s="1">
        <v>2642.27</v>
      </c>
      <c r="R296" s="16">
        <f t="shared" si="53"/>
        <v>2180770.2662249999</v>
      </c>
      <c r="S296" s="1">
        <v>-711.09</v>
      </c>
      <c r="T296" s="1">
        <v>36.11</v>
      </c>
      <c r="U296" s="1">
        <v>12</v>
      </c>
      <c r="V296" s="1">
        <v>50.67</v>
      </c>
      <c r="W296" s="1" cm="1">
        <f t="array" ref="W296">SUM(ABS(S296:V296))</f>
        <v>809.87</v>
      </c>
      <c r="X296" s="25">
        <v>1.238</v>
      </c>
      <c r="Y296" s="42">
        <f t="shared" si="54"/>
        <v>250654.76499999998</v>
      </c>
      <c r="Z296" s="20">
        <v>663.75</v>
      </c>
      <c r="AA296" s="20">
        <f t="shared" si="55"/>
        <v>1473.62</v>
      </c>
      <c r="AB296" s="21">
        <v>0.22999999999999998</v>
      </c>
      <c r="AC296" s="21">
        <v>1.49</v>
      </c>
      <c r="AD296" s="8">
        <f t="shared" si="56"/>
        <v>665.47</v>
      </c>
      <c r="AE296" s="25">
        <v>1.238</v>
      </c>
      <c r="AF296" s="25">
        <f t="shared" si="57"/>
        <v>205962.965</v>
      </c>
      <c r="AG296" s="25">
        <f t="shared" si="58"/>
        <v>456617.73</v>
      </c>
      <c r="AH296" s="1">
        <f t="shared" si="48"/>
        <v>3293.4799999999996</v>
      </c>
      <c r="AI296" s="1">
        <f t="shared" si="49"/>
        <v>3307.74</v>
      </c>
      <c r="AJ296" s="1">
        <v>4197.26</v>
      </c>
      <c r="AK296" s="1">
        <f t="shared" si="50"/>
        <v>-903.78000000000065</v>
      </c>
      <c r="AL296" s="29">
        <f t="shared" si="59"/>
        <v>889.52000000000044</v>
      </c>
      <c r="AM296" s="11">
        <f t="shared" si="51"/>
        <v>2637387.9962249999</v>
      </c>
    </row>
    <row r="297" spans="1:40" x14ac:dyDescent="0.3">
      <c r="A297" s="39">
        <v>45874.052083333336</v>
      </c>
      <c r="B297" s="1">
        <v>1465.05</v>
      </c>
      <c r="C297" s="11">
        <v>3.2732000000000001</v>
      </c>
      <c r="D297" s="1">
        <v>540.05999999999995</v>
      </c>
      <c r="E297" s="11">
        <v>3.0760000000000001</v>
      </c>
      <c r="F297" s="1">
        <v>422.7</v>
      </c>
      <c r="G297" s="11">
        <v>3.53</v>
      </c>
      <c r="H297" s="1">
        <v>-101.9</v>
      </c>
      <c r="I297" s="11">
        <v>3.3818600000000001</v>
      </c>
      <c r="J297" s="1">
        <v>259.47000000000003</v>
      </c>
      <c r="K297" s="11">
        <v>3.7103600000000001</v>
      </c>
      <c r="L297" s="1">
        <v>0</v>
      </c>
      <c r="M297" s="11">
        <v>6.2</v>
      </c>
      <c r="N297" s="1">
        <v>9</v>
      </c>
      <c r="O297" s="11">
        <v>2.8224999999999998</v>
      </c>
      <c r="P297" s="1">
        <f t="shared" si="52"/>
        <v>2594.38</v>
      </c>
      <c r="Q297" s="1">
        <v>2573.06</v>
      </c>
      <c r="R297" s="16">
        <f t="shared" si="53"/>
        <v>2148068.8238000004</v>
      </c>
      <c r="S297" s="1">
        <v>-736.47</v>
      </c>
      <c r="T297" s="1">
        <v>36.14</v>
      </c>
      <c r="U297" s="1">
        <v>12</v>
      </c>
      <c r="V297" s="1">
        <v>50.65</v>
      </c>
      <c r="W297" s="1" cm="1">
        <f t="array" ref="W297">SUM(ABS(S297:V297))</f>
        <v>835.26</v>
      </c>
      <c r="X297" s="25">
        <v>1.238</v>
      </c>
      <c r="Y297" s="42">
        <f t="shared" si="54"/>
        <v>258512.97</v>
      </c>
      <c r="Z297" s="20">
        <v>642.9899999999999</v>
      </c>
      <c r="AA297" s="20">
        <f t="shared" si="55"/>
        <v>1478.25</v>
      </c>
      <c r="AB297" s="21">
        <v>0.24</v>
      </c>
      <c r="AC297" s="21">
        <v>1.01</v>
      </c>
      <c r="AD297" s="8">
        <f t="shared" si="56"/>
        <v>644.2399999999999</v>
      </c>
      <c r="AE297" s="25">
        <v>1.238</v>
      </c>
      <c r="AF297" s="25">
        <f t="shared" si="57"/>
        <v>199392.27999999997</v>
      </c>
      <c r="AG297" s="25">
        <f t="shared" si="58"/>
        <v>457905.25</v>
      </c>
      <c r="AH297" s="1">
        <f t="shared" si="48"/>
        <v>3238.62</v>
      </c>
      <c r="AI297" s="1">
        <f t="shared" si="49"/>
        <v>3217.2999999999997</v>
      </c>
      <c r="AJ297" s="1">
        <v>4135.21</v>
      </c>
      <c r="AK297" s="1">
        <f t="shared" si="50"/>
        <v>-896.59000000000015</v>
      </c>
      <c r="AL297" s="29">
        <f t="shared" si="59"/>
        <v>917.91000000000031</v>
      </c>
      <c r="AM297" s="11">
        <f t="shared" si="51"/>
        <v>2605974.0738000004</v>
      </c>
    </row>
    <row r="298" spans="1:40" x14ac:dyDescent="0.3">
      <c r="A298" s="39">
        <v>45874.0625</v>
      </c>
      <c r="B298" s="1">
        <v>1465.24</v>
      </c>
      <c r="C298" s="11">
        <v>3.2732000000000001</v>
      </c>
      <c r="D298" s="1">
        <v>540.05999999999995</v>
      </c>
      <c r="E298" s="11">
        <v>3.0760000000000001</v>
      </c>
      <c r="F298" s="1">
        <v>422.7</v>
      </c>
      <c r="G298" s="11">
        <v>3.53</v>
      </c>
      <c r="H298" s="1">
        <v>-101.9</v>
      </c>
      <c r="I298" s="11">
        <v>3.3814899999999999</v>
      </c>
      <c r="J298" s="1">
        <v>329</v>
      </c>
      <c r="K298" s="11">
        <v>3.7510700000000003</v>
      </c>
      <c r="L298" s="1">
        <v>0</v>
      </c>
      <c r="M298" s="11">
        <v>6.2</v>
      </c>
      <c r="N298" s="1">
        <v>9</v>
      </c>
      <c r="O298" s="11">
        <v>2.8224999999999998</v>
      </c>
      <c r="P298" s="1">
        <f t="shared" si="52"/>
        <v>2664.1</v>
      </c>
      <c r="Q298" s="1">
        <v>2648.6</v>
      </c>
      <c r="R298" s="16">
        <f t="shared" si="53"/>
        <v>2216077.4567500004</v>
      </c>
      <c r="S298" s="1">
        <v>-637.98</v>
      </c>
      <c r="T298" s="1">
        <v>36.130000000000003</v>
      </c>
      <c r="U298" s="1">
        <v>12</v>
      </c>
      <c r="V298" s="1">
        <v>50.65</v>
      </c>
      <c r="W298" s="1" cm="1">
        <f t="array" ref="W298">SUM(ABS(S298:V298))</f>
        <v>736.76</v>
      </c>
      <c r="X298" s="25">
        <v>1.238</v>
      </c>
      <c r="Y298" s="42">
        <f t="shared" si="54"/>
        <v>228027.22</v>
      </c>
      <c r="Z298" s="20">
        <v>614.15</v>
      </c>
      <c r="AA298" s="20">
        <f t="shared" si="55"/>
        <v>1350.9099999999999</v>
      </c>
      <c r="AB298" s="21">
        <v>0.24</v>
      </c>
      <c r="AC298" s="21">
        <v>1.02</v>
      </c>
      <c r="AD298" s="8">
        <f t="shared" si="56"/>
        <v>615.41</v>
      </c>
      <c r="AE298" s="25">
        <v>1.238</v>
      </c>
      <c r="AF298" s="25">
        <f t="shared" si="57"/>
        <v>190469.39499999999</v>
      </c>
      <c r="AG298" s="25">
        <f t="shared" si="58"/>
        <v>418496.61499999999</v>
      </c>
      <c r="AH298" s="1">
        <f t="shared" si="48"/>
        <v>3279.5099999999998</v>
      </c>
      <c r="AI298" s="1">
        <f t="shared" si="49"/>
        <v>3264.0099999999998</v>
      </c>
      <c r="AJ298" s="1">
        <v>4088.61</v>
      </c>
      <c r="AK298" s="1">
        <f t="shared" si="50"/>
        <v>-809.10000000000036</v>
      </c>
      <c r="AL298" s="29">
        <f t="shared" si="59"/>
        <v>824.60000000000036</v>
      </c>
      <c r="AM298" s="11">
        <f t="shared" si="51"/>
        <v>2634574.0717500001</v>
      </c>
    </row>
    <row r="299" spans="1:40" x14ac:dyDescent="0.3">
      <c r="A299" s="39">
        <v>45874.072916666664</v>
      </c>
      <c r="B299" s="1">
        <v>1465.24</v>
      </c>
      <c r="C299" s="11">
        <v>3.2732000000000001</v>
      </c>
      <c r="D299" s="1">
        <v>540.05999999999995</v>
      </c>
      <c r="E299" s="11">
        <v>3.0760000000000001</v>
      </c>
      <c r="F299" s="1">
        <v>422.7</v>
      </c>
      <c r="G299" s="11">
        <v>3.53</v>
      </c>
      <c r="H299" s="1">
        <v>-101.9</v>
      </c>
      <c r="I299" s="11">
        <v>3.3817900000000001</v>
      </c>
      <c r="J299" s="1">
        <v>289.38</v>
      </c>
      <c r="K299" s="11">
        <v>3.7384400000000002</v>
      </c>
      <c r="L299" s="1">
        <v>0</v>
      </c>
      <c r="M299" s="11">
        <v>6.2</v>
      </c>
      <c r="N299" s="1">
        <v>9</v>
      </c>
      <c r="O299" s="11">
        <v>2.8224999999999998</v>
      </c>
      <c r="P299" s="1">
        <f t="shared" si="52"/>
        <v>2624.48</v>
      </c>
      <c r="Q299" s="1">
        <v>2608.88</v>
      </c>
      <c r="R299" s="16">
        <f t="shared" si="53"/>
        <v>2178001.7485500001</v>
      </c>
      <c r="S299" s="1">
        <v>-646.91999999999996</v>
      </c>
      <c r="T299" s="1">
        <v>36.15</v>
      </c>
      <c r="U299" s="1">
        <v>12</v>
      </c>
      <c r="V299" s="1">
        <v>50.65</v>
      </c>
      <c r="W299" s="1" cm="1">
        <f t="array" ref="W299">SUM(ABS(S299:V299))</f>
        <v>745.71999999999991</v>
      </c>
      <c r="X299" s="25">
        <v>1.238</v>
      </c>
      <c r="Y299" s="42">
        <f t="shared" si="54"/>
        <v>230800.33999999997</v>
      </c>
      <c r="Z299" s="20">
        <v>604.54</v>
      </c>
      <c r="AA299" s="20">
        <f t="shared" si="55"/>
        <v>1350.2599999999998</v>
      </c>
      <c r="AB299" s="21">
        <v>0.24</v>
      </c>
      <c r="AC299" s="21">
        <v>1.03</v>
      </c>
      <c r="AD299" s="8">
        <f t="shared" si="56"/>
        <v>605.80999999999995</v>
      </c>
      <c r="AE299" s="25">
        <v>1.238</v>
      </c>
      <c r="AF299" s="25">
        <f t="shared" si="57"/>
        <v>187498.19499999998</v>
      </c>
      <c r="AG299" s="25">
        <f t="shared" si="58"/>
        <v>418298.53499999992</v>
      </c>
      <c r="AH299" s="1">
        <f t="shared" si="48"/>
        <v>3230.29</v>
      </c>
      <c r="AI299" s="1">
        <f t="shared" si="49"/>
        <v>3214.69</v>
      </c>
      <c r="AJ299" s="1">
        <v>4040.9</v>
      </c>
      <c r="AK299" s="1">
        <f t="shared" si="50"/>
        <v>-810.61000000000013</v>
      </c>
      <c r="AL299" s="29">
        <f t="shared" si="59"/>
        <v>826.21</v>
      </c>
      <c r="AM299" s="11">
        <f t="shared" si="51"/>
        <v>2596300.2835499998</v>
      </c>
    </row>
    <row r="300" spans="1:40" x14ac:dyDescent="0.3">
      <c r="A300" s="39">
        <v>45874.083333333336</v>
      </c>
      <c r="B300" s="1">
        <v>1465.24</v>
      </c>
      <c r="C300" s="11">
        <v>3.2732000000000001</v>
      </c>
      <c r="D300" s="1">
        <v>540.05999999999995</v>
      </c>
      <c r="E300" s="11">
        <v>3.0760000000000001</v>
      </c>
      <c r="F300" s="1">
        <v>400.23</v>
      </c>
      <c r="G300" s="11">
        <v>3.53</v>
      </c>
      <c r="H300" s="1">
        <v>-101.9</v>
      </c>
      <c r="I300" s="11">
        <v>3.38198</v>
      </c>
      <c r="J300" s="1">
        <v>232.18</v>
      </c>
      <c r="K300" s="11">
        <v>3.5154200000000002</v>
      </c>
      <c r="L300" s="1">
        <v>0</v>
      </c>
      <c r="M300" s="11">
        <v>6.2</v>
      </c>
      <c r="N300" s="1">
        <v>9</v>
      </c>
      <c r="O300" s="11">
        <v>2.8224999999999998</v>
      </c>
      <c r="P300" s="1">
        <f t="shared" si="52"/>
        <v>2544.8099999999995</v>
      </c>
      <c r="Q300" s="1">
        <v>2562.63</v>
      </c>
      <c r="R300" s="16">
        <f t="shared" si="53"/>
        <v>2091762.2454000001</v>
      </c>
      <c r="S300" s="1">
        <v>-641.51</v>
      </c>
      <c r="T300" s="1">
        <v>36.15</v>
      </c>
      <c r="U300" s="1">
        <v>12</v>
      </c>
      <c r="V300" s="1">
        <v>50.6</v>
      </c>
      <c r="W300" s="1" cm="1">
        <f t="array" ref="W300">SUM(ABS(S300:V300))</f>
        <v>740.26</v>
      </c>
      <c r="X300" s="25">
        <v>1.238</v>
      </c>
      <c r="Y300" s="42">
        <f t="shared" si="54"/>
        <v>229110.47</v>
      </c>
      <c r="Z300" s="20">
        <v>612.95000000000016</v>
      </c>
      <c r="AA300" s="20">
        <f t="shared" si="55"/>
        <v>1353.21</v>
      </c>
      <c r="AB300" s="21">
        <v>0.24</v>
      </c>
      <c r="AC300" s="21">
        <v>0.81</v>
      </c>
      <c r="AD300" s="8">
        <f t="shared" si="56"/>
        <v>614.00000000000011</v>
      </c>
      <c r="AE300" s="25">
        <v>1.238</v>
      </c>
      <c r="AF300" s="25">
        <f t="shared" si="57"/>
        <v>190033.00000000006</v>
      </c>
      <c r="AG300" s="25">
        <f t="shared" si="58"/>
        <v>419143.47000000009</v>
      </c>
      <c r="AH300" s="1">
        <f t="shared" si="48"/>
        <v>3158.8099999999995</v>
      </c>
      <c r="AI300" s="1">
        <f t="shared" si="49"/>
        <v>3176.63</v>
      </c>
      <c r="AJ300" s="1">
        <v>3994.19</v>
      </c>
      <c r="AK300" s="1">
        <f t="shared" si="50"/>
        <v>-835.38000000000056</v>
      </c>
      <c r="AL300" s="29">
        <f t="shared" si="59"/>
        <v>817.56</v>
      </c>
      <c r="AM300" s="11">
        <f t="shared" si="51"/>
        <v>2510905.7154000001</v>
      </c>
    </row>
    <row r="301" spans="1:40" x14ac:dyDescent="0.3">
      <c r="A301" s="39">
        <v>45874.09375</v>
      </c>
      <c r="B301" s="1">
        <v>1465.24</v>
      </c>
      <c r="C301" s="11">
        <v>3.2732000000000001</v>
      </c>
      <c r="D301" s="1">
        <v>540.05999999999995</v>
      </c>
      <c r="E301" s="11">
        <v>3.0760000000000001</v>
      </c>
      <c r="F301" s="1">
        <v>398.57</v>
      </c>
      <c r="G301" s="11">
        <v>3.53</v>
      </c>
      <c r="H301" s="1">
        <v>-101.9</v>
      </c>
      <c r="I301" s="11">
        <v>3.3816999999999999</v>
      </c>
      <c r="J301" s="1">
        <v>182.99</v>
      </c>
      <c r="K301" s="11">
        <v>3.4702899999999999</v>
      </c>
      <c r="L301" s="1">
        <v>0</v>
      </c>
      <c r="M301" s="11">
        <v>6.2</v>
      </c>
      <c r="N301" s="1">
        <v>9</v>
      </c>
      <c r="O301" s="11">
        <v>2.8224999999999998</v>
      </c>
      <c r="P301" s="1">
        <f t="shared" si="52"/>
        <v>2493.96</v>
      </c>
      <c r="Q301" s="1">
        <v>2487.75</v>
      </c>
      <c r="R301" s="16">
        <f t="shared" si="53"/>
        <v>2045008.966275</v>
      </c>
      <c r="S301" s="1">
        <v>-687.9</v>
      </c>
      <c r="T301" s="1">
        <v>36.17</v>
      </c>
      <c r="U301" s="1">
        <v>12</v>
      </c>
      <c r="V301" s="1">
        <v>50.58</v>
      </c>
      <c r="W301" s="1" cm="1">
        <f t="array" ref="W301">SUM(ABS(S301:V301))</f>
        <v>786.65</v>
      </c>
      <c r="X301" s="25">
        <v>1.238</v>
      </c>
      <c r="Y301" s="42">
        <f t="shared" si="54"/>
        <v>243468.17499999999</v>
      </c>
      <c r="Z301" s="20">
        <v>575.88000000000011</v>
      </c>
      <c r="AA301" s="20">
        <f t="shared" si="55"/>
        <v>1362.5300000000002</v>
      </c>
      <c r="AB301" s="21">
        <v>0.24</v>
      </c>
      <c r="AC301" s="21">
        <v>1.0900000000000001</v>
      </c>
      <c r="AD301" s="8">
        <f t="shared" si="56"/>
        <v>577.21000000000015</v>
      </c>
      <c r="AE301" s="25">
        <v>1.238</v>
      </c>
      <c r="AF301" s="25">
        <f t="shared" si="57"/>
        <v>178646.49500000005</v>
      </c>
      <c r="AG301" s="25">
        <f t="shared" si="58"/>
        <v>422114.67000000004</v>
      </c>
      <c r="AH301" s="1">
        <f t="shared" si="48"/>
        <v>3071.17</v>
      </c>
      <c r="AI301" s="1">
        <f t="shared" si="49"/>
        <v>3064.96</v>
      </c>
      <c r="AJ301" s="1">
        <v>3934.26</v>
      </c>
      <c r="AK301" s="1">
        <f t="shared" si="50"/>
        <v>-863.09000000000015</v>
      </c>
      <c r="AL301" s="29">
        <f t="shared" si="59"/>
        <v>869.30000000000018</v>
      </c>
      <c r="AM301" s="11">
        <f t="shared" si="51"/>
        <v>2467123.6362749999</v>
      </c>
    </row>
    <row r="302" spans="1:40" x14ac:dyDescent="0.3">
      <c r="A302" s="39">
        <v>45874.104166666664</v>
      </c>
      <c r="B302" s="1">
        <v>1465.24</v>
      </c>
      <c r="C302" s="11">
        <v>3.2732000000000001</v>
      </c>
      <c r="D302" s="1">
        <v>540.05999999999995</v>
      </c>
      <c r="E302" s="11">
        <v>3.0760000000000001</v>
      </c>
      <c r="F302" s="1">
        <v>398.57</v>
      </c>
      <c r="G302" s="11">
        <v>3.53</v>
      </c>
      <c r="H302" s="1">
        <v>-101.9</v>
      </c>
      <c r="I302" s="11">
        <v>3.3814099999999998</v>
      </c>
      <c r="J302" s="1">
        <v>134.93</v>
      </c>
      <c r="K302" s="11">
        <v>3.0152299999999999</v>
      </c>
      <c r="L302" s="1">
        <v>0</v>
      </c>
      <c r="M302" s="11">
        <v>6.2</v>
      </c>
      <c r="N302" s="1">
        <v>9</v>
      </c>
      <c r="O302" s="11">
        <v>2.8224999999999998</v>
      </c>
      <c r="P302" s="1">
        <f t="shared" si="52"/>
        <v>2445.8999999999996</v>
      </c>
      <c r="Q302" s="1">
        <v>2437.63</v>
      </c>
      <c r="R302" s="16">
        <f t="shared" si="53"/>
        <v>1987970.5082249998</v>
      </c>
      <c r="S302" s="1">
        <v>-724.33</v>
      </c>
      <c r="T302" s="1">
        <v>36.200000000000003</v>
      </c>
      <c r="U302" s="1">
        <v>12</v>
      </c>
      <c r="V302" s="1">
        <v>50.59</v>
      </c>
      <c r="W302" s="1" cm="1">
        <f t="array" ref="W302">SUM(ABS(S302:V302))</f>
        <v>823.12000000000012</v>
      </c>
      <c r="X302" s="25">
        <v>1.238</v>
      </c>
      <c r="Y302" s="42">
        <f t="shared" si="54"/>
        <v>254755.64</v>
      </c>
      <c r="Z302" s="20">
        <v>549.7600000000001</v>
      </c>
      <c r="AA302" s="20">
        <f t="shared" si="55"/>
        <v>1372.88</v>
      </c>
      <c r="AB302" s="21">
        <v>0.24</v>
      </c>
      <c r="AC302" s="21">
        <v>0.45999999999999996</v>
      </c>
      <c r="AD302" s="8">
        <f t="shared" si="56"/>
        <v>550.46000000000015</v>
      </c>
      <c r="AE302" s="25">
        <v>1.238</v>
      </c>
      <c r="AF302" s="25">
        <f t="shared" si="57"/>
        <v>170367.37000000005</v>
      </c>
      <c r="AG302" s="25">
        <f t="shared" si="58"/>
        <v>425123.01000000007</v>
      </c>
      <c r="AH302" s="1">
        <f t="shared" si="48"/>
        <v>2996.3599999999997</v>
      </c>
      <c r="AI302" s="1">
        <f t="shared" si="49"/>
        <v>2988.09</v>
      </c>
      <c r="AJ302" s="1">
        <v>3893.74</v>
      </c>
      <c r="AK302" s="1">
        <f t="shared" si="50"/>
        <v>-897.38000000000011</v>
      </c>
      <c r="AL302" s="29">
        <f t="shared" si="59"/>
        <v>905.64999999999964</v>
      </c>
      <c r="AM302" s="11">
        <f t="shared" si="51"/>
        <v>2413093.5182249998</v>
      </c>
    </row>
    <row r="303" spans="1:40" x14ac:dyDescent="0.3">
      <c r="A303" s="39">
        <v>45874.114583333336</v>
      </c>
      <c r="B303" s="1">
        <v>1465.24</v>
      </c>
      <c r="C303" s="11">
        <v>3.2732000000000001</v>
      </c>
      <c r="D303" s="1">
        <v>540.05999999999995</v>
      </c>
      <c r="E303" s="11">
        <v>3.0760000000000001</v>
      </c>
      <c r="F303" s="1">
        <v>398.57</v>
      </c>
      <c r="G303" s="11">
        <v>3.53</v>
      </c>
      <c r="H303" s="1">
        <v>-101.9</v>
      </c>
      <c r="I303" s="11">
        <v>3.38123</v>
      </c>
      <c r="J303" s="1">
        <v>59.87</v>
      </c>
      <c r="K303" s="11">
        <v>3.0156799999999997</v>
      </c>
      <c r="L303" s="1">
        <v>0</v>
      </c>
      <c r="M303" s="11">
        <v>6.2</v>
      </c>
      <c r="N303" s="1">
        <v>9</v>
      </c>
      <c r="O303" s="11">
        <v>2.8224999999999998</v>
      </c>
      <c r="P303" s="1">
        <f t="shared" si="52"/>
        <v>2370.8399999999997</v>
      </c>
      <c r="Q303" s="1">
        <v>2366.92</v>
      </c>
      <c r="R303" s="16">
        <f t="shared" si="53"/>
        <v>1931401.0381499999</v>
      </c>
      <c r="S303" s="1">
        <v>-735.34</v>
      </c>
      <c r="T303" s="1">
        <v>36.21</v>
      </c>
      <c r="U303" s="1">
        <v>12</v>
      </c>
      <c r="V303" s="1">
        <v>50.62</v>
      </c>
      <c r="W303" s="1" cm="1">
        <f t="array" ref="W303">SUM(ABS(S303:V303))</f>
        <v>834.17000000000007</v>
      </c>
      <c r="X303" s="25">
        <v>1.238</v>
      </c>
      <c r="Y303" s="42">
        <f t="shared" si="54"/>
        <v>258175.61499999999</v>
      </c>
      <c r="Z303" s="20">
        <v>553.36000000000013</v>
      </c>
      <c r="AA303" s="20">
        <f t="shared" si="55"/>
        <v>1387.5300000000002</v>
      </c>
      <c r="AB303" s="21">
        <v>0.24</v>
      </c>
      <c r="AC303" s="21">
        <v>0.41000000000000003</v>
      </c>
      <c r="AD303" s="8">
        <f t="shared" si="56"/>
        <v>554.0100000000001</v>
      </c>
      <c r="AE303" s="25">
        <v>1.238</v>
      </c>
      <c r="AF303" s="25">
        <f t="shared" si="57"/>
        <v>171466.09500000003</v>
      </c>
      <c r="AG303" s="25">
        <f t="shared" si="58"/>
        <v>429641.71</v>
      </c>
      <c r="AH303" s="1">
        <f t="shared" si="48"/>
        <v>2924.85</v>
      </c>
      <c r="AI303" s="1">
        <f t="shared" si="49"/>
        <v>2920.9300000000003</v>
      </c>
      <c r="AJ303" s="1">
        <v>3840.2</v>
      </c>
      <c r="AK303" s="1">
        <f t="shared" si="50"/>
        <v>-915.34999999999991</v>
      </c>
      <c r="AL303" s="29">
        <f t="shared" si="59"/>
        <v>919.26999999999953</v>
      </c>
      <c r="AM303" s="11">
        <f t="shared" si="51"/>
        <v>2361042.7481499999</v>
      </c>
    </row>
    <row r="304" spans="1:40" x14ac:dyDescent="0.3">
      <c r="A304" s="39">
        <v>45874.125</v>
      </c>
      <c r="B304" s="1">
        <v>1465.24</v>
      </c>
      <c r="C304" s="11">
        <v>3.2732000000000001</v>
      </c>
      <c r="D304" s="1">
        <v>911.17</v>
      </c>
      <c r="E304" s="11">
        <v>3.0760000000000001</v>
      </c>
      <c r="F304" s="1">
        <v>27.46</v>
      </c>
      <c r="G304" s="11">
        <v>3.53</v>
      </c>
      <c r="H304" s="1">
        <v>-101.9</v>
      </c>
      <c r="I304" s="11">
        <v>3.2441199999999997</v>
      </c>
      <c r="J304" s="1">
        <v>0.51</v>
      </c>
      <c r="K304" s="11">
        <v>3.0979999999999999</v>
      </c>
      <c r="L304" s="1">
        <v>0</v>
      </c>
      <c r="M304" s="11">
        <v>6.2</v>
      </c>
      <c r="N304" s="1">
        <v>9</v>
      </c>
      <c r="O304" s="11">
        <v>2.8224999999999998</v>
      </c>
      <c r="P304" s="1">
        <f t="shared" si="52"/>
        <v>2311.48</v>
      </c>
      <c r="Q304" s="1">
        <v>2328.37</v>
      </c>
      <c r="R304" s="16">
        <f t="shared" si="53"/>
        <v>1848030.7350000003</v>
      </c>
      <c r="S304" s="1">
        <v>-736.19</v>
      </c>
      <c r="T304" s="1">
        <v>36.229999999999997</v>
      </c>
      <c r="U304" s="1">
        <v>12</v>
      </c>
      <c r="V304" s="1">
        <v>50.61</v>
      </c>
      <c r="W304" s="1" cm="1">
        <f t="array" ref="W304">SUM(ABS(S304:V304))</f>
        <v>835.03000000000009</v>
      </c>
      <c r="X304" s="25">
        <v>1.238</v>
      </c>
      <c r="Y304" s="42">
        <f t="shared" si="54"/>
        <v>258441.78500000003</v>
      </c>
      <c r="Z304" s="20">
        <v>552.78</v>
      </c>
      <c r="AA304" s="20">
        <f t="shared" si="55"/>
        <v>1387.81</v>
      </c>
      <c r="AB304" s="21">
        <v>0.25</v>
      </c>
      <c r="AC304" s="21">
        <v>0.53</v>
      </c>
      <c r="AD304" s="8">
        <f t="shared" si="56"/>
        <v>553.55999999999995</v>
      </c>
      <c r="AE304" s="25">
        <v>1.238</v>
      </c>
      <c r="AF304" s="25">
        <f t="shared" si="57"/>
        <v>171326.81999999998</v>
      </c>
      <c r="AG304" s="25">
        <f t="shared" si="58"/>
        <v>429768.60499999998</v>
      </c>
      <c r="AH304" s="1">
        <f t="shared" si="48"/>
        <v>2865.04</v>
      </c>
      <c r="AI304" s="1">
        <f t="shared" si="49"/>
        <v>2881.93</v>
      </c>
      <c r="AJ304" s="1">
        <v>3801.88</v>
      </c>
      <c r="AK304" s="1">
        <f t="shared" si="50"/>
        <v>-936.84000000000015</v>
      </c>
      <c r="AL304" s="29">
        <f t="shared" si="59"/>
        <v>919.95000000000027</v>
      </c>
      <c r="AM304" s="11">
        <f t="shared" si="51"/>
        <v>2277799.3400000003</v>
      </c>
    </row>
    <row r="305" spans="1:39" x14ac:dyDescent="0.3">
      <c r="A305" s="39">
        <v>45874.135416666664</v>
      </c>
      <c r="B305" s="1">
        <v>1465.24</v>
      </c>
      <c r="C305" s="11">
        <v>3.2732000000000001</v>
      </c>
      <c r="D305" s="1">
        <v>938.63</v>
      </c>
      <c r="E305" s="11">
        <v>3.0760000000000001</v>
      </c>
      <c r="F305" s="1">
        <v>0</v>
      </c>
      <c r="G305" s="11">
        <v>3.53</v>
      </c>
      <c r="H305" s="1">
        <v>-101.9</v>
      </c>
      <c r="I305" s="11">
        <v>3.2050799999999997</v>
      </c>
      <c r="J305" s="1">
        <v>-3.8</v>
      </c>
      <c r="K305" s="11">
        <v>3.2210799999999997</v>
      </c>
      <c r="L305" s="1">
        <v>0</v>
      </c>
      <c r="M305" s="11">
        <v>6.2</v>
      </c>
      <c r="N305" s="1">
        <v>9</v>
      </c>
      <c r="O305" s="11">
        <v>2.8224999999999998</v>
      </c>
      <c r="P305" s="1">
        <f t="shared" si="52"/>
        <v>2307.1699999999996</v>
      </c>
      <c r="Q305" s="1">
        <v>2275.5</v>
      </c>
      <c r="R305" s="16">
        <f t="shared" si="53"/>
        <v>1842453.548</v>
      </c>
      <c r="S305" s="1">
        <v>-737.57</v>
      </c>
      <c r="T305" s="1">
        <v>36.229999999999997</v>
      </c>
      <c r="U305" s="1">
        <v>12</v>
      </c>
      <c r="V305" s="1">
        <v>50.61</v>
      </c>
      <c r="W305" s="1" cm="1">
        <f t="array" ref="W305">SUM(ABS(S305:V305))</f>
        <v>836.41000000000008</v>
      </c>
      <c r="X305" s="25">
        <v>1.238</v>
      </c>
      <c r="Y305" s="42">
        <f t="shared" si="54"/>
        <v>258868.89500000002</v>
      </c>
      <c r="Z305" s="20">
        <v>552.97</v>
      </c>
      <c r="AA305" s="20">
        <f t="shared" si="55"/>
        <v>1389.38</v>
      </c>
      <c r="AB305" s="21">
        <v>0.24</v>
      </c>
      <c r="AC305" s="21">
        <v>0.22</v>
      </c>
      <c r="AD305" s="8">
        <f t="shared" si="56"/>
        <v>553.43000000000006</v>
      </c>
      <c r="AE305" s="25">
        <v>1.238</v>
      </c>
      <c r="AF305" s="25">
        <f t="shared" si="57"/>
        <v>171286.58500000002</v>
      </c>
      <c r="AG305" s="25">
        <f t="shared" si="58"/>
        <v>430155.48000000004</v>
      </c>
      <c r="AH305" s="1">
        <f t="shared" si="48"/>
        <v>2860.5999999999995</v>
      </c>
      <c r="AI305" s="1">
        <f t="shared" si="49"/>
        <v>2828.9300000000003</v>
      </c>
      <c r="AJ305" s="1">
        <v>3746.74</v>
      </c>
      <c r="AK305" s="1">
        <f t="shared" si="50"/>
        <v>-886.14000000000033</v>
      </c>
      <c r="AL305" s="29">
        <f t="shared" si="59"/>
        <v>917.80999999999949</v>
      </c>
      <c r="AM305" s="11">
        <f t="shared" si="51"/>
        <v>2272609.0279999999</v>
      </c>
    </row>
    <row r="306" spans="1:39" x14ac:dyDescent="0.3">
      <c r="A306" s="39">
        <v>45874.145833333336</v>
      </c>
      <c r="B306" s="1">
        <v>1465.24</v>
      </c>
      <c r="C306" s="11">
        <v>3.2732000000000001</v>
      </c>
      <c r="D306" s="1">
        <v>938.63</v>
      </c>
      <c r="E306" s="11">
        <v>3.0760000000000001</v>
      </c>
      <c r="F306" s="1">
        <v>0</v>
      </c>
      <c r="G306" s="11">
        <v>3.53</v>
      </c>
      <c r="H306" s="1">
        <v>-101.9</v>
      </c>
      <c r="I306" s="11">
        <v>3.0807600000000002</v>
      </c>
      <c r="J306" s="1">
        <v>121.13</v>
      </c>
      <c r="K306" s="11">
        <v>3.2100500000000003</v>
      </c>
      <c r="L306" s="1">
        <v>0</v>
      </c>
      <c r="M306" s="11">
        <v>6.2</v>
      </c>
      <c r="N306" s="1">
        <v>9</v>
      </c>
      <c r="O306" s="11">
        <v>2.8224999999999998</v>
      </c>
      <c r="P306" s="1">
        <f t="shared" si="52"/>
        <v>2432.1</v>
      </c>
      <c r="Q306" s="1">
        <v>2396.4699999999998</v>
      </c>
      <c r="R306" s="16">
        <f t="shared" si="53"/>
        <v>1945888.9651250001</v>
      </c>
      <c r="S306" s="1">
        <v>-678.09</v>
      </c>
      <c r="T306" s="1">
        <v>36.25</v>
      </c>
      <c r="U306" s="1">
        <v>12</v>
      </c>
      <c r="V306" s="1">
        <v>33.159999999999997</v>
      </c>
      <c r="W306" s="1" cm="1">
        <f t="array" ref="W306">SUM(ABS(S306:V306))</f>
        <v>759.5</v>
      </c>
      <c r="X306" s="25">
        <v>1.238</v>
      </c>
      <c r="Y306" s="42">
        <f t="shared" si="54"/>
        <v>235065.25</v>
      </c>
      <c r="Z306" s="20">
        <v>488.40999999999997</v>
      </c>
      <c r="AA306" s="20">
        <f t="shared" si="55"/>
        <v>1247.9099999999999</v>
      </c>
      <c r="AB306" s="21">
        <v>0.24</v>
      </c>
      <c r="AC306" s="21">
        <v>0.13</v>
      </c>
      <c r="AD306" s="8">
        <f t="shared" si="56"/>
        <v>488.78</v>
      </c>
      <c r="AE306" s="25">
        <v>1.238</v>
      </c>
      <c r="AF306" s="25">
        <f t="shared" si="57"/>
        <v>151277.41</v>
      </c>
      <c r="AG306" s="25">
        <f t="shared" si="58"/>
        <v>386342.66000000003</v>
      </c>
      <c r="AH306" s="1">
        <f t="shared" si="48"/>
        <v>2920.88</v>
      </c>
      <c r="AI306" s="1">
        <f t="shared" si="49"/>
        <v>2885.25</v>
      </c>
      <c r="AJ306" s="1">
        <v>3705.17</v>
      </c>
      <c r="AK306" s="1">
        <f t="shared" si="50"/>
        <v>-784.29</v>
      </c>
      <c r="AL306" s="29">
        <f t="shared" si="59"/>
        <v>819.92000000000007</v>
      </c>
      <c r="AM306" s="11">
        <f t="shared" si="51"/>
        <v>2332231.6251250003</v>
      </c>
    </row>
    <row r="307" spans="1:39" x14ac:dyDescent="0.3">
      <c r="A307" s="39">
        <v>45874.15625</v>
      </c>
      <c r="B307" s="1">
        <v>1465.24</v>
      </c>
      <c r="C307" s="11">
        <v>3.2732000000000001</v>
      </c>
      <c r="D307" s="1">
        <v>938.63</v>
      </c>
      <c r="E307" s="11">
        <v>3.0760000000000001</v>
      </c>
      <c r="F307" s="1">
        <v>0</v>
      </c>
      <c r="G307" s="11">
        <v>3.53</v>
      </c>
      <c r="H307" s="1">
        <v>-101.9</v>
      </c>
      <c r="I307" s="11">
        <v>3.0802299999999998</v>
      </c>
      <c r="J307" s="1">
        <v>95.6</v>
      </c>
      <c r="K307" s="11">
        <v>3.0121599999999997</v>
      </c>
      <c r="L307" s="1">
        <v>0</v>
      </c>
      <c r="M307" s="11">
        <v>6.2</v>
      </c>
      <c r="N307" s="1">
        <v>9</v>
      </c>
      <c r="O307" s="11">
        <v>2.8224999999999998</v>
      </c>
      <c r="P307" s="1">
        <f t="shared" si="52"/>
        <v>2406.5699999999997</v>
      </c>
      <c r="Q307" s="1">
        <v>2409.58</v>
      </c>
      <c r="R307" s="16">
        <f t="shared" si="53"/>
        <v>1920684.7517500003</v>
      </c>
      <c r="S307" s="1">
        <v>-684.06</v>
      </c>
      <c r="T307" s="1">
        <v>36.26</v>
      </c>
      <c r="U307" s="1">
        <v>12</v>
      </c>
      <c r="V307" s="1">
        <v>12.74</v>
      </c>
      <c r="W307" s="1" cm="1">
        <f t="array" ref="W307">SUM(ABS(S307:V307))</f>
        <v>745.06</v>
      </c>
      <c r="X307" s="25">
        <v>1.238</v>
      </c>
      <c r="Y307" s="42">
        <f t="shared" si="54"/>
        <v>230596.06999999998</v>
      </c>
      <c r="Z307" s="20">
        <v>480.85</v>
      </c>
      <c r="AA307" s="20">
        <f t="shared" si="55"/>
        <v>1225.9099999999999</v>
      </c>
      <c r="AB307" s="21">
        <v>0.24</v>
      </c>
      <c r="AC307" s="21">
        <v>0.13</v>
      </c>
      <c r="AD307" s="8">
        <f t="shared" si="56"/>
        <v>481.22</v>
      </c>
      <c r="AE307" s="25">
        <v>1.238</v>
      </c>
      <c r="AF307" s="25">
        <f t="shared" si="57"/>
        <v>148937.59</v>
      </c>
      <c r="AG307" s="25">
        <f t="shared" si="58"/>
        <v>379533.66</v>
      </c>
      <c r="AH307" s="1">
        <f t="shared" si="48"/>
        <v>2887.79</v>
      </c>
      <c r="AI307" s="1">
        <f t="shared" si="49"/>
        <v>2890.8</v>
      </c>
      <c r="AJ307" s="1">
        <v>3677.14</v>
      </c>
      <c r="AK307" s="1">
        <f t="shared" si="50"/>
        <v>-789.34999999999991</v>
      </c>
      <c r="AL307" s="29">
        <f t="shared" si="59"/>
        <v>786.33999999999969</v>
      </c>
      <c r="AM307" s="11">
        <f t="shared" si="51"/>
        <v>2300218.4117500004</v>
      </c>
    </row>
    <row r="308" spans="1:39" x14ac:dyDescent="0.3">
      <c r="A308" s="39">
        <v>45874.166666666664</v>
      </c>
      <c r="B308" s="1">
        <v>1465.24</v>
      </c>
      <c r="C308" s="11">
        <v>3.2732000000000001</v>
      </c>
      <c r="D308" s="1">
        <v>938.63</v>
      </c>
      <c r="E308" s="11">
        <v>3.0760000000000001</v>
      </c>
      <c r="F308" s="1">
        <v>0</v>
      </c>
      <c r="G308" s="11">
        <v>3.53</v>
      </c>
      <c r="H308" s="1">
        <v>-101.9</v>
      </c>
      <c r="I308" s="11">
        <v>3.07063</v>
      </c>
      <c r="J308" s="1">
        <v>92.73</v>
      </c>
      <c r="K308" s="11">
        <v>2.9715100000000003</v>
      </c>
      <c r="L308" s="1">
        <v>0</v>
      </c>
      <c r="M308" s="11">
        <v>6.2</v>
      </c>
      <c r="N308" s="1">
        <v>9</v>
      </c>
      <c r="O308" s="11">
        <v>2.8224999999999998</v>
      </c>
      <c r="P308" s="1">
        <f t="shared" si="52"/>
        <v>2403.6999999999998</v>
      </c>
      <c r="Q308" s="1">
        <v>2375.92</v>
      </c>
      <c r="R308" s="16">
        <f t="shared" si="53"/>
        <v>1917825.718325</v>
      </c>
      <c r="S308" s="1">
        <v>-715.11</v>
      </c>
      <c r="T308" s="1">
        <v>36.29</v>
      </c>
      <c r="U308" s="1">
        <v>12</v>
      </c>
      <c r="V308" s="1">
        <v>12.77</v>
      </c>
      <c r="W308" s="1" cm="1">
        <f t="array" ref="W308">SUM(ABS(S308:V308))</f>
        <v>776.17</v>
      </c>
      <c r="X308" s="25">
        <v>1.238</v>
      </c>
      <c r="Y308" s="42">
        <f t="shared" si="54"/>
        <v>240224.61499999996</v>
      </c>
      <c r="Z308" s="20">
        <v>480.83</v>
      </c>
      <c r="AA308" s="20">
        <f t="shared" si="55"/>
        <v>1257</v>
      </c>
      <c r="AB308" s="21">
        <v>0.24</v>
      </c>
      <c r="AC308" s="21">
        <v>0.36000000000000004</v>
      </c>
      <c r="AD308" s="8">
        <f t="shared" si="56"/>
        <v>481.43</v>
      </c>
      <c r="AE308" s="25">
        <v>1.238</v>
      </c>
      <c r="AF308" s="25">
        <f t="shared" si="57"/>
        <v>149002.58500000002</v>
      </c>
      <c r="AG308" s="25">
        <f t="shared" si="58"/>
        <v>389227.19999999995</v>
      </c>
      <c r="AH308" s="1">
        <f t="shared" si="48"/>
        <v>2885.1299999999997</v>
      </c>
      <c r="AI308" s="1">
        <f t="shared" si="49"/>
        <v>2857.35</v>
      </c>
      <c r="AJ308" s="1">
        <v>3646.55</v>
      </c>
      <c r="AK308" s="1">
        <f t="shared" si="50"/>
        <v>-761.42000000000053</v>
      </c>
      <c r="AL308" s="29">
        <f t="shared" si="59"/>
        <v>789.20000000000027</v>
      </c>
      <c r="AM308" s="11">
        <f t="shared" si="51"/>
        <v>2307052.918325</v>
      </c>
    </row>
    <row r="309" spans="1:39" x14ac:dyDescent="0.3">
      <c r="A309" s="39">
        <v>45874.177083333336</v>
      </c>
      <c r="B309" s="1">
        <v>1465.24</v>
      </c>
      <c r="C309" s="11">
        <v>3.2732000000000001</v>
      </c>
      <c r="D309" s="1">
        <v>938.63</v>
      </c>
      <c r="E309" s="11">
        <v>3.0760000000000001</v>
      </c>
      <c r="F309" s="1">
        <v>0</v>
      </c>
      <c r="G309" s="11">
        <v>3.53</v>
      </c>
      <c r="H309" s="1">
        <v>-101.9</v>
      </c>
      <c r="I309" s="11">
        <v>3.0708500000000001</v>
      </c>
      <c r="J309" s="1">
        <v>48.16</v>
      </c>
      <c r="K309" s="11">
        <v>2.9717199999999999</v>
      </c>
      <c r="L309" s="1">
        <v>0</v>
      </c>
      <c r="M309" s="11">
        <v>6.2</v>
      </c>
      <c r="N309" s="1">
        <v>9</v>
      </c>
      <c r="O309" s="11">
        <v>2.8224999999999998</v>
      </c>
      <c r="P309" s="1">
        <f t="shared" si="52"/>
        <v>2359.1299999999997</v>
      </c>
      <c r="Q309" s="1">
        <v>2344.9699999999998</v>
      </c>
      <c r="R309" s="16">
        <f t="shared" si="53"/>
        <v>1884712.5920500003</v>
      </c>
      <c r="S309" s="1">
        <v>-734.49</v>
      </c>
      <c r="T309" s="1">
        <v>36.299999999999997</v>
      </c>
      <c r="U309" s="1">
        <v>12</v>
      </c>
      <c r="V309" s="1">
        <v>12.83</v>
      </c>
      <c r="W309" s="1" cm="1">
        <f t="array" ref="W309">SUM(ABS(S309:V309))</f>
        <v>795.62</v>
      </c>
      <c r="X309" s="25">
        <v>1.238</v>
      </c>
      <c r="Y309" s="42">
        <f t="shared" si="54"/>
        <v>246244.39</v>
      </c>
      <c r="Z309" s="20">
        <v>481.00000000000006</v>
      </c>
      <c r="AA309" s="20">
        <f t="shared" si="55"/>
        <v>1276.6200000000001</v>
      </c>
      <c r="AB309" s="21">
        <v>0.24</v>
      </c>
      <c r="AC309" s="21">
        <v>1</v>
      </c>
      <c r="AD309" s="8">
        <f t="shared" si="56"/>
        <v>482.24000000000007</v>
      </c>
      <c r="AE309" s="25">
        <v>1.238</v>
      </c>
      <c r="AF309" s="25">
        <f t="shared" si="57"/>
        <v>149253.28000000003</v>
      </c>
      <c r="AG309" s="25">
        <f t="shared" si="58"/>
        <v>395497.67000000004</v>
      </c>
      <c r="AH309" s="1">
        <f t="shared" si="48"/>
        <v>2841.37</v>
      </c>
      <c r="AI309" s="1">
        <f t="shared" si="49"/>
        <v>2827.21</v>
      </c>
      <c r="AJ309" s="1">
        <v>3626.93</v>
      </c>
      <c r="AK309" s="1">
        <f t="shared" si="50"/>
        <v>-785.56</v>
      </c>
      <c r="AL309" s="29">
        <f t="shared" si="59"/>
        <v>799.7199999999998</v>
      </c>
      <c r="AM309" s="11">
        <f t="shared" si="51"/>
        <v>2280210.2620500005</v>
      </c>
    </row>
    <row r="310" spans="1:39" x14ac:dyDescent="0.3">
      <c r="A310" s="39">
        <v>45874.1875</v>
      </c>
      <c r="B310" s="1">
        <v>1465.24</v>
      </c>
      <c r="C310" s="11">
        <v>3.2732000000000001</v>
      </c>
      <c r="D310" s="1">
        <v>938.63</v>
      </c>
      <c r="E310" s="11">
        <v>3.0760000000000001</v>
      </c>
      <c r="F310" s="1">
        <v>0</v>
      </c>
      <c r="G310" s="11">
        <v>3.53</v>
      </c>
      <c r="H310" s="1">
        <v>-101.9</v>
      </c>
      <c r="I310" s="11">
        <v>3.08</v>
      </c>
      <c r="J310" s="1">
        <v>133.81</v>
      </c>
      <c r="K310" s="11">
        <v>3.3623400000000001</v>
      </c>
      <c r="L310" s="1">
        <v>0</v>
      </c>
      <c r="M310" s="11">
        <v>6.2</v>
      </c>
      <c r="N310" s="1">
        <v>9</v>
      </c>
      <c r="O310" s="11">
        <v>2.8224999999999998</v>
      </c>
      <c r="P310" s="1">
        <f t="shared" si="52"/>
        <v>2444.7799999999997</v>
      </c>
      <c r="Q310" s="1">
        <v>2328.5100000000002</v>
      </c>
      <c r="R310" s="16">
        <f t="shared" si="53"/>
        <v>1961178.6658500002</v>
      </c>
      <c r="S310" s="1">
        <v>-736.92</v>
      </c>
      <c r="T310" s="1">
        <v>36.31</v>
      </c>
      <c r="U310" s="1">
        <v>12</v>
      </c>
      <c r="V310" s="1">
        <v>12.84</v>
      </c>
      <c r="W310" s="1" cm="1">
        <f t="array" ref="W310">SUM(ABS(S310:V310))</f>
        <v>798.07</v>
      </c>
      <c r="X310" s="25">
        <v>1.238</v>
      </c>
      <c r="Y310" s="42">
        <f t="shared" si="54"/>
        <v>247002.66500000001</v>
      </c>
      <c r="Z310" s="20">
        <v>480.73</v>
      </c>
      <c r="AA310" s="20">
        <f t="shared" si="55"/>
        <v>1278.8000000000002</v>
      </c>
      <c r="AB310" s="21">
        <v>0.24</v>
      </c>
      <c r="AC310" s="21">
        <v>0.84</v>
      </c>
      <c r="AD310" s="8">
        <f t="shared" si="56"/>
        <v>481.81</v>
      </c>
      <c r="AE310" s="25">
        <v>1.238</v>
      </c>
      <c r="AF310" s="25">
        <f t="shared" si="57"/>
        <v>149120.19500000001</v>
      </c>
      <c r="AG310" s="25">
        <f t="shared" si="58"/>
        <v>396122.86</v>
      </c>
      <c r="AH310" s="1">
        <f t="shared" si="48"/>
        <v>2926.5899999999997</v>
      </c>
      <c r="AI310" s="1">
        <f t="shared" si="49"/>
        <v>2810.32</v>
      </c>
      <c r="AJ310" s="1">
        <v>3611.2</v>
      </c>
      <c r="AK310" s="1">
        <f t="shared" si="50"/>
        <v>-684.61000000000013</v>
      </c>
      <c r="AL310" s="29">
        <f t="shared" si="59"/>
        <v>800.87999999999965</v>
      </c>
      <c r="AM310" s="11">
        <f t="shared" si="51"/>
        <v>2357301.5258500003</v>
      </c>
    </row>
    <row r="311" spans="1:39" x14ac:dyDescent="0.3">
      <c r="A311" s="39">
        <v>45874.197916666664</v>
      </c>
      <c r="B311" s="1">
        <v>1465.24</v>
      </c>
      <c r="C311" s="11">
        <v>3.2732000000000001</v>
      </c>
      <c r="D311" s="1">
        <v>938.63</v>
      </c>
      <c r="E311" s="11">
        <v>3.0760000000000001</v>
      </c>
      <c r="F311" s="1">
        <v>0</v>
      </c>
      <c r="G311" s="11">
        <v>3.53</v>
      </c>
      <c r="H311" s="1">
        <v>-101.9</v>
      </c>
      <c r="I311" s="11">
        <v>3.0802899999999998</v>
      </c>
      <c r="J311" s="1">
        <v>141</v>
      </c>
      <c r="K311" s="11">
        <v>3.5158499999999999</v>
      </c>
      <c r="L311" s="1">
        <v>0</v>
      </c>
      <c r="M311" s="11">
        <v>6.2</v>
      </c>
      <c r="N311" s="1">
        <v>9</v>
      </c>
      <c r="O311" s="11">
        <v>2.8224999999999998</v>
      </c>
      <c r="P311" s="1">
        <f t="shared" si="52"/>
        <v>2451.9699999999998</v>
      </c>
      <c r="Q311" s="1">
        <v>2313.73</v>
      </c>
      <c r="R311" s="16">
        <f t="shared" si="53"/>
        <v>1972626.3117500001</v>
      </c>
      <c r="S311" s="1">
        <v>-734.7</v>
      </c>
      <c r="T311" s="1">
        <v>36.32</v>
      </c>
      <c r="U311" s="1">
        <v>12</v>
      </c>
      <c r="V311" s="1">
        <v>12.8</v>
      </c>
      <c r="W311" s="1" cm="1">
        <f t="array" ref="W311">SUM(ABS(S311:V311))</f>
        <v>795.82</v>
      </c>
      <c r="X311" s="25">
        <v>1.238</v>
      </c>
      <c r="Y311" s="42">
        <f t="shared" si="54"/>
        <v>246306.29</v>
      </c>
      <c r="Z311" s="20">
        <v>480.88000000000005</v>
      </c>
      <c r="AA311" s="20">
        <f t="shared" si="55"/>
        <v>1276.7</v>
      </c>
      <c r="AB311" s="21">
        <v>0.24</v>
      </c>
      <c r="AC311" s="21">
        <v>1.25</v>
      </c>
      <c r="AD311" s="8">
        <f t="shared" si="56"/>
        <v>482.37000000000006</v>
      </c>
      <c r="AE311" s="25">
        <v>1.238</v>
      </c>
      <c r="AF311" s="25">
        <f t="shared" si="57"/>
        <v>149293.51500000001</v>
      </c>
      <c r="AG311" s="25">
        <f t="shared" si="58"/>
        <v>395599.80500000005</v>
      </c>
      <c r="AH311" s="1">
        <f t="shared" si="48"/>
        <v>2934.3399999999997</v>
      </c>
      <c r="AI311" s="1">
        <f t="shared" si="49"/>
        <v>2796.1</v>
      </c>
      <c r="AJ311" s="1">
        <v>3599.56</v>
      </c>
      <c r="AK311" s="1">
        <f t="shared" si="50"/>
        <v>-665.22000000000025</v>
      </c>
      <c r="AL311" s="29">
        <f t="shared" si="59"/>
        <v>803.46</v>
      </c>
      <c r="AM311" s="11">
        <f t="shared" si="51"/>
        <v>2368226.11675</v>
      </c>
    </row>
    <row r="312" spans="1:39" x14ac:dyDescent="0.3">
      <c r="A312" s="39">
        <v>45874.208333333336</v>
      </c>
      <c r="B312" s="1">
        <v>1465.24</v>
      </c>
      <c r="C312" s="11">
        <v>3.2732000000000001</v>
      </c>
      <c r="D312" s="1">
        <v>938.63</v>
      </c>
      <c r="E312" s="11">
        <v>3.0760000000000001</v>
      </c>
      <c r="F312" s="1">
        <v>0</v>
      </c>
      <c r="G312" s="11">
        <v>3.53</v>
      </c>
      <c r="H312" s="1">
        <v>-101.9</v>
      </c>
      <c r="I312" s="11">
        <v>3.0701100000000001</v>
      </c>
      <c r="J312" s="1">
        <v>95.89</v>
      </c>
      <c r="K312" s="11">
        <v>2.8235199999999998</v>
      </c>
      <c r="L312" s="1">
        <v>0</v>
      </c>
      <c r="M312" s="11">
        <v>6.2</v>
      </c>
      <c r="N312" s="1">
        <v>9</v>
      </c>
      <c r="O312" s="11">
        <v>2.8224999999999998</v>
      </c>
      <c r="P312" s="1">
        <f t="shared" si="52"/>
        <v>2406.8599999999997</v>
      </c>
      <c r="Q312" s="1">
        <v>2328.4899999999998</v>
      </c>
      <c r="R312" s="16">
        <f t="shared" si="53"/>
        <v>1916638.76795</v>
      </c>
      <c r="S312" s="1">
        <v>-728.48</v>
      </c>
      <c r="T312" s="1">
        <v>36.35</v>
      </c>
      <c r="U312" s="1">
        <v>12</v>
      </c>
      <c r="V312" s="1">
        <v>12.83</v>
      </c>
      <c r="W312" s="1" cm="1">
        <f t="array" ref="W312">SUM(ABS(S312:V312))</f>
        <v>789.66000000000008</v>
      </c>
      <c r="X312" s="25">
        <v>1.238</v>
      </c>
      <c r="Y312" s="42">
        <f t="shared" si="54"/>
        <v>244399.77000000002</v>
      </c>
      <c r="Z312" s="20">
        <v>480.88</v>
      </c>
      <c r="AA312" s="20">
        <f t="shared" si="55"/>
        <v>1270.54</v>
      </c>
      <c r="AB312" s="21">
        <v>0.24</v>
      </c>
      <c r="AC312" s="21">
        <v>0.96000000000000008</v>
      </c>
      <c r="AD312" s="8">
        <f t="shared" si="56"/>
        <v>482.08</v>
      </c>
      <c r="AE312" s="25">
        <v>1.238</v>
      </c>
      <c r="AF312" s="25">
        <f t="shared" si="57"/>
        <v>149203.75999999998</v>
      </c>
      <c r="AG312" s="25">
        <f t="shared" si="58"/>
        <v>393603.53</v>
      </c>
      <c r="AH312" s="1">
        <f t="shared" si="48"/>
        <v>2888.9399999999996</v>
      </c>
      <c r="AI312" s="1">
        <f t="shared" si="49"/>
        <v>2810.5699999999997</v>
      </c>
      <c r="AJ312" s="1">
        <v>3604.63</v>
      </c>
      <c r="AK312" s="1">
        <f t="shared" si="50"/>
        <v>-715.69000000000051</v>
      </c>
      <c r="AL312" s="29">
        <f t="shared" si="59"/>
        <v>794.0600000000004</v>
      </c>
      <c r="AM312" s="11">
        <f t="shared" si="51"/>
        <v>2310242.29795</v>
      </c>
    </row>
    <row r="313" spans="1:39" x14ac:dyDescent="0.3">
      <c r="A313" s="39">
        <v>45874.21875</v>
      </c>
      <c r="B313" s="1">
        <v>1465.24</v>
      </c>
      <c r="C313" s="11">
        <v>3.2732000000000001</v>
      </c>
      <c r="D313" s="1">
        <v>938.63</v>
      </c>
      <c r="E313" s="11">
        <v>3.0760000000000001</v>
      </c>
      <c r="F313" s="1">
        <v>0</v>
      </c>
      <c r="G313" s="11">
        <v>3.53</v>
      </c>
      <c r="H313" s="1">
        <v>-101.9</v>
      </c>
      <c r="I313" s="11">
        <v>3.0709499999999998</v>
      </c>
      <c r="J313" s="1">
        <v>92.73</v>
      </c>
      <c r="K313" s="11">
        <v>3.2905900000000003</v>
      </c>
      <c r="L313" s="1">
        <v>0</v>
      </c>
      <c r="M313" s="11">
        <v>6.2</v>
      </c>
      <c r="N313" s="1">
        <v>9</v>
      </c>
      <c r="O313" s="11">
        <v>2.8224999999999998</v>
      </c>
      <c r="P313" s="1">
        <f t="shared" si="52"/>
        <v>2403.6999999999998</v>
      </c>
      <c r="Q313" s="1">
        <v>2349.61</v>
      </c>
      <c r="R313" s="16">
        <f t="shared" si="53"/>
        <v>1925214.6384250002</v>
      </c>
      <c r="S313" s="1">
        <v>-715.19</v>
      </c>
      <c r="T313" s="1">
        <v>36.369999999999997</v>
      </c>
      <c r="U313" s="1">
        <v>12</v>
      </c>
      <c r="V313" s="1">
        <v>12.85</v>
      </c>
      <c r="W313" s="1" cm="1">
        <f t="array" ref="W313">SUM(ABS(S313:V313))</f>
        <v>776.41000000000008</v>
      </c>
      <c r="X313" s="25">
        <v>1.238</v>
      </c>
      <c r="Y313" s="42">
        <f t="shared" si="54"/>
        <v>240298.89500000002</v>
      </c>
      <c r="Z313" s="20">
        <v>480.72</v>
      </c>
      <c r="AA313" s="20">
        <f t="shared" si="55"/>
        <v>1257.1300000000001</v>
      </c>
      <c r="AB313" s="21">
        <v>0.23</v>
      </c>
      <c r="AC313" s="21">
        <v>1.5</v>
      </c>
      <c r="AD313" s="8">
        <f t="shared" si="56"/>
        <v>482.45000000000005</v>
      </c>
      <c r="AE313" s="25">
        <v>1.238</v>
      </c>
      <c r="AF313" s="25">
        <f t="shared" si="57"/>
        <v>149318.27499999999</v>
      </c>
      <c r="AG313" s="25">
        <f t="shared" si="58"/>
        <v>389617.17000000004</v>
      </c>
      <c r="AH313" s="1">
        <f t="shared" si="48"/>
        <v>2886.1499999999996</v>
      </c>
      <c r="AI313" s="1">
        <f t="shared" si="49"/>
        <v>2832.0600000000004</v>
      </c>
      <c r="AJ313" s="1">
        <v>3613.4</v>
      </c>
      <c r="AK313" s="1">
        <f t="shared" si="50"/>
        <v>-727.25000000000045</v>
      </c>
      <c r="AL313" s="29">
        <f t="shared" si="59"/>
        <v>781.33999999999969</v>
      </c>
      <c r="AM313" s="11">
        <f t="shared" si="51"/>
        <v>2314831.8084250004</v>
      </c>
    </row>
    <row r="314" spans="1:39" x14ac:dyDescent="0.3">
      <c r="A314" s="39">
        <v>45874.229166666664</v>
      </c>
      <c r="B314" s="1">
        <v>1465.24</v>
      </c>
      <c r="C314" s="11">
        <v>3.2732000000000001</v>
      </c>
      <c r="D314" s="1">
        <v>938.63</v>
      </c>
      <c r="E314" s="11">
        <v>3.0760000000000001</v>
      </c>
      <c r="F314" s="1">
        <v>0</v>
      </c>
      <c r="G314" s="11">
        <v>3.53</v>
      </c>
      <c r="H314" s="1">
        <v>-101.9</v>
      </c>
      <c r="I314" s="11">
        <v>3.0806399999999998</v>
      </c>
      <c r="J314" s="1">
        <v>92.73</v>
      </c>
      <c r="K314" s="11">
        <v>3.4997800000000003</v>
      </c>
      <c r="L314" s="1">
        <v>0</v>
      </c>
      <c r="M314" s="11">
        <v>6.2</v>
      </c>
      <c r="N314" s="1">
        <v>9</v>
      </c>
      <c r="O314" s="11">
        <v>2.8224999999999998</v>
      </c>
      <c r="P314" s="1">
        <f t="shared" si="52"/>
        <v>2403.6999999999998</v>
      </c>
      <c r="Q314" s="1">
        <v>2400.9</v>
      </c>
      <c r="R314" s="16">
        <f t="shared" si="53"/>
        <v>1929817.3328500001</v>
      </c>
      <c r="S314" s="1">
        <v>-680.43</v>
      </c>
      <c r="T314" s="1">
        <v>36.4</v>
      </c>
      <c r="U314" s="1">
        <v>12</v>
      </c>
      <c r="V314" s="1">
        <v>12.84</v>
      </c>
      <c r="W314" s="1" cm="1">
        <f t="array" ref="W314">SUM(ABS(S314:V314))</f>
        <v>741.67</v>
      </c>
      <c r="X314" s="25">
        <v>1.238</v>
      </c>
      <c r="Y314" s="42">
        <f t="shared" si="54"/>
        <v>229546.86499999999</v>
      </c>
      <c r="Z314" s="20">
        <v>478.8300000000001</v>
      </c>
      <c r="AA314" s="20">
        <f t="shared" si="55"/>
        <v>1220.5</v>
      </c>
      <c r="AB314" s="21">
        <v>0.23</v>
      </c>
      <c r="AC314" s="21">
        <v>1.7900000000000003</v>
      </c>
      <c r="AD314" s="8">
        <f t="shared" si="56"/>
        <v>480.85000000000014</v>
      </c>
      <c r="AE314" s="25">
        <v>1.238</v>
      </c>
      <c r="AF314" s="25">
        <f t="shared" si="57"/>
        <v>148823.07500000004</v>
      </c>
      <c r="AG314" s="25">
        <f t="shared" si="58"/>
        <v>378369.94000000006</v>
      </c>
      <c r="AH314" s="1">
        <f t="shared" si="48"/>
        <v>2884.55</v>
      </c>
      <c r="AI314" s="1">
        <f t="shared" si="49"/>
        <v>2881.75</v>
      </c>
      <c r="AJ314" s="1">
        <v>3627.21</v>
      </c>
      <c r="AK314" s="1">
        <f t="shared" si="50"/>
        <v>-742.65999999999985</v>
      </c>
      <c r="AL314" s="29">
        <f t="shared" si="59"/>
        <v>745.46</v>
      </c>
      <c r="AM314" s="11">
        <f t="shared" si="51"/>
        <v>2308187.2728500003</v>
      </c>
    </row>
    <row r="315" spans="1:39" x14ac:dyDescent="0.3">
      <c r="A315" s="39">
        <v>45874.239583333336</v>
      </c>
      <c r="B315" s="1">
        <v>1466.96</v>
      </c>
      <c r="C315" s="11">
        <v>3.2732000000000001</v>
      </c>
      <c r="D315" s="1">
        <v>938.63</v>
      </c>
      <c r="E315" s="11">
        <v>3.0760000000000001</v>
      </c>
      <c r="F315" s="1">
        <v>0</v>
      </c>
      <c r="G315" s="11">
        <v>3.53</v>
      </c>
      <c r="H315" s="1">
        <v>-101.9</v>
      </c>
      <c r="I315" s="11">
        <v>3.2003699999999999</v>
      </c>
      <c r="J315" s="1">
        <v>92.73</v>
      </c>
      <c r="K315" s="11">
        <v>3.5659999999999998</v>
      </c>
      <c r="L315" s="1">
        <v>0</v>
      </c>
      <c r="M315" s="11">
        <v>6.2</v>
      </c>
      <c r="N315" s="1">
        <v>20.5</v>
      </c>
      <c r="O315" s="11">
        <v>2.8224999999999998</v>
      </c>
      <c r="P315" s="1">
        <f t="shared" si="52"/>
        <v>2416.92</v>
      </c>
      <c r="Q315" s="1">
        <v>2415.8000000000002</v>
      </c>
      <c r="R315" s="16">
        <f t="shared" si="53"/>
        <v>1937824.51975</v>
      </c>
      <c r="S315" s="1">
        <v>-689.14</v>
      </c>
      <c r="T315" s="1">
        <v>36.409999999999997</v>
      </c>
      <c r="U315" s="1">
        <v>12</v>
      </c>
      <c r="V315" s="1">
        <v>12.86</v>
      </c>
      <c r="W315" s="1" cm="1">
        <f t="array" ref="W315">SUM(ABS(S315:V315))</f>
        <v>750.41</v>
      </c>
      <c r="X315" s="25">
        <v>1.238</v>
      </c>
      <c r="Y315" s="42">
        <f t="shared" si="54"/>
        <v>232251.89499999999</v>
      </c>
      <c r="Z315" s="20">
        <v>464.60000000000008</v>
      </c>
      <c r="AA315" s="20">
        <f t="shared" si="55"/>
        <v>1215.01</v>
      </c>
      <c r="AB315" s="21">
        <v>0.22000000000000003</v>
      </c>
      <c r="AC315" s="21">
        <v>1.76</v>
      </c>
      <c r="AD315" s="8">
        <f t="shared" si="56"/>
        <v>466.5800000000001</v>
      </c>
      <c r="AE315" s="25">
        <v>1.238</v>
      </c>
      <c r="AF315" s="25">
        <f t="shared" si="57"/>
        <v>144406.51000000004</v>
      </c>
      <c r="AG315" s="25">
        <f t="shared" si="58"/>
        <v>376658.40500000003</v>
      </c>
      <c r="AH315" s="1">
        <f t="shared" si="48"/>
        <v>2883.5</v>
      </c>
      <c r="AI315" s="1">
        <f t="shared" si="49"/>
        <v>2882.38</v>
      </c>
      <c r="AJ315" s="1">
        <v>3637.45</v>
      </c>
      <c r="AK315" s="1">
        <f t="shared" si="50"/>
        <v>-753.94999999999982</v>
      </c>
      <c r="AL315" s="29">
        <f t="shared" si="59"/>
        <v>755.06999999999971</v>
      </c>
      <c r="AM315" s="11">
        <f t="shared" si="51"/>
        <v>2314482.9247500002</v>
      </c>
    </row>
    <row r="316" spans="1:39" x14ac:dyDescent="0.3">
      <c r="A316" s="39">
        <v>45874.25</v>
      </c>
      <c r="B316" s="1">
        <v>1467.37</v>
      </c>
      <c r="C316" s="11">
        <v>3.2732000000000001</v>
      </c>
      <c r="D316" s="1">
        <v>567.96</v>
      </c>
      <c r="E316" s="11">
        <v>3.0760000000000001</v>
      </c>
      <c r="F316" s="1">
        <v>370.67</v>
      </c>
      <c r="G316" s="11">
        <v>3.53</v>
      </c>
      <c r="H316" s="1">
        <v>-51.81</v>
      </c>
      <c r="I316" s="11">
        <v>3.4068700000000001</v>
      </c>
      <c r="J316" s="1">
        <v>102.03</v>
      </c>
      <c r="K316" s="11">
        <v>3.4998200000000002</v>
      </c>
      <c r="L316" s="1">
        <v>0</v>
      </c>
      <c r="M316" s="11">
        <v>6.2</v>
      </c>
      <c r="N316" s="1">
        <v>25.29</v>
      </c>
      <c r="O316" s="11">
        <v>2.8224999999999998</v>
      </c>
      <c r="P316" s="1">
        <f t="shared" si="52"/>
        <v>2481.5100000000002</v>
      </c>
      <c r="Q316" s="1">
        <v>2505.11</v>
      </c>
      <c r="R316" s="16">
        <f t="shared" si="53"/>
        <v>2027615.8172249999</v>
      </c>
      <c r="S316" s="1">
        <v>-640.52</v>
      </c>
      <c r="T316" s="1">
        <v>36.44</v>
      </c>
      <c r="U316" s="1">
        <v>12</v>
      </c>
      <c r="V316" s="1">
        <v>12.88</v>
      </c>
      <c r="W316" s="1" cm="1">
        <f t="array" ref="W316">SUM(ABS(S316:V316))</f>
        <v>701.84</v>
      </c>
      <c r="X316" s="25">
        <v>1.238</v>
      </c>
      <c r="Y316" s="42">
        <f t="shared" si="54"/>
        <v>217219.48</v>
      </c>
      <c r="Z316" s="20">
        <v>445.20000000000005</v>
      </c>
      <c r="AA316" s="20">
        <f t="shared" si="55"/>
        <v>1147.04</v>
      </c>
      <c r="AB316" s="21">
        <v>0.35000000000000003</v>
      </c>
      <c r="AC316" s="21">
        <v>1.5099999999999998</v>
      </c>
      <c r="AD316" s="8">
        <f t="shared" si="56"/>
        <v>447.06000000000006</v>
      </c>
      <c r="AE316" s="25">
        <v>1.238</v>
      </c>
      <c r="AF316" s="25">
        <f t="shared" si="57"/>
        <v>138365.07</v>
      </c>
      <c r="AG316" s="25">
        <f t="shared" si="58"/>
        <v>355584.55000000005</v>
      </c>
      <c r="AH316" s="1">
        <f t="shared" si="48"/>
        <v>2928.57</v>
      </c>
      <c r="AI316" s="1">
        <f t="shared" si="49"/>
        <v>2952.17</v>
      </c>
      <c r="AJ316" s="1">
        <v>3658.84</v>
      </c>
      <c r="AK316" s="1">
        <f t="shared" si="50"/>
        <v>-730.27</v>
      </c>
      <c r="AL316" s="29">
        <f t="shared" si="59"/>
        <v>706.67000000000007</v>
      </c>
      <c r="AM316" s="11">
        <f t="shared" si="51"/>
        <v>2383200.3672249997</v>
      </c>
    </row>
    <row r="317" spans="1:39" x14ac:dyDescent="0.3">
      <c r="A317" s="39">
        <v>45874.260416666664</v>
      </c>
      <c r="B317" s="1">
        <v>1467.39</v>
      </c>
      <c r="C317" s="11">
        <v>3.2732000000000001</v>
      </c>
      <c r="D317" s="1">
        <v>540.05999999999995</v>
      </c>
      <c r="E317" s="11">
        <v>3.0760000000000001</v>
      </c>
      <c r="F317" s="1">
        <v>398.57</v>
      </c>
      <c r="G317" s="11">
        <v>3.53</v>
      </c>
      <c r="H317" s="1">
        <v>-47.95</v>
      </c>
      <c r="I317" s="11">
        <v>3.4066999999999998</v>
      </c>
      <c r="J317" s="1">
        <v>102.77</v>
      </c>
      <c r="K317" s="11">
        <v>3.4990999999999999</v>
      </c>
      <c r="L317" s="1">
        <v>0</v>
      </c>
      <c r="M317" s="11">
        <v>6.2</v>
      </c>
      <c r="N317" s="1">
        <v>31.31</v>
      </c>
      <c r="O317" s="11">
        <v>2.8224999999999998</v>
      </c>
      <c r="P317" s="1">
        <f t="shared" si="52"/>
        <v>2492.15</v>
      </c>
      <c r="Q317" s="1">
        <v>2485.77</v>
      </c>
      <c r="R317" s="16">
        <f t="shared" si="53"/>
        <v>2038965.3312499998</v>
      </c>
      <c r="S317" s="1">
        <v>-669.29</v>
      </c>
      <c r="T317" s="1">
        <v>36.44</v>
      </c>
      <c r="U317" s="1">
        <v>12</v>
      </c>
      <c r="V317" s="1">
        <v>12.88</v>
      </c>
      <c r="W317" s="1" cm="1">
        <f t="array" ref="W317">SUM(ABS(S317:V317))</f>
        <v>730.61</v>
      </c>
      <c r="X317" s="25">
        <v>1.238</v>
      </c>
      <c r="Y317" s="42">
        <f t="shared" si="54"/>
        <v>226123.79500000001</v>
      </c>
      <c r="Z317" s="20">
        <v>446.76000000000005</v>
      </c>
      <c r="AA317" s="20">
        <f t="shared" si="55"/>
        <v>1177.3700000000001</v>
      </c>
      <c r="AB317" s="21">
        <v>3.2999999999999994</v>
      </c>
      <c r="AC317" s="21">
        <v>1.04</v>
      </c>
      <c r="AD317" s="8">
        <f t="shared" si="56"/>
        <v>451.10000000000008</v>
      </c>
      <c r="AE317" s="25">
        <v>1.238</v>
      </c>
      <c r="AF317" s="25">
        <f t="shared" si="57"/>
        <v>139615.45000000001</v>
      </c>
      <c r="AG317" s="25">
        <f t="shared" si="58"/>
        <v>365739.245</v>
      </c>
      <c r="AH317" s="1">
        <f t="shared" si="48"/>
        <v>2943.25</v>
      </c>
      <c r="AI317" s="1">
        <f t="shared" si="49"/>
        <v>2936.87</v>
      </c>
      <c r="AJ317" s="1">
        <v>3669.01</v>
      </c>
      <c r="AK317" s="1">
        <f t="shared" si="50"/>
        <v>-725.76000000000022</v>
      </c>
      <c r="AL317" s="29">
        <f t="shared" si="59"/>
        <v>732.14000000000033</v>
      </c>
      <c r="AM317" s="11">
        <f t="shared" si="51"/>
        <v>2404704.5762499999</v>
      </c>
    </row>
    <row r="318" spans="1:39" x14ac:dyDescent="0.3">
      <c r="A318" s="39">
        <v>45874.270833333336</v>
      </c>
      <c r="B318" s="1">
        <v>1467.39</v>
      </c>
      <c r="C318" s="11">
        <v>3.2732000000000001</v>
      </c>
      <c r="D318" s="1">
        <v>540.05999999999995</v>
      </c>
      <c r="E318" s="11">
        <v>3.0760000000000001</v>
      </c>
      <c r="F318" s="1">
        <v>398.57</v>
      </c>
      <c r="G318" s="11">
        <v>3.53</v>
      </c>
      <c r="H318" s="1">
        <v>-50.18</v>
      </c>
      <c r="I318" s="11">
        <v>3.3004799999999999</v>
      </c>
      <c r="J318" s="1">
        <v>30.35</v>
      </c>
      <c r="K318" s="11">
        <v>2.9980000000000002</v>
      </c>
      <c r="L318" s="1">
        <v>0</v>
      </c>
      <c r="M318" s="11">
        <v>6.2</v>
      </c>
      <c r="N318" s="1">
        <v>39.6</v>
      </c>
      <c r="O318" s="11">
        <v>2.8224999999999998</v>
      </c>
      <c r="P318" s="1">
        <f t="shared" si="52"/>
        <v>2425.79</v>
      </c>
      <c r="Q318" s="1">
        <v>2403.54</v>
      </c>
      <c r="R318" s="16">
        <f t="shared" si="53"/>
        <v>1977094.9553999999</v>
      </c>
      <c r="S318" s="1">
        <v>-728</v>
      </c>
      <c r="T318" s="1">
        <v>36.450000000000003</v>
      </c>
      <c r="U318" s="1">
        <v>12</v>
      </c>
      <c r="V318" s="1">
        <v>12.87</v>
      </c>
      <c r="W318" s="1" cm="1">
        <f t="array" ref="W318">SUM(ABS(S318:V318))</f>
        <v>789.32</v>
      </c>
      <c r="X318" s="25">
        <v>1.238</v>
      </c>
      <c r="Y318" s="42">
        <f t="shared" si="54"/>
        <v>244294.54</v>
      </c>
      <c r="Z318" s="20">
        <v>447.33000000000004</v>
      </c>
      <c r="AA318" s="20">
        <f t="shared" si="55"/>
        <v>1236.6500000000001</v>
      </c>
      <c r="AB318" s="21">
        <v>8.6199999999999974</v>
      </c>
      <c r="AC318" s="21">
        <v>0.72</v>
      </c>
      <c r="AD318" s="8">
        <f t="shared" si="56"/>
        <v>456.67000000000007</v>
      </c>
      <c r="AE318" s="25">
        <v>1.238</v>
      </c>
      <c r="AF318" s="25">
        <f t="shared" si="57"/>
        <v>141339.36500000002</v>
      </c>
      <c r="AG318" s="25">
        <f t="shared" si="58"/>
        <v>385633.90500000003</v>
      </c>
      <c r="AH318" s="1">
        <f t="shared" si="48"/>
        <v>2882.46</v>
      </c>
      <c r="AI318" s="1">
        <f t="shared" si="49"/>
        <v>2860.21</v>
      </c>
      <c r="AJ318" s="1">
        <v>3647.88</v>
      </c>
      <c r="AK318" s="1">
        <f t="shared" si="50"/>
        <v>-765.42000000000007</v>
      </c>
      <c r="AL318" s="29">
        <f t="shared" si="59"/>
        <v>787.67000000000007</v>
      </c>
      <c r="AM318" s="11">
        <f t="shared" si="51"/>
        <v>2362728.8603999997</v>
      </c>
    </row>
    <row r="319" spans="1:39" x14ac:dyDescent="0.3">
      <c r="A319" s="39">
        <v>45874.28125</v>
      </c>
      <c r="B319" s="1">
        <v>1467.39</v>
      </c>
      <c r="C319" s="11">
        <v>3.2732000000000001</v>
      </c>
      <c r="D319" s="1">
        <v>540.05999999999995</v>
      </c>
      <c r="E319" s="11">
        <v>3.0760000000000001</v>
      </c>
      <c r="F319" s="1">
        <v>398.57</v>
      </c>
      <c r="G319" s="11">
        <v>3.53</v>
      </c>
      <c r="H319" s="1">
        <v>-47.84</v>
      </c>
      <c r="I319" s="11">
        <v>3.0709400000000002</v>
      </c>
      <c r="J319" s="1">
        <v>26.35</v>
      </c>
      <c r="K319" s="11">
        <v>2.8234899999999996</v>
      </c>
      <c r="L319" s="1">
        <v>0</v>
      </c>
      <c r="M319" s="11">
        <v>6.2</v>
      </c>
      <c r="N319" s="1">
        <v>51.34</v>
      </c>
      <c r="O319" s="11">
        <v>2.8224999999999998</v>
      </c>
      <c r="P319" s="1">
        <f t="shared" si="52"/>
        <v>2435.87</v>
      </c>
      <c r="Q319" s="1">
        <v>2399.91</v>
      </c>
      <c r="R319" s="16">
        <f t="shared" si="53"/>
        <v>1985907.4874749999</v>
      </c>
      <c r="S319" s="1">
        <v>-691.59</v>
      </c>
      <c r="T319" s="1">
        <v>36.46</v>
      </c>
      <c r="U319" s="1">
        <v>12</v>
      </c>
      <c r="V319" s="1">
        <v>12.88</v>
      </c>
      <c r="W319" s="1" cm="1">
        <f t="array" ref="W319">SUM(ABS(S319:V319))</f>
        <v>752.93000000000006</v>
      </c>
      <c r="X319" s="25">
        <v>1.238</v>
      </c>
      <c r="Y319" s="42">
        <f t="shared" si="54"/>
        <v>233031.83500000002</v>
      </c>
      <c r="Z319" s="20">
        <v>444.28000000000003</v>
      </c>
      <c r="AA319" s="20">
        <f t="shared" si="55"/>
        <v>1197.21</v>
      </c>
      <c r="AB319" s="21">
        <v>16.64</v>
      </c>
      <c r="AC319" s="21">
        <v>0.99</v>
      </c>
      <c r="AD319" s="8">
        <f t="shared" si="56"/>
        <v>461.91</v>
      </c>
      <c r="AE319" s="25">
        <v>1.238</v>
      </c>
      <c r="AF319" s="25">
        <f t="shared" si="57"/>
        <v>142961.14500000002</v>
      </c>
      <c r="AG319" s="25">
        <f t="shared" si="58"/>
        <v>375992.98000000004</v>
      </c>
      <c r="AH319" s="1">
        <f t="shared" si="48"/>
        <v>2897.7799999999997</v>
      </c>
      <c r="AI319" s="1">
        <f t="shared" si="49"/>
        <v>2861.8199999999997</v>
      </c>
      <c r="AJ319" s="1">
        <v>3613.71</v>
      </c>
      <c r="AK319" s="1">
        <f t="shared" si="50"/>
        <v>-715.93000000000029</v>
      </c>
      <c r="AL319" s="29">
        <f t="shared" si="59"/>
        <v>751.89000000000033</v>
      </c>
      <c r="AM319" s="11">
        <f t="shared" si="51"/>
        <v>2361900.4674749998</v>
      </c>
    </row>
    <row r="320" spans="1:39" x14ac:dyDescent="0.3">
      <c r="A320" s="39">
        <v>45874.291666666664</v>
      </c>
      <c r="B320" s="1">
        <v>1466.08</v>
      </c>
      <c r="C320" s="11">
        <v>3.2732000000000001</v>
      </c>
      <c r="D320" s="1">
        <v>540.05999999999995</v>
      </c>
      <c r="E320" s="11">
        <v>3.0760000000000001</v>
      </c>
      <c r="F320" s="1">
        <v>398.57</v>
      </c>
      <c r="G320" s="11">
        <v>3.53</v>
      </c>
      <c r="H320" s="1">
        <v>-39.39</v>
      </c>
      <c r="I320" s="11">
        <v>3.0703499999999999</v>
      </c>
      <c r="J320" s="1">
        <v>202.77</v>
      </c>
      <c r="K320" s="11">
        <v>2.4206500000000002</v>
      </c>
      <c r="L320" s="1">
        <v>0</v>
      </c>
      <c r="M320" s="11">
        <v>6.2</v>
      </c>
      <c r="N320" s="1">
        <v>69.069999999999993</v>
      </c>
      <c r="O320" s="11">
        <v>2.8224999999999998</v>
      </c>
      <c r="P320" s="1">
        <f t="shared" si="52"/>
        <v>2637.1600000000003</v>
      </c>
      <c r="Q320" s="1">
        <v>2460.1</v>
      </c>
      <c r="R320" s="16">
        <f t="shared" si="53"/>
        <v>2107948.4762500003</v>
      </c>
      <c r="S320" s="1">
        <v>-603.33000000000004</v>
      </c>
      <c r="T320" s="1">
        <v>36.450000000000003</v>
      </c>
      <c r="U320" s="1">
        <v>12</v>
      </c>
      <c r="V320" s="1">
        <v>12.88</v>
      </c>
      <c r="W320" s="1" cm="1">
        <f t="array" ref="W320">SUM(ABS(S320:V320))</f>
        <v>664.66000000000008</v>
      </c>
      <c r="X320" s="25">
        <v>1.238</v>
      </c>
      <c r="Y320" s="42">
        <f t="shared" si="54"/>
        <v>205712.27000000002</v>
      </c>
      <c r="Z320" s="20">
        <v>439.38999999999993</v>
      </c>
      <c r="AA320" s="20">
        <f t="shared" si="55"/>
        <v>1104.05</v>
      </c>
      <c r="AB320" s="21">
        <v>27.68</v>
      </c>
      <c r="AC320" s="21">
        <v>0.95000000000000007</v>
      </c>
      <c r="AD320" s="8">
        <f t="shared" si="56"/>
        <v>468.01999999999992</v>
      </c>
      <c r="AE320" s="25">
        <v>1.238</v>
      </c>
      <c r="AF320" s="25">
        <f t="shared" si="57"/>
        <v>144852.18999999997</v>
      </c>
      <c r="AG320" s="25">
        <f t="shared" si="58"/>
        <v>350564.45999999996</v>
      </c>
      <c r="AH320" s="1">
        <f t="shared" si="48"/>
        <v>3105.1800000000003</v>
      </c>
      <c r="AI320" s="1">
        <f t="shared" si="49"/>
        <v>2928.12</v>
      </c>
      <c r="AJ320" s="1">
        <v>3597.52</v>
      </c>
      <c r="AK320" s="1">
        <f t="shared" si="50"/>
        <v>-492.33999999999969</v>
      </c>
      <c r="AL320" s="29">
        <f t="shared" si="59"/>
        <v>669.40000000000009</v>
      </c>
      <c r="AM320" s="11">
        <f t="shared" si="51"/>
        <v>2458512.9362500003</v>
      </c>
    </row>
    <row r="321" spans="1:39" x14ac:dyDescent="0.3">
      <c r="A321" s="39">
        <v>45874.302083333336</v>
      </c>
      <c r="B321" s="1">
        <v>1465.98</v>
      </c>
      <c r="C321" s="11">
        <v>3.2732000000000001</v>
      </c>
      <c r="D321" s="1">
        <v>540.05999999999995</v>
      </c>
      <c r="E321" s="11">
        <v>3.0760000000000001</v>
      </c>
      <c r="F321" s="1">
        <v>398.57</v>
      </c>
      <c r="G321" s="11">
        <v>3.53</v>
      </c>
      <c r="H321" s="1">
        <v>58.72</v>
      </c>
      <c r="I321" s="11">
        <v>2.9025700000000003</v>
      </c>
      <c r="J321" s="1">
        <v>212.77</v>
      </c>
      <c r="K321" s="11">
        <v>2.3496700000000001</v>
      </c>
      <c r="L321" s="1">
        <v>0</v>
      </c>
      <c r="M321" s="11">
        <v>6.2</v>
      </c>
      <c r="N321" s="1">
        <v>91.8</v>
      </c>
      <c r="O321" s="11">
        <v>2.8224999999999998</v>
      </c>
      <c r="P321" s="1">
        <f t="shared" si="52"/>
        <v>2767.9</v>
      </c>
      <c r="Q321" s="1">
        <v>2712.75</v>
      </c>
      <c r="R321" s="16">
        <f t="shared" si="53"/>
        <v>2199026.5230749999</v>
      </c>
      <c r="S321" s="1">
        <v>-306.12</v>
      </c>
      <c r="T321" s="1">
        <v>36.47</v>
      </c>
      <c r="U321" s="1">
        <v>12</v>
      </c>
      <c r="V321" s="1">
        <v>12.89</v>
      </c>
      <c r="W321" s="1" cm="1">
        <f t="array" ref="W321">SUM(ABS(S321:V321))</f>
        <v>367.48</v>
      </c>
      <c r="X321" s="25">
        <v>1.238</v>
      </c>
      <c r="Y321" s="42">
        <f t="shared" si="54"/>
        <v>113735.06</v>
      </c>
      <c r="Z321" s="20">
        <v>438.78</v>
      </c>
      <c r="AA321" s="20">
        <f t="shared" si="55"/>
        <v>806.26</v>
      </c>
      <c r="AB321" s="21">
        <v>41.93</v>
      </c>
      <c r="AC321" s="21">
        <v>0.31000000000000005</v>
      </c>
      <c r="AD321" s="8">
        <f t="shared" si="56"/>
        <v>481.02</v>
      </c>
      <c r="AE321" s="25">
        <v>1.238</v>
      </c>
      <c r="AF321" s="25">
        <f t="shared" si="57"/>
        <v>148875.69</v>
      </c>
      <c r="AG321" s="25">
        <f t="shared" si="58"/>
        <v>262610.75</v>
      </c>
      <c r="AH321" s="1">
        <f t="shared" si="48"/>
        <v>3248.92</v>
      </c>
      <c r="AI321" s="1">
        <f t="shared" si="49"/>
        <v>3193.77</v>
      </c>
      <c r="AJ321" s="1">
        <v>3567.13</v>
      </c>
      <c r="AK321" s="1">
        <f t="shared" si="50"/>
        <v>-318.21000000000004</v>
      </c>
      <c r="AL321" s="29">
        <f t="shared" si="59"/>
        <v>373.36000000000013</v>
      </c>
      <c r="AM321" s="11">
        <f t="shared" si="51"/>
        <v>2461637.2730749999</v>
      </c>
    </row>
    <row r="322" spans="1:39" x14ac:dyDescent="0.3">
      <c r="A322" s="39">
        <v>45874.3125</v>
      </c>
      <c r="B322" s="1">
        <v>1465.98</v>
      </c>
      <c r="C322" s="11">
        <v>3.2732000000000001</v>
      </c>
      <c r="D322" s="1">
        <v>540.05999999999995</v>
      </c>
      <c r="E322" s="11">
        <v>3.0760000000000001</v>
      </c>
      <c r="F322" s="1">
        <v>398.57</v>
      </c>
      <c r="G322" s="11">
        <v>3.53</v>
      </c>
      <c r="H322" s="1">
        <v>67.319999999999993</v>
      </c>
      <c r="I322" s="11">
        <v>2.5696699999999999</v>
      </c>
      <c r="J322" s="1">
        <v>30.01</v>
      </c>
      <c r="K322" s="11">
        <v>2.16913</v>
      </c>
      <c r="L322" s="1">
        <v>0</v>
      </c>
      <c r="M322" s="11">
        <v>6.2</v>
      </c>
      <c r="N322" s="1">
        <v>117.99</v>
      </c>
      <c r="O322" s="11">
        <v>2.8224999999999998</v>
      </c>
      <c r="P322" s="1">
        <f t="shared" si="52"/>
        <v>2619.9300000000003</v>
      </c>
      <c r="Q322" s="1">
        <v>2642.62</v>
      </c>
      <c r="R322" s="16">
        <f t="shared" si="53"/>
        <v>2109433.7366750003</v>
      </c>
      <c r="S322" s="1">
        <v>-336.07</v>
      </c>
      <c r="T322" s="1">
        <v>36.49</v>
      </c>
      <c r="U322" s="1">
        <v>12</v>
      </c>
      <c r="V322" s="1">
        <v>12.88</v>
      </c>
      <c r="W322" s="1" cm="1">
        <f t="array" ref="W322">SUM(ABS(S322:V322))</f>
        <v>397.44</v>
      </c>
      <c r="X322" s="25">
        <v>1.238</v>
      </c>
      <c r="Y322" s="42">
        <f t="shared" si="54"/>
        <v>123007.67999999999</v>
      </c>
      <c r="Z322" s="20">
        <v>439.14</v>
      </c>
      <c r="AA322" s="20">
        <f t="shared" si="55"/>
        <v>836.57999999999993</v>
      </c>
      <c r="AB322" s="21">
        <v>53.980000000000011</v>
      </c>
      <c r="AC322" s="21">
        <v>0.49</v>
      </c>
      <c r="AD322" s="8">
        <f t="shared" si="56"/>
        <v>493.61</v>
      </c>
      <c r="AE322" s="25">
        <v>1.238</v>
      </c>
      <c r="AF322" s="25">
        <f t="shared" si="57"/>
        <v>152772.29500000001</v>
      </c>
      <c r="AG322" s="25">
        <f t="shared" si="58"/>
        <v>275779.97499999998</v>
      </c>
      <c r="AH322" s="1">
        <f t="shared" si="48"/>
        <v>3113.5400000000004</v>
      </c>
      <c r="AI322" s="1">
        <f t="shared" si="49"/>
        <v>3136.23</v>
      </c>
      <c r="AJ322" s="1">
        <v>3526.67</v>
      </c>
      <c r="AK322" s="1">
        <f t="shared" si="50"/>
        <v>-413.12999999999965</v>
      </c>
      <c r="AL322" s="29">
        <f t="shared" si="59"/>
        <v>390.44000000000005</v>
      </c>
      <c r="AM322" s="11">
        <f t="shared" si="51"/>
        <v>2385213.7116750004</v>
      </c>
    </row>
    <row r="323" spans="1:39" x14ac:dyDescent="0.3">
      <c r="A323" s="39">
        <v>45874.322916666664</v>
      </c>
      <c r="B323" s="1">
        <v>1465.98</v>
      </c>
      <c r="C323" s="11">
        <v>3.2732000000000001</v>
      </c>
      <c r="D323" s="1">
        <v>540.05999999999995</v>
      </c>
      <c r="E323" s="11">
        <v>3.0760000000000001</v>
      </c>
      <c r="F323" s="1">
        <v>398.57</v>
      </c>
      <c r="G323" s="11">
        <v>3.53</v>
      </c>
      <c r="H323" s="1">
        <v>65.66</v>
      </c>
      <c r="I323" s="11">
        <v>2.3957800000000002</v>
      </c>
      <c r="J323" s="1">
        <v>131.94999999999999</v>
      </c>
      <c r="K323" s="11">
        <v>1.7337799999999999</v>
      </c>
      <c r="L323" s="1">
        <v>0</v>
      </c>
      <c r="M323" s="11">
        <v>6.2</v>
      </c>
      <c r="N323" s="1">
        <v>146.4</v>
      </c>
      <c r="O323" s="11">
        <v>2.8224999999999998</v>
      </c>
      <c r="P323" s="1">
        <f t="shared" si="52"/>
        <v>2748.62</v>
      </c>
      <c r="Q323" s="1">
        <v>2730.35</v>
      </c>
      <c r="R323" s="16">
        <f t="shared" si="53"/>
        <v>2166478.8954500007</v>
      </c>
      <c r="S323" s="1">
        <v>-243.1</v>
      </c>
      <c r="T323" s="1">
        <v>36.479999999999997</v>
      </c>
      <c r="U323" s="1">
        <v>12</v>
      </c>
      <c r="V323" s="1">
        <v>12.88</v>
      </c>
      <c r="W323" s="1" cm="1">
        <f t="array" ref="W323">SUM(ABS(S323:V323))</f>
        <v>304.45999999999998</v>
      </c>
      <c r="X323" s="25">
        <v>1.238</v>
      </c>
      <c r="Y323" s="42">
        <f t="shared" si="54"/>
        <v>94230.37</v>
      </c>
      <c r="Z323" s="20">
        <v>366.59999999999997</v>
      </c>
      <c r="AA323" s="20">
        <f t="shared" si="55"/>
        <v>671.06</v>
      </c>
      <c r="AB323" s="21">
        <v>70.510000000000019</v>
      </c>
      <c r="AC323" s="21">
        <v>0.89999999999999991</v>
      </c>
      <c r="AD323" s="8">
        <f t="shared" si="56"/>
        <v>438.01</v>
      </c>
      <c r="AE323" s="25">
        <v>1.238</v>
      </c>
      <c r="AF323" s="25">
        <f t="shared" si="57"/>
        <v>135564.095</v>
      </c>
      <c r="AG323" s="25">
        <f t="shared" si="58"/>
        <v>229794.465</v>
      </c>
      <c r="AH323" s="1">
        <f t="shared" si="48"/>
        <v>3186.63</v>
      </c>
      <c r="AI323" s="1">
        <f t="shared" si="49"/>
        <v>3168.3599999999997</v>
      </c>
      <c r="AJ323" s="1">
        <v>3481.65</v>
      </c>
      <c r="AK323" s="1">
        <f t="shared" si="50"/>
        <v>-295.02</v>
      </c>
      <c r="AL323" s="29">
        <f t="shared" si="59"/>
        <v>313.29000000000042</v>
      </c>
      <c r="AM323" s="11">
        <f t="shared" si="51"/>
        <v>2396273.3604500005</v>
      </c>
    </row>
    <row r="324" spans="1:39" x14ac:dyDescent="0.3">
      <c r="A324" s="39">
        <v>45874.333333333336</v>
      </c>
      <c r="B324" s="1">
        <v>1377.45</v>
      </c>
      <c r="C324" s="11">
        <v>3.2732000000000001</v>
      </c>
      <c r="D324" s="1">
        <v>540.05999999999995</v>
      </c>
      <c r="E324" s="11">
        <v>3.0760000000000001</v>
      </c>
      <c r="F324" s="1">
        <v>398.57</v>
      </c>
      <c r="G324" s="11">
        <v>3.53</v>
      </c>
      <c r="H324" s="1">
        <v>51.84</v>
      </c>
      <c r="I324" s="11">
        <v>1.99935</v>
      </c>
      <c r="J324" s="1">
        <v>27.74</v>
      </c>
      <c r="K324" s="11">
        <v>2.0142600000000002</v>
      </c>
      <c r="L324" s="1">
        <v>17.23</v>
      </c>
      <c r="M324" s="11">
        <v>6.2</v>
      </c>
      <c r="N324" s="1">
        <v>183.73</v>
      </c>
      <c r="O324" s="11">
        <v>2.8224999999999998</v>
      </c>
      <c r="P324" s="1">
        <f t="shared" si="52"/>
        <v>2596.62</v>
      </c>
      <c r="Q324" s="1">
        <v>2653.09</v>
      </c>
      <c r="R324" s="16">
        <f t="shared" si="53"/>
        <v>2090442.9503500001</v>
      </c>
      <c r="S324" s="1">
        <v>-315.68</v>
      </c>
      <c r="T324" s="1">
        <v>36.47</v>
      </c>
      <c r="U324" s="1">
        <v>12</v>
      </c>
      <c r="V324" s="1">
        <v>12.86</v>
      </c>
      <c r="W324" s="1" cm="1">
        <f t="array" ref="W324">SUM(ABS(S324:V324))</f>
        <v>377.01</v>
      </c>
      <c r="X324" s="25">
        <v>1.238</v>
      </c>
      <c r="Y324" s="42">
        <f t="shared" si="54"/>
        <v>116684.595</v>
      </c>
      <c r="Z324" s="20">
        <v>337.24999999999994</v>
      </c>
      <c r="AA324" s="20">
        <f t="shared" si="55"/>
        <v>714.26</v>
      </c>
      <c r="AB324" s="21">
        <v>84.490000000000009</v>
      </c>
      <c r="AC324" s="21">
        <v>1.6800000000000002</v>
      </c>
      <c r="AD324" s="8">
        <f t="shared" si="56"/>
        <v>423.41999999999996</v>
      </c>
      <c r="AE324" s="25">
        <v>1.238</v>
      </c>
      <c r="AF324" s="25">
        <f t="shared" si="57"/>
        <v>131048.48999999999</v>
      </c>
      <c r="AG324" s="25">
        <f t="shared" si="58"/>
        <v>247733.08499999999</v>
      </c>
      <c r="AH324" s="1">
        <f t="shared" ref="AH324:AH387" si="60">B324+D324+F324+H324+J324+L324+N324+AD324</f>
        <v>3020.04</v>
      </c>
      <c r="AI324" s="1">
        <f t="shared" ref="AI324:AI387" si="61">Q324+AD324</f>
        <v>3076.51</v>
      </c>
      <c r="AJ324" s="1">
        <v>3451.64</v>
      </c>
      <c r="AK324" s="1">
        <f t="shared" ref="AK324:AK387" si="62">AH324-AJ324</f>
        <v>-431.59999999999991</v>
      </c>
      <c r="AL324" s="29">
        <f t="shared" si="59"/>
        <v>375.12999999999965</v>
      </c>
      <c r="AM324" s="11">
        <f t="shared" ref="AM324:AM387" si="63">(R324+AG324)</f>
        <v>2338176.03535</v>
      </c>
    </row>
    <row r="325" spans="1:39" x14ac:dyDescent="0.3">
      <c r="A325" s="39">
        <v>45874.34375</v>
      </c>
      <c r="B325" s="1">
        <v>1370.79</v>
      </c>
      <c r="C325" s="11">
        <v>3.2732000000000001</v>
      </c>
      <c r="D325" s="1">
        <v>540.05999999999995</v>
      </c>
      <c r="E325" s="11">
        <v>3.0760000000000001</v>
      </c>
      <c r="F325" s="1">
        <v>398.57</v>
      </c>
      <c r="G325" s="11">
        <v>3.53</v>
      </c>
      <c r="H325" s="1">
        <v>32.94</v>
      </c>
      <c r="I325" s="11">
        <v>1.99902</v>
      </c>
      <c r="J325" s="1">
        <v>15.06</v>
      </c>
      <c r="K325" s="11">
        <v>2.01471</v>
      </c>
      <c r="L325" s="1">
        <v>41.52</v>
      </c>
      <c r="M325" s="11">
        <v>6.2</v>
      </c>
      <c r="N325" s="1">
        <v>217.74</v>
      </c>
      <c r="O325" s="11">
        <v>2.8224999999999998</v>
      </c>
      <c r="P325" s="1">
        <f t="shared" ref="P325:P388" si="64">(B325+D325+F325+H325+J325+L325+N325)</f>
        <v>2616.6800000000003</v>
      </c>
      <c r="Q325" s="1">
        <v>2618.41</v>
      </c>
      <c r="R325" s="16">
        <f t="shared" ref="R325:R388" si="65">(((B325*C325)+(D325*E325)+(F325*G325)+(H325*I325)+(J325*K325)+(L325*M325)+(N325*O325))*(1000/4))</f>
        <v>2130807.7223499999</v>
      </c>
      <c r="S325" s="1">
        <v>-327.43</v>
      </c>
      <c r="T325" s="1">
        <v>36.44</v>
      </c>
      <c r="U325" s="1">
        <v>12</v>
      </c>
      <c r="V325" s="1">
        <v>12.84</v>
      </c>
      <c r="W325" s="1" cm="1">
        <f t="array" ref="W325">SUM(ABS(S325:V325))</f>
        <v>388.71</v>
      </c>
      <c r="X325" s="25">
        <v>1.238</v>
      </c>
      <c r="Y325" s="42">
        <f t="shared" ref="Y325:Y388" si="66">((W325*X325)*1000)/4</f>
        <v>120305.74499999998</v>
      </c>
      <c r="Z325" s="20">
        <v>337.34</v>
      </c>
      <c r="AA325" s="20">
        <f t="shared" ref="AA325:AA388" si="67">W325+Z325</f>
        <v>726.05</v>
      </c>
      <c r="AB325" s="21">
        <v>99.719999999999985</v>
      </c>
      <c r="AC325" s="21">
        <v>3.34</v>
      </c>
      <c r="AD325" s="8">
        <f t="shared" ref="AD325:AD388" si="68">Z325+AB325+AC325</f>
        <v>440.39999999999992</v>
      </c>
      <c r="AE325" s="25">
        <v>1.238</v>
      </c>
      <c r="AF325" s="25">
        <f t="shared" ref="AF325:AF388" si="69">((AD325*AE325*1000)/4)</f>
        <v>136303.79999999996</v>
      </c>
      <c r="AG325" s="25">
        <f t="shared" ref="AG325:AG388" si="70">Y325+AF325</f>
        <v>256609.54499999993</v>
      </c>
      <c r="AH325" s="1">
        <f t="shared" si="60"/>
        <v>3057.0800000000004</v>
      </c>
      <c r="AI325" s="1">
        <f t="shared" si="61"/>
        <v>3058.81</v>
      </c>
      <c r="AJ325" s="1">
        <v>3449.21</v>
      </c>
      <c r="AK325" s="1">
        <f t="shared" si="62"/>
        <v>-392.12999999999965</v>
      </c>
      <c r="AL325" s="29">
        <f t="shared" ref="AL325:AL388" si="71">AJ325-AI325</f>
        <v>390.40000000000009</v>
      </c>
      <c r="AM325" s="11">
        <f t="shared" si="63"/>
        <v>2387417.2673499999</v>
      </c>
    </row>
    <row r="326" spans="1:39" x14ac:dyDescent="0.3">
      <c r="A326" s="39">
        <v>45874.354166666664</v>
      </c>
      <c r="B326" s="1">
        <v>1333.15</v>
      </c>
      <c r="C326" s="11">
        <v>3.2732000000000001</v>
      </c>
      <c r="D326" s="1">
        <v>540.05999999999995</v>
      </c>
      <c r="E326" s="11">
        <v>3.0760000000000001</v>
      </c>
      <c r="F326" s="1">
        <v>398.57</v>
      </c>
      <c r="G326" s="11">
        <v>3.53</v>
      </c>
      <c r="H326" s="1">
        <v>25.58</v>
      </c>
      <c r="I326" s="11">
        <v>1.99901</v>
      </c>
      <c r="J326" s="1">
        <v>106.05</v>
      </c>
      <c r="K326" s="11">
        <v>1.90286</v>
      </c>
      <c r="L326" s="1">
        <v>49.08</v>
      </c>
      <c r="M326" s="11">
        <v>6.2</v>
      </c>
      <c r="N326" s="1">
        <v>243.48</v>
      </c>
      <c r="O326" s="11">
        <v>2.8224999999999998</v>
      </c>
      <c r="P326" s="1">
        <f t="shared" si="64"/>
        <v>2695.9700000000003</v>
      </c>
      <c r="Q326" s="1">
        <v>2634.52</v>
      </c>
      <c r="R326" s="16">
        <f t="shared" si="65"/>
        <v>2169073.6296999999</v>
      </c>
      <c r="S326" s="1">
        <v>-281.75</v>
      </c>
      <c r="T326" s="1">
        <v>36.44</v>
      </c>
      <c r="U326" s="1">
        <v>12</v>
      </c>
      <c r="V326" s="1">
        <v>11.68</v>
      </c>
      <c r="W326" s="1" cm="1">
        <f t="array" ref="W326">SUM(ABS(S326:V326))</f>
        <v>341.87</v>
      </c>
      <c r="X326" s="25">
        <v>1.238</v>
      </c>
      <c r="Y326" s="42">
        <f t="shared" si="66"/>
        <v>105808.765</v>
      </c>
      <c r="Z326" s="20">
        <v>319.58</v>
      </c>
      <c r="AA326" s="20">
        <f t="shared" si="67"/>
        <v>661.45</v>
      </c>
      <c r="AB326" s="21">
        <v>115.28</v>
      </c>
      <c r="AC326" s="21">
        <v>4.6500000000000004</v>
      </c>
      <c r="AD326" s="8">
        <f t="shared" si="68"/>
        <v>439.51</v>
      </c>
      <c r="AE326" s="25">
        <v>1.238</v>
      </c>
      <c r="AF326" s="25">
        <f t="shared" si="69"/>
        <v>136028.345</v>
      </c>
      <c r="AG326" s="25">
        <f t="shared" si="70"/>
        <v>241837.11</v>
      </c>
      <c r="AH326" s="1">
        <f t="shared" si="60"/>
        <v>3135.4800000000005</v>
      </c>
      <c r="AI326" s="1">
        <f t="shared" si="61"/>
        <v>3074.0299999999997</v>
      </c>
      <c r="AJ326" s="1">
        <v>3424.37</v>
      </c>
      <c r="AK326" s="1">
        <f t="shared" si="62"/>
        <v>-288.88999999999942</v>
      </c>
      <c r="AL326" s="29">
        <f t="shared" si="71"/>
        <v>350.34000000000015</v>
      </c>
      <c r="AM326" s="11">
        <f t="shared" si="63"/>
        <v>2410910.7396999998</v>
      </c>
    </row>
    <row r="327" spans="1:39" x14ac:dyDescent="0.3">
      <c r="A327" s="39">
        <v>45874.364583333336</v>
      </c>
      <c r="B327" s="1">
        <v>1330.32</v>
      </c>
      <c r="C327" s="11">
        <v>3.2732000000000001</v>
      </c>
      <c r="D327" s="1">
        <v>540.05999999999995</v>
      </c>
      <c r="E327" s="11">
        <v>3.0760000000000001</v>
      </c>
      <c r="F327" s="1">
        <v>398.57</v>
      </c>
      <c r="G327" s="11">
        <v>3.53</v>
      </c>
      <c r="H327" s="1">
        <v>25.13</v>
      </c>
      <c r="I327" s="11">
        <v>1.80098</v>
      </c>
      <c r="J327" s="1">
        <v>85.69</v>
      </c>
      <c r="K327" s="11">
        <v>1.78888</v>
      </c>
      <c r="L327" s="1">
        <v>49.97</v>
      </c>
      <c r="M327" s="11">
        <v>6.2</v>
      </c>
      <c r="N327" s="1">
        <v>275.92</v>
      </c>
      <c r="O327" s="11">
        <v>2.8224999999999998</v>
      </c>
      <c r="P327" s="1">
        <f t="shared" si="64"/>
        <v>2705.66</v>
      </c>
      <c r="Q327" s="1">
        <v>2725.47</v>
      </c>
      <c r="R327" s="16">
        <f t="shared" si="65"/>
        <v>2177431.5096499994</v>
      </c>
      <c r="S327" s="1">
        <v>-243.95</v>
      </c>
      <c r="T327" s="1">
        <v>36.409999999999997</v>
      </c>
      <c r="U327" s="1">
        <v>12</v>
      </c>
      <c r="V327" s="1">
        <v>6.4</v>
      </c>
      <c r="W327" s="1" cm="1">
        <f t="array" ref="W327">SUM(ABS(S327:V327))</f>
        <v>298.76</v>
      </c>
      <c r="X327" s="25">
        <v>1.238</v>
      </c>
      <c r="Y327" s="42">
        <f t="shared" si="66"/>
        <v>92466.219999999987</v>
      </c>
      <c r="Z327" s="20">
        <v>279.72000000000003</v>
      </c>
      <c r="AA327" s="20">
        <f t="shared" si="67"/>
        <v>578.48</v>
      </c>
      <c r="AB327" s="21">
        <v>129.1</v>
      </c>
      <c r="AC327" s="21">
        <v>4.93</v>
      </c>
      <c r="AD327" s="8">
        <f t="shared" si="68"/>
        <v>413.75000000000006</v>
      </c>
      <c r="AE327" s="25">
        <v>1.238</v>
      </c>
      <c r="AF327" s="25">
        <f t="shared" si="69"/>
        <v>128055.62500000001</v>
      </c>
      <c r="AG327" s="25">
        <f t="shared" si="70"/>
        <v>220521.845</v>
      </c>
      <c r="AH327" s="1">
        <f t="shared" si="60"/>
        <v>3119.41</v>
      </c>
      <c r="AI327" s="1">
        <f t="shared" si="61"/>
        <v>3139.22</v>
      </c>
      <c r="AJ327" s="1">
        <v>3450.41</v>
      </c>
      <c r="AK327" s="1">
        <f t="shared" si="62"/>
        <v>-331</v>
      </c>
      <c r="AL327" s="29">
        <f t="shared" si="71"/>
        <v>311.19000000000005</v>
      </c>
      <c r="AM327" s="11">
        <f t="shared" si="63"/>
        <v>2397953.3546499996</v>
      </c>
    </row>
    <row r="328" spans="1:39" x14ac:dyDescent="0.3">
      <c r="A328" s="39">
        <v>45874.375</v>
      </c>
      <c r="B328" s="1">
        <v>1195.4000000000001</v>
      </c>
      <c r="C328" s="11">
        <v>3.2732000000000001</v>
      </c>
      <c r="D328" s="1">
        <v>540.05999999999995</v>
      </c>
      <c r="E328" s="11">
        <v>3.0760000000000001</v>
      </c>
      <c r="F328" s="1">
        <v>398.57</v>
      </c>
      <c r="G328" s="11">
        <v>3.53</v>
      </c>
      <c r="H328" s="1">
        <v>26.56</v>
      </c>
      <c r="I328" s="11">
        <v>1.8007200000000001</v>
      </c>
      <c r="J328" s="1">
        <v>25.14</v>
      </c>
      <c r="K328" s="11">
        <v>2.02562</v>
      </c>
      <c r="L328" s="1">
        <v>50.09</v>
      </c>
      <c r="M328" s="11">
        <v>6.2</v>
      </c>
      <c r="N328" s="1">
        <v>307.02</v>
      </c>
      <c r="O328" s="11">
        <v>2.8224999999999998</v>
      </c>
      <c r="P328" s="1">
        <f t="shared" si="64"/>
        <v>2542.84</v>
      </c>
      <c r="Q328" s="1">
        <v>2734.45</v>
      </c>
      <c r="R328" s="16">
        <f t="shared" si="65"/>
        <v>2064208.2749999999</v>
      </c>
      <c r="S328" s="1">
        <v>-247.27</v>
      </c>
      <c r="T328" s="1">
        <v>36.450000000000003</v>
      </c>
      <c r="U328" s="1">
        <v>12</v>
      </c>
      <c r="V328" s="1">
        <v>6.37</v>
      </c>
      <c r="W328" s="1" cm="1">
        <f t="array" ref="W328">SUM(ABS(S328:V328))</f>
        <v>302.09000000000003</v>
      </c>
      <c r="X328" s="25">
        <v>1.238</v>
      </c>
      <c r="Y328" s="42">
        <f t="shared" si="66"/>
        <v>93496.85500000001</v>
      </c>
      <c r="Z328" s="20">
        <v>309.55</v>
      </c>
      <c r="AA328" s="20">
        <f t="shared" si="67"/>
        <v>611.6400000000001</v>
      </c>
      <c r="AB328" s="21">
        <v>141.70000000000002</v>
      </c>
      <c r="AC328" s="21">
        <v>7.6400000000000006</v>
      </c>
      <c r="AD328" s="8">
        <f t="shared" si="68"/>
        <v>458.89</v>
      </c>
      <c r="AE328" s="25">
        <v>1.238</v>
      </c>
      <c r="AF328" s="25">
        <f t="shared" si="69"/>
        <v>142026.45499999999</v>
      </c>
      <c r="AG328" s="25">
        <f t="shared" si="70"/>
        <v>235523.31</v>
      </c>
      <c r="AH328" s="1">
        <f t="shared" si="60"/>
        <v>3001.73</v>
      </c>
      <c r="AI328" s="1">
        <f t="shared" si="61"/>
        <v>3193.3399999999997</v>
      </c>
      <c r="AJ328" s="1">
        <v>3499.44</v>
      </c>
      <c r="AK328" s="1">
        <f t="shared" si="62"/>
        <v>-497.71000000000004</v>
      </c>
      <c r="AL328" s="29">
        <f t="shared" si="71"/>
        <v>306.10000000000036</v>
      </c>
      <c r="AM328" s="11">
        <f t="shared" si="63"/>
        <v>2299731.585</v>
      </c>
    </row>
    <row r="329" spans="1:39" x14ac:dyDescent="0.3">
      <c r="A329" s="39">
        <v>45874.385416666664</v>
      </c>
      <c r="B329" s="1">
        <v>1111.92</v>
      </c>
      <c r="C329" s="11">
        <v>3.2732000000000001</v>
      </c>
      <c r="D329" s="1">
        <v>540.05999999999995</v>
      </c>
      <c r="E329" s="11">
        <v>3.0760000000000001</v>
      </c>
      <c r="F329" s="1">
        <v>398.57</v>
      </c>
      <c r="G329" s="11">
        <v>3.53</v>
      </c>
      <c r="H329" s="1">
        <v>26.67</v>
      </c>
      <c r="I329" s="11">
        <v>1.8004800000000001</v>
      </c>
      <c r="J329" s="1">
        <v>17.57</v>
      </c>
      <c r="K329" s="11">
        <v>2.6001099999999999</v>
      </c>
      <c r="L329" s="1">
        <v>50.19</v>
      </c>
      <c r="M329" s="11">
        <v>6.2</v>
      </c>
      <c r="N329" s="1">
        <v>333.29</v>
      </c>
      <c r="O329" s="11">
        <v>2.8224999999999998</v>
      </c>
      <c r="P329" s="1">
        <f t="shared" si="64"/>
        <v>2478.2700000000004</v>
      </c>
      <c r="Q329" s="1">
        <v>2654.11</v>
      </c>
      <c r="R329" s="16">
        <f t="shared" si="65"/>
        <v>2013326.2408249998</v>
      </c>
      <c r="S329" s="1">
        <v>-364.15</v>
      </c>
      <c r="T329" s="1">
        <v>36.43</v>
      </c>
      <c r="U329" s="1">
        <v>12</v>
      </c>
      <c r="V329" s="1">
        <v>6.37</v>
      </c>
      <c r="W329" s="1" cm="1">
        <f t="array" ref="W329">SUM(ABS(S329:V329))</f>
        <v>418.95</v>
      </c>
      <c r="X329" s="25">
        <v>1.238</v>
      </c>
      <c r="Y329" s="42">
        <f t="shared" si="66"/>
        <v>129665.02499999998</v>
      </c>
      <c r="Z329" s="20">
        <v>340.26</v>
      </c>
      <c r="AA329" s="20">
        <f t="shared" si="67"/>
        <v>759.21</v>
      </c>
      <c r="AB329" s="21">
        <v>151.13999999999999</v>
      </c>
      <c r="AC329" s="21">
        <v>7.44</v>
      </c>
      <c r="AD329" s="8">
        <f t="shared" si="68"/>
        <v>498.84</v>
      </c>
      <c r="AE329" s="25">
        <v>1.238</v>
      </c>
      <c r="AF329" s="25">
        <f t="shared" si="69"/>
        <v>154390.97999999998</v>
      </c>
      <c r="AG329" s="25">
        <f t="shared" si="70"/>
        <v>284056.00499999995</v>
      </c>
      <c r="AH329" s="1">
        <f t="shared" si="60"/>
        <v>2977.1100000000006</v>
      </c>
      <c r="AI329" s="1">
        <f t="shared" si="61"/>
        <v>3152.9500000000003</v>
      </c>
      <c r="AJ329" s="1">
        <v>3585.63</v>
      </c>
      <c r="AK329" s="1">
        <f t="shared" si="62"/>
        <v>-608.51999999999953</v>
      </c>
      <c r="AL329" s="29">
        <f t="shared" si="71"/>
        <v>432.67999999999984</v>
      </c>
      <c r="AM329" s="11">
        <f t="shared" si="63"/>
        <v>2297382.2458249996</v>
      </c>
    </row>
    <row r="330" spans="1:39" x14ac:dyDescent="0.3">
      <c r="A330" s="39">
        <v>45874.395833333336</v>
      </c>
      <c r="B330" s="1">
        <v>1106.4000000000001</v>
      </c>
      <c r="C330" s="11">
        <v>3.2732000000000001</v>
      </c>
      <c r="D330" s="1">
        <v>540.05999999999995</v>
      </c>
      <c r="E330" s="11">
        <v>3.0760000000000001</v>
      </c>
      <c r="F330" s="1">
        <v>398.57</v>
      </c>
      <c r="G330" s="11">
        <v>3.53</v>
      </c>
      <c r="H330" s="1">
        <v>24.87</v>
      </c>
      <c r="I330" s="11">
        <v>1.8002799999999999</v>
      </c>
      <c r="J330" s="1">
        <v>125.35</v>
      </c>
      <c r="K330" s="11">
        <v>1.99976</v>
      </c>
      <c r="L330" s="1">
        <v>50.73</v>
      </c>
      <c r="M330" s="11">
        <v>6.2</v>
      </c>
      <c r="N330" s="1">
        <v>357.16</v>
      </c>
      <c r="O330" s="11">
        <v>2.8224999999999998</v>
      </c>
      <c r="P330" s="1">
        <f t="shared" si="64"/>
        <v>2603.14</v>
      </c>
      <c r="Q330" s="1">
        <v>2715.25</v>
      </c>
      <c r="R330" s="16">
        <f t="shared" si="65"/>
        <v>2076924.5299000004</v>
      </c>
      <c r="S330" s="1">
        <v>-366.98</v>
      </c>
      <c r="T330" s="1">
        <v>36.450000000000003</v>
      </c>
      <c r="U330" s="1">
        <v>12</v>
      </c>
      <c r="V330" s="1">
        <v>6.36</v>
      </c>
      <c r="W330" s="1" cm="1">
        <f t="array" ref="W330">SUM(ABS(S330:V330))</f>
        <v>421.79</v>
      </c>
      <c r="X330" s="25">
        <v>1.238</v>
      </c>
      <c r="Y330" s="42">
        <f t="shared" si="66"/>
        <v>130544.005</v>
      </c>
      <c r="Z330" s="20">
        <v>325.62999999999994</v>
      </c>
      <c r="AA330" s="20">
        <f t="shared" si="67"/>
        <v>747.42</v>
      </c>
      <c r="AB330" s="21">
        <v>146.89999999999998</v>
      </c>
      <c r="AC330" s="21">
        <v>8.620000000000001</v>
      </c>
      <c r="AD330" s="8">
        <f t="shared" si="68"/>
        <v>481.14999999999992</v>
      </c>
      <c r="AE330" s="25">
        <v>1.238</v>
      </c>
      <c r="AF330" s="25">
        <f t="shared" si="69"/>
        <v>148915.92499999999</v>
      </c>
      <c r="AG330" s="25">
        <f t="shared" si="70"/>
        <v>279459.93</v>
      </c>
      <c r="AH330" s="1">
        <f t="shared" si="60"/>
        <v>3084.29</v>
      </c>
      <c r="AI330" s="1">
        <f t="shared" si="61"/>
        <v>3196.4</v>
      </c>
      <c r="AJ330" s="1">
        <v>3640.98</v>
      </c>
      <c r="AK330" s="1">
        <f t="shared" si="62"/>
        <v>-556.69000000000005</v>
      </c>
      <c r="AL330" s="29">
        <f t="shared" si="71"/>
        <v>444.57999999999993</v>
      </c>
      <c r="AM330" s="11">
        <f t="shared" si="63"/>
        <v>2356384.4599000006</v>
      </c>
    </row>
    <row r="331" spans="1:39" x14ac:dyDescent="0.3">
      <c r="A331" s="39">
        <v>45874.40625</v>
      </c>
      <c r="B331" s="1">
        <v>1107.54</v>
      </c>
      <c r="C331" s="11">
        <v>3.2732000000000001</v>
      </c>
      <c r="D331" s="1">
        <v>540.05999999999995</v>
      </c>
      <c r="E331" s="11">
        <v>3.0760000000000001</v>
      </c>
      <c r="F331" s="1">
        <v>398.57</v>
      </c>
      <c r="G331" s="11">
        <v>3.53</v>
      </c>
      <c r="H331" s="1">
        <v>25.64</v>
      </c>
      <c r="I331" s="11">
        <v>1.80013</v>
      </c>
      <c r="J331" s="1">
        <v>166.29</v>
      </c>
      <c r="K331" s="11">
        <v>1.91303</v>
      </c>
      <c r="L331" s="1">
        <v>50.86</v>
      </c>
      <c r="M331" s="11">
        <v>6.2</v>
      </c>
      <c r="N331" s="1">
        <v>380.46</v>
      </c>
      <c r="O331" s="11">
        <v>2.8224999999999998</v>
      </c>
      <c r="P331" s="1">
        <f t="shared" si="64"/>
        <v>2669.42</v>
      </c>
      <c r="Q331" s="1">
        <v>2827.02</v>
      </c>
      <c r="R331" s="16">
        <f t="shared" si="65"/>
        <v>2111707.5074749999</v>
      </c>
      <c r="S331" s="1">
        <v>-333.91</v>
      </c>
      <c r="T331" s="1">
        <v>36.44</v>
      </c>
      <c r="U331" s="1">
        <v>12</v>
      </c>
      <c r="V331" s="1">
        <v>6.35</v>
      </c>
      <c r="W331" s="1" cm="1">
        <f t="array" ref="W331">SUM(ABS(S331:V331))</f>
        <v>388.70000000000005</v>
      </c>
      <c r="X331" s="25">
        <v>1.238</v>
      </c>
      <c r="Y331" s="42">
        <f t="shared" si="66"/>
        <v>120302.65000000001</v>
      </c>
      <c r="Z331" s="20">
        <v>318.46000000000004</v>
      </c>
      <c r="AA331" s="20">
        <f t="shared" si="67"/>
        <v>707.16000000000008</v>
      </c>
      <c r="AB331" s="21">
        <v>147.32</v>
      </c>
      <c r="AC331" s="21">
        <v>8.99</v>
      </c>
      <c r="AD331" s="8">
        <f t="shared" si="68"/>
        <v>474.77000000000004</v>
      </c>
      <c r="AE331" s="25">
        <v>1.238</v>
      </c>
      <c r="AF331" s="25">
        <f t="shared" si="69"/>
        <v>146941.315</v>
      </c>
      <c r="AG331" s="25">
        <f t="shared" si="70"/>
        <v>267243.96500000003</v>
      </c>
      <c r="AH331" s="1">
        <f t="shared" si="60"/>
        <v>3144.19</v>
      </c>
      <c r="AI331" s="1">
        <f t="shared" si="61"/>
        <v>3301.79</v>
      </c>
      <c r="AJ331" s="1">
        <v>3703.91</v>
      </c>
      <c r="AK331" s="1">
        <f t="shared" si="62"/>
        <v>-559.7199999999998</v>
      </c>
      <c r="AL331" s="29">
        <f t="shared" si="71"/>
        <v>402.11999999999989</v>
      </c>
      <c r="AM331" s="11">
        <f t="shared" si="63"/>
        <v>2378951.4724749997</v>
      </c>
    </row>
    <row r="332" spans="1:39" x14ac:dyDescent="0.3">
      <c r="A332" s="39">
        <v>45874.416666666664</v>
      </c>
      <c r="B332" s="1">
        <v>1107.69</v>
      </c>
      <c r="C332" s="11">
        <v>3.2732000000000001</v>
      </c>
      <c r="D332" s="1">
        <v>540.05999999999995</v>
      </c>
      <c r="E332" s="11">
        <v>3.0760000000000001</v>
      </c>
      <c r="F332" s="1">
        <v>398.57</v>
      </c>
      <c r="G332" s="11">
        <v>3.53</v>
      </c>
      <c r="H332" s="1">
        <v>24.9</v>
      </c>
      <c r="I332" s="11">
        <v>1.7314500000000002</v>
      </c>
      <c r="J332" s="1">
        <v>211.83</v>
      </c>
      <c r="K332" s="11">
        <v>1.7663800000000001</v>
      </c>
      <c r="L332" s="1">
        <v>50.87</v>
      </c>
      <c r="M332" s="11">
        <v>6.2</v>
      </c>
      <c r="N332" s="1">
        <v>389.52</v>
      </c>
      <c r="O332" s="11">
        <v>2.8224999999999998</v>
      </c>
      <c r="P332" s="1">
        <f t="shared" si="64"/>
        <v>2723.4399999999996</v>
      </c>
      <c r="Q332" s="1">
        <v>2830.02</v>
      </c>
      <c r="R332" s="16">
        <f t="shared" si="65"/>
        <v>2131491.7871000003</v>
      </c>
      <c r="S332" s="1">
        <v>-344.6</v>
      </c>
      <c r="T332" s="1">
        <v>36.47</v>
      </c>
      <c r="U332" s="1">
        <v>12</v>
      </c>
      <c r="V332" s="1">
        <v>6.34</v>
      </c>
      <c r="W332" s="1" cm="1">
        <f t="array" ref="W332">SUM(ABS(S332:V332))</f>
        <v>399.41</v>
      </c>
      <c r="X332" s="25">
        <v>1.238</v>
      </c>
      <c r="Y332" s="42">
        <f t="shared" si="66"/>
        <v>123617.395</v>
      </c>
      <c r="Z332" s="20">
        <v>276.31</v>
      </c>
      <c r="AA332" s="20">
        <f t="shared" si="67"/>
        <v>675.72</v>
      </c>
      <c r="AB332" s="21">
        <v>179.73999999999998</v>
      </c>
      <c r="AC332" s="21">
        <v>9.01</v>
      </c>
      <c r="AD332" s="8">
        <f t="shared" si="68"/>
        <v>465.05999999999995</v>
      </c>
      <c r="AE332" s="25">
        <v>1.238</v>
      </c>
      <c r="AF332" s="25">
        <f t="shared" si="69"/>
        <v>143936.06999999998</v>
      </c>
      <c r="AG332" s="25">
        <f t="shared" si="70"/>
        <v>267553.46499999997</v>
      </c>
      <c r="AH332" s="1">
        <f t="shared" si="60"/>
        <v>3188.4999999999995</v>
      </c>
      <c r="AI332" s="1">
        <f t="shared" si="61"/>
        <v>3295.08</v>
      </c>
      <c r="AJ332" s="1">
        <v>3703.12</v>
      </c>
      <c r="AK332" s="1">
        <f t="shared" si="62"/>
        <v>-514.62000000000035</v>
      </c>
      <c r="AL332" s="29">
        <f t="shared" si="71"/>
        <v>408.03999999999996</v>
      </c>
      <c r="AM332" s="11">
        <f t="shared" si="63"/>
        <v>2399045.2521000002</v>
      </c>
    </row>
    <row r="333" spans="1:39" x14ac:dyDescent="0.3">
      <c r="A333" s="39">
        <v>45874.427083333336</v>
      </c>
      <c r="B333" s="1">
        <v>1109.6600000000001</v>
      </c>
      <c r="C333" s="11">
        <v>3.2732000000000001</v>
      </c>
      <c r="D333" s="1">
        <v>540.05999999999995</v>
      </c>
      <c r="E333" s="11">
        <v>3.0760000000000001</v>
      </c>
      <c r="F333" s="1">
        <v>398.57</v>
      </c>
      <c r="G333" s="11">
        <v>3.53</v>
      </c>
      <c r="H333" s="1">
        <v>24.84</v>
      </c>
      <c r="I333" s="11">
        <v>1.7312799999999999</v>
      </c>
      <c r="J333" s="1">
        <v>215.23</v>
      </c>
      <c r="K333" s="11">
        <v>1.73169</v>
      </c>
      <c r="L333" s="1">
        <v>50.78</v>
      </c>
      <c r="M333" s="11">
        <v>6.2</v>
      </c>
      <c r="N333" s="1">
        <v>406.01</v>
      </c>
      <c r="O333" s="11">
        <v>2.8224999999999998</v>
      </c>
      <c r="P333" s="1">
        <f t="shared" si="64"/>
        <v>2745.1500000000005</v>
      </c>
      <c r="Q333" s="1">
        <v>2818.79</v>
      </c>
      <c r="R333" s="16">
        <f t="shared" si="65"/>
        <v>2144207.9077249998</v>
      </c>
      <c r="S333" s="1">
        <v>-366.64</v>
      </c>
      <c r="T333" s="1">
        <v>36.46</v>
      </c>
      <c r="U333" s="1">
        <v>12</v>
      </c>
      <c r="V333" s="1">
        <v>6.34</v>
      </c>
      <c r="W333" s="1" cm="1">
        <f t="array" ref="W333">SUM(ABS(S333:V333))</f>
        <v>421.43999999999994</v>
      </c>
      <c r="X333" s="25">
        <v>1.238</v>
      </c>
      <c r="Y333" s="42">
        <f t="shared" si="66"/>
        <v>130435.68</v>
      </c>
      <c r="Z333" s="20">
        <v>289.02999999999997</v>
      </c>
      <c r="AA333" s="20">
        <f t="shared" si="67"/>
        <v>710.46999999999991</v>
      </c>
      <c r="AB333" s="21">
        <v>176.23000000000005</v>
      </c>
      <c r="AC333" s="21">
        <v>8.8099999999999987</v>
      </c>
      <c r="AD333" s="8">
        <f t="shared" si="68"/>
        <v>474.07</v>
      </c>
      <c r="AE333" s="25">
        <v>1.238</v>
      </c>
      <c r="AF333" s="25">
        <f t="shared" si="69"/>
        <v>146724.66499999998</v>
      </c>
      <c r="AG333" s="25">
        <f t="shared" si="70"/>
        <v>277160.34499999997</v>
      </c>
      <c r="AH333" s="1">
        <f t="shared" si="60"/>
        <v>3219.2200000000007</v>
      </c>
      <c r="AI333" s="1">
        <f t="shared" si="61"/>
        <v>3292.86</v>
      </c>
      <c r="AJ333" s="1">
        <v>3719.35</v>
      </c>
      <c r="AK333" s="1">
        <f t="shared" si="62"/>
        <v>-500.1299999999992</v>
      </c>
      <c r="AL333" s="29">
        <f t="shared" si="71"/>
        <v>426.48999999999978</v>
      </c>
      <c r="AM333" s="11">
        <f t="shared" si="63"/>
        <v>2421368.2527249996</v>
      </c>
    </row>
    <row r="334" spans="1:39" x14ac:dyDescent="0.3">
      <c r="A334" s="39">
        <v>45874.4375</v>
      </c>
      <c r="B334" s="1">
        <v>1110.6600000000001</v>
      </c>
      <c r="C334" s="11">
        <v>3.2732000000000001</v>
      </c>
      <c r="D334" s="1">
        <v>540.05999999999995</v>
      </c>
      <c r="E334" s="11">
        <v>3.0760000000000001</v>
      </c>
      <c r="F334" s="1">
        <v>398.57</v>
      </c>
      <c r="G334" s="11">
        <v>3.53</v>
      </c>
      <c r="H334" s="1">
        <v>26.61</v>
      </c>
      <c r="I334" s="11">
        <v>1.7691300000000001</v>
      </c>
      <c r="J334" s="1">
        <v>261.66000000000003</v>
      </c>
      <c r="K334" s="11">
        <v>1.77667</v>
      </c>
      <c r="L334" s="1">
        <v>50.86</v>
      </c>
      <c r="M334" s="11">
        <v>6.2</v>
      </c>
      <c r="N334" s="1">
        <v>421.94</v>
      </c>
      <c r="O334" s="11">
        <v>2.8224999999999998</v>
      </c>
      <c r="P334" s="1">
        <f t="shared" si="64"/>
        <v>2810.36</v>
      </c>
      <c r="Q334" s="1">
        <v>2789.59</v>
      </c>
      <c r="R334" s="16">
        <f t="shared" si="65"/>
        <v>2180451.6608750001</v>
      </c>
      <c r="S334" s="1">
        <v>-441.36</v>
      </c>
      <c r="T334" s="1">
        <v>36.450000000000003</v>
      </c>
      <c r="U334" s="1">
        <v>12</v>
      </c>
      <c r="V334" s="1">
        <v>6.34</v>
      </c>
      <c r="W334" s="1" cm="1">
        <f t="array" ref="W334">SUM(ABS(S334:V334))</f>
        <v>496.15</v>
      </c>
      <c r="X334" s="25">
        <v>1.238</v>
      </c>
      <c r="Y334" s="42">
        <f t="shared" si="66"/>
        <v>153558.42499999999</v>
      </c>
      <c r="Z334" s="20">
        <v>237.71</v>
      </c>
      <c r="AA334" s="20">
        <f t="shared" si="67"/>
        <v>733.86</v>
      </c>
      <c r="AB334" s="21">
        <v>163.57</v>
      </c>
      <c r="AC334" s="21">
        <v>10.24</v>
      </c>
      <c r="AD334" s="8">
        <f t="shared" si="68"/>
        <v>411.52</v>
      </c>
      <c r="AE334" s="25">
        <v>1.238</v>
      </c>
      <c r="AF334" s="25">
        <f t="shared" si="69"/>
        <v>127365.43999999999</v>
      </c>
      <c r="AG334" s="25">
        <f t="shared" si="70"/>
        <v>280923.86499999999</v>
      </c>
      <c r="AH334" s="1">
        <f t="shared" si="60"/>
        <v>3221.88</v>
      </c>
      <c r="AI334" s="1">
        <f t="shared" si="61"/>
        <v>3201.11</v>
      </c>
      <c r="AJ334" s="1">
        <v>3710.54</v>
      </c>
      <c r="AK334" s="1">
        <f t="shared" si="62"/>
        <v>-488.65999999999985</v>
      </c>
      <c r="AL334" s="29">
        <f t="shared" si="71"/>
        <v>509.42999999999984</v>
      </c>
      <c r="AM334" s="11">
        <f t="shared" si="63"/>
        <v>2461375.5258750003</v>
      </c>
    </row>
    <row r="335" spans="1:39" x14ac:dyDescent="0.3">
      <c r="A335" s="39">
        <v>45874.447916666664</v>
      </c>
      <c r="B335" s="1">
        <v>1110.74</v>
      </c>
      <c r="C335" s="11">
        <v>3.2732000000000001</v>
      </c>
      <c r="D335" s="1">
        <v>540.05999999999995</v>
      </c>
      <c r="E335" s="11">
        <v>3.0760000000000001</v>
      </c>
      <c r="F335" s="1">
        <v>398.57</v>
      </c>
      <c r="G335" s="11">
        <v>3.53</v>
      </c>
      <c r="H335" s="1">
        <v>26.77</v>
      </c>
      <c r="I335" s="11">
        <v>1.7698699999999998</v>
      </c>
      <c r="J335" s="1">
        <v>266.89999999999998</v>
      </c>
      <c r="K335" s="11">
        <v>1.7767200000000001</v>
      </c>
      <c r="L335" s="1">
        <v>50.69</v>
      </c>
      <c r="M335" s="11">
        <v>6.2</v>
      </c>
      <c r="N335" s="1">
        <v>430.05</v>
      </c>
      <c r="O335" s="11">
        <v>2.8224999999999998</v>
      </c>
      <c r="P335" s="1">
        <f t="shared" si="64"/>
        <v>2823.78</v>
      </c>
      <c r="Q335" s="1">
        <v>2826.74</v>
      </c>
      <c r="R335" s="16">
        <f t="shared" si="65"/>
        <v>2188382.735225</v>
      </c>
      <c r="S335" s="1">
        <v>-414.48</v>
      </c>
      <c r="T335" s="1">
        <v>36.369999999999997</v>
      </c>
      <c r="U335" s="1">
        <v>12</v>
      </c>
      <c r="V335" s="1">
        <v>6.34</v>
      </c>
      <c r="W335" s="1" cm="1">
        <f t="array" ref="W335">SUM(ABS(S335:V335))</f>
        <v>469.19</v>
      </c>
      <c r="X335" s="25">
        <v>1.238</v>
      </c>
      <c r="Y335" s="42">
        <f t="shared" si="66"/>
        <v>145214.30499999999</v>
      </c>
      <c r="Z335" s="20">
        <v>228.06</v>
      </c>
      <c r="AA335" s="20">
        <f t="shared" si="67"/>
        <v>697.25</v>
      </c>
      <c r="AB335" s="21">
        <v>164.91</v>
      </c>
      <c r="AC335" s="21">
        <v>10.25</v>
      </c>
      <c r="AD335" s="8">
        <f t="shared" si="68"/>
        <v>403.22</v>
      </c>
      <c r="AE335" s="25">
        <v>1.238</v>
      </c>
      <c r="AF335" s="25">
        <f t="shared" si="69"/>
        <v>124796.59000000001</v>
      </c>
      <c r="AG335" s="25">
        <f t="shared" si="70"/>
        <v>270010.89500000002</v>
      </c>
      <c r="AH335" s="1">
        <f t="shared" si="60"/>
        <v>3227</v>
      </c>
      <c r="AI335" s="1">
        <f t="shared" si="61"/>
        <v>3229.96</v>
      </c>
      <c r="AJ335" s="1">
        <v>3715.42</v>
      </c>
      <c r="AK335" s="1">
        <f t="shared" si="62"/>
        <v>-488.42000000000007</v>
      </c>
      <c r="AL335" s="29">
        <f t="shared" si="71"/>
        <v>485.46000000000004</v>
      </c>
      <c r="AM335" s="11">
        <f t="shared" si="63"/>
        <v>2458393.630225</v>
      </c>
    </row>
    <row r="336" spans="1:39" x14ac:dyDescent="0.3">
      <c r="A336" s="39">
        <v>45874.458333333336</v>
      </c>
      <c r="B336" s="1">
        <v>1110.74</v>
      </c>
      <c r="C336" s="11">
        <v>3.2732000000000001</v>
      </c>
      <c r="D336" s="1">
        <v>540.05999999999995</v>
      </c>
      <c r="E336" s="11">
        <v>3.0760000000000001</v>
      </c>
      <c r="F336" s="1">
        <v>398.57</v>
      </c>
      <c r="G336" s="11">
        <v>3.53</v>
      </c>
      <c r="H336" s="1">
        <v>26.77</v>
      </c>
      <c r="I336" s="11">
        <v>1.7315999999999998</v>
      </c>
      <c r="J336" s="1">
        <v>330.26</v>
      </c>
      <c r="K336" s="11">
        <v>1.79976</v>
      </c>
      <c r="L336" s="1">
        <v>51.13</v>
      </c>
      <c r="M336" s="11">
        <v>6.2</v>
      </c>
      <c r="N336" s="1">
        <v>433.93</v>
      </c>
      <c r="O336" s="11">
        <v>2.8224999999999998</v>
      </c>
      <c r="P336" s="1">
        <f t="shared" si="64"/>
        <v>2891.4599999999996</v>
      </c>
      <c r="Q336" s="1">
        <v>3002.69</v>
      </c>
      <c r="R336" s="16">
        <f t="shared" si="65"/>
        <v>2221591.9806500007</v>
      </c>
      <c r="S336" s="1">
        <v>-249.73</v>
      </c>
      <c r="T336" s="1">
        <v>36.33</v>
      </c>
      <c r="U336" s="1">
        <v>12</v>
      </c>
      <c r="V336" s="1">
        <v>6.34</v>
      </c>
      <c r="W336" s="1" cm="1">
        <f t="array" ref="W336">SUM(ABS(S336:V336))</f>
        <v>304.39999999999998</v>
      </c>
      <c r="X336" s="25">
        <v>1.238</v>
      </c>
      <c r="Y336" s="42">
        <f t="shared" si="66"/>
        <v>94211.8</v>
      </c>
      <c r="Z336" s="20">
        <v>222.59000000000003</v>
      </c>
      <c r="AA336" s="20">
        <f t="shared" si="67"/>
        <v>526.99</v>
      </c>
      <c r="AB336" s="21">
        <v>159.19000000000003</v>
      </c>
      <c r="AC336" s="21">
        <v>9.93</v>
      </c>
      <c r="AD336" s="8">
        <f t="shared" si="68"/>
        <v>391.71000000000009</v>
      </c>
      <c r="AE336" s="25">
        <v>1.238</v>
      </c>
      <c r="AF336" s="25">
        <f t="shared" si="69"/>
        <v>121234.24500000002</v>
      </c>
      <c r="AG336" s="25">
        <f t="shared" si="70"/>
        <v>215446.04500000004</v>
      </c>
      <c r="AH336" s="1">
        <f t="shared" si="60"/>
        <v>3283.1699999999996</v>
      </c>
      <c r="AI336" s="1">
        <f t="shared" si="61"/>
        <v>3394.4</v>
      </c>
      <c r="AJ336" s="1">
        <v>3715.26</v>
      </c>
      <c r="AK336" s="1">
        <f t="shared" si="62"/>
        <v>-432.0900000000006</v>
      </c>
      <c r="AL336" s="29">
        <f t="shared" si="71"/>
        <v>320.86000000000013</v>
      </c>
      <c r="AM336" s="11">
        <f t="shared" si="63"/>
        <v>2437038.0256500007</v>
      </c>
    </row>
    <row r="337" spans="1:39" x14ac:dyDescent="0.3">
      <c r="A337" s="39">
        <v>45874.46875</v>
      </c>
      <c r="B337" s="1">
        <v>1110.74</v>
      </c>
      <c r="C337" s="11">
        <v>3.2732000000000001</v>
      </c>
      <c r="D337" s="1">
        <v>540.05999999999995</v>
      </c>
      <c r="E337" s="11">
        <v>3.0760000000000001</v>
      </c>
      <c r="F337" s="1">
        <v>398.57</v>
      </c>
      <c r="G337" s="11">
        <v>3.53</v>
      </c>
      <c r="H337" s="1">
        <v>26.77</v>
      </c>
      <c r="I337" s="11">
        <v>1.76973</v>
      </c>
      <c r="J337" s="1">
        <v>334.54</v>
      </c>
      <c r="K337" s="11">
        <v>1.91218</v>
      </c>
      <c r="L337" s="1">
        <v>51.25</v>
      </c>
      <c r="M337" s="11">
        <v>6.2</v>
      </c>
      <c r="N337" s="1">
        <v>437</v>
      </c>
      <c r="O337" s="11">
        <v>2.8224999999999998</v>
      </c>
      <c r="P337" s="1">
        <f t="shared" si="64"/>
        <v>2898.93</v>
      </c>
      <c r="Q337" s="1">
        <v>2981.34</v>
      </c>
      <c r="R337" s="16">
        <f t="shared" si="65"/>
        <v>2235527.424325</v>
      </c>
      <c r="S337" s="1">
        <v>-223.34</v>
      </c>
      <c r="T337" s="1">
        <v>36.28</v>
      </c>
      <c r="U337" s="1">
        <v>12</v>
      </c>
      <c r="V337" s="1">
        <v>6.33</v>
      </c>
      <c r="W337" s="1" cm="1">
        <f t="array" ref="W337">SUM(ABS(S337:V337))</f>
        <v>277.95</v>
      </c>
      <c r="X337" s="25">
        <v>1.238</v>
      </c>
      <c r="Y337" s="42">
        <f t="shared" si="66"/>
        <v>86025.525000000009</v>
      </c>
      <c r="Z337" s="20">
        <v>230.72</v>
      </c>
      <c r="AA337" s="20">
        <f t="shared" si="67"/>
        <v>508.66999999999996</v>
      </c>
      <c r="AB337" s="21">
        <v>189.41</v>
      </c>
      <c r="AC337" s="21">
        <v>10.01</v>
      </c>
      <c r="AD337" s="8">
        <f t="shared" si="68"/>
        <v>430.14</v>
      </c>
      <c r="AE337" s="25">
        <v>1.238</v>
      </c>
      <c r="AF337" s="25">
        <f t="shared" si="69"/>
        <v>133128.33000000002</v>
      </c>
      <c r="AG337" s="25">
        <f t="shared" si="70"/>
        <v>219153.85500000004</v>
      </c>
      <c r="AH337" s="1">
        <f t="shared" si="60"/>
        <v>3329.0699999999997</v>
      </c>
      <c r="AI337" s="1">
        <f t="shared" si="61"/>
        <v>3411.48</v>
      </c>
      <c r="AJ337" s="1">
        <v>3696.16</v>
      </c>
      <c r="AK337" s="1">
        <f t="shared" si="62"/>
        <v>-367.09000000000015</v>
      </c>
      <c r="AL337" s="29">
        <f t="shared" si="71"/>
        <v>284.67999999999984</v>
      </c>
      <c r="AM337" s="11">
        <f t="shared" si="63"/>
        <v>2454681.279325</v>
      </c>
    </row>
    <row r="338" spans="1:39" x14ac:dyDescent="0.3">
      <c r="A338" s="39">
        <v>45874.479166666664</v>
      </c>
      <c r="B338" s="1">
        <v>1112.8800000000001</v>
      </c>
      <c r="C338" s="11">
        <v>3.2732000000000001</v>
      </c>
      <c r="D338" s="1">
        <v>540.05999999999995</v>
      </c>
      <c r="E338" s="11">
        <v>3.0760000000000001</v>
      </c>
      <c r="F338" s="1">
        <v>398.57</v>
      </c>
      <c r="G338" s="11">
        <v>3.53</v>
      </c>
      <c r="H338" s="1">
        <v>26.77</v>
      </c>
      <c r="I338" s="11">
        <v>1.80026</v>
      </c>
      <c r="J338" s="1">
        <v>103.17</v>
      </c>
      <c r="K338" s="11">
        <v>1.9499200000000001</v>
      </c>
      <c r="L338" s="1">
        <v>51.44</v>
      </c>
      <c r="M338" s="11">
        <v>6.2</v>
      </c>
      <c r="N338" s="1">
        <v>445.56</v>
      </c>
      <c r="O338" s="11">
        <v>2.8224999999999998</v>
      </c>
      <c r="P338" s="1">
        <f t="shared" si="64"/>
        <v>2678.4500000000003</v>
      </c>
      <c r="Q338" s="1">
        <v>2964.75</v>
      </c>
      <c r="R338" s="16">
        <f t="shared" si="65"/>
        <v>2134185.6956500001</v>
      </c>
      <c r="S338" s="1">
        <v>-194.71</v>
      </c>
      <c r="T338" s="1">
        <v>36.229999999999997</v>
      </c>
      <c r="U338" s="1">
        <v>12</v>
      </c>
      <c r="V338" s="1">
        <v>6.36</v>
      </c>
      <c r="W338" s="1" cm="1">
        <f t="array" ref="W338">SUM(ABS(S338:V338))</f>
        <v>249.3</v>
      </c>
      <c r="X338" s="25">
        <v>1.238</v>
      </c>
      <c r="Y338" s="42">
        <f t="shared" si="66"/>
        <v>77158.350000000006</v>
      </c>
      <c r="Z338" s="20">
        <v>254.94</v>
      </c>
      <c r="AA338" s="20">
        <f t="shared" si="67"/>
        <v>504.24</v>
      </c>
      <c r="AB338" s="21">
        <v>194.35000000000002</v>
      </c>
      <c r="AC338" s="21">
        <v>8.3099999999999987</v>
      </c>
      <c r="AD338" s="8">
        <f t="shared" si="68"/>
        <v>457.6</v>
      </c>
      <c r="AE338" s="25">
        <v>1.238</v>
      </c>
      <c r="AF338" s="25">
        <f t="shared" si="69"/>
        <v>141627.20000000001</v>
      </c>
      <c r="AG338" s="25">
        <f t="shared" si="70"/>
        <v>218785.55000000002</v>
      </c>
      <c r="AH338" s="1">
        <f t="shared" si="60"/>
        <v>3136.05</v>
      </c>
      <c r="AI338" s="1">
        <f t="shared" si="61"/>
        <v>3422.35</v>
      </c>
      <c r="AJ338" s="1">
        <v>3680.66</v>
      </c>
      <c r="AK338" s="1">
        <f t="shared" si="62"/>
        <v>-544.60999999999967</v>
      </c>
      <c r="AL338" s="29">
        <f t="shared" si="71"/>
        <v>258.30999999999995</v>
      </c>
      <c r="AM338" s="11">
        <f t="shared" si="63"/>
        <v>2352971.2456499999</v>
      </c>
    </row>
    <row r="339" spans="1:39" x14ac:dyDescent="0.3">
      <c r="A339" s="39">
        <v>45874.489583333336</v>
      </c>
      <c r="B339" s="1">
        <v>1113.05</v>
      </c>
      <c r="C339" s="11">
        <v>3.2732000000000001</v>
      </c>
      <c r="D339" s="1">
        <v>540.05999999999995</v>
      </c>
      <c r="E339" s="11">
        <v>3.0760000000000001</v>
      </c>
      <c r="F339" s="1">
        <v>398.57</v>
      </c>
      <c r="G339" s="11">
        <v>3.53</v>
      </c>
      <c r="H339" s="1">
        <v>26.77</v>
      </c>
      <c r="I339" s="11">
        <v>1.8006099999999998</v>
      </c>
      <c r="J339" s="1">
        <v>315.23</v>
      </c>
      <c r="K339" s="11">
        <v>1.9063399999999999</v>
      </c>
      <c r="L339" s="1">
        <v>51.36</v>
      </c>
      <c r="M339" s="11">
        <v>6.2</v>
      </c>
      <c r="N339" s="1">
        <v>447.73</v>
      </c>
      <c r="O339" s="11">
        <v>2.8224999999999998</v>
      </c>
      <c r="P339" s="1">
        <f t="shared" si="64"/>
        <v>2892.77</v>
      </c>
      <c r="Q339" s="1">
        <v>2966.92</v>
      </c>
      <c r="R339" s="16">
        <f t="shared" si="65"/>
        <v>2235674.9332250003</v>
      </c>
      <c r="S339" s="1">
        <v>-180.6</v>
      </c>
      <c r="T339" s="1">
        <v>36.19</v>
      </c>
      <c r="U339" s="1">
        <v>12</v>
      </c>
      <c r="V339" s="1">
        <v>6.37</v>
      </c>
      <c r="W339" s="1" cm="1">
        <f t="array" ref="W339">SUM(ABS(S339:V339))</f>
        <v>235.16</v>
      </c>
      <c r="X339" s="25">
        <v>1.238</v>
      </c>
      <c r="Y339" s="42">
        <f t="shared" si="66"/>
        <v>72782.02</v>
      </c>
      <c r="Z339" s="20">
        <v>260.24</v>
      </c>
      <c r="AA339" s="20">
        <f t="shared" si="67"/>
        <v>495.4</v>
      </c>
      <c r="AB339" s="21">
        <v>209.96</v>
      </c>
      <c r="AC339" s="21">
        <v>7.51</v>
      </c>
      <c r="AD339" s="8">
        <f t="shared" si="68"/>
        <v>477.71000000000004</v>
      </c>
      <c r="AE339" s="25">
        <v>1.238</v>
      </c>
      <c r="AF339" s="25">
        <f t="shared" si="69"/>
        <v>147851.245</v>
      </c>
      <c r="AG339" s="25">
        <f t="shared" si="70"/>
        <v>220633.26500000001</v>
      </c>
      <c r="AH339" s="1">
        <f t="shared" si="60"/>
        <v>3370.48</v>
      </c>
      <c r="AI339" s="1">
        <f t="shared" si="61"/>
        <v>3444.63</v>
      </c>
      <c r="AJ339" s="1">
        <v>3690.79</v>
      </c>
      <c r="AK339" s="1">
        <f t="shared" si="62"/>
        <v>-320.30999999999995</v>
      </c>
      <c r="AL339" s="29">
        <f t="shared" si="71"/>
        <v>246.15999999999985</v>
      </c>
      <c r="AM339" s="11">
        <f t="shared" si="63"/>
        <v>2456308.1982250004</v>
      </c>
    </row>
    <row r="340" spans="1:39" x14ac:dyDescent="0.3">
      <c r="A340" s="39">
        <v>45874.5</v>
      </c>
      <c r="B340" s="1">
        <v>1113.05</v>
      </c>
      <c r="C340" s="11">
        <v>3.2732000000000001</v>
      </c>
      <c r="D340" s="1">
        <v>540.05999999999995</v>
      </c>
      <c r="E340" s="11">
        <v>3.0760000000000001</v>
      </c>
      <c r="F340" s="1">
        <v>398.57</v>
      </c>
      <c r="G340" s="11">
        <v>3.53</v>
      </c>
      <c r="H340" s="1">
        <v>26.33</v>
      </c>
      <c r="I340" s="11">
        <v>1.80074</v>
      </c>
      <c r="J340" s="1">
        <v>178.86</v>
      </c>
      <c r="K340" s="11">
        <v>2.0550000000000002</v>
      </c>
      <c r="L340" s="1">
        <v>51.27</v>
      </c>
      <c r="M340" s="11">
        <v>6.2</v>
      </c>
      <c r="N340" s="1">
        <v>443.15</v>
      </c>
      <c r="O340" s="11">
        <v>2.8224999999999998</v>
      </c>
      <c r="P340" s="1">
        <f t="shared" si="64"/>
        <v>2751.29</v>
      </c>
      <c r="Q340" s="1">
        <v>2960.42</v>
      </c>
      <c r="R340" s="16">
        <f t="shared" si="65"/>
        <v>2173761.8948000004</v>
      </c>
      <c r="S340" s="1">
        <v>-187.94</v>
      </c>
      <c r="T340" s="1">
        <v>36.18</v>
      </c>
      <c r="U340" s="1">
        <v>12</v>
      </c>
      <c r="V340" s="1">
        <v>6.37</v>
      </c>
      <c r="W340" s="1" cm="1">
        <f t="array" ref="W340">SUM(ABS(S340:V340))</f>
        <v>242.49</v>
      </c>
      <c r="X340" s="25">
        <v>1.238</v>
      </c>
      <c r="Y340" s="42">
        <f t="shared" si="66"/>
        <v>75050.654999999999</v>
      </c>
      <c r="Z340" s="20">
        <v>258.44</v>
      </c>
      <c r="AA340" s="20">
        <f t="shared" si="67"/>
        <v>500.93</v>
      </c>
      <c r="AB340" s="21">
        <v>214.89</v>
      </c>
      <c r="AC340" s="21">
        <v>8.27</v>
      </c>
      <c r="AD340" s="8">
        <f t="shared" si="68"/>
        <v>481.59999999999997</v>
      </c>
      <c r="AE340" s="25">
        <v>1.238</v>
      </c>
      <c r="AF340" s="25">
        <f t="shared" si="69"/>
        <v>149055.19999999998</v>
      </c>
      <c r="AG340" s="25">
        <f t="shared" si="70"/>
        <v>224105.85499999998</v>
      </c>
      <c r="AH340" s="1">
        <f t="shared" si="60"/>
        <v>3232.89</v>
      </c>
      <c r="AI340" s="1">
        <f t="shared" si="61"/>
        <v>3442.02</v>
      </c>
      <c r="AJ340" s="1">
        <v>3696.04</v>
      </c>
      <c r="AK340" s="1">
        <f t="shared" si="62"/>
        <v>-463.15000000000009</v>
      </c>
      <c r="AL340" s="29">
        <f t="shared" si="71"/>
        <v>254.01999999999998</v>
      </c>
      <c r="AM340" s="11">
        <f t="shared" si="63"/>
        <v>2397867.7498000003</v>
      </c>
    </row>
    <row r="341" spans="1:39" x14ac:dyDescent="0.3">
      <c r="A341" s="39">
        <v>45874.510416666664</v>
      </c>
      <c r="B341" s="1">
        <v>1113.05</v>
      </c>
      <c r="C341" s="11">
        <v>3.2732000000000001</v>
      </c>
      <c r="D341" s="1">
        <v>540.05999999999995</v>
      </c>
      <c r="E341" s="11">
        <v>3.0760000000000001</v>
      </c>
      <c r="F341" s="1">
        <v>398.57</v>
      </c>
      <c r="G341" s="11">
        <v>3.53</v>
      </c>
      <c r="H341" s="1">
        <v>26.29</v>
      </c>
      <c r="I341" s="11">
        <v>1.8008900000000001</v>
      </c>
      <c r="J341" s="1">
        <v>205.64</v>
      </c>
      <c r="K341" s="11">
        <v>1.9996700000000001</v>
      </c>
      <c r="L341" s="1">
        <v>50.8</v>
      </c>
      <c r="M341" s="11">
        <v>6.2</v>
      </c>
      <c r="N341" s="1">
        <v>442.89</v>
      </c>
      <c r="O341" s="11">
        <v>2.8224999999999998</v>
      </c>
      <c r="P341" s="1">
        <f t="shared" si="64"/>
        <v>2777.2999999999997</v>
      </c>
      <c r="Q341" s="1">
        <v>2894.49</v>
      </c>
      <c r="R341" s="16">
        <f t="shared" si="65"/>
        <v>2183746.6204749998</v>
      </c>
      <c r="S341" s="1">
        <v>-210.38</v>
      </c>
      <c r="T341" s="1">
        <v>36.15</v>
      </c>
      <c r="U341" s="1">
        <v>12</v>
      </c>
      <c r="V341" s="1">
        <v>6.38</v>
      </c>
      <c r="W341" s="1" cm="1">
        <f t="array" ref="W341">SUM(ABS(S341:V341))</f>
        <v>264.90999999999997</v>
      </c>
      <c r="X341" s="25">
        <v>1.238</v>
      </c>
      <c r="Y341" s="42">
        <f t="shared" si="66"/>
        <v>81989.64499999999</v>
      </c>
      <c r="Z341" s="20">
        <v>312.59000000000003</v>
      </c>
      <c r="AA341" s="20">
        <f t="shared" si="67"/>
        <v>577.5</v>
      </c>
      <c r="AB341" s="21">
        <v>216.60000000000002</v>
      </c>
      <c r="AC341" s="21">
        <v>8.1300000000000008</v>
      </c>
      <c r="AD341" s="8">
        <f t="shared" si="68"/>
        <v>537.32000000000005</v>
      </c>
      <c r="AE341" s="25">
        <v>1.238</v>
      </c>
      <c r="AF341" s="25">
        <f t="shared" si="69"/>
        <v>166300.54</v>
      </c>
      <c r="AG341" s="25">
        <f t="shared" si="70"/>
        <v>248290.185</v>
      </c>
      <c r="AH341" s="1">
        <f t="shared" si="60"/>
        <v>3314.62</v>
      </c>
      <c r="AI341" s="1">
        <f t="shared" si="61"/>
        <v>3431.81</v>
      </c>
      <c r="AJ341" s="1">
        <v>3709.92</v>
      </c>
      <c r="AK341" s="1">
        <f t="shared" si="62"/>
        <v>-395.30000000000018</v>
      </c>
      <c r="AL341" s="29">
        <f t="shared" si="71"/>
        <v>278.11000000000013</v>
      </c>
      <c r="AM341" s="11">
        <f t="shared" si="63"/>
        <v>2432036.8054749998</v>
      </c>
    </row>
    <row r="342" spans="1:39" x14ac:dyDescent="0.3">
      <c r="A342" s="39">
        <v>45874.520833333336</v>
      </c>
      <c r="B342" s="1">
        <v>1112.44</v>
      </c>
      <c r="C342" s="11">
        <v>3.2732000000000001</v>
      </c>
      <c r="D342" s="1">
        <v>540.05999999999995</v>
      </c>
      <c r="E342" s="11">
        <v>3.0760000000000001</v>
      </c>
      <c r="F342" s="1">
        <v>398.57</v>
      </c>
      <c r="G342" s="11">
        <v>3.53</v>
      </c>
      <c r="H342" s="1">
        <v>24.49</v>
      </c>
      <c r="I342" s="11">
        <v>1.87039</v>
      </c>
      <c r="J342" s="1">
        <v>267.72000000000003</v>
      </c>
      <c r="K342" s="11">
        <v>1.88923</v>
      </c>
      <c r="L342" s="1">
        <v>50.15</v>
      </c>
      <c r="M342" s="11">
        <v>6.2</v>
      </c>
      <c r="N342" s="1">
        <v>452.99</v>
      </c>
      <c r="O342" s="11">
        <v>2.8224999999999998</v>
      </c>
      <c r="P342" s="1">
        <f t="shared" si="64"/>
        <v>2846.42</v>
      </c>
      <c r="Q342" s="1">
        <v>2895.28</v>
      </c>
      <c r="R342" s="16">
        <f t="shared" si="65"/>
        <v>2212625.0124250003</v>
      </c>
      <c r="S342" s="1">
        <v>-231.33</v>
      </c>
      <c r="T342" s="1">
        <v>36.17</v>
      </c>
      <c r="U342" s="1">
        <v>12</v>
      </c>
      <c r="V342" s="1">
        <v>6.38</v>
      </c>
      <c r="W342" s="1" cm="1">
        <f t="array" ref="W342">SUM(ABS(S342:V342))</f>
        <v>285.88</v>
      </c>
      <c r="X342" s="25">
        <v>1.238</v>
      </c>
      <c r="Y342" s="42">
        <f t="shared" si="66"/>
        <v>88479.86</v>
      </c>
      <c r="Z342" s="20">
        <v>320.34999999999997</v>
      </c>
      <c r="AA342" s="20">
        <f t="shared" si="67"/>
        <v>606.23</v>
      </c>
      <c r="AB342" s="21">
        <v>222.75000000000003</v>
      </c>
      <c r="AC342" s="21">
        <v>9.99</v>
      </c>
      <c r="AD342" s="8">
        <f t="shared" si="68"/>
        <v>553.09</v>
      </c>
      <c r="AE342" s="25">
        <v>1.238</v>
      </c>
      <c r="AF342" s="25">
        <f t="shared" si="69"/>
        <v>171181.35500000001</v>
      </c>
      <c r="AG342" s="25">
        <f t="shared" si="70"/>
        <v>259661.21500000003</v>
      </c>
      <c r="AH342" s="1">
        <f t="shared" si="60"/>
        <v>3399.51</v>
      </c>
      <c r="AI342" s="1">
        <f t="shared" si="61"/>
        <v>3448.3700000000003</v>
      </c>
      <c r="AJ342" s="1">
        <v>3746.75</v>
      </c>
      <c r="AK342" s="1">
        <f t="shared" si="62"/>
        <v>-347.23999999999978</v>
      </c>
      <c r="AL342" s="29">
        <f t="shared" si="71"/>
        <v>298.37999999999965</v>
      </c>
      <c r="AM342" s="11">
        <f t="shared" si="63"/>
        <v>2472286.2274250002</v>
      </c>
    </row>
    <row r="343" spans="1:39" x14ac:dyDescent="0.3">
      <c r="A343" s="39">
        <v>45874.53125</v>
      </c>
      <c r="B343" s="1">
        <v>1109.79</v>
      </c>
      <c r="C343" s="11">
        <v>3.2732000000000001</v>
      </c>
      <c r="D343" s="1">
        <v>540.05999999999995</v>
      </c>
      <c r="E343" s="11">
        <v>3.0760000000000001</v>
      </c>
      <c r="F343" s="1">
        <v>398.57</v>
      </c>
      <c r="G343" s="11">
        <v>3.53</v>
      </c>
      <c r="H343" s="1">
        <v>26.16</v>
      </c>
      <c r="I343" s="11">
        <v>1.87039</v>
      </c>
      <c r="J343" s="1">
        <v>270</v>
      </c>
      <c r="K343" s="11">
        <v>1.7889000000000002</v>
      </c>
      <c r="L343" s="1">
        <v>50.1</v>
      </c>
      <c r="M343" s="11">
        <v>6.2</v>
      </c>
      <c r="N343" s="1">
        <v>457.99</v>
      </c>
      <c r="O343" s="11">
        <v>2.8224999999999998</v>
      </c>
      <c r="P343" s="1">
        <f t="shared" si="64"/>
        <v>2852.67</v>
      </c>
      <c r="Q343" s="1">
        <v>2833.51</v>
      </c>
      <c r="R343" s="16">
        <f t="shared" si="65"/>
        <v>2208992.6163499993</v>
      </c>
      <c r="S343" s="1">
        <v>-307.35000000000002</v>
      </c>
      <c r="T343" s="1">
        <v>36.200000000000003</v>
      </c>
      <c r="U343" s="1">
        <v>12</v>
      </c>
      <c r="V343" s="1">
        <v>6.39</v>
      </c>
      <c r="W343" s="1" cm="1">
        <f t="array" ref="W343">SUM(ABS(S343:V343))</f>
        <v>361.94</v>
      </c>
      <c r="X343" s="25">
        <v>1.238</v>
      </c>
      <c r="Y343" s="42">
        <f t="shared" si="66"/>
        <v>112020.43000000001</v>
      </c>
      <c r="Z343" s="20">
        <v>308.64000000000004</v>
      </c>
      <c r="AA343" s="20">
        <f t="shared" si="67"/>
        <v>670.58</v>
      </c>
      <c r="AB343" s="21">
        <v>223.06</v>
      </c>
      <c r="AC343" s="21">
        <v>10.31</v>
      </c>
      <c r="AD343" s="8">
        <f t="shared" si="68"/>
        <v>542.01</v>
      </c>
      <c r="AE343" s="25">
        <v>1.238</v>
      </c>
      <c r="AF343" s="25">
        <f t="shared" si="69"/>
        <v>167752.095</v>
      </c>
      <c r="AG343" s="25">
        <f t="shared" si="70"/>
        <v>279772.52500000002</v>
      </c>
      <c r="AH343" s="1">
        <f t="shared" si="60"/>
        <v>3394.6800000000003</v>
      </c>
      <c r="AI343" s="1">
        <f t="shared" si="61"/>
        <v>3375.5200000000004</v>
      </c>
      <c r="AJ343" s="1">
        <v>3750.88</v>
      </c>
      <c r="AK343" s="1">
        <f t="shared" si="62"/>
        <v>-356.19999999999982</v>
      </c>
      <c r="AL343" s="29">
        <f t="shared" si="71"/>
        <v>375.35999999999967</v>
      </c>
      <c r="AM343" s="11">
        <f t="shared" si="63"/>
        <v>2488765.1413499992</v>
      </c>
    </row>
    <row r="344" spans="1:39" x14ac:dyDescent="0.3">
      <c r="A344" s="39">
        <v>45874.541666666664</v>
      </c>
      <c r="B344" s="1">
        <v>1109.5899999999999</v>
      </c>
      <c r="C344" s="11">
        <v>3.2732000000000001</v>
      </c>
      <c r="D344" s="1">
        <v>540.05999999999995</v>
      </c>
      <c r="E344" s="11">
        <v>3.0760000000000001</v>
      </c>
      <c r="F344" s="1">
        <v>398.57</v>
      </c>
      <c r="G344" s="11">
        <v>3.53</v>
      </c>
      <c r="H344" s="1">
        <v>26.91</v>
      </c>
      <c r="I344" s="11">
        <v>1.8009200000000001</v>
      </c>
      <c r="J344" s="1">
        <v>224.35</v>
      </c>
      <c r="K344" s="11">
        <v>1.704</v>
      </c>
      <c r="L344" s="1">
        <v>49.48</v>
      </c>
      <c r="M344" s="11">
        <v>6.2</v>
      </c>
      <c r="N344" s="1">
        <v>464.56</v>
      </c>
      <c r="O344" s="11">
        <v>2.8224999999999998</v>
      </c>
      <c r="P344" s="1">
        <f t="shared" si="64"/>
        <v>2813.5199999999995</v>
      </c>
      <c r="Q344" s="1">
        <v>2828.4</v>
      </c>
      <c r="R344" s="16">
        <f t="shared" si="65"/>
        <v>2187209.6013000002</v>
      </c>
      <c r="S344" s="1">
        <v>-288.63</v>
      </c>
      <c r="T344" s="1">
        <v>36.19</v>
      </c>
      <c r="U344" s="1">
        <v>12</v>
      </c>
      <c r="V344" s="1">
        <v>6.4</v>
      </c>
      <c r="W344" s="1" cm="1">
        <f t="array" ref="W344">SUM(ABS(S344:V344))</f>
        <v>343.21999999999997</v>
      </c>
      <c r="X344" s="25">
        <v>1.238</v>
      </c>
      <c r="Y344" s="42">
        <f t="shared" si="66"/>
        <v>106226.58999999998</v>
      </c>
      <c r="Z344" s="20">
        <v>260.39</v>
      </c>
      <c r="AA344" s="20">
        <f t="shared" si="67"/>
        <v>603.6099999999999</v>
      </c>
      <c r="AB344" s="21">
        <v>221.54000000000002</v>
      </c>
      <c r="AC344" s="21">
        <v>10.010000000000002</v>
      </c>
      <c r="AD344" s="8">
        <f t="shared" si="68"/>
        <v>491.94</v>
      </c>
      <c r="AE344" s="25">
        <v>1.238</v>
      </c>
      <c r="AF344" s="25">
        <f t="shared" si="69"/>
        <v>152255.43</v>
      </c>
      <c r="AG344" s="25">
        <f t="shared" si="70"/>
        <v>258482.01999999996</v>
      </c>
      <c r="AH344" s="1">
        <f t="shared" si="60"/>
        <v>3305.4599999999996</v>
      </c>
      <c r="AI344" s="1">
        <f t="shared" si="61"/>
        <v>3320.34</v>
      </c>
      <c r="AJ344" s="1">
        <v>3675.99</v>
      </c>
      <c r="AK344" s="1">
        <f t="shared" si="62"/>
        <v>-370.5300000000002</v>
      </c>
      <c r="AL344" s="29">
        <f t="shared" si="71"/>
        <v>355.64999999999964</v>
      </c>
      <c r="AM344" s="11">
        <f t="shared" si="63"/>
        <v>2445691.6213000002</v>
      </c>
    </row>
    <row r="345" spans="1:39" x14ac:dyDescent="0.3">
      <c r="A345" s="39">
        <v>45874.552083333336</v>
      </c>
      <c r="B345" s="1">
        <v>1109.5899999999999</v>
      </c>
      <c r="C345" s="11">
        <v>3.2732000000000001</v>
      </c>
      <c r="D345" s="1">
        <v>540.05999999999995</v>
      </c>
      <c r="E345" s="11">
        <v>3.0760000000000001</v>
      </c>
      <c r="F345" s="1">
        <v>398.57</v>
      </c>
      <c r="G345" s="11">
        <v>3.53</v>
      </c>
      <c r="H345" s="1">
        <v>25.16</v>
      </c>
      <c r="I345" s="11">
        <v>1.80097</v>
      </c>
      <c r="J345" s="1">
        <v>220.63</v>
      </c>
      <c r="K345" s="11">
        <v>1.7145899999999998</v>
      </c>
      <c r="L345" s="1">
        <v>49.24</v>
      </c>
      <c r="M345" s="11">
        <v>6.2</v>
      </c>
      <c r="N345" s="1">
        <v>459.69</v>
      </c>
      <c r="O345" s="11">
        <v>2.8224999999999998</v>
      </c>
      <c r="P345" s="1">
        <f t="shared" si="64"/>
        <v>2802.9399999999996</v>
      </c>
      <c r="Q345" s="1">
        <v>2898.15</v>
      </c>
      <c r="R345" s="16">
        <f t="shared" si="65"/>
        <v>2181613.0174750001</v>
      </c>
      <c r="S345" s="1">
        <v>-247.45</v>
      </c>
      <c r="T345" s="1">
        <v>36.17</v>
      </c>
      <c r="U345" s="1">
        <v>12</v>
      </c>
      <c r="V345" s="1">
        <v>6.39</v>
      </c>
      <c r="W345" s="1" cm="1">
        <f t="array" ref="W345">SUM(ABS(S345:V345))</f>
        <v>302.01</v>
      </c>
      <c r="X345" s="25">
        <v>1.238</v>
      </c>
      <c r="Y345" s="42">
        <f t="shared" si="66"/>
        <v>93472.095000000001</v>
      </c>
      <c r="Z345" s="20">
        <v>262.22000000000003</v>
      </c>
      <c r="AA345" s="20">
        <f t="shared" si="67"/>
        <v>564.23</v>
      </c>
      <c r="AB345" s="21">
        <v>221.06000000000003</v>
      </c>
      <c r="AC345" s="21">
        <v>7.8599999999999994</v>
      </c>
      <c r="AD345" s="8">
        <f t="shared" si="68"/>
        <v>491.1400000000001</v>
      </c>
      <c r="AE345" s="25">
        <v>1.238</v>
      </c>
      <c r="AF345" s="25">
        <f t="shared" si="69"/>
        <v>152007.83000000005</v>
      </c>
      <c r="AG345" s="25">
        <f t="shared" si="70"/>
        <v>245479.92500000005</v>
      </c>
      <c r="AH345" s="1">
        <f t="shared" si="60"/>
        <v>3294.08</v>
      </c>
      <c r="AI345" s="1">
        <f t="shared" si="61"/>
        <v>3389.29</v>
      </c>
      <c r="AJ345" s="1">
        <v>3704.63</v>
      </c>
      <c r="AK345" s="1">
        <f t="shared" si="62"/>
        <v>-410.55000000000018</v>
      </c>
      <c r="AL345" s="29">
        <f t="shared" si="71"/>
        <v>315.34000000000015</v>
      </c>
      <c r="AM345" s="11">
        <f t="shared" si="63"/>
        <v>2427092.9424750004</v>
      </c>
    </row>
    <row r="346" spans="1:39" x14ac:dyDescent="0.3">
      <c r="A346" s="39">
        <v>45874.5625</v>
      </c>
      <c r="B346" s="1">
        <v>1100.18</v>
      </c>
      <c r="C346" s="11">
        <v>3.2732000000000001</v>
      </c>
      <c r="D346" s="1">
        <v>540.05999999999995</v>
      </c>
      <c r="E346" s="11">
        <v>3.0760000000000001</v>
      </c>
      <c r="F346" s="1">
        <v>398.57</v>
      </c>
      <c r="G346" s="11">
        <v>3.53</v>
      </c>
      <c r="H346" s="1">
        <v>25.03</v>
      </c>
      <c r="I346" s="11">
        <v>1.99905</v>
      </c>
      <c r="J346" s="1">
        <v>265.41000000000003</v>
      </c>
      <c r="K346" s="11">
        <v>1.88862</v>
      </c>
      <c r="L346" s="1">
        <v>49.05</v>
      </c>
      <c r="M346" s="11">
        <v>6.2</v>
      </c>
      <c r="N346" s="1">
        <v>466.3</v>
      </c>
      <c r="O346" s="11">
        <v>2.8224999999999998</v>
      </c>
      <c r="P346" s="1">
        <f t="shared" si="64"/>
        <v>2844.6000000000004</v>
      </c>
      <c r="Q346" s="1">
        <v>2924.06</v>
      </c>
      <c r="R346" s="16">
        <f t="shared" si="65"/>
        <v>2210205.6104250001</v>
      </c>
      <c r="S346" s="1">
        <v>-284.87</v>
      </c>
      <c r="T346" s="1">
        <v>36.130000000000003</v>
      </c>
      <c r="U346" s="1">
        <v>12</v>
      </c>
      <c r="V346" s="1">
        <v>6.38</v>
      </c>
      <c r="W346" s="1" cm="1">
        <f t="array" ref="W346">SUM(ABS(S346:V346))</f>
        <v>339.38</v>
      </c>
      <c r="X346" s="25">
        <v>1.238</v>
      </c>
      <c r="Y346" s="42">
        <f t="shared" si="66"/>
        <v>105038.11</v>
      </c>
      <c r="Z346" s="20">
        <v>262.63000000000005</v>
      </c>
      <c r="AA346" s="20">
        <f t="shared" si="67"/>
        <v>602.01</v>
      </c>
      <c r="AB346" s="21">
        <v>216.13000000000002</v>
      </c>
      <c r="AC346" s="21">
        <v>7.15</v>
      </c>
      <c r="AD346" s="8">
        <f t="shared" si="68"/>
        <v>485.91000000000008</v>
      </c>
      <c r="AE346" s="25">
        <v>1.238</v>
      </c>
      <c r="AF346" s="25">
        <f t="shared" si="69"/>
        <v>150389.14500000002</v>
      </c>
      <c r="AG346" s="25">
        <f t="shared" si="70"/>
        <v>255427.255</v>
      </c>
      <c r="AH346" s="1">
        <f t="shared" si="60"/>
        <v>3330.51</v>
      </c>
      <c r="AI346" s="1">
        <f t="shared" si="61"/>
        <v>3409.9700000000003</v>
      </c>
      <c r="AJ346" s="1">
        <v>3758.53</v>
      </c>
      <c r="AK346" s="1">
        <f t="shared" si="62"/>
        <v>-428.02</v>
      </c>
      <c r="AL346" s="29">
        <f t="shared" si="71"/>
        <v>348.55999999999995</v>
      </c>
      <c r="AM346" s="11">
        <f t="shared" si="63"/>
        <v>2465632.865425</v>
      </c>
    </row>
    <row r="347" spans="1:39" x14ac:dyDescent="0.3">
      <c r="A347" s="39">
        <v>45874.572916666664</v>
      </c>
      <c r="B347" s="1">
        <v>1099.4100000000001</v>
      </c>
      <c r="C347" s="11">
        <v>3.2732000000000001</v>
      </c>
      <c r="D347" s="1">
        <v>540.05999999999995</v>
      </c>
      <c r="E347" s="11">
        <v>3.0760000000000001</v>
      </c>
      <c r="F347" s="1">
        <v>398.57</v>
      </c>
      <c r="G347" s="11">
        <v>3.53</v>
      </c>
      <c r="H347" s="1">
        <v>26.82</v>
      </c>
      <c r="I347" s="11">
        <v>1.9994499999999999</v>
      </c>
      <c r="J347" s="1">
        <v>179.13</v>
      </c>
      <c r="K347" s="11">
        <v>2.15516</v>
      </c>
      <c r="L347" s="1">
        <v>49.39</v>
      </c>
      <c r="M347" s="11">
        <v>6.2</v>
      </c>
      <c r="N347" s="1">
        <v>468.56</v>
      </c>
      <c r="O347" s="11">
        <v>2.8224999999999998</v>
      </c>
      <c r="P347" s="1">
        <f t="shared" si="64"/>
        <v>2761.94</v>
      </c>
      <c r="Q347" s="1">
        <v>2853.21</v>
      </c>
      <c r="R347" s="16">
        <f t="shared" si="65"/>
        <v>2183793.2829499999</v>
      </c>
      <c r="S347" s="1">
        <v>-445.16</v>
      </c>
      <c r="T347" s="1">
        <v>36.11</v>
      </c>
      <c r="U347" s="1">
        <v>12</v>
      </c>
      <c r="V347" s="1">
        <v>6.39</v>
      </c>
      <c r="W347" s="1" cm="1">
        <f t="array" ref="W347">SUM(ABS(S347:V347))</f>
        <v>499.66</v>
      </c>
      <c r="X347" s="25">
        <v>1.238</v>
      </c>
      <c r="Y347" s="42">
        <f t="shared" si="66"/>
        <v>154644.76999999999</v>
      </c>
      <c r="Z347" s="20">
        <v>262.10000000000008</v>
      </c>
      <c r="AA347" s="20">
        <f t="shared" si="67"/>
        <v>761.7600000000001</v>
      </c>
      <c r="AB347" s="21">
        <v>211.16</v>
      </c>
      <c r="AC347" s="21">
        <v>6.21</v>
      </c>
      <c r="AD347" s="8">
        <f t="shared" si="68"/>
        <v>479.47000000000008</v>
      </c>
      <c r="AE347" s="25">
        <v>1.238</v>
      </c>
      <c r="AF347" s="25">
        <f t="shared" si="69"/>
        <v>148395.96500000003</v>
      </c>
      <c r="AG347" s="25">
        <f t="shared" si="70"/>
        <v>303040.73499999999</v>
      </c>
      <c r="AH347" s="1">
        <f t="shared" si="60"/>
        <v>3241.4100000000003</v>
      </c>
      <c r="AI347" s="1">
        <f t="shared" si="61"/>
        <v>3332.6800000000003</v>
      </c>
      <c r="AJ347" s="1">
        <v>3839.78</v>
      </c>
      <c r="AK347" s="1">
        <f t="shared" si="62"/>
        <v>-598.36999999999989</v>
      </c>
      <c r="AL347" s="29">
        <f t="shared" si="71"/>
        <v>507.09999999999991</v>
      </c>
      <c r="AM347" s="11">
        <f t="shared" si="63"/>
        <v>2486834.0179499998</v>
      </c>
    </row>
    <row r="348" spans="1:39" x14ac:dyDescent="0.3">
      <c r="A348" s="39">
        <v>45874.583333333336</v>
      </c>
      <c r="B348" s="1">
        <v>1099.4100000000001</v>
      </c>
      <c r="C348" s="11">
        <v>3.2732000000000001</v>
      </c>
      <c r="D348" s="1">
        <v>540.05999999999995</v>
      </c>
      <c r="E348" s="11">
        <v>3.0760000000000001</v>
      </c>
      <c r="F348" s="1">
        <v>398.57</v>
      </c>
      <c r="G348" s="11">
        <v>3.53</v>
      </c>
      <c r="H348" s="1">
        <v>27.15</v>
      </c>
      <c r="I348" s="11">
        <v>1.99993</v>
      </c>
      <c r="J348" s="1">
        <v>260.89</v>
      </c>
      <c r="K348" s="11">
        <v>2.7997800000000002</v>
      </c>
      <c r="L348" s="1">
        <v>47.09</v>
      </c>
      <c r="M348" s="11">
        <v>6.2</v>
      </c>
      <c r="N348" s="1">
        <v>462.33</v>
      </c>
      <c r="O348" s="11">
        <v>2.8224999999999998</v>
      </c>
      <c r="P348" s="1">
        <f t="shared" si="64"/>
        <v>2835.5</v>
      </c>
      <c r="Q348" s="1">
        <v>2962.21</v>
      </c>
      <c r="R348" s="16">
        <f t="shared" si="65"/>
        <v>2262095.6501750001</v>
      </c>
      <c r="S348" s="1">
        <v>-447.52</v>
      </c>
      <c r="T348" s="1">
        <v>36.08</v>
      </c>
      <c r="U348" s="1">
        <v>12</v>
      </c>
      <c r="V348" s="1">
        <v>6.4</v>
      </c>
      <c r="W348" s="1" cm="1">
        <f t="array" ref="W348">SUM(ABS(S348:V348))</f>
        <v>501.99999999999994</v>
      </c>
      <c r="X348" s="25">
        <v>1.238</v>
      </c>
      <c r="Y348" s="42">
        <f t="shared" si="66"/>
        <v>155368.99999999997</v>
      </c>
      <c r="Z348" s="20">
        <v>280.67</v>
      </c>
      <c r="AA348" s="20">
        <f t="shared" si="67"/>
        <v>782.67</v>
      </c>
      <c r="AB348" s="21">
        <v>211.26000000000002</v>
      </c>
      <c r="AC348" s="21">
        <v>6.89</v>
      </c>
      <c r="AD348" s="8">
        <f t="shared" si="68"/>
        <v>498.82000000000005</v>
      </c>
      <c r="AE348" s="25">
        <v>1.238</v>
      </c>
      <c r="AF348" s="25">
        <f t="shared" si="69"/>
        <v>154384.79</v>
      </c>
      <c r="AG348" s="25">
        <f t="shared" si="70"/>
        <v>309753.78999999998</v>
      </c>
      <c r="AH348" s="1">
        <f t="shared" si="60"/>
        <v>3334.32</v>
      </c>
      <c r="AI348" s="1">
        <f t="shared" si="61"/>
        <v>3461.03</v>
      </c>
      <c r="AJ348" s="1">
        <v>3984.59</v>
      </c>
      <c r="AK348" s="1">
        <f t="shared" si="62"/>
        <v>-650.27</v>
      </c>
      <c r="AL348" s="29">
        <f t="shared" si="71"/>
        <v>523.55999999999995</v>
      </c>
      <c r="AM348" s="11">
        <f t="shared" si="63"/>
        <v>2571849.4401750001</v>
      </c>
    </row>
    <row r="349" spans="1:39" x14ac:dyDescent="0.3">
      <c r="A349" s="39">
        <v>45874.59375</v>
      </c>
      <c r="B349" s="1">
        <v>1102.3800000000001</v>
      </c>
      <c r="C349" s="11">
        <v>3.2732000000000001</v>
      </c>
      <c r="D349" s="1">
        <v>540.05999999999995</v>
      </c>
      <c r="E349" s="11">
        <v>3.0760000000000001</v>
      </c>
      <c r="F349" s="1">
        <v>398.57</v>
      </c>
      <c r="G349" s="11">
        <v>3.53</v>
      </c>
      <c r="H349" s="1">
        <v>27.16</v>
      </c>
      <c r="I349" s="11">
        <v>2.1183400000000003</v>
      </c>
      <c r="J349" s="1">
        <v>267.55</v>
      </c>
      <c r="K349" s="11">
        <v>3.03939</v>
      </c>
      <c r="L349" s="1">
        <v>47.1</v>
      </c>
      <c r="M349" s="11">
        <v>6.2</v>
      </c>
      <c r="N349" s="1">
        <v>448.48</v>
      </c>
      <c r="O349" s="11">
        <v>2.8224999999999998</v>
      </c>
      <c r="P349" s="1">
        <f t="shared" si="64"/>
        <v>2831.3</v>
      </c>
      <c r="Q349" s="1">
        <v>3017.21</v>
      </c>
      <c r="R349" s="16">
        <f t="shared" si="65"/>
        <v>2276266.1462250003</v>
      </c>
      <c r="S349" s="1">
        <v>-469.71</v>
      </c>
      <c r="T349" s="1">
        <v>36.08</v>
      </c>
      <c r="U349" s="1">
        <v>12</v>
      </c>
      <c r="V349" s="1">
        <v>6.39</v>
      </c>
      <c r="W349" s="1" cm="1">
        <f t="array" ref="W349">SUM(ABS(S349:V349))</f>
        <v>524.17999999999995</v>
      </c>
      <c r="X349" s="25">
        <v>1.238</v>
      </c>
      <c r="Y349" s="42">
        <f t="shared" si="66"/>
        <v>162233.70999999996</v>
      </c>
      <c r="Z349" s="20">
        <v>311.11</v>
      </c>
      <c r="AA349" s="20">
        <f t="shared" si="67"/>
        <v>835.29</v>
      </c>
      <c r="AB349" s="21">
        <v>207.43</v>
      </c>
      <c r="AC349" s="21">
        <v>8.7900000000000009</v>
      </c>
      <c r="AD349" s="8">
        <f t="shared" si="68"/>
        <v>527.32999999999993</v>
      </c>
      <c r="AE349" s="25">
        <v>1.238</v>
      </c>
      <c r="AF349" s="25">
        <f t="shared" si="69"/>
        <v>163208.63499999998</v>
      </c>
      <c r="AG349" s="25">
        <f t="shared" si="70"/>
        <v>325442.34499999997</v>
      </c>
      <c r="AH349" s="1">
        <f t="shared" si="60"/>
        <v>3358.63</v>
      </c>
      <c r="AI349" s="1">
        <f t="shared" si="61"/>
        <v>3544.54</v>
      </c>
      <c r="AJ349" s="1">
        <v>4081.52</v>
      </c>
      <c r="AK349" s="1">
        <f t="shared" si="62"/>
        <v>-722.88999999999987</v>
      </c>
      <c r="AL349" s="29">
        <f t="shared" si="71"/>
        <v>536.98</v>
      </c>
      <c r="AM349" s="11">
        <f t="shared" si="63"/>
        <v>2601708.4912250005</v>
      </c>
    </row>
    <row r="350" spans="1:39" x14ac:dyDescent="0.3">
      <c r="A350" s="39">
        <v>45874.604166666664</v>
      </c>
      <c r="B350" s="1">
        <v>1107.8499999999999</v>
      </c>
      <c r="C350" s="11">
        <v>3.2732000000000001</v>
      </c>
      <c r="D350" s="1">
        <v>540.05999999999995</v>
      </c>
      <c r="E350" s="11">
        <v>3.0760000000000001</v>
      </c>
      <c r="F350" s="1">
        <v>398.57</v>
      </c>
      <c r="G350" s="11">
        <v>3.53</v>
      </c>
      <c r="H350" s="1">
        <v>29.76</v>
      </c>
      <c r="I350" s="11">
        <v>2.3956900000000001</v>
      </c>
      <c r="J350" s="1">
        <v>303.37</v>
      </c>
      <c r="K350" s="11">
        <v>3.30891</v>
      </c>
      <c r="L350" s="1">
        <v>43.59</v>
      </c>
      <c r="M350" s="11">
        <v>6.2</v>
      </c>
      <c r="N350" s="1">
        <v>432.11</v>
      </c>
      <c r="O350" s="11">
        <v>2.8224999999999998</v>
      </c>
      <c r="P350" s="1">
        <f t="shared" si="64"/>
        <v>2855.31</v>
      </c>
      <c r="Q350" s="1">
        <v>3132.94</v>
      </c>
      <c r="R350" s="16">
        <f t="shared" si="65"/>
        <v>2314849.8790249997</v>
      </c>
      <c r="S350" s="1">
        <v>-438.22</v>
      </c>
      <c r="T350" s="1">
        <v>35.979999999999997</v>
      </c>
      <c r="U350" s="1">
        <v>12</v>
      </c>
      <c r="V350" s="1">
        <v>6.38</v>
      </c>
      <c r="W350" s="1" cm="1">
        <f t="array" ref="W350">SUM(ABS(S350:V350))</f>
        <v>492.58000000000004</v>
      </c>
      <c r="X350" s="25">
        <v>1.238</v>
      </c>
      <c r="Y350" s="42">
        <f t="shared" si="66"/>
        <v>152453.51</v>
      </c>
      <c r="Z350" s="20">
        <v>300.97000000000003</v>
      </c>
      <c r="AA350" s="20">
        <f t="shared" si="67"/>
        <v>793.55000000000007</v>
      </c>
      <c r="AB350" s="21">
        <v>203.9</v>
      </c>
      <c r="AC350" s="21">
        <v>8.92</v>
      </c>
      <c r="AD350" s="8">
        <f t="shared" si="68"/>
        <v>513.79</v>
      </c>
      <c r="AE350" s="25">
        <v>1.238</v>
      </c>
      <c r="AF350" s="25">
        <f t="shared" si="69"/>
        <v>159018.00499999998</v>
      </c>
      <c r="AG350" s="25">
        <f t="shared" si="70"/>
        <v>311471.51500000001</v>
      </c>
      <c r="AH350" s="1">
        <f t="shared" si="60"/>
        <v>3369.1</v>
      </c>
      <c r="AI350" s="1">
        <f t="shared" si="61"/>
        <v>3646.73</v>
      </c>
      <c r="AJ350" s="1">
        <v>4155.45</v>
      </c>
      <c r="AK350" s="1">
        <f t="shared" si="62"/>
        <v>-786.34999999999991</v>
      </c>
      <c r="AL350" s="29">
        <f t="shared" si="71"/>
        <v>508.7199999999998</v>
      </c>
      <c r="AM350" s="11">
        <f t="shared" si="63"/>
        <v>2626321.3940249998</v>
      </c>
    </row>
    <row r="351" spans="1:39" x14ac:dyDescent="0.3">
      <c r="A351" s="39">
        <v>45874.614583333336</v>
      </c>
      <c r="B351" s="1">
        <v>1107.7</v>
      </c>
      <c r="C351" s="11">
        <v>3.2732000000000001</v>
      </c>
      <c r="D351" s="1">
        <v>540.05999999999995</v>
      </c>
      <c r="E351" s="11">
        <v>3.0760000000000001</v>
      </c>
      <c r="F351" s="1">
        <v>398.57</v>
      </c>
      <c r="G351" s="11">
        <v>3.53</v>
      </c>
      <c r="H351" s="1">
        <v>36.700000000000003</v>
      </c>
      <c r="I351" s="11">
        <v>2.6938599999999999</v>
      </c>
      <c r="J351" s="1">
        <v>306.16000000000003</v>
      </c>
      <c r="K351" s="11">
        <v>3.3809999999999998</v>
      </c>
      <c r="L351" s="1">
        <v>37.28</v>
      </c>
      <c r="M351" s="11">
        <v>6.2</v>
      </c>
      <c r="N351" s="1">
        <v>428.09</v>
      </c>
      <c r="O351" s="11">
        <v>2.8224999999999998</v>
      </c>
      <c r="P351" s="1">
        <f t="shared" si="64"/>
        <v>2854.56</v>
      </c>
      <c r="Q351" s="1">
        <v>3117.95</v>
      </c>
      <c r="R351" s="16">
        <f t="shared" si="65"/>
        <v>2316827.9867499997</v>
      </c>
      <c r="S351" s="1">
        <v>-468.53</v>
      </c>
      <c r="T351" s="1">
        <v>35.99</v>
      </c>
      <c r="U351" s="1">
        <v>12</v>
      </c>
      <c r="V351" s="1">
        <v>6.38</v>
      </c>
      <c r="W351" s="1" cm="1">
        <f t="array" ref="W351">SUM(ABS(S351:V351))</f>
        <v>522.9</v>
      </c>
      <c r="X351" s="25">
        <v>1.238</v>
      </c>
      <c r="Y351" s="42">
        <f t="shared" si="66"/>
        <v>161837.54999999999</v>
      </c>
      <c r="Z351" s="20">
        <v>332.58000000000004</v>
      </c>
      <c r="AA351" s="20">
        <f t="shared" si="67"/>
        <v>855.48</v>
      </c>
      <c r="AB351" s="21">
        <v>199.17000000000002</v>
      </c>
      <c r="AC351" s="21">
        <v>11.9</v>
      </c>
      <c r="AD351" s="8">
        <f t="shared" si="68"/>
        <v>543.65</v>
      </c>
      <c r="AE351" s="25">
        <v>1.238</v>
      </c>
      <c r="AF351" s="25">
        <f t="shared" si="69"/>
        <v>168259.67499999999</v>
      </c>
      <c r="AG351" s="25">
        <f t="shared" si="70"/>
        <v>330097.22499999998</v>
      </c>
      <c r="AH351" s="1">
        <f t="shared" si="60"/>
        <v>3398.21</v>
      </c>
      <c r="AI351" s="1">
        <f t="shared" si="61"/>
        <v>3661.6</v>
      </c>
      <c r="AJ351" s="1">
        <v>4197.71</v>
      </c>
      <c r="AK351" s="1">
        <f t="shared" si="62"/>
        <v>-799.5</v>
      </c>
      <c r="AL351" s="29">
        <f t="shared" si="71"/>
        <v>536.11000000000013</v>
      </c>
      <c r="AM351" s="11">
        <f t="shared" si="63"/>
        <v>2646925.2117499998</v>
      </c>
    </row>
    <row r="352" spans="1:39" x14ac:dyDescent="0.3">
      <c r="A352" s="39">
        <v>45874.625</v>
      </c>
      <c r="B352" s="1">
        <v>1240.52</v>
      </c>
      <c r="C352" s="11">
        <v>3.2732000000000001</v>
      </c>
      <c r="D352" s="1">
        <v>540.05999999999995</v>
      </c>
      <c r="E352" s="11">
        <v>3.0760000000000001</v>
      </c>
      <c r="F352" s="1">
        <v>398.57</v>
      </c>
      <c r="G352" s="11">
        <v>3.53</v>
      </c>
      <c r="H352" s="1">
        <v>38.729999999999997</v>
      </c>
      <c r="I352" s="11">
        <v>2.7805599999999999</v>
      </c>
      <c r="J352" s="1">
        <v>190.97</v>
      </c>
      <c r="K352" s="11">
        <v>3.3080799999999999</v>
      </c>
      <c r="L352" s="1">
        <v>36.69</v>
      </c>
      <c r="M352" s="11">
        <v>6.2</v>
      </c>
      <c r="N352" s="1">
        <v>375.75</v>
      </c>
      <c r="O352" s="11">
        <v>2.8224999999999998</v>
      </c>
      <c r="P352" s="1">
        <f t="shared" si="64"/>
        <v>2821.29</v>
      </c>
      <c r="Q352" s="1">
        <v>3104.76</v>
      </c>
      <c r="R352" s="16">
        <f t="shared" si="65"/>
        <v>2289028.5563500002</v>
      </c>
      <c r="S352" s="1">
        <v>-562.35</v>
      </c>
      <c r="T352" s="1">
        <v>35.950000000000003</v>
      </c>
      <c r="U352" s="1">
        <v>12</v>
      </c>
      <c r="V352" s="1">
        <v>6.37</v>
      </c>
      <c r="W352" s="1" cm="1">
        <f t="array" ref="W352">SUM(ABS(S352:V352))</f>
        <v>616.67000000000007</v>
      </c>
      <c r="X352" s="25">
        <v>1.238</v>
      </c>
      <c r="Y352" s="42">
        <f t="shared" si="66"/>
        <v>190859.36500000002</v>
      </c>
      <c r="Z352" s="20">
        <v>339.92</v>
      </c>
      <c r="AA352" s="20">
        <f t="shared" si="67"/>
        <v>956.59000000000015</v>
      </c>
      <c r="AB352" s="21">
        <v>193.56</v>
      </c>
      <c r="AC352" s="21">
        <v>11.120000000000001</v>
      </c>
      <c r="AD352" s="8">
        <f t="shared" si="68"/>
        <v>544.6</v>
      </c>
      <c r="AE352" s="25">
        <v>1.238</v>
      </c>
      <c r="AF352" s="25">
        <f t="shared" si="69"/>
        <v>168553.69999999998</v>
      </c>
      <c r="AG352" s="25">
        <f t="shared" si="70"/>
        <v>359413.065</v>
      </c>
      <c r="AH352" s="1">
        <f t="shared" si="60"/>
        <v>3365.89</v>
      </c>
      <c r="AI352" s="1">
        <f t="shared" si="61"/>
        <v>3649.36</v>
      </c>
      <c r="AJ352" s="1">
        <v>4273.91</v>
      </c>
      <c r="AK352" s="1">
        <f t="shared" si="62"/>
        <v>-908.02</v>
      </c>
      <c r="AL352" s="29">
        <f t="shared" si="71"/>
        <v>624.54999999999973</v>
      </c>
      <c r="AM352" s="11">
        <f t="shared" si="63"/>
        <v>2648441.6213500001</v>
      </c>
    </row>
    <row r="353" spans="1:39" x14ac:dyDescent="0.3">
      <c r="A353" s="39">
        <v>45874.635416666664</v>
      </c>
      <c r="B353" s="1">
        <v>1323.68</v>
      </c>
      <c r="C353" s="11">
        <v>3.2732000000000001</v>
      </c>
      <c r="D353" s="1">
        <v>540.05999999999995</v>
      </c>
      <c r="E353" s="11">
        <v>3.0760000000000001</v>
      </c>
      <c r="F353" s="1">
        <v>398.57</v>
      </c>
      <c r="G353" s="11">
        <v>3.53</v>
      </c>
      <c r="H353" s="1">
        <v>38.840000000000003</v>
      </c>
      <c r="I353" s="11">
        <v>2.9020600000000001</v>
      </c>
      <c r="J353" s="1">
        <v>221.43</v>
      </c>
      <c r="K353" s="11">
        <v>3.30802</v>
      </c>
      <c r="L353" s="1">
        <v>36.68</v>
      </c>
      <c r="M353" s="11">
        <v>6.2</v>
      </c>
      <c r="N353" s="1">
        <v>358.65</v>
      </c>
      <c r="O353" s="11">
        <v>2.8224999999999998</v>
      </c>
      <c r="P353" s="1">
        <f t="shared" si="64"/>
        <v>2917.91</v>
      </c>
      <c r="Q353" s="1">
        <v>3085.57</v>
      </c>
      <c r="R353" s="16">
        <f t="shared" si="65"/>
        <v>2371440.6349999998</v>
      </c>
      <c r="S353" s="1">
        <v>-601.79</v>
      </c>
      <c r="T353" s="1">
        <v>35.92</v>
      </c>
      <c r="U353" s="1">
        <v>12</v>
      </c>
      <c r="V353" s="1">
        <v>6.37</v>
      </c>
      <c r="W353" s="1" cm="1">
        <f t="array" ref="W353">SUM(ABS(S353:V353))</f>
        <v>656.07999999999993</v>
      </c>
      <c r="X353" s="25">
        <v>1.238</v>
      </c>
      <c r="Y353" s="42">
        <f t="shared" si="66"/>
        <v>203056.75999999998</v>
      </c>
      <c r="Z353" s="20">
        <v>357.37</v>
      </c>
      <c r="AA353" s="20">
        <f t="shared" si="67"/>
        <v>1013.4499999999999</v>
      </c>
      <c r="AB353" s="21">
        <v>187.03000000000003</v>
      </c>
      <c r="AC353" s="21">
        <v>12.77</v>
      </c>
      <c r="AD353" s="8">
        <f t="shared" si="68"/>
        <v>557.17000000000007</v>
      </c>
      <c r="AE353" s="25">
        <v>1.238</v>
      </c>
      <c r="AF353" s="25">
        <f t="shared" si="69"/>
        <v>172444.11500000002</v>
      </c>
      <c r="AG353" s="25">
        <f t="shared" si="70"/>
        <v>375500.875</v>
      </c>
      <c r="AH353" s="1">
        <f t="shared" si="60"/>
        <v>3475.08</v>
      </c>
      <c r="AI353" s="1">
        <f t="shared" si="61"/>
        <v>3642.7400000000002</v>
      </c>
      <c r="AJ353" s="1">
        <v>4310.18</v>
      </c>
      <c r="AK353" s="1">
        <f t="shared" si="62"/>
        <v>-835.10000000000036</v>
      </c>
      <c r="AL353" s="29">
        <f t="shared" si="71"/>
        <v>667.44</v>
      </c>
      <c r="AM353" s="11">
        <f t="shared" si="63"/>
        <v>2746941.51</v>
      </c>
    </row>
    <row r="354" spans="1:39" x14ac:dyDescent="0.3">
      <c r="A354" s="39">
        <v>45874.645833333336</v>
      </c>
      <c r="B354" s="1">
        <v>1324.34</v>
      </c>
      <c r="C354" s="11">
        <v>3.2732000000000001</v>
      </c>
      <c r="D354" s="1">
        <v>540.05999999999995</v>
      </c>
      <c r="E354" s="11">
        <v>3.0760000000000001</v>
      </c>
      <c r="F354" s="1">
        <v>398.57</v>
      </c>
      <c r="G354" s="11">
        <v>3.53</v>
      </c>
      <c r="H354" s="1">
        <v>38.11</v>
      </c>
      <c r="I354" s="11">
        <v>2.9227600000000002</v>
      </c>
      <c r="J354" s="1">
        <v>401.8</v>
      </c>
      <c r="K354" s="11">
        <v>3.0399699999999998</v>
      </c>
      <c r="L354" s="1">
        <v>36.86</v>
      </c>
      <c r="M354" s="11">
        <v>6.2</v>
      </c>
      <c r="N354" s="1">
        <v>333.06</v>
      </c>
      <c r="O354" s="11">
        <v>2.8224999999999998</v>
      </c>
      <c r="P354" s="1">
        <f t="shared" si="64"/>
        <v>3072.8</v>
      </c>
      <c r="Q354" s="1">
        <v>3089.49</v>
      </c>
      <c r="R354" s="16">
        <f t="shared" si="65"/>
        <v>2476111.6318999999</v>
      </c>
      <c r="S354" s="1">
        <v>-626.33000000000004</v>
      </c>
      <c r="T354" s="1">
        <v>35.89</v>
      </c>
      <c r="U354" s="1">
        <v>12</v>
      </c>
      <c r="V354" s="1">
        <v>6.37</v>
      </c>
      <c r="W354" s="1" cm="1">
        <f t="array" ref="W354">SUM(ABS(S354:V354))</f>
        <v>680.59</v>
      </c>
      <c r="X354" s="25">
        <v>1.238</v>
      </c>
      <c r="Y354" s="42">
        <f t="shared" si="66"/>
        <v>210642.60500000001</v>
      </c>
      <c r="Z354" s="20">
        <v>361.11</v>
      </c>
      <c r="AA354" s="20">
        <f t="shared" si="67"/>
        <v>1041.7</v>
      </c>
      <c r="AB354" s="21">
        <v>180.03</v>
      </c>
      <c r="AC354" s="21">
        <v>15.32</v>
      </c>
      <c r="AD354" s="8">
        <f t="shared" si="68"/>
        <v>556.46</v>
      </c>
      <c r="AE354" s="25">
        <v>1.238</v>
      </c>
      <c r="AF354" s="25">
        <f t="shared" si="69"/>
        <v>172224.37000000002</v>
      </c>
      <c r="AG354" s="25">
        <f t="shared" si="70"/>
        <v>382866.97500000003</v>
      </c>
      <c r="AH354" s="1">
        <f t="shared" si="60"/>
        <v>3629.26</v>
      </c>
      <c r="AI354" s="1">
        <f t="shared" si="61"/>
        <v>3645.95</v>
      </c>
      <c r="AJ354" s="1">
        <v>4333.78</v>
      </c>
      <c r="AK354" s="1">
        <f t="shared" si="62"/>
        <v>-704.51999999999953</v>
      </c>
      <c r="AL354" s="29">
        <f t="shared" si="71"/>
        <v>687.82999999999993</v>
      </c>
      <c r="AM354" s="11">
        <f t="shared" si="63"/>
        <v>2858978.6069</v>
      </c>
    </row>
    <row r="355" spans="1:39" x14ac:dyDescent="0.3">
      <c r="A355" s="39">
        <v>45874.65625</v>
      </c>
      <c r="B355" s="1">
        <v>1323.94</v>
      </c>
      <c r="C355" s="11">
        <v>3.2732000000000001</v>
      </c>
      <c r="D355" s="1">
        <v>540.05999999999995</v>
      </c>
      <c r="E355" s="11">
        <v>3.0760000000000001</v>
      </c>
      <c r="F355" s="1">
        <v>398.57</v>
      </c>
      <c r="G355" s="11">
        <v>3.53</v>
      </c>
      <c r="H355" s="1">
        <v>38.520000000000003</v>
      </c>
      <c r="I355" s="11">
        <v>2.9224899999999998</v>
      </c>
      <c r="J355" s="1">
        <v>412.47</v>
      </c>
      <c r="K355" s="11">
        <v>3.0395500000000002</v>
      </c>
      <c r="L355" s="1">
        <v>36.869999999999997</v>
      </c>
      <c r="M355" s="11">
        <v>6.2</v>
      </c>
      <c r="N355" s="1">
        <v>305.37</v>
      </c>
      <c r="O355" s="11">
        <v>2.8224999999999998</v>
      </c>
      <c r="P355" s="1">
        <f t="shared" si="64"/>
        <v>3055.8</v>
      </c>
      <c r="Q355" s="1">
        <v>3113.98</v>
      </c>
      <c r="R355" s="16">
        <f t="shared" si="65"/>
        <v>2464623.8490749998</v>
      </c>
      <c r="S355" s="1">
        <v>-638.13</v>
      </c>
      <c r="T355" s="1">
        <v>35.86</v>
      </c>
      <c r="U355" s="1">
        <v>12</v>
      </c>
      <c r="V355" s="1">
        <v>6.38</v>
      </c>
      <c r="W355" s="1" cm="1">
        <f t="array" ref="W355">SUM(ABS(S355:V355))</f>
        <v>692.37</v>
      </c>
      <c r="X355" s="25">
        <v>1.238</v>
      </c>
      <c r="Y355" s="42">
        <f t="shared" si="66"/>
        <v>214288.51499999998</v>
      </c>
      <c r="Z355" s="20">
        <v>378.86</v>
      </c>
      <c r="AA355" s="20">
        <f t="shared" si="67"/>
        <v>1071.23</v>
      </c>
      <c r="AB355" s="21">
        <v>172.69</v>
      </c>
      <c r="AC355" s="21">
        <v>16.25</v>
      </c>
      <c r="AD355" s="8">
        <f t="shared" si="68"/>
        <v>567.79999999999995</v>
      </c>
      <c r="AE355" s="25">
        <v>1.238</v>
      </c>
      <c r="AF355" s="25">
        <f t="shared" si="69"/>
        <v>175734.09999999998</v>
      </c>
      <c r="AG355" s="25">
        <f t="shared" si="70"/>
        <v>390022.61499999999</v>
      </c>
      <c r="AH355" s="1">
        <f t="shared" si="60"/>
        <v>3623.6000000000004</v>
      </c>
      <c r="AI355" s="1">
        <f t="shared" si="61"/>
        <v>3681.7799999999997</v>
      </c>
      <c r="AJ355" s="1">
        <v>4382.09</v>
      </c>
      <c r="AK355" s="1">
        <f t="shared" si="62"/>
        <v>-758.48999999999978</v>
      </c>
      <c r="AL355" s="29">
        <f t="shared" si="71"/>
        <v>700.3100000000004</v>
      </c>
      <c r="AM355" s="11">
        <f t="shared" si="63"/>
        <v>2854646.464075</v>
      </c>
    </row>
    <row r="356" spans="1:39" x14ac:dyDescent="0.3">
      <c r="A356" s="39">
        <v>45874.666666666664</v>
      </c>
      <c r="B356" s="1">
        <v>1418.28</v>
      </c>
      <c r="C356" s="11">
        <v>3.2732000000000001</v>
      </c>
      <c r="D356" s="1">
        <v>540.05999999999995</v>
      </c>
      <c r="E356" s="11">
        <v>3.0760000000000001</v>
      </c>
      <c r="F356" s="1">
        <v>512.58000000000004</v>
      </c>
      <c r="G356" s="11">
        <v>3.53</v>
      </c>
      <c r="H356" s="1">
        <v>-58.5</v>
      </c>
      <c r="I356" s="11">
        <v>3.07056</v>
      </c>
      <c r="J356" s="1">
        <v>478.82</v>
      </c>
      <c r="K356" s="11">
        <v>2.7996300000000001</v>
      </c>
      <c r="L356" s="1">
        <v>37.06</v>
      </c>
      <c r="M356" s="11">
        <v>6.2</v>
      </c>
      <c r="N356" s="1">
        <v>278.39</v>
      </c>
      <c r="O356" s="11">
        <v>2.8224999999999998</v>
      </c>
      <c r="P356" s="1">
        <f t="shared" si="64"/>
        <v>3206.69</v>
      </c>
      <c r="Q356" s="1">
        <v>3146.91</v>
      </c>
      <c r="R356" s="16">
        <f t="shared" si="65"/>
        <v>2572341.2269000001</v>
      </c>
      <c r="S356" s="1">
        <v>-598.96</v>
      </c>
      <c r="T356" s="1">
        <v>35.81</v>
      </c>
      <c r="U356" s="1">
        <v>12</v>
      </c>
      <c r="V356" s="1">
        <v>6.38</v>
      </c>
      <c r="W356" s="1" cm="1">
        <f t="array" ref="W356">SUM(ABS(S356:V356))</f>
        <v>653.15</v>
      </c>
      <c r="X356" s="25">
        <v>1.238</v>
      </c>
      <c r="Y356" s="42">
        <f t="shared" si="66"/>
        <v>202149.92499999999</v>
      </c>
      <c r="Z356" s="20">
        <v>390.84999999999997</v>
      </c>
      <c r="AA356" s="20">
        <f t="shared" si="67"/>
        <v>1044</v>
      </c>
      <c r="AB356" s="21">
        <v>164.32</v>
      </c>
      <c r="AC356" s="21">
        <v>13.759999999999998</v>
      </c>
      <c r="AD356" s="8">
        <f t="shared" si="68"/>
        <v>568.92999999999995</v>
      </c>
      <c r="AE356" s="25">
        <v>1.238</v>
      </c>
      <c r="AF356" s="25">
        <f t="shared" si="69"/>
        <v>176083.83499999999</v>
      </c>
      <c r="AG356" s="25">
        <f t="shared" si="70"/>
        <v>378233.76</v>
      </c>
      <c r="AH356" s="1">
        <f t="shared" si="60"/>
        <v>3775.62</v>
      </c>
      <c r="AI356" s="1">
        <f t="shared" si="61"/>
        <v>3715.8399999999997</v>
      </c>
      <c r="AJ356" s="1">
        <v>4376.18</v>
      </c>
      <c r="AK356" s="1">
        <f t="shared" si="62"/>
        <v>-600.5600000000004</v>
      </c>
      <c r="AL356" s="29">
        <f t="shared" si="71"/>
        <v>660.3400000000006</v>
      </c>
      <c r="AM356" s="11">
        <f t="shared" si="63"/>
        <v>2950574.9868999999</v>
      </c>
    </row>
    <row r="357" spans="1:39" x14ac:dyDescent="0.3">
      <c r="A357" s="39">
        <v>45874.677083333336</v>
      </c>
      <c r="B357" s="1">
        <v>1438.96</v>
      </c>
      <c r="C357" s="11">
        <v>3.2732000000000001</v>
      </c>
      <c r="D357" s="1">
        <v>540.05999999999995</v>
      </c>
      <c r="E357" s="11">
        <v>3.0760000000000001</v>
      </c>
      <c r="F357" s="1">
        <v>521.16</v>
      </c>
      <c r="G357" s="11">
        <v>3.53</v>
      </c>
      <c r="H357" s="1">
        <v>-65.709999999999994</v>
      </c>
      <c r="I357" s="11">
        <v>3.3811100000000001</v>
      </c>
      <c r="J357" s="1">
        <v>474.45</v>
      </c>
      <c r="K357" s="11">
        <v>2.8297099999999999</v>
      </c>
      <c r="L357" s="1">
        <v>37.07</v>
      </c>
      <c r="M357" s="11">
        <v>6.2</v>
      </c>
      <c r="N357" s="1">
        <v>260.08999999999997</v>
      </c>
      <c r="O357" s="11">
        <v>2.8224999999999998</v>
      </c>
      <c r="P357" s="1">
        <f t="shared" si="64"/>
        <v>3206.08</v>
      </c>
      <c r="Q357" s="1">
        <v>3142.62</v>
      </c>
      <c r="R357" s="16">
        <f t="shared" si="65"/>
        <v>2573811.1070999997</v>
      </c>
      <c r="S357" s="1">
        <v>-530.49</v>
      </c>
      <c r="T357" s="1">
        <v>35.75</v>
      </c>
      <c r="U357" s="1">
        <v>12</v>
      </c>
      <c r="V357" s="1">
        <v>6.39</v>
      </c>
      <c r="W357" s="1" cm="1">
        <f t="array" ref="W357">SUM(ABS(S357:V357))</f>
        <v>584.63</v>
      </c>
      <c r="X357" s="25">
        <v>1.238</v>
      </c>
      <c r="Y357" s="42">
        <f t="shared" si="66"/>
        <v>180942.98499999999</v>
      </c>
      <c r="Z357" s="20">
        <v>422.31</v>
      </c>
      <c r="AA357" s="20">
        <f t="shared" si="67"/>
        <v>1006.94</v>
      </c>
      <c r="AB357" s="21">
        <v>156.18999999999997</v>
      </c>
      <c r="AC357" s="21">
        <v>15.489999999999998</v>
      </c>
      <c r="AD357" s="8">
        <f t="shared" si="68"/>
        <v>593.99</v>
      </c>
      <c r="AE357" s="25">
        <v>1.238</v>
      </c>
      <c r="AF357" s="25">
        <f t="shared" si="69"/>
        <v>183839.905</v>
      </c>
      <c r="AG357" s="25">
        <f t="shared" si="70"/>
        <v>364782.89</v>
      </c>
      <c r="AH357" s="1">
        <f t="shared" si="60"/>
        <v>3800.0699999999997</v>
      </c>
      <c r="AI357" s="1">
        <f t="shared" si="61"/>
        <v>3736.6099999999997</v>
      </c>
      <c r="AJ357" s="1">
        <v>4326.88</v>
      </c>
      <c r="AK357" s="1">
        <f t="shared" si="62"/>
        <v>-526.8100000000004</v>
      </c>
      <c r="AL357" s="29">
        <f t="shared" si="71"/>
        <v>590.27000000000044</v>
      </c>
      <c r="AM357" s="11">
        <f t="shared" si="63"/>
        <v>2938593.9970999998</v>
      </c>
    </row>
    <row r="358" spans="1:39" x14ac:dyDescent="0.3">
      <c r="A358" s="39">
        <v>45874.6875</v>
      </c>
      <c r="B358" s="1">
        <v>1463.19</v>
      </c>
      <c r="C358" s="11">
        <v>3.2732000000000001</v>
      </c>
      <c r="D358" s="1">
        <v>540.05999999999995</v>
      </c>
      <c r="E358" s="11">
        <v>3.0760000000000001</v>
      </c>
      <c r="F358" s="1">
        <v>521.16</v>
      </c>
      <c r="G358" s="11">
        <v>3.53</v>
      </c>
      <c r="H358" s="1">
        <v>-63.73</v>
      </c>
      <c r="I358" s="11">
        <v>3.4160200000000001</v>
      </c>
      <c r="J358" s="1">
        <v>476</v>
      </c>
      <c r="K358" s="11">
        <v>2.5001199999999999</v>
      </c>
      <c r="L358" s="1">
        <v>37.07</v>
      </c>
      <c r="M358" s="11">
        <v>6.2</v>
      </c>
      <c r="N358" s="1">
        <v>238.56</v>
      </c>
      <c r="O358" s="11">
        <v>2.8224999999999998</v>
      </c>
      <c r="P358" s="1">
        <f t="shared" si="64"/>
        <v>3212.31</v>
      </c>
      <c r="Q358" s="1">
        <v>3309.52</v>
      </c>
      <c r="R358" s="16">
        <f t="shared" si="65"/>
        <v>2541439.1583500002</v>
      </c>
      <c r="S358" s="1">
        <v>-410.87</v>
      </c>
      <c r="T358" s="1">
        <v>35.74</v>
      </c>
      <c r="U358" s="1">
        <v>12</v>
      </c>
      <c r="V358" s="1">
        <v>6.39</v>
      </c>
      <c r="W358" s="1" cm="1">
        <f t="array" ref="W358">SUM(ABS(S358:V358))</f>
        <v>465</v>
      </c>
      <c r="X358" s="25">
        <v>1.238</v>
      </c>
      <c r="Y358" s="42">
        <f t="shared" si="66"/>
        <v>143917.5</v>
      </c>
      <c r="Z358" s="20">
        <v>428.22000000000008</v>
      </c>
      <c r="AA358" s="20">
        <f t="shared" si="67"/>
        <v>893.22</v>
      </c>
      <c r="AB358" s="21">
        <v>146.67000000000004</v>
      </c>
      <c r="AC358" s="21">
        <v>16.04</v>
      </c>
      <c r="AD358" s="8">
        <f t="shared" si="68"/>
        <v>590.93000000000006</v>
      </c>
      <c r="AE358" s="25">
        <v>1.238</v>
      </c>
      <c r="AF358" s="25">
        <f t="shared" si="69"/>
        <v>182892.83500000002</v>
      </c>
      <c r="AG358" s="25">
        <f t="shared" si="70"/>
        <v>326810.33500000002</v>
      </c>
      <c r="AH358" s="1">
        <f t="shared" si="60"/>
        <v>3803.24</v>
      </c>
      <c r="AI358" s="1">
        <f t="shared" si="61"/>
        <v>3900.45</v>
      </c>
      <c r="AJ358" s="1">
        <v>4376.67</v>
      </c>
      <c r="AK358" s="1">
        <f t="shared" si="62"/>
        <v>-573.43000000000029</v>
      </c>
      <c r="AL358" s="29">
        <f t="shared" si="71"/>
        <v>476.22000000000025</v>
      </c>
      <c r="AM358" s="11">
        <f t="shared" si="63"/>
        <v>2868249.4933500001</v>
      </c>
    </row>
    <row r="359" spans="1:39" x14ac:dyDescent="0.3">
      <c r="A359" s="39">
        <v>45874.697916666664</v>
      </c>
      <c r="B359" s="1">
        <v>1465.03</v>
      </c>
      <c r="C359" s="11">
        <v>3.2732000000000001</v>
      </c>
      <c r="D359" s="1">
        <v>540.05999999999995</v>
      </c>
      <c r="E359" s="11">
        <v>3.0760000000000001</v>
      </c>
      <c r="F359" s="1">
        <v>521.16</v>
      </c>
      <c r="G359" s="11">
        <v>3.53</v>
      </c>
      <c r="H359" s="1">
        <v>-63.66</v>
      </c>
      <c r="I359" s="11">
        <v>3.4511500000000002</v>
      </c>
      <c r="J359" s="1">
        <v>405.14</v>
      </c>
      <c r="K359" s="11">
        <v>1.51966</v>
      </c>
      <c r="L359" s="1">
        <v>37.07</v>
      </c>
      <c r="M359" s="11">
        <v>6.2</v>
      </c>
      <c r="N359" s="1">
        <v>211.53</v>
      </c>
      <c r="O359" s="11">
        <v>2.8224999999999998</v>
      </c>
      <c r="P359" s="1">
        <f t="shared" si="64"/>
        <v>3116.3300000000004</v>
      </c>
      <c r="Q359" s="1">
        <v>3201.54</v>
      </c>
      <c r="R359" s="16">
        <f t="shared" si="65"/>
        <v>2379776.9561000005</v>
      </c>
      <c r="S359" s="1">
        <v>-539.33000000000004</v>
      </c>
      <c r="T359" s="1">
        <v>35.700000000000003</v>
      </c>
      <c r="U359" s="1">
        <v>12</v>
      </c>
      <c r="V359" s="1">
        <v>6.38</v>
      </c>
      <c r="W359" s="1" cm="1">
        <f t="array" ref="W359">SUM(ABS(S359:V359))</f>
        <v>593.41000000000008</v>
      </c>
      <c r="X359" s="25">
        <v>1.238</v>
      </c>
      <c r="Y359" s="42">
        <f t="shared" si="66"/>
        <v>183660.39500000002</v>
      </c>
      <c r="Z359" s="20">
        <v>432.15</v>
      </c>
      <c r="AA359" s="20">
        <f t="shared" si="67"/>
        <v>1025.56</v>
      </c>
      <c r="AB359" s="21">
        <v>138.1</v>
      </c>
      <c r="AC359" s="21">
        <v>13.82</v>
      </c>
      <c r="AD359" s="8">
        <f t="shared" si="68"/>
        <v>584.07000000000005</v>
      </c>
      <c r="AE359" s="25">
        <v>1.238</v>
      </c>
      <c r="AF359" s="25">
        <f t="shared" si="69"/>
        <v>180769.66500000001</v>
      </c>
      <c r="AG359" s="25">
        <f t="shared" si="70"/>
        <v>364430.06000000006</v>
      </c>
      <c r="AH359" s="1">
        <f t="shared" si="60"/>
        <v>3700.4000000000005</v>
      </c>
      <c r="AI359" s="1">
        <f t="shared" si="61"/>
        <v>3785.61</v>
      </c>
      <c r="AJ359" s="1">
        <v>4383.3999999999996</v>
      </c>
      <c r="AK359" s="1">
        <f t="shared" si="62"/>
        <v>-682.99999999999909</v>
      </c>
      <c r="AL359" s="29">
        <f t="shared" si="71"/>
        <v>597.78999999999951</v>
      </c>
      <c r="AM359" s="11">
        <f t="shared" si="63"/>
        <v>2744207.0161000006</v>
      </c>
    </row>
    <row r="360" spans="1:39" x14ac:dyDescent="0.3">
      <c r="A360" s="39">
        <v>45874.708333333336</v>
      </c>
      <c r="B360" s="1">
        <v>1466.2</v>
      </c>
      <c r="C360" s="11">
        <v>3.2732000000000001</v>
      </c>
      <c r="D360" s="1">
        <v>540.05999999999995</v>
      </c>
      <c r="E360" s="11">
        <v>3.0760000000000001</v>
      </c>
      <c r="F360" s="1">
        <v>521.16</v>
      </c>
      <c r="G360" s="11">
        <v>3.53</v>
      </c>
      <c r="H360" s="1">
        <v>-38.72</v>
      </c>
      <c r="I360" s="11">
        <v>3.4166699999999999</v>
      </c>
      <c r="J360" s="1">
        <v>533.14</v>
      </c>
      <c r="K360" s="11">
        <v>0.99980999999999998</v>
      </c>
      <c r="L360" s="1">
        <v>2.68</v>
      </c>
      <c r="M360" s="11">
        <v>6.2</v>
      </c>
      <c r="N360" s="1">
        <v>188.61</v>
      </c>
      <c r="O360" s="11">
        <v>2.8224999999999998</v>
      </c>
      <c r="P360" s="1">
        <f t="shared" si="64"/>
        <v>3213.13</v>
      </c>
      <c r="Q360" s="1">
        <v>3210.32</v>
      </c>
      <c r="R360" s="16">
        <f t="shared" si="65"/>
        <v>2312449.5415000003</v>
      </c>
      <c r="S360" s="1">
        <v>-549.47</v>
      </c>
      <c r="T360" s="1">
        <v>35.67</v>
      </c>
      <c r="U360" s="1">
        <v>12</v>
      </c>
      <c r="V360" s="1">
        <v>6.38</v>
      </c>
      <c r="W360" s="1" cm="1">
        <f t="array" ref="W360">SUM(ABS(S360:V360))</f>
        <v>603.52</v>
      </c>
      <c r="X360" s="25">
        <v>1.238</v>
      </c>
      <c r="Y360" s="42">
        <f t="shared" si="66"/>
        <v>186789.43999999997</v>
      </c>
      <c r="Z360" s="20">
        <v>407.34</v>
      </c>
      <c r="AA360" s="20">
        <f t="shared" si="67"/>
        <v>1010.8599999999999</v>
      </c>
      <c r="AB360" s="21">
        <v>128.45000000000002</v>
      </c>
      <c r="AC360" s="21">
        <v>13.79</v>
      </c>
      <c r="AD360" s="8">
        <f t="shared" si="68"/>
        <v>549.57999999999993</v>
      </c>
      <c r="AE360" s="25">
        <v>1.238</v>
      </c>
      <c r="AF360" s="25">
        <f t="shared" si="69"/>
        <v>170095.00999999998</v>
      </c>
      <c r="AG360" s="25">
        <f t="shared" si="70"/>
        <v>356884.44999999995</v>
      </c>
      <c r="AH360" s="1">
        <f t="shared" si="60"/>
        <v>3762.71</v>
      </c>
      <c r="AI360" s="1">
        <f t="shared" si="61"/>
        <v>3759.9</v>
      </c>
      <c r="AJ360" s="1">
        <v>4375.1400000000003</v>
      </c>
      <c r="AK360" s="1">
        <f t="shared" si="62"/>
        <v>-612.43000000000029</v>
      </c>
      <c r="AL360" s="29">
        <f t="shared" si="71"/>
        <v>615.24000000000024</v>
      </c>
      <c r="AM360" s="11">
        <f t="shared" si="63"/>
        <v>2669333.9915000005</v>
      </c>
    </row>
    <row r="361" spans="1:39" x14ac:dyDescent="0.3">
      <c r="A361" s="39">
        <v>45874.71875</v>
      </c>
      <c r="B361" s="1">
        <v>1468.06</v>
      </c>
      <c r="C361" s="11">
        <v>3.2732000000000001</v>
      </c>
      <c r="D361" s="1">
        <v>540.05999999999995</v>
      </c>
      <c r="E361" s="11">
        <v>3.0760000000000001</v>
      </c>
      <c r="F361" s="1">
        <v>521.16</v>
      </c>
      <c r="G361" s="11">
        <v>3.53</v>
      </c>
      <c r="H361" s="1">
        <v>-36.93</v>
      </c>
      <c r="I361" s="11">
        <v>3.4512899999999997</v>
      </c>
      <c r="J361" s="1">
        <v>434.91</v>
      </c>
      <c r="K361" s="11">
        <v>2.0009600000000001</v>
      </c>
      <c r="L361" s="1">
        <v>0</v>
      </c>
      <c r="M361" s="11">
        <v>6.2</v>
      </c>
      <c r="N361" s="1">
        <v>161.04</v>
      </c>
      <c r="O361" s="11">
        <v>2.8224999999999998</v>
      </c>
      <c r="P361" s="1">
        <f t="shared" si="64"/>
        <v>3088.2999999999997</v>
      </c>
      <c r="Q361" s="1">
        <v>3038.82</v>
      </c>
      <c r="R361" s="16">
        <f t="shared" si="65"/>
        <v>2375872.5314750001</v>
      </c>
      <c r="S361" s="1">
        <v>-692.09</v>
      </c>
      <c r="T361" s="1">
        <v>35.69</v>
      </c>
      <c r="U361" s="1">
        <v>12</v>
      </c>
      <c r="V361" s="1">
        <v>6.4</v>
      </c>
      <c r="W361" s="1" cm="1">
        <f t="array" ref="W361">SUM(ABS(S361:V361))</f>
        <v>746.18</v>
      </c>
      <c r="X361" s="25">
        <v>1.238</v>
      </c>
      <c r="Y361" s="42">
        <f t="shared" si="66"/>
        <v>230942.70999999996</v>
      </c>
      <c r="Z361" s="20">
        <v>427.45000000000005</v>
      </c>
      <c r="AA361" s="20">
        <f t="shared" si="67"/>
        <v>1173.6300000000001</v>
      </c>
      <c r="AB361" s="21">
        <v>120.1</v>
      </c>
      <c r="AC361" s="21">
        <v>15.43</v>
      </c>
      <c r="AD361" s="8">
        <f t="shared" si="68"/>
        <v>562.98</v>
      </c>
      <c r="AE361" s="25">
        <v>1.238</v>
      </c>
      <c r="AF361" s="25">
        <f t="shared" si="69"/>
        <v>174242.31</v>
      </c>
      <c r="AG361" s="25">
        <f t="shared" si="70"/>
        <v>405185.01999999996</v>
      </c>
      <c r="AH361" s="1">
        <f t="shared" si="60"/>
        <v>3651.2799999999997</v>
      </c>
      <c r="AI361" s="1">
        <f t="shared" si="61"/>
        <v>3601.8</v>
      </c>
      <c r="AJ361" s="1">
        <v>4352.1499999999996</v>
      </c>
      <c r="AK361" s="1">
        <f t="shared" si="62"/>
        <v>-700.86999999999989</v>
      </c>
      <c r="AL361" s="29">
        <f t="shared" si="71"/>
        <v>750.34999999999945</v>
      </c>
      <c r="AM361" s="11">
        <f t="shared" si="63"/>
        <v>2781057.5514750001</v>
      </c>
    </row>
    <row r="362" spans="1:39" x14ac:dyDescent="0.3">
      <c r="A362" s="39">
        <v>45874.729166666664</v>
      </c>
      <c r="B362" s="1">
        <v>1468.41</v>
      </c>
      <c r="C362" s="11">
        <v>3.2732000000000001</v>
      </c>
      <c r="D362" s="1">
        <v>540.05999999999995</v>
      </c>
      <c r="E362" s="11">
        <v>3.0760000000000001</v>
      </c>
      <c r="F362" s="1">
        <v>521.16</v>
      </c>
      <c r="G362" s="11">
        <v>3.53</v>
      </c>
      <c r="H362" s="1">
        <v>-36.75</v>
      </c>
      <c r="I362" s="11">
        <v>3.4517099999999998</v>
      </c>
      <c r="J362" s="1">
        <v>422.99</v>
      </c>
      <c r="K362" s="11">
        <v>2.4998800000000001</v>
      </c>
      <c r="L362" s="1">
        <v>0</v>
      </c>
      <c r="M362" s="11">
        <v>6.2</v>
      </c>
      <c r="N362" s="1">
        <v>132.44</v>
      </c>
      <c r="O362" s="11">
        <v>2.8224999999999998</v>
      </c>
      <c r="P362" s="1">
        <f t="shared" si="64"/>
        <v>3048.31</v>
      </c>
      <c r="Q362" s="1">
        <v>2915.62</v>
      </c>
      <c r="R362" s="16">
        <f t="shared" si="65"/>
        <v>2402926.1926750001</v>
      </c>
      <c r="S362" s="1">
        <v>-736.77</v>
      </c>
      <c r="T362" s="1">
        <v>35.68</v>
      </c>
      <c r="U362" s="1">
        <v>12</v>
      </c>
      <c r="V362" s="1">
        <v>6.4</v>
      </c>
      <c r="W362" s="1" cm="1">
        <f t="array" ref="W362">SUM(ABS(S362:V362))</f>
        <v>790.84999999999991</v>
      </c>
      <c r="X362" s="25">
        <v>1.238</v>
      </c>
      <c r="Y362" s="42">
        <f t="shared" si="66"/>
        <v>244768.07499999998</v>
      </c>
      <c r="Z362" s="20">
        <v>470.03</v>
      </c>
      <c r="AA362" s="20">
        <f t="shared" si="67"/>
        <v>1260.8799999999999</v>
      </c>
      <c r="AB362" s="21">
        <v>112.92999999999999</v>
      </c>
      <c r="AC362" s="21">
        <v>14.23</v>
      </c>
      <c r="AD362" s="8">
        <f t="shared" si="68"/>
        <v>597.18999999999994</v>
      </c>
      <c r="AE362" s="25">
        <v>1.238</v>
      </c>
      <c r="AF362" s="25">
        <f t="shared" si="69"/>
        <v>184830.30499999999</v>
      </c>
      <c r="AG362" s="25">
        <f t="shared" si="70"/>
        <v>429598.38</v>
      </c>
      <c r="AH362" s="1">
        <f t="shared" si="60"/>
        <v>3645.5</v>
      </c>
      <c r="AI362" s="1">
        <f t="shared" si="61"/>
        <v>3512.81</v>
      </c>
      <c r="AJ362" s="1">
        <v>4307.3599999999997</v>
      </c>
      <c r="AK362" s="1">
        <f t="shared" si="62"/>
        <v>-661.85999999999967</v>
      </c>
      <c r="AL362" s="29">
        <f t="shared" si="71"/>
        <v>794.54999999999973</v>
      </c>
      <c r="AM362" s="11">
        <f t="shared" si="63"/>
        <v>2832524.5726749999</v>
      </c>
    </row>
    <row r="363" spans="1:39" x14ac:dyDescent="0.3">
      <c r="A363" s="39">
        <v>45874.739583333336</v>
      </c>
      <c r="B363" s="1">
        <v>1468.43</v>
      </c>
      <c r="C363" s="11">
        <v>3.2732000000000001</v>
      </c>
      <c r="D363" s="1">
        <v>540.05999999999995</v>
      </c>
      <c r="E363" s="11">
        <v>3.0760000000000001</v>
      </c>
      <c r="F363" s="1">
        <v>521.16</v>
      </c>
      <c r="G363" s="11">
        <v>3.53</v>
      </c>
      <c r="H363" s="1">
        <v>-57.94</v>
      </c>
      <c r="I363" s="11">
        <v>3.5651700000000002</v>
      </c>
      <c r="J363" s="1">
        <v>425.56</v>
      </c>
      <c r="K363" s="11">
        <v>2.8077299999999998</v>
      </c>
      <c r="L363" s="1">
        <v>0</v>
      </c>
      <c r="M363" s="11">
        <v>6.2</v>
      </c>
      <c r="N363" s="1">
        <v>107.08</v>
      </c>
      <c r="O363" s="11">
        <v>2.8224999999999998</v>
      </c>
      <c r="P363" s="1">
        <f t="shared" si="64"/>
        <v>3004.35</v>
      </c>
      <c r="Q363" s="1">
        <v>2957.88</v>
      </c>
      <c r="R363" s="16">
        <f t="shared" si="65"/>
        <v>2399477.3412500001</v>
      </c>
      <c r="S363" s="1">
        <v>-723.48</v>
      </c>
      <c r="T363" s="1">
        <v>35.619999999999997</v>
      </c>
      <c r="U363" s="1">
        <v>12</v>
      </c>
      <c r="V363" s="1">
        <v>6.39</v>
      </c>
      <c r="W363" s="1" cm="1">
        <f t="array" ref="W363">SUM(ABS(S363:V363))</f>
        <v>777.49</v>
      </c>
      <c r="X363" s="25">
        <v>1.238</v>
      </c>
      <c r="Y363" s="42">
        <f t="shared" si="66"/>
        <v>240633.155</v>
      </c>
      <c r="Z363" s="20">
        <v>489.16999999999996</v>
      </c>
      <c r="AA363" s="20">
        <f t="shared" si="67"/>
        <v>1266.6599999999999</v>
      </c>
      <c r="AB363" s="21">
        <v>106.97999999999999</v>
      </c>
      <c r="AC363" s="21">
        <v>13.88</v>
      </c>
      <c r="AD363" s="8">
        <f t="shared" si="68"/>
        <v>610.03</v>
      </c>
      <c r="AE363" s="25">
        <v>1.238</v>
      </c>
      <c r="AF363" s="25">
        <f t="shared" si="69"/>
        <v>188804.285</v>
      </c>
      <c r="AG363" s="25">
        <f t="shared" si="70"/>
        <v>429437.44</v>
      </c>
      <c r="AH363" s="1">
        <f t="shared" si="60"/>
        <v>3614.38</v>
      </c>
      <c r="AI363" s="1">
        <f t="shared" si="61"/>
        <v>3567.91</v>
      </c>
      <c r="AJ363" s="1">
        <v>4348.3900000000003</v>
      </c>
      <c r="AK363" s="1">
        <f t="shared" si="62"/>
        <v>-734.01000000000022</v>
      </c>
      <c r="AL363" s="29">
        <f t="shared" si="71"/>
        <v>780.48000000000047</v>
      </c>
      <c r="AM363" s="11">
        <f t="shared" si="63"/>
        <v>2828914.78125</v>
      </c>
    </row>
    <row r="364" spans="1:39" x14ac:dyDescent="0.3">
      <c r="A364" s="39">
        <v>45874.75</v>
      </c>
      <c r="B364" s="1">
        <v>1468.43</v>
      </c>
      <c r="C364" s="11">
        <v>3.2732000000000001</v>
      </c>
      <c r="D364" s="1">
        <v>540.05999999999995</v>
      </c>
      <c r="E364" s="11">
        <v>3.0760000000000001</v>
      </c>
      <c r="F364" s="1">
        <v>521.16</v>
      </c>
      <c r="G364" s="11">
        <v>3.53</v>
      </c>
      <c r="H364" s="1">
        <v>-50.31</v>
      </c>
      <c r="I364" s="11">
        <v>3.5859699999999997</v>
      </c>
      <c r="J364" s="1">
        <v>409.88</v>
      </c>
      <c r="K364" s="11">
        <v>2.8495599999999999</v>
      </c>
      <c r="L364" s="1">
        <v>24.33</v>
      </c>
      <c r="M364" s="11">
        <v>6.2</v>
      </c>
      <c r="N364" s="1">
        <v>101.79</v>
      </c>
      <c r="O364" s="11">
        <v>2.8224999999999998</v>
      </c>
      <c r="P364" s="1">
        <f t="shared" si="64"/>
        <v>3015.34</v>
      </c>
      <c r="Q364" s="1">
        <v>2996.58</v>
      </c>
      <c r="R364" s="16">
        <f t="shared" si="65"/>
        <v>2433275.0532750003</v>
      </c>
      <c r="S364" s="1">
        <v>-661.29</v>
      </c>
      <c r="T364" s="1">
        <v>35.64</v>
      </c>
      <c r="U364" s="1">
        <v>12</v>
      </c>
      <c r="V364" s="1">
        <v>6.39</v>
      </c>
      <c r="W364" s="1" cm="1">
        <f t="array" ref="W364">SUM(ABS(S364:V364))</f>
        <v>715.31999999999994</v>
      </c>
      <c r="X364" s="25">
        <v>1.238</v>
      </c>
      <c r="Y364" s="42">
        <f t="shared" si="66"/>
        <v>221391.53999999998</v>
      </c>
      <c r="Z364" s="20">
        <v>480.44</v>
      </c>
      <c r="AA364" s="20">
        <f t="shared" si="67"/>
        <v>1195.76</v>
      </c>
      <c r="AB364" s="21">
        <v>101.44000000000001</v>
      </c>
      <c r="AC364" s="21">
        <v>11.5</v>
      </c>
      <c r="AD364" s="8">
        <f t="shared" si="68"/>
        <v>593.38</v>
      </c>
      <c r="AE364" s="25">
        <v>1.238</v>
      </c>
      <c r="AF364" s="25">
        <f t="shared" si="69"/>
        <v>183651.11</v>
      </c>
      <c r="AG364" s="25">
        <f t="shared" si="70"/>
        <v>405042.64999999997</v>
      </c>
      <c r="AH364" s="1">
        <f t="shared" si="60"/>
        <v>3608.7200000000003</v>
      </c>
      <c r="AI364" s="1">
        <f t="shared" si="61"/>
        <v>3589.96</v>
      </c>
      <c r="AJ364" s="1">
        <v>4313.1899999999996</v>
      </c>
      <c r="AK364" s="1">
        <f t="shared" si="62"/>
        <v>-704.46999999999935</v>
      </c>
      <c r="AL364" s="29">
        <f t="shared" si="71"/>
        <v>723.22999999999956</v>
      </c>
      <c r="AM364" s="11">
        <f t="shared" si="63"/>
        <v>2838317.7032750002</v>
      </c>
    </row>
    <row r="365" spans="1:39" x14ac:dyDescent="0.3">
      <c r="A365" s="39">
        <v>45874.760416666664</v>
      </c>
      <c r="B365" s="1">
        <v>1468.43</v>
      </c>
      <c r="C365" s="11">
        <v>3.2732000000000001</v>
      </c>
      <c r="D365" s="1">
        <v>540.05999999999995</v>
      </c>
      <c r="E365" s="11">
        <v>3.0760000000000001</v>
      </c>
      <c r="F365" s="1">
        <v>521.16</v>
      </c>
      <c r="G365" s="11">
        <v>3.53</v>
      </c>
      <c r="H365" s="1">
        <v>49.43</v>
      </c>
      <c r="I365" s="11">
        <v>3.6924099999999997</v>
      </c>
      <c r="J365" s="1">
        <v>318.56</v>
      </c>
      <c r="K365" s="11">
        <v>3.5009699999999997</v>
      </c>
      <c r="L365" s="1">
        <v>20.12</v>
      </c>
      <c r="M365" s="11">
        <v>6.2</v>
      </c>
      <c r="N365" s="1">
        <v>85.41</v>
      </c>
      <c r="O365" s="11">
        <v>2.8224999999999998</v>
      </c>
      <c r="P365" s="1">
        <f t="shared" si="64"/>
        <v>3003.1699999999996</v>
      </c>
      <c r="Q365" s="1">
        <v>2985.19</v>
      </c>
      <c r="R365" s="16">
        <f t="shared" si="65"/>
        <v>2492745.7476249998</v>
      </c>
      <c r="S365" s="1">
        <v>-682.53</v>
      </c>
      <c r="T365" s="1">
        <v>35.659999999999997</v>
      </c>
      <c r="U365" s="1">
        <v>26.67</v>
      </c>
      <c r="V365" s="1">
        <v>7.25</v>
      </c>
      <c r="W365" s="1" cm="1">
        <f t="array" ref="W365">SUM(ABS(S365:V365))</f>
        <v>752.1099999999999</v>
      </c>
      <c r="X365" s="25">
        <v>1.238</v>
      </c>
      <c r="Y365" s="42">
        <f t="shared" si="66"/>
        <v>232778.04499999995</v>
      </c>
      <c r="Z365" s="20">
        <v>489.2</v>
      </c>
      <c r="AA365" s="20">
        <f t="shared" si="67"/>
        <v>1241.31</v>
      </c>
      <c r="AB365" s="21">
        <v>99.320000000000007</v>
      </c>
      <c r="AC365" s="21">
        <v>10.07</v>
      </c>
      <c r="AD365" s="8">
        <f t="shared" si="68"/>
        <v>598.59</v>
      </c>
      <c r="AE365" s="25">
        <v>1.238</v>
      </c>
      <c r="AF365" s="25">
        <f t="shared" si="69"/>
        <v>185263.60500000001</v>
      </c>
      <c r="AG365" s="25">
        <f t="shared" si="70"/>
        <v>418041.64999999997</v>
      </c>
      <c r="AH365" s="1">
        <f t="shared" si="60"/>
        <v>3601.7599999999998</v>
      </c>
      <c r="AI365" s="1">
        <f t="shared" si="61"/>
        <v>3583.78</v>
      </c>
      <c r="AJ365" s="1">
        <v>4349.72</v>
      </c>
      <c r="AK365" s="1">
        <f t="shared" si="62"/>
        <v>-747.96000000000049</v>
      </c>
      <c r="AL365" s="29">
        <f t="shared" si="71"/>
        <v>765.94</v>
      </c>
      <c r="AM365" s="11">
        <f t="shared" si="63"/>
        <v>2910787.3976249998</v>
      </c>
    </row>
    <row r="366" spans="1:39" x14ac:dyDescent="0.3">
      <c r="A366" s="39">
        <v>45874.770833333336</v>
      </c>
      <c r="B366" s="1">
        <v>1468.43</v>
      </c>
      <c r="C366" s="11">
        <v>3.2732000000000001</v>
      </c>
      <c r="D366" s="1">
        <v>540.05999999999995</v>
      </c>
      <c r="E366" s="11">
        <v>3.0760000000000001</v>
      </c>
      <c r="F366" s="1">
        <v>521.16</v>
      </c>
      <c r="G366" s="11">
        <v>3.53</v>
      </c>
      <c r="H366" s="1">
        <v>47.33</v>
      </c>
      <c r="I366" s="11">
        <v>3.8374800000000002</v>
      </c>
      <c r="J366" s="1">
        <v>222.03</v>
      </c>
      <c r="K366" s="11">
        <v>3.8168299999999999</v>
      </c>
      <c r="L366" s="1">
        <v>26.05</v>
      </c>
      <c r="M366" s="11">
        <v>6.2</v>
      </c>
      <c r="N366" s="1">
        <v>72.17</v>
      </c>
      <c r="O366" s="11">
        <v>2.8224999999999998</v>
      </c>
      <c r="P366" s="1">
        <f t="shared" si="64"/>
        <v>2897.2300000000005</v>
      </c>
      <c r="Q366" s="1">
        <v>2945.99</v>
      </c>
      <c r="R366" s="16">
        <f t="shared" si="65"/>
        <v>2425418.2385749999</v>
      </c>
      <c r="S366" s="1">
        <v>-731.8</v>
      </c>
      <c r="T366" s="1">
        <v>35.729999999999997</v>
      </c>
      <c r="U366" s="1">
        <v>63.93</v>
      </c>
      <c r="V366" s="1">
        <v>28.06</v>
      </c>
      <c r="W366" s="1" cm="1">
        <f t="array" ref="W366">SUM(ABS(S366:V366))</f>
        <v>859.51999999999987</v>
      </c>
      <c r="X366" s="25">
        <v>1.238</v>
      </c>
      <c r="Y366" s="42">
        <f t="shared" si="66"/>
        <v>266021.44</v>
      </c>
      <c r="Z366" s="20">
        <v>577.82999999999993</v>
      </c>
      <c r="AA366" s="20">
        <f t="shared" si="67"/>
        <v>1437.35</v>
      </c>
      <c r="AB366" s="21">
        <v>98.29</v>
      </c>
      <c r="AC366" s="21">
        <v>10.48</v>
      </c>
      <c r="AD366" s="8">
        <f t="shared" si="68"/>
        <v>686.59999999999991</v>
      </c>
      <c r="AE366" s="25">
        <v>1.238</v>
      </c>
      <c r="AF366" s="25">
        <f t="shared" si="69"/>
        <v>212502.69999999998</v>
      </c>
      <c r="AG366" s="25">
        <f t="shared" si="70"/>
        <v>478524.14</v>
      </c>
      <c r="AH366" s="1">
        <f t="shared" si="60"/>
        <v>3583.8300000000004</v>
      </c>
      <c r="AI366" s="1">
        <f t="shared" si="61"/>
        <v>3632.5899999999997</v>
      </c>
      <c r="AJ366" s="1">
        <v>4492.5600000000004</v>
      </c>
      <c r="AK366" s="1">
        <f t="shared" si="62"/>
        <v>-908.73</v>
      </c>
      <c r="AL366" s="29">
        <f t="shared" si="71"/>
        <v>859.97000000000071</v>
      </c>
      <c r="AM366" s="11">
        <f t="shared" si="63"/>
        <v>2903942.378575</v>
      </c>
    </row>
    <row r="367" spans="1:39" x14ac:dyDescent="0.3">
      <c r="A367" s="39">
        <v>45874.78125</v>
      </c>
      <c r="B367" s="1">
        <v>1468.43</v>
      </c>
      <c r="C367" s="11">
        <v>3.2732000000000001</v>
      </c>
      <c r="D367" s="1">
        <v>540.05999999999995</v>
      </c>
      <c r="E367" s="11">
        <v>3.0760000000000001</v>
      </c>
      <c r="F367" s="1">
        <v>521.16</v>
      </c>
      <c r="G367" s="11">
        <v>3.53</v>
      </c>
      <c r="H367" s="1">
        <v>48.35</v>
      </c>
      <c r="I367" s="11">
        <v>3.9692699999999999</v>
      </c>
      <c r="J367" s="1">
        <v>410.54</v>
      </c>
      <c r="K367" s="11">
        <v>3.9065100000000004</v>
      </c>
      <c r="L367" s="1">
        <v>26.19</v>
      </c>
      <c r="M367" s="11">
        <v>6.2</v>
      </c>
      <c r="N367" s="1">
        <v>52.03</v>
      </c>
      <c r="O367" s="11">
        <v>2.8224999999999998</v>
      </c>
      <c r="P367" s="1">
        <f t="shared" si="64"/>
        <v>3066.76</v>
      </c>
      <c r="Q367" s="1">
        <v>3083.43</v>
      </c>
      <c r="R367" s="16">
        <f t="shared" si="65"/>
        <v>2603077.4827250005</v>
      </c>
      <c r="S367" s="1">
        <v>-725.07</v>
      </c>
      <c r="T367" s="1">
        <v>35.729999999999997</v>
      </c>
      <c r="U367" s="1">
        <v>66.400000000000006</v>
      </c>
      <c r="V367" s="1">
        <v>40.409999999999997</v>
      </c>
      <c r="W367" s="1" cm="1">
        <f t="array" ref="W367">SUM(ABS(S367:V367))</f>
        <v>867.61</v>
      </c>
      <c r="X367" s="25">
        <v>1.238</v>
      </c>
      <c r="Y367" s="42">
        <f t="shared" si="66"/>
        <v>268525.29500000004</v>
      </c>
      <c r="Z367" s="20">
        <v>640.01</v>
      </c>
      <c r="AA367" s="20">
        <f t="shared" si="67"/>
        <v>1507.62</v>
      </c>
      <c r="AB367" s="21">
        <v>98.22</v>
      </c>
      <c r="AC367" s="21">
        <v>10.55</v>
      </c>
      <c r="AD367" s="8">
        <f t="shared" si="68"/>
        <v>748.78</v>
      </c>
      <c r="AE367" s="25">
        <v>1.238</v>
      </c>
      <c r="AF367" s="25">
        <f t="shared" si="69"/>
        <v>231747.41</v>
      </c>
      <c r="AG367" s="25">
        <f t="shared" si="70"/>
        <v>500272.70500000007</v>
      </c>
      <c r="AH367" s="1">
        <f t="shared" si="60"/>
        <v>3815.54</v>
      </c>
      <c r="AI367" s="1">
        <f t="shared" si="61"/>
        <v>3832.21</v>
      </c>
      <c r="AJ367" s="1">
        <v>4654.16</v>
      </c>
      <c r="AK367" s="1">
        <f t="shared" si="62"/>
        <v>-838.61999999999989</v>
      </c>
      <c r="AL367" s="29">
        <f t="shared" si="71"/>
        <v>821.94999999999982</v>
      </c>
      <c r="AM367" s="11">
        <f t="shared" si="63"/>
        <v>3103350.1877250005</v>
      </c>
    </row>
    <row r="368" spans="1:39" x14ac:dyDescent="0.3">
      <c r="A368" s="39">
        <v>45874.791666666664</v>
      </c>
      <c r="B368" s="1">
        <v>1468.43</v>
      </c>
      <c r="C368" s="11">
        <v>3.2732000000000001</v>
      </c>
      <c r="D368" s="1">
        <v>540.05999999999995</v>
      </c>
      <c r="E368" s="11">
        <v>3.0760000000000001</v>
      </c>
      <c r="F368" s="1">
        <v>516.69000000000005</v>
      </c>
      <c r="G368" s="11">
        <v>3.53</v>
      </c>
      <c r="H368" s="1">
        <v>68.819999999999993</v>
      </c>
      <c r="I368" s="11">
        <v>4.2614700000000001</v>
      </c>
      <c r="J368" s="1">
        <v>613.41999999999996</v>
      </c>
      <c r="K368" s="11">
        <v>4.5913199999999996</v>
      </c>
      <c r="L368" s="1">
        <v>1.92</v>
      </c>
      <c r="M368" s="11">
        <v>6.2</v>
      </c>
      <c r="N368" s="1">
        <v>39.299999999999997</v>
      </c>
      <c r="O368" s="11">
        <v>2.8224999999999998</v>
      </c>
      <c r="P368" s="1">
        <f t="shared" si="64"/>
        <v>3248.6400000000008</v>
      </c>
      <c r="Q368" s="1">
        <v>3203.32</v>
      </c>
      <c r="R368" s="16">
        <f t="shared" si="65"/>
        <v>2881028.8664500006</v>
      </c>
      <c r="S368" s="1">
        <v>-736.58</v>
      </c>
      <c r="T368" s="1">
        <v>35.78</v>
      </c>
      <c r="U368" s="1">
        <v>66.400000000000006</v>
      </c>
      <c r="V368" s="1">
        <v>50.41</v>
      </c>
      <c r="W368" s="1" cm="1">
        <f t="array" ref="W368">SUM(ABS(S368:V368))</f>
        <v>889.17</v>
      </c>
      <c r="X368" s="25">
        <v>1.238</v>
      </c>
      <c r="Y368" s="42">
        <f t="shared" si="66"/>
        <v>275198.11499999999</v>
      </c>
      <c r="Z368" s="20">
        <v>645.7399999999999</v>
      </c>
      <c r="AA368" s="20">
        <f t="shared" si="67"/>
        <v>1534.9099999999999</v>
      </c>
      <c r="AB368" s="21">
        <v>98.2</v>
      </c>
      <c r="AC368" s="21">
        <v>8.75</v>
      </c>
      <c r="AD368" s="8">
        <f t="shared" si="68"/>
        <v>752.68999999999994</v>
      </c>
      <c r="AE368" s="25">
        <v>1.238</v>
      </c>
      <c r="AF368" s="25">
        <f t="shared" si="69"/>
        <v>232957.55499999999</v>
      </c>
      <c r="AG368" s="25">
        <f t="shared" si="70"/>
        <v>508155.67</v>
      </c>
      <c r="AH368" s="1">
        <f t="shared" si="60"/>
        <v>4001.3300000000008</v>
      </c>
      <c r="AI368" s="1">
        <f t="shared" si="61"/>
        <v>3956.01</v>
      </c>
      <c r="AJ368" s="1">
        <v>4797.42</v>
      </c>
      <c r="AK368" s="1">
        <f t="shared" si="62"/>
        <v>-796.08999999999924</v>
      </c>
      <c r="AL368" s="29">
        <f t="shared" si="71"/>
        <v>841.40999999999985</v>
      </c>
      <c r="AM368" s="11">
        <f t="shared" si="63"/>
        <v>3389184.5364500005</v>
      </c>
    </row>
    <row r="369" spans="1:39" x14ac:dyDescent="0.3">
      <c r="A369" s="39">
        <v>45874.802083333336</v>
      </c>
      <c r="B369" s="1">
        <v>1468.43</v>
      </c>
      <c r="C369" s="11">
        <v>3.2732000000000001</v>
      </c>
      <c r="D369" s="1">
        <v>540.05999999999995</v>
      </c>
      <c r="E369" s="11">
        <v>3.0760000000000001</v>
      </c>
      <c r="F369" s="1">
        <v>516.34</v>
      </c>
      <c r="G369" s="11">
        <v>3.53</v>
      </c>
      <c r="H369" s="1">
        <v>72.28</v>
      </c>
      <c r="I369" s="11">
        <v>4.6496499999999994</v>
      </c>
      <c r="J369" s="1">
        <v>643.5</v>
      </c>
      <c r="K369" s="11">
        <v>4.7898800000000001</v>
      </c>
      <c r="L369" s="1">
        <v>0</v>
      </c>
      <c r="M369" s="11">
        <v>6.2</v>
      </c>
      <c r="N369" s="1">
        <v>37.020000000000003</v>
      </c>
      <c r="O369" s="11">
        <v>2.8224999999999998</v>
      </c>
      <c r="P369" s="1">
        <f t="shared" si="64"/>
        <v>3277.63</v>
      </c>
      <c r="Q369" s="1">
        <v>3215.84</v>
      </c>
      <c r="R369" s="16">
        <f t="shared" si="65"/>
        <v>2953305.8170000003</v>
      </c>
      <c r="S369" s="1">
        <v>-738.8</v>
      </c>
      <c r="T369" s="1">
        <v>35.78</v>
      </c>
      <c r="U369" s="1">
        <v>66.38</v>
      </c>
      <c r="V369" s="1">
        <v>50.45</v>
      </c>
      <c r="W369" s="1" cm="1">
        <f t="array" ref="W369">SUM(ABS(S369:V369))</f>
        <v>891.41</v>
      </c>
      <c r="X369" s="25">
        <v>1.238</v>
      </c>
      <c r="Y369" s="42">
        <f t="shared" si="66"/>
        <v>275891.39499999996</v>
      </c>
      <c r="Z369" s="20">
        <v>646.93999999999994</v>
      </c>
      <c r="AA369" s="20">
        <f t="shared" si="67"/>
        <v>1538.35</v>
      </c>
      <c r="AB369" s="21">
        <v>98.190000000000012</v>
      </c>
      <c r="AC369" s="21">
        <v>9.2100000000000009</v>
      </c>
      <c r="AD369" s="8">
        <f t="shared" si="68"/>
        <v>754.34</v>
      </c>
      <c r="AE369" s="25">
        <v>1.238</v>
      </c>
      <c r="AF369" s="25">
        <f t="shared" si="69"/>
        <v>233468.23</v>
      </c>
      <c r="AG369" s="25">
        <f t="shared" si="70"/>
        <v>509359.625</v>
      </c>
      <c r="AH369" s="1">
        <f t="shared" si="60"/>
        <v>4031.9700000000003</v>
      </c>
      <c r="AI369" s="1">
        <f t="shared" si="61"/>
        <v>3970.1800000000003</v>
      </c>
      <c r="AJ369" s="1">
        <v>4812.76</v>
      </c>
      <c r="AK369" s="1">
        <f t="shared" si="62"/>
        <v>-780.79</v>
      </c>
      <c r="AL369" s="29">
        <f t="shared" si="71"/>
        <v>842.57999999999993</v>
      </c>
      <c r="AM369" s="11">
        <f t="shared" si="63"/>
        <v>3462665.4420000003</v>
      </c>
    </row>
    <row r="370" spans="1:39" x14ac:dyDescent="0.3">
      <c r="A370" s="39">
        <v>45874.8125</v>
      </c>
      <c r="B370" s="1">
        <v>1465.93</v>
      </c>
      <c r="C370" s="11">
        <v>3.2732000000000001</v>
      </c>
      <c r="D370" s="1">
        <v>540.05999999999995</v>
      </c>
      <c r="E370" s="11">
        <v>3.0760000000000001</v>
      </c>
      <c r="F370" s="1">
        <v>516.34</v>
      </c>
      <c r="G370" s="11">
        <v>3.53</v>
      </c>
      <c r="H370" s="1">
        <v>71.45</v>
      </c>
      <c r="I370" s="11">
        <v>4.9003399999999999</v>
      </c>
      <c r="J370" s="1">
        <v>762.45</v>
      </c>
      <c r="K370" s="11">
        <v>4.2504099999999996</v>
      </c>
      <c r="L370" s="1">
        <v>0</v>
      </c>
      <c r="M370" s="11">
        <v>6.2</v>
      </c>
      <c r="N370" s="1">
        <v>25.03</v>
      </c>
      <c r="O370" s="11">
        <v>2.8224999999999998</v>
      </c>
      <c r="P370" s="1">
        <f t="shared" si="64"/>
        <v>3381.2599999999998</v>
      </c>
      <c r="Q370" s="1">
        <v>3209.67</v>
      </c>
      <c r="R370" s="16">
        <f t="shared" si="65"/>
        <v>2985922.1021250002</v>
      </c>
      <c r="S370" s="1">
        <v>-732.66</v>
      </c>
      <c r="T370" s="1">
        <v>35.76</v>
      </c>
      <c r="U370" s="1">
        <v>66.36</v>
      </c>
      <c r="V370" s="1">
        <v>50.4</v>
      </c>
      <c r="W370" s="1" cm="1">
        <f t="array" ref="W370">SUM(ABS(S370:V370))</f>
        <v>885.18</v>
      </c>
      <c r="X370" s="25">
        <v>1.238</v>
      </c>
      <c r="Y370" s="42">
        <f t="shared" si="66"/>
        <v>273963.21000000002</v>
      </c>
      <c r="Z370" s="20">
        <v>643.63</v>
      </c>
      <c r="AA370" s="20">
        <f t="shared" si="67"/>
        <v>1528.81</v>
      </c>
      <c r="AB370" s="21">
        <v>98.190000000000012</v>
      </c>
      <c r="AC370" s="21">
        <v>9.24</v>
      </c>
      <c r="AD370" s="8">
        <f t="shared" si="68"/>
        <v>751.06000000000006</v>
      </c>
      <c r="AE370" s="25">
        <v>1.238</v>
      </c>
      <c r="AF370" s="25">
        <f t="shared" si="69"/>
        <v>232453.07000000004</v>
      </c>
      <c r="AG370" s="25">
        <f t="shared" si="70"/>
        <v>506416.28</v>
      </c>
      <c r="AH370" s="1">
        <f t="shared" si="60"/>
        <v>4132.32</v>
      </c>
      <c r="AI370" s="1">
        <f t="shared" si="61"/>
        <v>3960.73</v>
      </c>
      <c r="AJ370" s="1">
        <v>4799.3</v>
      </c>
      <c r="AK370" s="1">
        <f t="shared" si="62"/>
        <v>-666.98000000000047</v>
      </c>
      <c r="AL370" s="29">
        <f t="shared" si="71"/>
        <v>838.57000000000016</v>
      </c>
      <c r="AM370" s="11">
        <f t="shared" si="63"/>
        <v>3492338.3821250005</v>
      </c>
    </row>
    <row r="371" spans="1:39" x14ac:dyDescent="0.3">
      <c r="A371" s="39">
        <v>45874.822916666664</v>
      </c>
      <c r="B371" s="1">
        <v>1465.71</v>
      </c>
      <c r="C371" s="11">
        <v>3.2732000000000001</v>
      </c>
      <c r="D371" s="1">
        <v>540.05999999999995</v>
      </c>
      <c r="E371" s="11">
        <v>3.0760000000000001</v>
      </c>
      <c r="F371" s="1">
        <v>516.34</v>
      </c>
      <c r="G371" s="11">
        <v>3.53</v>
      </c>
      <c r="H371" s="1">
        <v>71.72</v>
      </c>
      <c r="I371" s="11">
        <v>5.0759699999999999</v>
      </c>
      <c r="J371" s="1">
        <v>772.69</v>
      </c>
      <c r="K371" s="11">
        <v>3.9006399999999997</v>
      </c>
      <c r="L371" s="1">
        <v>0</v>
      </c>
      <c r="M371" s="11">
        <v>6.2</v>
      </c>
      <c r="N371" s="1">
        <v>23.44</v>
      </c>
      <c r="O371" s="11">
        <v>2.8224999999999998</v>
      </c>
      <c r="P371" s="1">
        <f t="shared" si="64"/>
        <v>3389.96</v>
      </c>
      <c r="Q371" s="1">
        <v>3215.25</v>
      </c>
      <c r="R371" s="16">
        <f t="shared" si="65"/>
        <v>2931415.0555000002</v>
      </c>
      <c r="S371" s="1">
        <v>-723.82</v>
      </c>
      <c r="T371" s="1">
        <v>35.75</v>
      </c>
      <c r="U371" s="1">
        <v>66.34</v>
      </c>
      <c r="V371" s="1">
        <v>50.37</v>
      </c>
      <c r="W371" s="1" cm="1">
        <f t="array" ref="W371">SUM(ABS(S371:V371))</f>
        <v>876.28000000000009</v>
      </c>
      <c r="X371" s="25">
        <v>1.238</v>
      </c>
      <c r="Y371" s="42">
        <f t="shared" si="66"/>
        <v>271208.66000000003</v>
      </c>
      <c r="Z371" s="20">
        <v>641.38000000000011</v>
      </c>
      <c r="AA371" s="20">
        <f t="shared" si="67"/>
        <v>1517.6600000000003</v>
      </c>
      <c r="AB371" s="21">
        <v>98.18</v>
      </c>
      <c r="AC371" s="21">
        <v>9.4600000000000009</v>
      </c>
      <c r="AD371" s="8">
        <f t="shared" si="68"/>
        <v>749.02000000000021</v>
      </c>
      <c r="AE371" s="25">
        <v>1.238</v>
      </c>
      <c r="AF371" s="25">
        <f t="shared" si="69"/>
        <v>231821.69000000006</v>
      </c>
      <c r="AG371" s="25">
        <f t="shared" si="70"/>
        <v>503030.35000000009</v>
      </c>
      <c r="AH371" s="1">
        <f t="shared" si="60"/>
        <v>4138.9800000000005</v>
      </c>
      <c r="AI371" s="1">
        <f t="shared" si="61"/>
        <v>3964.2700000000004</v>
      </c>
      <c r="AJ371" s="1">
        <v>4793.17</v>
      </c>
      <c r="AK371" s="1">
        <f t="shared" si="62"/>
        <v>-654.1899999999996</v>
      </c>
      <c r="AL371" s="29">
        <f t="shared" si="71"/>
        <v>828.89999999999964</v>
      </c>
      <c r="AM371" s="11">
        <f t="shared" si="63"/>
        <v>3434445.4055000003</v>
      </c>
    </row>
    <row r="372" spans="1:39" x14ac:dyDescent="0.3">
      <c r="A372" s="39">
        <v>45874.833333333336</v>
      </c>
      <c r="B372" s="1">
        <v>1465.71</v>
      </c>
      <c r="C372" s="11">
        <v>3.2732000000000001</v>
      </c>
      <c r="D372" s="1">
        <v>540.05999999999995</v>
      </c>
      <c r="E372" s="11">
        <v>3.0760000000000001</v>
      </c>
      <c r="F372" s="1">
        <v>516.34</v>
      </c>
      <c r="G372" s="11">
        <v>3.53</v>
      </c>
      <c r="H372" s="1">
        <v>71.48</v>
      </c>
      <c r="I372" s="11">
        <v>5.0009499999999996</v>
      </c>
      <c r="J372" s="1">
        <v>834.03</v>
      </c>
      <c r="K372" s="11">
        <v>4.0000400000000003</v>
      </c>
      <c r="L372" s="1">
        <v>0</v>
      </c>
      <c r="M372" s="11">
        <v>6.2</v>
      </c>
      <c r="N372" s="1">
        <v>22.84</v>
      </c>
      <c r="O372" s="11">
        <v>2.8224999999999998</v>
      </c>
      <c r="P372" s="1">
        <f t="shared" si="64"/>
        <v>3450.46</v>
      </c>
      <c r="Q372" s="1">
        <v>3393.99</v>
      </c>
      <c r="R372" s="16">
        <f t="shared" si="65"/>
        <v>3009888.4748</v>
      </c>
      <c r="S372" s="1">
        <v>-499.96</v>
      </c>
      <c r="T372" s="1">
        <v>35.770000000000003</v>
      </c>
      <c r="U372" s="1">
        <v>66.34</v>
      </c>
      <c r="V372" s="1">
        <v>50.39</v>
      </c>
      <c r="W372" s="1" cm="1">
        <f t="array" ref="W372">SUM(ABS(S372:V372))</f>
        <v>652.46</v>
      </c>
      <c r="X372" s="25">
        <v>1.238</v>
      </c>
      <c r="Y372" s="42">
        <f t="shared" si="66"/>
        <v>201936.37000000002</v>
      </c>
      <c r="Z372" s="20">
        <v>669.17</v>
      </c>
      <c r="AA372" s="20">
        <f t="shared" si="67"/>
        <v>1321.63</v>
      </c>
      <c r="AB372" s="21">
        <v>98.17</v>
      </c>
      <c r="AC372" s="21">
        <v>9.5200000000000014</v>
      </c>
      <c r="AD372" s="8">
        <f t="shared" si="68"/>
        <v>776.8599999999999</v>
      </c>
      <c r="AE372" s="25">
        <v>1.238</v>
      </c>
      <c r="AF372" s="25">
        <f t="shared" si="69"/>
        <v>240438.16999999995</v>
      </c>
      <c r="AG372" s="25">
        <f t="shared" si="70"/>
        <v>442374.54</v>
      </c>
      <c r="AH372" s="1">
        <f t="shared" si="60"/>
        <v>4227.32</v>
      </c>
      <c r="AI372" s="1">
        <f t="shared" si="61"/>
        <v>4170.8499999999995</v>
      </c>
      <c r="AJ372" s="1">
        <v>4779.79</v>
      </c>
      <c r="AK372" s="1">
        <f t="shared" si="62"/>
        <v>-552.47000000000025</v>
      </c>
      <c r="AL372" s="29">
        <f t="shared" si="71"/>
        <v>608.94000000000051</v>
      </c>
      <c r="AM372" s="11">
        <f t="shared" si="63"/>
        <v>3452263.0148</v>
      </c>
    </row>
    <row r="373" spans="1:39" x14ac:dyDescent="0.3">
      <c r="A373" s="39">
        <v>45874.84375</v>
      </c>
      <c r="B373" s="1">
        <v>1465.71</v>
      </c>
      <c r="C373" s="11">
        <v>3.2732000000000001</v>
      </c>
      <c r="D373" s="1">
        <v>540.05999999999995</v>
      </c>
      <c r="E373" s="11">
        <v>3.0760000000000001</v>
      </c>
      <c r="F373" s="1">
        <v>516.34</v>
      </c>
      <c r="G373" s="11">
        <v>3.53</v>
      </c>
      <c r="H373" s="1">
        <v>71.28</v>
      </c>
      <c r="I373" s="11">
        <v>5.0009399999999999</v>
      </c>
      <c r="J373" s="1">
        <v>838.33</v>
      </c>
      <c r="K373" s="11">
        <v>4.1203400000000006</v>
      </c>
      <c r="L373" s="1">
        <v>0</v>
      </c>
      <c r="M373" s="11">
        <v>6.2</v>
      </c>
      <c r="N373" s="1">
        <v>22.24</v>
      </c>
      <c r="O373" s="11">
        <v>2.8224999999999998</v>
      </c>
      <c r="P373" s="1">
        <f t="shared" si="64"/>
        <v>3453.96</v>
      </c>
      <c r="Q373" s="1">
        <v>3425.66</v>
      </c>
      <c r="R373" s="16">
        <f t="shared" si="65"/>
        <v>3038727.6918500001</v>
      </c>
      <c r="S373" s="1">
        <v>-452.44</v>
      </c>
      <c r="T373" s="1">
        <v>35.770000000000003</v>
      </c>
      <c r="U373" s="1">
        <v>66.33</v>
      </c>
      <c r="V373" s="1">
        <v>50.38</v>
      </c>
      <c r="W373" s="1" cm="1">
        <f t="array" ref="W373">SUM(ABS(S373:V373))</f>
        <v>604.91999999999996</v>
      </c>
      <c r="X373" s="25">
        <v>1.238</v>
      </c>
      <c r="Y373" s="42">
        <f t="shared" si="66"/>
        <v>187222.74</v>
      </c>
      <c r="Z373" s="20">
        <v>677.93</v>
      </c>
      <c r="AA373" s="20">
        <f t="shared" si="67"/>
        <v>1282.8499999999999</v>
      </c>
      <c r="AB373" s="21">
        <v>98.18</v>
      </c>
      <c r="AC373" s="21">
        <v>10.450000000000001</v>
      </c>
      <c r="AD373" s="8">
        <f t="shared" si="68"/>
        <v>786.56</v>
      </c>
      <c r="AE373" s="25">
        <v>1.238</v>
      </c>
      <c r="AF373" s="25">
        <f t="shared" si="69"/>
        <v>243440.31999999998</v>
      </c>
      <c r="AG373" s="25">
        <f t="shared" si="70"/>
        <v>430663.05999999994</v>
      </c>
      <c r="AH373" s="1">
        <f t="shared" si="60"/>
        <v>4240.5200000000004</v>
      </c>
      <c r="AI373" s="1">
        <f t="shared" si="61"/>
        <v>4212.2199999999993</v>
      </c>
      <c r="AJ373" s="1">
        <v>4767.18</v>
      </c>
      <c r="AK373" s="1">
        <f t="shared" si="62"/>
        <v>-526.65999999999985</v>
      </c>
      <c r="AL373" s="29">
        <f t="shared" si="71"/>
        <v>554.96000000000095</v>
      </c>
      <c r="AM373" s="11">
        <f t="shared" si="63"/>
        <v>3469390.7518500001</v>
      </c>
    </row>
    <row r="374" spans="1:39" x14ac:dyDescent="0.3">
      <c r="A374" s="39">
        <v>45874.854166666664</v>
      </c>
      <c r="B374" s="1">
        <v>1465.71</v>
      </c>
      <c r="C374" s="11">
        <v>3.2732000000000001</v>
      </c>
      <c r="D374" s="1">
        <v>540.05999999999995</v>
      </c>
      <c r="E374" s="11">
        <v>3.0760000000000001</v>
      </c>
      <c r="F374" s="1">
        <v>516.34</v>
      </c>
      <c r="G374" s="11">
        <v>3.53</v>
      </c>
      <c r="H374" s="1">
        <v>66.349999999999994</v>
      </c>
      <c r="I374" s="11">
        <v>5.8008299999999995</v>
      </c>
      <c r="J374" s="1">
        <v>975.16</v>
      </c>
      <c r="K374" s="11">
        <v>4.9994199999999998</v>
      </c>
      <c r="L374" s="1">
        <v>0</v>
      </c>
      <c r="M374" s="11">
        <v>6.2</v>
      </c>
      <c r="N374" s="1">
        <v>21.64</v>
      </c>
      <c r="O374" s="11">
        <v>2.8224999999999998</v>
      </c>
      <c r="P374" s="1">
        <f t="shared" si="64"/>
        <v>3585.2599999999998</v>
      </c>
      <c r="Q374" s="1">
        <v>3393.94</v>
      </c>
      <c r="R374" s="16">
        <f t="shared" si="65"/>
        <v>3400666.2774250004</v>
      </c>
      <c r="S374" s="1">
        <v>-461.94</v>
      </c>
      <c r="T374" s="1">
        <v>35.81</v>
      </c>
      <c r="U374" s="1">
        <v>66.319999999999993</v>
      </c>
      <c r="V374" s="1">
        <v>50.35</v>
      </c>
      <c r="W374" s="1" cm="1">
        <f t="array" ref="W374">SUM(ABS(S374:V374))</f>
        <v>614.41999999999996</v>
      </c>
      <c r="X374" s="25">
        <v>1.238</v>
      </c>
      <c r="Y374" s="42">
        <f t="shared" si="66"/>
        <v>190162.99</v>
      </c>
      <c r="Z374" s="20">
        <v>679.75999999999988</v>
      </c>
      <c r="AA374" s="20">
        <f t="shared" si="67"/>
        <v>1294.1799999999998</v>
      </c>
      <c r="AB374" s="21">
        <v>98.18</v>
      </c>
      <c r="AC374" s="21">
        <v>11.03</v>
      </c>
      <c r="AD374" s="8">
        <f t="shared" si="68"/>
        <v>788.9699999999998</v>
      </c>
      <c r="AE374" s="25">
        <v>1.238</v>
      </c>
      <c r="AF374" s="25">
        <f t="shared" si="69"/>
        <v>244186.21499999994</v>
      </c>
      <c r="AG374" s="25">
        <f t="shared" si="70"/>
        <v>434349.20499999996</v>
      </c>
      <c r="AH374" s="1">
        <f t="shared" si="60"/>
        <v>4374.2299999999996</v>
      </c>
      <c r="AI374" s="1">
        <f t="shared" si="61"/>
        <v>4182.91</v>
      </c>
      <c r="AJ374" s="1">
        <v>4749.3100000000004</v>
      </c>
      <c r="AK374" s="1">
        <f t="shared" si="62"/>
        <v>-375.08000000000084</v>
      </c>
      <c r="AL374" s="29">
        <f t="shared" si="71"/>
        <v>566.40000000000055</v>
      </c>
      <c r="AM374" s="11">
        <f t="shared" si="63"/>
        <v>3835015.4824250005</v>
      </c>
    </row>
    <row r="375" spans="1:39" x14ac:dyDescent="0.3">
      <c r="A375" s="39">
        <v>45874.864583333336</v>
      </c>
      <c r="B375" s="1">
        <v>1465.71</v>
      </c>
      <c r="C375" s="11">
        <v>3.2732000000000001</v>
      </c>
      <c r="D375" s="1">
        <v>540.05999999999995</v>
      </c>
      <c r="E375" s="11">
        <v>3.0760000000000001</v>
      </c>
      <c r="F375" s="1">
        <v>516.34</v>
      </c>
      <c r="G375" s="11">
        <v>3.53</v>
      </c>
      <c r="H375" s="1">
        <v>70.260000000000005</v>
      </c>
      <c r="I375" s="11">
        <v>5.6009200000000003</v>
      </c>
      <c r="J375" s="1">
        <v>965.19</v>
      </c>
      <c r="K375" s="11">
        <v>4.9995799999999999</v>
      </c>
      <c r="L375" s="1">
        <v>0</v>
      </c>
      <c r="M375" s="11">
        <v>6.2</v>
      </c>
      <c r="N375" s="1">
        <v>21.04</v>
      </c>
      <c r="O375" s="11">
        <v>2.8224999999999998</v>
      </c>
      <c r="P375" s="1">
        <f t="shared" si="64"/>
        <v>3578.6000000000004</v>
      </c>
      <c r="Q375" s="1">
        <v>3400.25</v>
      </c>
      <c r="R375" s="16">
        <f t="shared" si="65"/>
        <v>3389979.34785</v>
      </c>
      <c r="S375" s="1">
        <v>-455.8</v>
      </c>
      <c r="T375" s="1">
        <v>35.799999999999997</v>
      </c>
      <c r="U375" s="1">
        <v>66.31</v>
      </c>
      <c r="V375" s="1">
        <v>50.36</v>
      </c>
      <c r="W375" s="1" cm="1">
        <f t="array" ref="W375">SUM(ABS(S375:V375))</f>
        <v>608.2700000000001</v>
      </c>
      <c r="X375" s="25">
        <v>1.238</v>
      </c>
      <c r="Y375" s="42">
        <f t="shared" si="66"/>
        <v>188259.56500000003</v>
      </c>
      <c r="Z375" s="20">
        <v>678.12999999999988</v>
      </c>
      <c r="AA375" s="20">
        <f t="shared" si="67"/>
        <v>1286.4000000000001</v>
      </c>
      <c r="AB375" s="21">
        <v>98.18</v>
      </c>
      <c r="AC375" s="21">
        <v>11.059999999999999</v>
      </c>
      <c r="AD375" s="8">
        <f t="shared" si="68"/>
        <v>787.36999999999989</v>
      </c>
      <c r="AE375" s="25">
        <v>1.238</v>
      </c>
      <c r="AF375" s="25">
        <f t="shared" si="69"/>
        <v>243691.01499999996</v>
      </c>
      <c r="AG375" s="25">
        <f t="shared" si="70"/>
        <v>431950.57999999996</v>
      </c>
      <c r="AH375" s="1">
        <f t="shared" si="60"/>
        <v>4365.97</v>
      </c>
      <c r="AI375" s="1">
        <f t="shared" si="61"/>
        <v>4187.62</v>
      </c>
      <c r="AJ375" s="1">
        <v>4746.03</v>
      </c>
      <c r="AK375" s="1">
        <f t="shared" si="62"/>
        <v>-380.05999999999949</v>
      </c>
      <c r="AL375" s="29">
        <f t="shared" si="71"/>
        <v>558.40999999999985</v>
      </c>
      <c r="AM375" s="11">
        <f t="shared" si="63"/>
        <v>3821929.9278500001</v>
      </c>
    </row>
    <row r="376" spans="1:39" x14ac:dyDescent="0.3">
      <c r="A376" s="39">
        <v>45874.875</v>
      </c>
      <c r="B376" s="1">
        <v>1465.71</v>
      </c>
      <c r="C376" s="11">
        <v>3.2732000000000001</v>
      </c>
      <c r="D376" s="1">
        <v>540.05999999999995</v>
      </c>
      <c r="E376" s="11">
        <v>3.0760000000000001</v>
      </c>
      <c r="F376" s="1">
        <v>516.34</v>
      </c>
      <c r="G376" s="11">
        <v>3.53</v>
      </c>
      <c r="H376" s="1">
        <v>18.02</v>
      </c>
      <c r="I376" s="11">
        <v>6.9995900000000004</v>
      </c>
      <c r="J376" s="1">
        <v>956.6</v>
      </c>
      <c r="K376" s="11">
        <v>5.2509399999999999</v>
      </c>
      <c r="L376" s="1">
        <v>0</v>
      </c>
      <c r="M376" s="11">
        <v>6.2</v>
      </c>
      <c r="N376" s="1">
        <v>21</v>
      </c>
      <c r="O376" s="11">
        <v>2.8224999999999998</v>
      </c>
      <c r="P376" s="1">
        <f t="shared" si="64"/>
        <v>3517.73</v>
      </c>
      <c r="Q376" s="1">
        <v>3419.89</v>
      </c>
      <c r="R376" s="16">
        <f t="shared" si="65"/>
        <v>3372480.2619499997</v>
      </c>
      <c r="S376" s="1">
        <v>-445.8</v>
      </c>
      <c r="T376" s="1">
        <v>35.81</v>
      </c>
      <c r="U376" s="1">
        <v>66.31</v>
      </c>
      <c r="V376" s="1">
        <v>50.36</v>
      </c>
      <c r="W376" s="1" cm="1">
        <f t="array" ref="W376">SUM(ABS(S376:V376))</f>
        <v>598.28000000000009</v>
      </c>
      <c r="X376" s="25">
        <v>1.238</v>
      </c>
      <c r="Y376" s="42">
        <f t="shared" si="66"/>
        <v>185167.66</v>
      </c>
      <c r="Z376" s="20">
        <v>674.42</v>
      </c>
      <c r="AA376" s="20">
        <f t="shared" si="67"/>
        <v>1272.7</v>
      </c>
      <c r="AB376" s="21">
        <v>98.18</v>
      </c>
      <c r="AC376" s="21">
        <v>10.86</v>
      </c>
      <c r="AD376" s="8">
        <f t="shared" si="68"/>
        <v>783.45999999999992</v>
      </c>
      <c r="AE376" s="25">
        <v>1.238</v>
      </c>
      <c r="AF376" s="25">
        <f t="shared" si="69"/>
        <v>242480.87</v>
      </c>
      <c r="AG376" s="25">
        <f t="shared" si="70"/>
        <v>427648.53</v>
      </c>
      <c r="AH376" s="1">
        <f t="shared" si="60"/>
        <v>4301.1899999999996</v>
      </c>
      <c r="AI376" s="1">
        <f t="shared" si="61"/>
        <v>4203.3499999999995</v>
      </c>
      <c r="AJ376" s="1">
        <v>4750.0200000000004</v>
      </c>
      <c r="AK376" s="1">
        <f t="shared" si="62"/>
        <v>-448.83000000000084</v>
      </c>
      <c r="AL376" s="29">
        <f t="shared" si="71"/>
        <v>546.67000000000098</v>
      </c>
      <c r="AM376" s="11">
        <f t="shared" si="63"/>
        <v>3800128.7919499995</v>
      </c>
    </row>
    <row r="377" spans="1:39" x14ac:dyDescent="0.3">
      <c r="A377" s="39">
        <v>45874.885416666664</v>
      </c>
      <c r="B377" s="1">
        <v>1465.71</v>
      </c>
      <c r="C377" s="11">
        <v>3.2732000000000001</v>
      </c>
      <c r="D377" s="1">
        <v>540.05999999999995</v>
      </c>
      <c r="E377" s="11">
        <v>3.0760000000000001</v>
      </c>
      <c r="F377" s="1">
        <v>516.34</v>
      </c>
      <c r="G377" s="11">
        <v>3.53</v>
      </c>
      <c r="H377" s="1">
        <v>51.14</v>
      </c>
      <c r="I377" s="11">
        <v>6.2003900000000005</v>
      </c>
      <c r="J377" s="1">
        <v>989.83</v>
      </c>
      <c r="K377" s="11">
        <v>4.91221</v>
      </c>
      <c r="L377" s="1">
        <v>0</v>
      </c>
      <c r="M377" s="11">
        <v>6.2</v>
      </c>
      <c r="N377" s="1">
        <v>21.28</v>
      </c>
      <c r="O377" s="11">
        <v>2.8224999999999998</v>
      </c>
      <c r="P377" s="1">
        <f t="shared" si="64"/>
        <v>3584.36</v>
      </c>
      <c r="Q377" s="1">
        <v>3461.2</v>
      </c>
      <c r="R377" s="16">
        <f t="shared" si="65"/>
        <v>3380217.5752250003</v>
      </c>
      <c r="S377" s="1">
        <v>-444.32</v>
      </c>
      <c r="T377" s="1">
        <v>35.85</v>
      </c>
      <c r="U377" s="1">
        <v>66.290000000000006</v>
      </c>
      <c r="V377" s="1">
        <v>50.35</v>
      </c>
      <c r="W377" s="1" cm="1">
        <f t="array" ref="W377">SUM(ABS(S377:V377))</f>
        <v>596.81000000000006</v>
      </c>
      <c r="X377" s="25">
        <v>1.238</v>
      </c>
      <c r="Y377" s="42">
        <f t="shared" si="66"/>
        <v>184712.69500000004</v>
      </c>
      <c r="Z377" s="20">
        <v>674.19999999999993</v>
      </c>
      <c r="AA377" s="20">
        <f t="shared" si="67"/>
        <v>1271.01</v>
      </c>
      <c r="AB377" s="21">
        <v>98.160000000000011</v>
      </c>
      <c r="AC377" s="21">
        <v>12.9</v>
      </c>
      <c r="AD377" s="8">
        <f t="shared" si="68"/>
        <v>785.25999999999988</v>
      </c>
      <c r="AE377" s="25">
        <v>1.238</v>
      </c>
      <c r="AF377" s="25">
        <f t="shared" si="69"/>
        <v>243037.96999999997</v>
      </c>
      <c r="AG377" s="25">
        <f t="shared" si="70"/>
        <v>427750.66500000004</v>
      </c>
      <c r="AH377" s="1">
        <f t="shared" si="60"/>
        <v>4369.62</v>
      </c>
      <c r="AI377" s="1">
        <f t="shared" si="61"/>
        <v>4246.46</v>
      </c>
      <c r="AJ377" s="1">
        <v>4791.7700000000004</v>
      </c>
      <c r="AK377" s="1">
        <f t="shared" si="62"/>
        <v>-422.15000000000055</v>
      </c>
      <c r="AL377" s="29">
        <f t="shared" si="71"/>
        <v>545.3100000000004</v>
      </c>
      <c r="AM377" s="11">
        <f t="shared" si="63"/>
        <v>3807968.2402250003</v>
      </c>
    </row>
    <row r="378" spans="1:39" x14ac:dyDescent="0.3">
      <c r="A378" s="39">
        <v>45874.895833333336</v>
      </c>
      <c r="B378" s="1">
        <v>1465.71</v>
      </c>
      <c r="C378" s="11">
        <v>3.2732000000000001</v>
      </c>
      <c r="D378" s="1">
        <v>540.05999999999995</v>
      </c>
      <c r="E378" s="11">
        <v>3.0760000000000001</v>
      </c>
      <c r="F378" s="1">
        <v>516.34</v>
      </c>
      <c r="G378" s="11">
        <v>3.53</v>
      </c>
      <c r="H378" s="1">
        <v>55.7</v>
      </c>
      <c r="I378" s="11">
        <v>5.8002399999999996</v>
      </c>
      <c r="J378" s="1">
        <v>863.21</v>
      </c>
      <c r="K378" s="11">
        <v>4.5001999999999995</v>
      </c>
      <c r="L378" s="1">
        <v>0</v>
      </c>
      <c r="M378" s="11">
        <v>6.2</v>
      </c>
      <c r="N378" s="1">
        <v>21.58</v>
      </c>
      <c r="O378" s="11">
        <v>2.8224999999999998</v>
      </c>
      <c r="P378" s="1">
        <f t="shared" si="64"/>
        <v>3462.6</v>
      </c>
      <c r="Q378" s="1">
        <v>3390.59</v>
      </c>
      <c r="R378" s="16">
        <f t="shared" si="65"/>
        <v>3137516.8229999999</v>
      </c>
      <c r="S378" s="1">
        <v>-557.49</v>
      </c>
      <c r="T378" s="1">
        <v>35.86</v>
      </c>
      <c r="U378" s="1">
        <v>66.31</v>
      </c>
      <c r="V378" s="1">
        <v>50.35</v>
      </c>
      <c r="W378" s="1" cm="1">
        <f t="array" ref="W378">SUM(ABS(S378:V378))</f>
        <v>710.0100000000001</v>
      </c>
      <c r="X378" s="25">
        <v>1.238</v>
      </c>
      <c r="Y378" s="42">
        <f t="shared" si="66"/>
        <v>219748.09500000003</v>
      </c>
      <c r="Z378" s="20">
        <v>677.26</v>
      </c>
      <c r="AA378" s="20">
        <f t="shared" si="67"/>
        <v>1387.27</v>
      </c>
      <c r="AB378" s="21">
        <v>98.17</v>
      </c>
      <c r="AC378" s="21">
        <v>15.399999999999999</v>
      </c>
      <c r="AD378" s="8">
        <f t="shared" si="68"/>
        <v>790.82999999999993</v>
      </c>
      <c r="AE378" s="25">
        <v>1.238</v>
      </c>
      <c r="AF378" s="25">
        <f t="shared" si="69"/>
        <v>244761.88499999998</v>
      </c>
      <c r="AG378" s="25">
        <f t="shared" si="70"/>
        <v>464509.98</v>
      </c>
      <c r="AH378" s="1">
        <f t="shared" si="60"/>
        <v>4253.43</v>
      </c>
      <c r="AI378" s="1">
        <f t="shared" si="61"/>
        <v>4181.42</v>
      </c>
      <c r="AJ378" s="1">
        <v>4835.3</v>
      </c>
      <c r="AK378" s="1">
        <f t="shared" si="62"/>
        <v>-581.86999999999989</v>
      </c>
      <c r="AL378" s="29">
        <f t="shared" si="71"/>
        <v>653.88000000000011</v>
      </c>
      <c r="AM378" s="11">
        <f t="shared" si="63"/>
        <v>3602026.8029999998</v>
      </c>
    </row>
    <row r="379" spans="1:39" x14ac:dyDescent="0.3">
      <c r="A379" s="39">
        <v>45874.90625</v>
      </c>
      <c r="B379" s="1">
        <v>1465.71</v>
      </c>
      <c r="C379" s="11">
        <v>3.2732000000000001</v>
      </c>
      <c r="D379" s="1">
        <v>540.05999999999995</v>
      </c>
      <c r="E379" s="11">
        <v>3.0760000000000001</v>
      </c>
      <c r="F379" s="1">
        <v>516.34</v>
      </c>
      <c r="G379" s="11">
        <v>3.53</v>
      </c>
      <c r="H379" s="1">
        <v>55.74</v>
      </c>
      <c r="I379" s="11">
        <v>6.23881</v>
      </c>
      <c r="J379" s="1">
        <v>944.36</v>
      </c>
      <c r="K379" s="11">
        <v>4.5911499999999998</v>
      </c>
      <c r="L379" s="1">
        <v>0</v>
      </c>
      <c r="M379" s="11">
        <v>6.2</v>
      </c>
      <c r="N379" s="1">
        <v>21.88</v>
      </c>
      <c r="O379" s="11">
        <v>2.8224999999999998</v>
      </c>
      <c r="P379" s="1">
        <f t="shared" si="64"/>
        <v>3544.09</v>
      </c>
      <c r="Q379" s="1">
        <v>3388.25</v>
      </c>
      <c r="R379" s="16">
        <f t="shared" si="65"/>
        <v>3256668.1788499993</v>
      </c>
      <c r="S379" s="1">
        <v>-615.28</v>
      </c>
      <c r="T379" s="1">
        <v>35.880000000000003</v>
      </c>
      <c r="U379" s="1">
        <v>66.290000000000006</v>
      </c>
      <c r="V379" s="1">
        <v>50.36</v>
      </c>
      <c r="W379" s="1" cm="1">
        <f t="array" ref="W379">SUM(ABS(S379:V379))</f>
        <v>767.81</v>
      </c>
      <c r="X379" s="25">
        <v>1.238</v>
      </c>
      <c r="Y379" s="42">
        <f t="shared" si="66"/>
        <v>237637.19499999998</v>
      </c>
      <c r="Z379" s="20">
        <v>679.06000000000006</v>
      </c>
      <c r="AA379" s="20">
        <f t="shared" si="67"/>
        <v>1446.87</v>
      </c>
      <c r="AB379" s="21">
        <v>98.17</v>
      </c>
      <c r="AC379" s="21">
        <v>13.620000000000001</v>
      </c>
      <c r="AD379" s="8">
        <f t="shared" si="68"/>
        <v>790.85</v>
      </c>
      <c r="AE379" s="25">
        <v>1.238</v>
      </c>
      <c r="AF379" s="25">
        <f t="shared" si="69"/>
        <v>244768.07500000001</v>
      </c>
      <c r="AG379" s="25">
        <f t="shared" si="70"/>
        <v>482405.27</v>
      </c>
      <c r="AH379" s="1">
        <f t="shared" si="60"/>
        <v>4334.9400000000005</v>
      </c>
      <c r="AI379" s="1">
        <f t="shared" si="61"/>
        <v>4179.1000000000004</v>
      </c>
      <c r="AJ379" s="1">
        <v>4895.29</v>
      </c>
      <c r="AK379" s="1">
        <f t="shared" si="62"/>
        <v>-560.34999999999945</v>
      </c>
      <c r="AL379" s="29">
        <f t="shared" si="71"/>
        <v>716.1899999999996</v>
      </c>
      <c r="AM379" s="11">
        <f t="shared" si="63"/>
        <v>3739073.4488499993</v>
      </c>
    </row>
    <row r="380" spans="1:39" x14ac:dyDescent="0.3">
      <c r="A380" s="39">
        <v>45874.916666666664</v>
      </c>
      <c r="B380" s="1">
        <v>1467.44</v>
      </c>
      <c r="C380" s="11">
        <v>3.2732000000000001</v>
      </c>
      <c r="D380" s="1">
        <v>540.05999999999995</v>
      </c>
      <c r="E380" s="11">
        <v>3.0760000000000001</v>
      </c>
      <c r="F380" s="1">
        <v>516.34</v>
      </c>
      <c r="G380" s="11">
        <v>3.53</v>
      </c>
      <c r="H380" s="1">
        <v>-90.52</v>
      </c>
      <c r="I380" s="11">
        <v>7.3837999999999999</v>
      </c>
      <c r="J380" s="1">
        <v>1203.8900000000001</v>
      </c>
      <c r="K380" s="11">
        <v>5.3008599999999992</v>
      </c>
      <c r="L380" s="1">
        <v>0</v>
      </c>
      <c r="M380" s="11">
        <v>6.2</v>
      </c>
      <c r="N380" s="1">
        <v>22.18</v>
      </c>
      <c r="O380" s="11">
        <v>2.8224999999999998</v>
      </c>
      <c r="P380" s="1">
        <f t="shared" si="64"/>
        <v>3659.39</v>
      </c>
      <c r="Q380" s="1">
        <v>3485.43</v>
      </c>
      <c r="R380" s="16">
        <f t="shared" si="65"/>
        <v>3515750.79685</v>
      </c>
      <c r="S380" s="1">
        <v>-621.09</v>
      </c>
      <c r="T380" s="1">
        <v>35.89</v>
      </c>
      <c r="U380" s="1">
        <v>66.3</v>
      </c>
      <c r="V380" s="1">
        <v>50.39</v>
      </c>
      <c r="W380" s="1" cm="1">
        <f t="array" ref="W380">SUM(ABS(S380:V380))</f>
        <v>773.67</v>
      </c>
      <c r="X380" s="25">
        <v>1.238</v>
      </c>
      <c r="Y380" s="42">
        <f t="shared" si="66"/>
        <v>239450.86499999999</v>
      </c>
      <c r="Z380" s="20">
        <v>678.5</v>
      </c>
      <c r="AA380" s="20">
        <f t="shared" si="67"/>
        <v>1452.17</v>
      </c>
      <c r="AB380" s="21">
        <v>98.17</v>
      </c>
      <c r="AC380" s="21">
        <v>11.15</v>
      </c>
      <c r="AD380" s="8">
        <f t="shared" si="68"/>
        <v>787.81999999999994</v>
      </c>
      <c r="AE380" s="25">
        <v>1.238</v>
      </c>
      <c r="AF380" s="25">
        <f t="shared" si="69"/>
        <v>243830.28999999998</v>
      </c>
      <c r="AG380" s="25">
        <f t="shared" si="70"/>
        <v>483281.15499999997</v>
      </c>
      <c r="AH380" s="1">
        <f t="shared" si="60"/>
        <v>4447.21</v>
      </c>
      <c r="AI380" s="1">
        <f t="shared" si="61"/>
        <v>4273.25</v>
      </c>
      <c r="AJ380" s="1">
        <v>4994.72</v>
      </c>
      <c r="AK380" s="1">
        <f t="shared" si="62"/>
        <v>-547.51000000000022</v>
      </c>
      <c r="AL380" s="29">
        <f t="shared" si="71"/>
        <v>721.47000000000025</v>
      </c>
      <c r="AM380" s="11">
        <f t="shared" si="63"/>
        <v>3999031.9518499998</v>
      </c>
    </row>
    <row r="381" spans="1:39" x14ac:dyDescent="0.3">
      <c r="A381" s="39">
        <v>45874.927083333336</v>
      </c>
      <c r="B381" s="1">
        <v>1467.84</v>
      </c>
      <c r="C381" s="11">
        <v>3.2732000000000001</v>
      </c>
      <c r="D381" s="1">
        <v>540.05999999999995</v>
      </c>
      <c r="E381" s="11">
        <v>3.0760000000000001</v>
      </c>
      <c r="F381" s="1">
        <v>516.34</v>
      </c>
      <c r="G381" s="11">
        <v>3.53</v>
      </c>
      <c r="H381" s="1">
        <v>-101.9</v>
      </c>
      <c r="I381" s="11">
        <v>7.4997100000000003</v>
      </c>
      <c r="J381" s="1">
        <v>1222.07</v>
      </c>
      <c r="K381" s="11">
        <v>5.8002200000000004</v>
      </c>
      <c r="L381" s="1">
        <v>0</v>
      </c>
      <c r="M381" s="11">
        <v>6.2</v>
      </c>
      <c r="N381" s="1">
        <v>21.64</v>
      </c>
      <c r="O381" s="11">
        <v>2.8224999999999998</v>
      </c>
      <c r="P381" s="1">
        <f t="shared" si="64"/>
        <v>3666.0499999999997</v>
      </c>
      <c r="Q381" s="1">
        <v>3466.12</v>
      </c>
      <c r="R381" s="16">
        <f t="shared" si="65"/>
        <v>3668392.9885999998</v>
      </c>
      <c r="S381" s="1">
        <v>-722.78</v>
      </c>
      <c r="T381" s="1">
        <v>35.93</v>
      </c>
      <c r="U381" s="1">
        <v>66.3</v>
      </c>
      <c r="V381" s="1">
        <v>50.62</v>
      </c>
      <c r="W381" s="1" cm="1">
        <f t="array" ref="W381">SUM(ABS(S381:V381))</f>
        <v>875.62999999999988</v>
      </c>
      <c r="X381" s="25">
        <v>1.238</v>
      </c>
      <c r="Y381" s="42">
        <f t="shared" si="66"/>
        <v>271007.48499999999</v>
      </c>
      <c r="Z381" s="20">
        <v>680.67000000000007</v>
      </c>
      <c r="AA381" s="20">
        <f t="shared" si="67"/>
        <v>1556.3</v>
      </c>
      <c r="AB381" s="21">
        <v>98.17</v>
      </c>
      <c r="AC381" s="21">
        <v>9.6300000000000008</v>
      </c>
      <c r="AD381" s="8">
        <f t="shared" si="68"/>
        <v>788.47</v>
      </c>
      <c r="AE381" s="25">
        <v>1.238</v>
      </c>
      <c r="AF381" s="25">
        <f t="shared" si="69"/>
        <v>244031.465</v>
      </c>
      <c r="AG381" s="25">
        <f t="shared" si="70"/>
        <v>515038.94999999995</v>
      </c>
      <c r="AH381" s="1">
        <f t="shared" si="60"/>
        <v>4454.5199999999995</v>
      </c>
      <c r="AI381" s="1">
        <f t="shared" si="61"/>
        <v>4254.59</v>
      </c>
      <c r="AJ381" s="1">
        <v>5079.63</v>
      </c>
      <c r="AK381" s="1">
        <f t="shared" si="62"/>
        <v>-625.11000000000058</v>
      </c>
      <c r="AL381" s="29">
        <f t="shared" si="71"/>
        <v>825.04</v>
      </c>
      <c r="AM381" s="11">
        <f t="shared" si="63"/>
        <v>4183431.9386</v>
      </c>
    </row>
    <row r="382" spans="1:39" x14ac:dyDescent="0.3">
      <c r="A382" s="39">
        <v>45874.9375</v>
      </c>
      <c r="B382" s="1">
        <v>1467.86</v>
      </c>
      <c r="C382" s="11">
        <v>3.2732000000000001</v>
      </c>
      <c r="D382" s="1">
        <v>540.05999999999995</v>
      </c>
      <c r="E382" s="11">
        <v>3.0760000000000001</v>
      </c>
      <c r="F382" s="1">
        <v>516.34</v>
      </c>
      <c r="G382" s="11">
        <v>3.53</v>
      </c>
      <c r="H382" s="1">
        <v>-368.25</v>
      </c>
      <c r="I382" s="11">
        <v>9.90991</v>
      </c>
      <c r="J382" s="1">
        <v>1285.19</v>
      </c>
      <c r="K382" s="11">
        <v>5.4833400000000001</v>
      </c>
      <c r="L382" s="1">
        <v>0</v>
      </c>
      <c r="M382" s="11">
        <v>6.2</v>
      </c>
      <c r="N382" s="1">
        <v>21.04</v>
      </c>
      <c r="O382" s="11">
        <v>2.8224999999999998</v>
      </c>
      <c r="P382" s="1">
        <f t="shared" si="64"/>
        <v>3462.24</v>
      </c>
      <c r="Q382" s="1">
        <v>3413.64</v>
      </c>
      <c r="R382" s="16">
        <f t="shared" si="65"/>
        <v>2936424.7222750001</v>
      </c>
      <c r="S382" s="1">
        <v>-738.3</v>
      </c>
      <c r="T382" s="1">
        <v>35.96</v>
      </c>
      <c r="U382" s="1">
        <v>66.3</v>
      </c>
      <c r="V382" s="1">
        <v>50.62</v>
      </c>
      <c r="W382" s="1" cm="1">
        <f t="array" ref="W382">SUM(ABS(S382:V382))</f>
        <v>891.18</v>
      </c>
      <c r="X382" s="25">
        <v>1.238</v>
      </c>
      <c r="Y382" s="42">
        <f t="shared" si="66"/>
        <v>275820.20999999996</v>
      </c>
      <c r="Z382" s="20">
        <v>700.18</v>
      </c>
      <c r="AA382" s="20">
        <f t="shared" si="67"/>
        <v>1591.36</v>
      </c>
      <c r="AB382" s="21">
        <v>98.17</v>
      </c>
      <c r="AC382" s="21">
        <v>9.33</v>
      </c>
      <c r="AD382" s="8">
        <f t="shared" si="68"/>
        <v>807.68</v>
      </c>
      <c r="AE382" s="25">
        <v>1.238</v>
      </c>
      <c r="AF382" s="25">
        <f t="shared" si="69"/>
        <v>249976.95999999999</v>
      </c>
      <c r="AG382" s="25">
        <f t="shared" si="70"/>
        <v>525797.16999999993</v>
      </c>
      <c r="AH382" s="1">
        <f t="shared" si="60"/>
        <v>4269.92</v>
      </c>
      <c r="AI382" s="1">
        <f t="shared" si="61"/>
        <v>4221.32</v>
      </c>
      <c r="AJ382" s="1">
        <v>5086.1099999999997</v>
      </c>
      <c r="AK382" s="1">
        <f t="shared" si="62"/>
        <v>-816.1899999999996</v>
      </c>
      <c r="AL382" s="29">
        <f t="shared" si="71"/>
        <v>864.79</v>
      </c>
      <c r="AM382" s="11">
        <f t="shared" si="63"/>
        <v>3462221.892275</v>
      </c>
    </row>
    <row r="383" spans="1:39" x14ac:dyDescent="0.3">
      <c r="A383" s="39">
        <v>45874.947916666664</v>
      </c>
      <c r="B383" s="1">
        <v>1466.25</v>
      </c>
      <c r="C383" s="11">
        <v>3.2732000000000001</v>
      </c>
      <c r="D383" s="1">
        <v>540.05999999999995</v>
      </c>
      <c r="E383" s="11">
        <v>3.0760000000000001</v>
      </c>
      <c r="F383" s="1">
        <v>516.34</v>
      </c>
      <c r="G383" s="11">
        <v>3.53</v>
      </c>
      <c r="H383" s="1">
        <v>-400.97</v>
      </c>
      <c r="I383" s="11">
        <v>9.9995200000000004</v>
      </c>
      <c r="J383" s="1">
        <v>1280.68</v>
      </c>
      <c r="K383" s="11">
        <v>5.7952599999999999</v>
      </c>
      <c r="L383" s="1">
        <v>0</v>
      </c>
      <c r="M383" s="11">
        <v>6.2</v>
      </c>
      <c r="N383" s="1">
        <v>20.440000000000001</v>
      </c>
      <c r="O383" s="11">
        <v>2.8224999999999998</v>
      </c>
      <c r="P383" s="1">
        <f t="shared" si="64"/>
        <v>3422.8000000000006</v>
      </c>
      <c r="Q383" s="1">
        <v>3397.43</v>
      </c>
      <c r="R383" s="16">
        <f t="shared" si="65"/>
        <v>2938323.0505999997</v>
      </c>
      <c r="S383" s="1">
        <v>-730.57</v>
      </c>
      <c r="T383" s="1">
        <v>35.93</v>
      </c>
      <c r="U383" s="1">
        <v>66.3</v>
      </c>
      <c r="V383" s="1">
        <v>50.6</v>
      </c>
      <c r="W383" s="1" cm="1">
        <f t="array" ref="W383">SUM(ABS(S383:V383))</f>
        <v>883.4</v>
      </c>
      <c r="X383" s="25">
        <v>1.238</v>
      </c>
      <c r="Y383" s="42">
        <f t="shared" si="66"/>
        <v>273412.3</v>
      </c>
      <c r="Z383" s="20">
        <v>702.69000000000017</v>
      </c>
      <c r="AA383" s="20">
        <f t="shared" si="67"/>
        <v>1586.0900000000001</v>
      </c>
      <c r="AB383" s="21">
        <v>98.17</v>
      </c>
      <c r="AC383" s="21">
        <v>8.7899999999999991</v>
      </c>
      <c r="AD383" s="8">
        <f t="shared" si="68"/>
        <v>809.65000000000009</v>
      </c>
      <c r="AE383" s="25">
        <v>1.238</v>
      </c>
      <c r="AF383" s="25">
        <f t="shared" si="69"/>
        <v>250586.67500000002</v>
      </c>
      <c r="AG383" s="25">
        <f t="shared" si="70"/>
        <v>523998.97499999998</v>
      </c>
      <c r="AH383" s="1">
        <f t="shared" si="60"/>
        <v>4232.4500000000007</v>
      </c>
      <c r="AI383" s="1">
        <f t="shared" si="61"/>
        <v>4207.08</v>
      </c>
      <c r="AJ383" s="1">
        <v>5069.68</v>
      </c>
      <c r="AK383" s="1">
        <f t="shared" si="62"/>
        <v>-837.22999999999956</v>
      </c>
      <c r="AL383" s="29">
        <f t="shared" si="71"/>
        <v>862.60000000000036</v>
      </c>
      <c r="AM383" s="11">
        <f t="shared" si="63"/>
        <v>3462322.0255999998</v>
      </c>
    </row>
    <row r="384" spans="1:39" x14ac:dyDescent="0.3">
      <c r="A384" s="39">
        <v>45874.958333333336</v>
      </c>
      <c r="B384" s="1">
        <v>1466.13</v>
      </c>
      <c r="C384" s="11">
        <v>3.2732000000000001</v>
      </c>
      <c r="D384" s="1">
        <v>540.05999999999995</v>
      </c>
      <c r="E384" s="11">
        <v>3.0760000000000001</v>
      </c>
      <c r="F384" s="1">
        <v>516.34</v>
      </c>
      <c r="G384" s="11">
        <v>3.53</v>
      </c>
      <c r="H384" s="1">
        <v>-397.27</v>
      </c>
      <c r="I384" s="11">
        <v>9.9099699999999995</v>
      </c>
      <c r="J384" s="1">
        <v>1117.8800000000001</v>
      </c>
      <c r="K384" s="11">
        <v>3.9998400000000003</v>
      </c>
      <c r="L384" s="1">
        <v>0</v>
      </c>
      <c r="M384" s="11">
        <v>6.2</v>
      </c>
      <c r="N384" s="1">
        <v>19.84</v>
      </c>
      <c r="O384" s="11">
        <v>2.8224999999999998</v>
      </c>
      <c r="P384" s="1">
        <f t="shared" si="64"/>
        <v>3262.9800000000005</v>
      </c>
      <c r="Q384" s="1">
        <v>3352.61</v>
      </c>
      <c r="R384" s="16">
        <f t="shared" si="65"/>
        <v>2218311.8083250001</v>
      </c>
      <c r="S384" s="1">
        <v>-735.16</v>
      </c>
      <c r="T384" s="1">
        <v>35.880000000000003</v>
      </c>
      <c r="U384" s="1">
        <v>66.3</v>
      </c>
      <c r="V384" s="1">
        <v>50.59</v>
      </c>
      <c r="W384" s="1" cm="1">
        <f t="array" ref="W384">SUM(ABS(S384:V384))</f>
        <v>887.93</v>
      </c>
      <c r="X384" s="25">
        <v>1.238</v>
      </c>
      <c r="Y384" s="42">
        <f t="shared" si="66"/>
        <v>274814.33499999996</v>
      </c>
      <c r="Z384" s="20">
        <v>701.77</v>
      </c>
      <c r="AA384" s="20">
        <f t="shared" si="67"/>
        <v>1589.6999999999998</v>
      </c>
      <c r="AB384" s="21">
        <v>98.18</v>
      </c>
      <c r="AC384" s="21">
        <v>7.4599999999999991</v>
      </c>
      <c r="AD384" s="8">
        <f t="shared" si="68"/>
        <v>807.41000000000008</v>
      </c>
      <c r="AE384" s="25">
        <v>1.238</v>
      </c>
      <c r="AF384" s="25">
        <f t="shared" si="69"/>
        <v>249893.39500000002</v>
      </c>
      <c r="AG384" s="25">
        <f t="shared" si="70"/>
        <v>524707.73</v>
      </c>
      <c r="AH384" s="1">
        <f t="shared" si="60"/>
        <v>4070.3900000000003</v>
      </c>
      <c r="AI384" s="1">
        <f t="shared" si="61"/>
        <v>4160.0200000000004</v>
      </c>
      <c r="AJ384" s="1">
        <v>5025.7299999999996</v>
      </c>
      <c r="AK384" s="1">
        <f t="shared" si="62"/>
        <v>-955.33999999999924</v>
      </c>
      <c r="AL384" s="29">
        <f t="shared" si="71"/>
        <v>865.70999999999913</v>
      </c>
      <c r="AM384" s="11">
        <f t="shared" si="63"/>
        <v>2743019.5383250001</v>
      </c>
    </row>
    <row r="385" spans="1:40" x14ac:dyDescent="0.3">
      <c r="A385" s="39">
        <v>45874.96875</v>
      </c>
      <c r="B385" s="1">
        <v>1466.13</v>
      </c>
      <c r="C385" s="11">
        <v>3.2732000000000001</v>
      </c>
      <c r="D385" s="1">
        <v>540.05999999999995</v>
      </c>
      <c r="E385" s="11">
        <v>3.0760000000000001</v>
      </c>
      <c r="F385" s="1">
        <v>516.34</v>
      </c>
      <c r="G385" s="11">
        <v>3.53</v>
      </c>
      <c r="H385" s="1">
        <v>-262.52999999999997</v>
      </c>
      <c r="I385" s="11">
        <v>9.6218199999999996</v>
      </c>
      <c r="J385" s="1">
        <v>925.9</v>
      </c>
      <c r="K385" s="11">
        <v>3.9105300000000001</v>
      </c>
      <c r="L385" s="1">
        <v>0</v>
      </c>
      <c r="M385" s="11">
        <v>6.2</v>
      </c>
      <c r="N385" s="1">
        <v>19.239999999999998</v>
      </c>
      <c r="O385" s="11">
        <v>2.8224999999999998</v>
      </c>
      <c r="P385" s="1">
        <f t="shared" si="64"/>
        <v>3205.14</v>
      </c>
      <c r="Q385" s="1">
        <v>3291.82</v>
      </c>
      <c r="R385" s="16">
        <f t="shared" si="65"/>
        <v>2357972.4246</v>
      </c>
      <c r="S385" s="1">
        <v>-734.55</v>
      </c>
      <c r="T385" s="1">
        <v>35.89</v>
      </c>
      <c r="U385" s="1">
        <v>66.290000000000006</v>
      </c>
      <c r="V385" s="1">
        <v>50.61</v>
      </c>
      <c r="W385" s="1" cm="1">
        <f t="array" ref="W385">SUM(ABS(S385:V385))</f>
        <v>887.33999999999992</v>
      </c>
      <c r="X385" s="25">
        <v>1.238</v>
      </c>
      <c r="Y385" s="42">
        <f t="shared" si="66"/>
        <v>274631.72999999992</v>
      </c>
      <c r="Z385" s="20">
        <v>701.5</v>
      </c>
      <c r="AA385" s="20">
        <f t="shared" si="67"/>
        <v>1588.84</v>
      </c>
      <c r="AB385" s="21">
        <v>98.18</v>
      </c>
      <c r="AC385" s="21">
        <v>8.06</v>
      </c>
      <c r="AD385" s="8">
        <f t="shared" si="68"/>
        <v>807.74</v>
      </c>
      <c r="AE385" s="25">
        <v>1.238</v>
      </c>
      <c r="AF385" s="25">
        <f t="shared" si="69"/>
        <v>249995.53</v>
      </c>
      <c r="AG385" s="25">
        <f t="shared" si="70"/>
        <v>524627.25999999989</v>
      </c>
      <c r="AH385" s="1">
        <f t="shared" si="60"/>
        <v>4012.88</v>
      </c>
      <c r="AI385" s="1">
        <f t="shared" si="61"/>
        <v>4099.5600000000004</v>
      </c>
      <c r="AJ385" s="1">
        <v>4962.97</v>
      </c>
      <c r="AK385" s="1">
        <f t="shared" si="62"/>
        <v>-950.09000000000015</v>
      </c>
      <c r="AL385" s="29">
        <f t="shared" si="71"/>
        <v>863.40999999999985</v>
      </c>
      <c r="AM385" s="11">
        <f t="shared" si="63"/>
        <v>2882599.6845999998</v>
      </c>
    </row>
    <row r="386" spans="1:40" x14ac:dyDescent="0.3">
      <c r="A386" s="39">
        <v>45874.979166666664</v>
      </c>
      <c r="B386" s="1">
        <v>1466.13</v>
      </c>
      <c r="C386" s="11">
        <v>3.2732000000000001</v>
      </c>
      <c r="D386" s="1">
        <v>540.05999999999995</v>
      </c>
      <c r="E386" s="11">
        <v>3.0760000000000001</v>
      </c>
      <c r="F386" s="1">
        <v>516.34</v>
      </c>
      <c r="G386" s="11">
        <v>3.53</v>
      </c>
      <c r="H386" s="1">
        <v>-112.73</v>
      </c>
      <c r="I386" s="11">
        <v>7.2</v>
      </c>
      <c r="J386" s="1">
        <v>642.95000000000005</v>
      </c>
      <c r="K386" s="11">
        <v>3.5000800000000001</v>
      </c>
      <c r="L386" s="1">
        <v>0</v>
      </c>
      <c r="M386" s="11">
        <v>6.2</v>
      </c>
      <c r="N386" s="1">
        <v>18.920000000000002</v>
      </c>
      <c r="O386" s="11">
        <v>2.8224999999999998</v>
      </c>
      <c r="P386" s="1">
        <f t="shared" si="64"/>
        <v>3071.67</v>
      </c>
      <c r="Q386" s="1">
        <v>3188.68</v>
      </c>
      <c r="R386" s="16">
        <f t="shared" si="65"/>
        <v>2443740.9029999999</v>
      </c>
      <c r="S386" s="1">
        <v>-738.45</v>
      </c>
      <c r="T386" s="1">
        <v>35.909999999999997</v>
      </c>
      <c r="U386" s="1">
        <v>66.28</v>
      </c>
      <c r="V386" s="1">
        <v>50.61</v>
      </c>
      <c r="W386" s="1" cm="1">
        <f t="array" ref="W386">SUM(ABS(S386:V386))</f>
        <v>891.25</v>
      </c>
      <c r="X386" s="25">
        <v>1.238</v>
      </c>
      <c r="Y386" s="42">
        <f t="shared" si="66"/>
        <v>275841.875</v>
      </c>
      <c r="Z386" s="20">
        <v>701.40000000000009</v>
      </c>
      <c r="AA386" s="20">
        <f t="shared" si="67"/>
        <v>1592.65</v>
      </c>
      <c r="AB386" s="21">
        <v>98.18</v>
      </c>
      <c r="AC386" s="21">
        <v>6.67</v>
      </c>
      <c r="AD386" s="8">
        <f t="shared" si="68"/>
        <v>806.25000000000011</v>
      </c>
      <c r="AE386" s="25">
        <v>1.238</v>
      </c>
      <c r="AF386" s="25">
        <f t="shared" si="69"/>
        <v>249534.37500000003</v>
      </c>
      <c r="AG386" s="25">
        <f t="shared" si="70"/>
        <v>525376.25</v>
      </c>
      <c r="AH386" s="1">
        <f t="shared" si="60"/>
        <v>3877.92</v>
      </c>
      <c r="AI386" s="1">
        <f t="shared" si="61"/>
        <v>3994.93</v>
      </c>
      <c r="AJ386" s="1">
        <v>4862.58</v>
      </c>
      <c r="AK386" s="1">
        <f t="shared" si="62"/>
        <v>-984.65999999999985</v>
      </c>
      <c r="AL386" s="29">
        <f t="shared" si="71"/>
        <v>867.65000000000009</v>
      </c>
      <c r="AM386" s="11">
        <f t="shared" si="63"/>
        <v>2969117.1529999999</v>
      </c>
    </row>
    <row r="387" spans="1:40" x14ac:dyDescent="0.3">
      <c r="A387" s="39">
        <v>45874.989583333336</v>
      </c>
      <c r="B387" s="1">
        <v>1466.13</v>
      </c>
      <c r="C387" s="11">
        <v>3.2732000000000001</v>
      </c>
      <c r="D387" s="1">
        <v>540.05999999999995</v>
      </c>
      <c r="E387" s="11">
        <v>3.0760000000000001</v>
      </c>
      <c r="F387" s="1">
        <v>516.34</v>
      </c>
      <c r="G387" s="11">
        <v>3.53</v>
      </c>
      <c r="H387" s="1">
        <v>-9.1199999999999992</v>
      </c>
      <c r="I387" s="11">
        <v>6.9995000000000003</v>
      </c>
      <c r="J387" s="1">
        <v>416.18</v>
      </c>
      <c r="K387" s="11">
        <v>3.1615199999999999</v>
      </c>
      <c r="L387" s="1">
        <v>0</v>
      </c>
      <c r="M387" s="11">
        <v>6.2</v>
      </c>
      <c r="N387" s="1">
        <v>18.62</v>
      </c>
      <c r="O387" s="11">
        <v>2.8224999999999998</v>
      </c>
      <c r="P387" s="1">
        <f t="shared" si="64"/>
        <v>2948.21</v>
      </c>
      <c r="Q387" s="1">
        <v>3075.88</v>
      </c>
      <c r="R387" s="16">
        <f t="shared" si="65"/>
        <v>2396830.5948999994</v>
      </c>
      <c r="S387" s="1">
        <v>-738.87</v>
      </c>
      <c r="T387" s="1">
        <v>35.93</v>
      </c>
      <c r="U387" s="1">
        <v>66.28</v>
      </c>
      <c r="V387" s="1">
        <v>50.63</v>
      </c>
      <c r="W387" s="1" cm="1">
        <f t="array" ref="W387">SUM(ABS(S387:V387))</f>
        <v>891.70999999999992</v>
      </c>
      <c r="X387" s="25">
        <v>1.238</v>
      </c>
      <c r="Y387" s="42">
        <f t="shared" si="66"/>
        <v>275984.245</v>
      </c>
      <c r="Z387" s="20">
        <v>717.54</v>
      </c>
      <c r="AA387" s="20">
        <f t="shared" si="67"/>
        <v>1609.25</v>
      </c>
      <c r="AB387" s="21">
        <v>98.2</v>
      </c>
      <c r="AC387" s="21">
        <v>6.2999999999999989</v>
      </c>
      <c r="AD387" s="8">
        <f t="shared" si="68"/>
        <v>822.04</v>
      </c>
      <c r="AE387" s="25">
        <v>1.238</v>
      </c>
      <c r="AF387" s="25">
        <f t="shared" si="69"/>
        <v>254421.38</v>
      </c>
      <c r="AG387" s="25">
        <f t="shared" si="70"/>
        <v>530405.625</v>
      </c>
      <c r="AH387" s="1">
        <f t="shared" si="60"/>
        <v>3770.25</v>
      </c>
      <c r="AI387" s="1">
        <f t="shared" si="61"/>
        <v>3897.92</v>
      </c>
      <c r="AJ387" s="1">
        <v>4768.18</v>
      </c>
      <c r="AK387" s="1">
        <f t="shared" si="62"/>
        <v>-997.93000000000029</v>
      </c>
      <c r="AL387" s="29">
        <f t="shared" si="71"/>
        <v>870.26000000000022</v>
      </c>
      <c r="AM387" s="11">
        <f t="shared" si="63"/>
        <v>2927236.2198999994</v>
      </c>
      <c r="AN387" s="31">
        <f>SUM(AM292:AM387)</f>
        <v>261304208.55904996</v>
      </c>
    </row>
    <row r="388" spans="1:40" x14ac:dyDescent="0.3">
      <c r="A388" s="39">
        <v>45905</v>
      </c>
      <c r="B388" s="1">
        <v>1467.26</v>
      </c>
      <c r="C388" s="11">
        <v>3.2732000000000001</v>
      </c>
      <c r="D388" s="1">
        <v>629.95000000000005</v>
      </c>
      <c r="E388" s="11">
        <v>3.0760000000000001</v>
      </c>
      <c r="F388" s="1">
        <v>415.72</v>
      </c>
      <c r="G388" s="11">
        <v>3.53</v>
      </c>
      <c r="H388" s="1">
        <v>-94.68</v>
      </c>
      <c r="I388" s="11">
        <v>4.4339300000000001</v>
      </c>
      <c r="J388" s="1">
        <v>545.77</v>
      </c>
      <c r="K388" s="11">
        <v>4.2558599999999993</v>
      </c>
      <c r="L388" s="1">
        <v>0</v>
      </c>
      <c r="M388" s="11">
        <v>6.2</v>
      </c>
      <c r="N388" s="1">
        <v>23.05</v>
      </c>
      <c r="O388" s="11">
        <v>2.8224999999999998</v>
      </c>
      <c r="P388" s="1">
        <f t="shared" si="64"/>
        <v>2987.0700000000006</v>
      </c>
      <c r="Q388" s="1">
        <v>2970.63</v>
      </c>
      <c r="R388" s="16">
        <f t="shared" si="65"/>
        <v>2543957.0191999995</v>
      </c>
      <c r="S388" s="1">
        <v>-738.14</v>
      </c>
      <c r="T388" s="1">
        <v>35.950000000000003</v>
      </c>
      <c r="U388" s="1">
        <v>66.28</v>
      </c>
      <c r="V388" s="1">
        <v>35.479999999999997</v>
      </c>
      <c r="W388" s="1" cm="1">
        <f t="array" ref="W388">SUM(ABS(S388:V388))</f>
        <v>875.85</v>
      </c>
      <c r="X388" s="25">
        <v>1.238</v>
      </c>
      <c r="Y388" s="42">
        <f t="shared" si="66"/>
        <v>271075.57500000001</v>
      </c>
      <c r="Z388" s="20">
        <v>719.31999999999982</v>
      </c>
      <c r="AA388" s="20">
        <f t="shared" si="67"/>
        <v>1595.1699999999998</v>
      </c>
      <c r="AB388" s="21">
        <v>98.23</v>
      </c>
      <c r="AC388" s="21">
        <v>5.7500000000000009</v>
      </c>
      <c r="AD388" s="8">
        <f t="shared" si="68"/>
        <v>823.29999999999984</v>
      </c>
      <c r="AE388" s="25">
        <v>1.238</v>
      </c>
      <c r="AF388" s="25">
        <f t="shared" si="69"/>
        <v>254811.34999999995</v>
      </c>
      <c r="AG388" s="25">
        <f t="shared" si="70"/>
        <v>525886.92499999993</v>
      </c>
      <c r="AH388" s="1">
        <f t="shared" ref="AH388:AH451" si="72">B388+D388+F388+H388+J388+L388+N388+AD388</f>
        <v>3810.3700000000003</v>
      </c>
      <c r="AI388" s="1">
        <f t="shared" ref="AI388:AI451" si="73">Q388+AD388</f>
        <v>3793.93</v>
      </c>
      <c r="AJ388" s="1">
        <v>4648.8900000000003</v>
      </c>
      <c r="AK388" s="1">
        <f t="shared" ref="AK388:AK451" si="74">AH388-AJ388</f>
        <v>-838.52</v>
      </c>
      <c r="AL388" s="29">
        <f t="shared" si="71"/>
        <v>854.96000000000049</v>
      </c>
      <c r="AM388" s="11">
        <f t="shared" ref="AM388:AM451" si="75">(R388+AG388)</f>
        <v>3069843.9441999993</v>
      </c>
    </row>
    <row r="389" spans="1:40" x14ac:dyDescent="0.3">
      <c r="A389" s="39">
        <v>45905.010416666664</v>
      </c>
      <c r="B389" s="1">
        <v>1467.79</v>
      </c>
      <c r="C389" s="11">
        <v>3.2732000000000001</v>
      </c>
      <c r="D389" s="1">
        <v>636.95000000000005</v>
      </c>
      <c r="E389" s="11">
        <v>3.0760000000000001</v>
      </c>
      <c r="F389" s="1">
        <v>407.89</v>
      </c>
      <c r="G389" s="11">
        <v>3.53</v>
      </c>
      <c r="H389" s="1">
        <v>-101.9</v>
      </c>
      <c r="I389" s="11">
        <v>4.0137099999999997</v>
      </c>
      <c r="J389" s="1">
        <v>484</v>
      </c>
      <c r="K389" s="11">
        <v>4.1073999999999993</v>
      </c>
      <c r="L389" s="1">
        <v>0</v>
      </c>
      <c r="M389" s="11">
        <v>6.2</v>
      </c>
      <c r="N389" s="1">
        <v>22.56</v>
      </c>
      <c r="O389" s="11">
        <v>2.8224999999999998</v>
      </c>
      <c r="P389" s="1">
        <f t="shared" ref="P389:P452" si="76">(B389+D389+F389+H389+J389+L389+N389)</f>
        <v>2917.2899999999995</v>
      </c>
      <c r="Q389" s="1">
        <v>2935.73</v>
      </c>
      <c r="R389" s="16">
        <f t="shared" ref="R389:R452" si="77">(((B389*C389)+(D389*E389)+(F389*G389)+(H389*I389)+(J389*K389)+(L389*M389)+(N389*O389))*(1000/4))</f>
        <v>2461535.0697499998</v>
      </c>
      <c r="S389" s="1">
        <v>-738.56</v>
      </c>
      <c r="T389" s="1">
        <v>35.97</v>
      </c>
      <c r="U389" s="1">
        <v>66.27</v>
      </c>
      <c r="V389" s="1">
        <v>6.36</v>
      </c>
      <c r="W389" s="1" cm="1">
        <f t="array" ref="W389">SUM(ABS(S389:V389))</f>
        <v>847.16</v>
      </c>
      <c r="X389" s="25">
        <v>1.238</v>
      </c>
      <c r="Y389" s="42">
        <f t="shared" ref="Y389:Y452" si="78">((W389*X389)*1000)/4</f>
        <v>262196.01999999996</v>
      </c>
      <c r="Z389" s="20">
        <v>719.61</v>
      </c>
      <c r="AA389" s="20">
        <f t="shared" ref="AA389:AA452" si="79">W389+Z389</f>
        <v>1566.77</v>
      </c>
      <c r="AB389" s="21">
        <v>98.23</v>
      </c>
      <c r="AC389" s="21">
        <v>3.7700000000000005</v>
      </c>
      <c r="AD389" s="8">
        <f t="shared" ref="AD389:AD452" si="80">Z389+AB389+AC389</f>
        <v>821.61</v>
      </c>
      <c r="AE389" s="25">
        <v>1.238</v>
      </c>
      <c r="AF389" s="25">
        <f t="shared" ref="AF389:AF452" si="81">((AD389*AE389*1000)/4)</f>
        <v>254288.29500000001</v>
      </c>
      <c r="AG389" s="25">
        <f t="shared" ref="AG389:AG452" si="82">Y389+AF389</f>
        <v>516484.31499999994</v>
      </c>
      <c r="AH389" s="1">
        <f t="shared" si="72"/>
        <v>3738.8999999999996</v>
      </c>
      <c r="AI389" s="1">
        <f t="shared" si="73"/>
        <v>3757.34</v>
      </c>
      <c r="AJ389" s="1">
        <v>4562.09</v>
      </c>
      <c r="AK389" s="1">
        <f t="shared" si="74"/>
        <v>-823.19000000000051</v>
      </c>
      <c r="AL389" s="29">
        <f t="shared" ref="AL389:AL452" si="83">AJ389-AI389</f>
        <v>804.75</v>
      </c>
      <c r="AM389" s="11">
        <f t="shared" si="75"/>
        <v>2978019.3847499997</v>
      </c>
    </row>
    <row r="390" spans="1:40" x14ac:dyDescent="0.3">
      <c r="A390" s="39">
        <v>45905.020833333336</v>
      </c>
      <c r="B390" s="1">
        <v>1467.82</v>
      </c>
      <c r="C390" s="11">
        <v>3.2732000000000001</v>
      </c>
      <c r="D390" s="1">
        <v>636.95000000000005</v>
      </c>
      <c r="E390" s="11">
        <v>3.0760000000000001</v>
      </c>
      <c r="F390" s="1">
        <v>407.89</v>
      </c>
      <c r="G390" s="11">
        <v>3.53</v>
      </c>
      <c r="H390" s="1">
        <v>-101.9</v>
      </c>
      <c r="I390" s="11">
        <v>3.9698000000000002</v>
      </c>
      <c r="J390" s="1">
        <v>523.96</v>
      </c>
      <c r="K390" s="11">
        <v>3.00034</v>
      </c>
      <c r="L390" s="1">
        <v>0</v>
      </c>
      <c r="M390" s="11">
        <v>6.2</v>
      </c>
      <c r="N390" s="1">
        <v>12.76</v>
      </c>
      <c r="O390" s="11">
        <v>2.8224999999999998</v>
      </c>
      <c r="P390" s="1">
        <f t="shared" si="76"/>
        <v>2947.48</v>
      </c>
      <c r="Q390" s="1">
        <v>2885.42</v>
      </c>
      <c r="R390" s="16">
        <f t="shared" si="77"/>
        <v>2351782.2376000006</v>
      </c>
      <c r="S390" s="1">
        <v>-727.01</v>
      </c>
      <c r="T390" s="1">
        <v>35.950000000000003</v>
      </c>
      <c r="U390" s="1">
        <v>47.92</v>
      </c>
      <c r="V390" s="1">
        <v>6.37</v>
      </c>
      <c r="W390" s="1" cm="1">
        <f t="array" ref="W390">SUM(ABS(S390:V390))</f>
        <v>817.25</v>
      </c>
      <c r="X390" s="25">
        <v>1.238</v>
      </c>
      <c r="Y390" s="42">
        <f t="shared" si="78"/>
        <v>252938.875</v>
      </c>
      <c r="Z390" s="20">
        <v>713.78000000000009</v>
      </c>
      <c r="AA390" s="20">
        <f t="shared" si="79"/>
        <v>1531.0300000000002</v>
      </c>
      <c r="AB390" s="21">
        <v>98.23</v>
      </c>
      <c r="AC390" s="21">
        <v>2.5100000000000002</v>
      </c>
      <c r="AD390" s="8">
        <f t="shared" si="80"/>
        <v>814.5200000000001</v>
      </c>
      <c r="AE390" s="25">
        <v>1.238</v>
      </c>
      <c r="AF390" s="25">
        <f t="shared" si="81"/>
        <v>252093.94000000003</v>
      </c>
      <c r="AG390" s="25">
        <f t="shared" si="82"/>
        <v>505032.81500000006</v>
      </c>
      <c r="AH390" s="1">
        <f t="shared" si="72"/>
        <v>3762</v>
      </c>
      <c r="AI390" s="1">
        <f t="shared" si="73"/>
        <v>3699.94</v>
      </c>
      <c r="AJ390" s="1">
        <v>4467.3500000000004</v>
      </c>
      <c r="AK390" s="1">
        <f t="shared" si="74"/>
        <v>-705.35000000000036</v>
      </c>
      <c r="AL390" s="29">
        <f t="shared" si="83"/>
        <v>767.41000000000031</v>
      </c>
      <c r="AM390" s="11">
        <f t="shared" si="75"/>
        <v>2856815.0526000005</v>
      </c>
    </row>
    <row r="391" spans="1:40" x14ac:dyDescent="0.3">
      <c r="A391" s="39">
        <v>45905.03125</v>
      </c>
      <c r="B391" s="1">
        <v>1467.82</v>
      </c>
      <c r="C391" s="11">
        <v>3.2732000000000001</v>
      </c>
      <c r="D391" s="1">
        <v>636.95000000000005</v>
      </c>
      <c r="E391" s="11">
        <v>3.0760000000000001</v>
      </c>
      <c r="F391" s="1">
        <v>407.89</v>
      </c>
      <c r="G391" s="11">
        <v>3.53</v>
      </c>
      <c r="H391" s="1">
        <v>-101.9</v>
      </c>
      <c r="I391" s="11">
        <v>4.0086300000000001</v>
      </c>
      <c r="J391" s="1">
        <v>482.01</v>
      </c>
      <c r="K391" s="11">
        <v>2.94923</v>
      </c>
      <c r="L391" s="1">
        <v>0</v>
      </c>
      <c r="M391" s="11">
        <v>6.2</v>
      </c>
      <c r="N391" s="1">
        <v>11.44</v>
      </c>
      <c r="O391" s="11">
        <v>2.8224999999999998</v>
      </c>
      <c r="P391" s="1">
        <f t="shared" si="76"/>
        <v>2904.2099999999996</v>
      </c>
      <c r="Q391" s="1">
        <v>2856.39</v>
      </c>
      <c r="R391" s="16">
        <f t="shared" si="77"/>
        <v>2312236.6698249998</v>
      </c>
      <c r="S391" s="1">
        <v>-736.11</v>
      </c>
      <c r="T391" s="1">
        <v>35.979999999999997</v>
      </c>
      <c r="U391" s="1">
        <v>12</v>
      </c>
      <c r="V391" s="1">
        <v>6.41</v>
      </c>
      <c r="W391" s="1" cm="1">
        <f t="array" ref="W391">SUM(ABS(S391:V391))</f>
        <v>790.5</v>
      </c>
      <c r="X391" s="25">
        <v>1.238</v>
      </c>
      <c r="Y391" s="42">
        <f t="shared" si="78"/>
        <v>244659.75</v>
      </c>
      <c r="Z391" s="20">
        <v>695.08999999999992</v>
      </c>
      <c r="AA391" s="20">
        <f t="shared" si="79"/>
        <v>1485.59</v>
      </c>
      <c r="AB391" s="21">
        <v>98.23</v>
      </c>
      <c r="AC391" s="21">
        <v>2.7199999999999998</v>
      </c>
      <c r="AD391" s="8">
        <f t="shared" si="80"/>
        <v>796.04</v>
      </c>
      <c r="AE391" s="25">
        <v>1.238</v>
      </c>
      <c r="AF391" s="25">
        <f t="shared" si="81"/>
        <v>246374.37999999998</v>
      </c>
      <c r="AG391" s="25">
        <f t="shared" si="82"/>
        <v>491034.13</v>
      </c>
      <c r="AH391" s="1">
        <f t="shared" si="72"/>
        <v>3700.2499999999995</v>
      </c>
      <c r="AI391" s="1">
        <f t="shared" si="73"/>
        <v>3652.43</v>
      </c>
      <c r="AJ391" s="1">
        <v>4395.88</v>
      </c>
      <c r="AK391" s="1">
        <f t="shared" si="74"/>
        <v>-695.63000000000056</v>
      </c>
      <c r="AL391" s="29">
        <f t="shared" si="83"/>
        <v>743.45000000000027</v>
      </c>
      <c r="AM391" s="11">
        <f t="shared" si="75"/>
        <v>2803270.7998249996</v>
      </c>
    </row>
    <row r="392" spans="1:40" x14ac:dyDescent="0.3">
      <c r="A392" s="39">
        <v>45905.041666666664</v>
      </c>
      <c r="B392" s="1">
        <v>1467.82</v>
      </c>
      <c r="C392" s="11">
        <v>3.2732000000000001</v>
      </c>
      <c r="D392" s="1">
        <v>636.95000000000005</v>
      </c>
      <c r="E392" s="11">
        <v>3.0760000000000001</v>
      </c>
      <c r="F392" s="1">
        <v>407.89</v>
      </c>
      <c r="G392" s="11">
        <v>3.53</v>
      </c>
      <c r="H392" s="1">
        <v>-101.9</v>
      </c>
      <c r="I392" s="11">
        <v>3.7009600000000002</v>
      </c>
      <c r="J392" s="1">
        <v>388.76</v>
      </c>
      <c r="K392" s="11">
        <v>3.0004</v>
      </c>
      <c r="L392" s="1">
        <v>0</v>
      </c>
      <c r="M392" s="11">
        <v>6.2</v>
      </c>
      <c r="N392" s="1">
        <v>10.84</v>
      </c>
      <c r="O392" s="11">
        <v>2.8224999999999998</v>
      </c>
      <c r="P392" s="1">
        <f t="shared" si="76"/>
        <v>2810.3599999999997</v>
      </c>
      <c r="Q392" s="1">
        <v>2786.81</v>
      </c>
      <c r="R392" s="16">
        <f t="shared" si="77"/>
        <v>2255870.4760000003</v>
      </c>
      <c r="S392" s="1">
        <v>-734.8</v>
      </c>
      <c r="T392" s="1">
        <v>35.979999999999997</v>
      </c>
      <c r="U392" s="1">
        <v>12</v>
      </c>
      <c r="V392" s="1">
        <v>6.46</v>
      </c>
      <c r="W392" s="1" cm="1">
        <f t="array" ref="W392">SUM(ABS(S392:V392))</f>
        <v>789.24</v>
      </c>
      <c r="X392" s="25">
        <v>1.238</v>
      </c>
      <c r="Y392" s="42">
        <f t="shared" si="78"/>
        <v>244269.78</v>
      </c>
      <c r="Z392" s="20">
        <v>691.33</v>
      </c>
      <c r="AA392" s="20">
        <f t="shared" si="79"/>
        <v>1480.5700000000002</v>
      </c>
      <c r="AB392" s="21">
        <v>98.23</v>
      </c>
      <c r="AC392" s="21">
        <v>2.74</v>
      </c>
      <c r="AD392" s="8">
        <f t="shared" si="80"/>
        <v>792.30000000000007</v>
      </c>
      <c r="AE392" s="25">
        <v>1.238</v>
      </c>
      <c r="AF392" s="25">
        <f t="shared" si="81"/>
        <v>245216.85000000003</v>
      </c>
      <c r="AG392" s="25">
        <f t="shared" si="82"/>
        <v>489486.63</v>
      </c>
      <c r="AH392" s="1">
        <f t="shared" si="72"/>
        <v>3602.66</v>
      </c>
      <c r="AI392" s="1">
        <f t="shared" si="73"/>
        <v>3579.11</v>
      </c>
      <c r="AJ392" s="1">
        <v>4322.13</v>
      </c>
      <c r="AK392" s="1">
        <f t="shared" si="74"/>
        <v>-719.47000000000025</v>
      </c>
      <c r="AL392" s="29">
        <f t="shared" si="83"/>
        <v>743.02</v>
      </c>
      <c r="AM392" s="11">
        <f t="shared" si="75"/>
        <v>2745357.1060000001</v>
      </c>
    </row>
    <row r="393" spans="1:40" x14ac:dyDescent="0.3">
      <c r="A393" s="39">
        <v>45905.052083333336</v>
      </c>
      <c r="B393" s="1">
        <v>1467.82</v>
      </c>
      <c r="C393" s="11">
        <v>3.2732000000000001</v>
      </c>
      <c r="D393" s="1">
        <v>636.95000000000005</v>
      </c>
      <c r="E393" s="11">
        <v>3.0760000000000001</v>
      </c>
      <c r="F393" s="1">
        <v>407.89</v>
      </c>
      <c r="G393" s="11">
        <v>3.53</v>
      </c>
      <c r="H393" s="1">
        <v>-101.9</v>
      </c>
      <c r="I393" s="11">
        <v>3.5897399999999999</v>
      </c>
      <c r="J393" s="1">
        <v>337.22</v>
      </c>
      <c r="K393" s="11">
        <v>2.9993000000000003</v>
      </c>
      <c r="L393" s="1">
        <v>0</v>
      </c>
      <c r="M393" s="11">
        <v>6.2</v>
      </c>
      <c r="N393" s="1">
        <v>10.52</v>
      </c>
      <c r="O393" s="11">
        <v>2.8224999999999998</v>
      </c>
      <c r="P393" s="1">
        <f t="shared" si="76"/>
        <v>2758.4999999999995</v>
      </c>
      <c r="Q393" s="1">
        <v>2745.61</v>
      </c>
      <c r="R393" s="16">
        <f t="shared" si="77"/>
        <v>2219725.1159999999</v>
      </c>
      <c r="S393" s="1">
        <v>-733.91</v>
      </c>
      <c r="T393" s="1">
        <v>35.979999999999997</v>
      </c>
      <c r="U393" s="1">
        <v>12</v>
      </c>
      <c r="V393" s="1">
        <v>6.45</v>
      </c>
      <c r="W393" s="1" cm="1">
        <f t="array" ref="W393">SUM(ABS(S393:V393))</f>
        <v>788.34</v>
      </c>
      <c r="X393" s="25">
        <v>1.238</v>
      </c>
      <c r="Y393" s="42">
        <f t="shared" si="78"/>
        <v>243991.23</v>
      </c>
      <c r="Z393" s="20">
        <v>672.2399999999999</v>
      </c>
      <c r="AA393" s="20">
        <f t="shared" si="79"/>
        <v>1460.58</v>
      </c>
      <c r="AB393" s="21">
        <v>98.23</v>
      </c>
      <c r="AC393" s="21">
        <v>3.8</v>
      </c>
      <c r="AD393" s="8">
        <f t="shared" si="80"/>
        <v>774.26999999999987</v>
      </c>
      <c r="AE393" s="25">
        <v>1.238</v>
      </c>
      <c r="AF393" s="25">
        <f t="shared" si="81"/>
        <v>239636.56499999997</v>
      </c>
      <c r="AG393" s="25">
        <f t="shared" si="82"/>
        <v>483627.79499999998</v>
      </c>
      <c r="AH393" s="1">
        <f t="shared" si="72"/>
        <v>3532.7699999999995</v>
      </c>
      <c r="AI393" s="1">
        <f t="shared" si="73"/>
        <v>3519.88</v>
      </c>
      <c r="AJ393" s="1">
        <v>4262.07</v>
      </c>
      <c r="AK393" s="1">
        <f t="shared" si="74"/>
        <v>-729.30000000000018</v>
      </c>
      <c r="AL393" s="29">
        <f t="shared" si="83"/>
        <v>742.1899999999996</v>
      </c>
      <c r="AM393" s="11">
        <f t="shared" si="75"/>
        <v>2703352.9109999998</v>
      </c>
    </row>
    <row r="394" spans="1:40" x14ac:dyDescent="0.3">
      <c r="A394" s="39">
        <v>45905.0625</v>
      </c>
      <c r="B394" s="1">
        <v>1467.82</v>
      </c>
      <c r="C394" s="11">
        <v>3.2732000000000001</v>
      </c>
      <c r="D394" s="1">
        <v>636.95000000000005</v>
      </c>
      <c r="E394" s="11">
        <v>3.0760000000000001</v>
      </c>
      <c r="F394" s="1">
        <v>407.89</v>
      </c>
      <c r="G394" s="11">
        <v>3.53</v>
      </c>
      <c r="H394" s="1">
        <v>-101.9</v>
      </c>
      <c r="I394" s="11">
        <v>3.55843</v>
      </c>
      <c r="J394" s="1">
        <v>334.06</v>
      </c>
      <c r="K394" s="11">
        <v>3.8804400000000001</v>
      </c>
      <c r="L394" s="1">
        <v>0</v>
      </c>
      <c r="M394" s="11">
        <v>6.2</v>
      </c>
      <c r="N394" s="1">
        <v>9.11</v>
      </c>
      <c r="O394" s="11">
        <v>2.8224999999999998</v>
      </c>
      <c r="P394" s="1">
        <f t="shared" si="76"/>
        <v>2753.93</v>
      </c>
      <c r="Q394" s="1">
        <v>2700.74</v>
      </c>
      <c r="R394" s="16">
        <f t="shared" si="77"/>
        <v>2290746.7671000003</v>
      </c>
      <c r="S394" s="1">
        <v>-728.26</v>
      </c>
      <c r="T394" s="1">
        <v>36</v>
      </c>
      <c r="U394" s="1">
        <v>12</v>
      </c>
      <c r="V394" s="1">
        <v>6.44</v>
      </c>
      <c r="W394" s="1" cm="1">
        <f t="array" ref="W394">SUM(ABS(S394:V394))</f>
        <v>782.7</v>
      </c>
      <c r="X394" s="25">
        <v>1.238</v>
      </c>
      <c r="Y394" s="42">
        <f t="shared" si="78"/>
        <v>242245.65000000002</v>
      </c>
      <c r="Z394" s="20">
        <v>631.32000000000005</v>
      </c>
      <c r="AA394" s="20">
        <f t="shared" si="79"/>
        <v>1414.02</v>
      </c>
      <c r="AB394" s="21">
        <v>98.23</v>
      </c>
      <c r="AC394" s="21">
        <v>3.9300000000000006</v>
      </c>
      <c r="AD394" s="8">
        <f t="shared" si="80"/>
        <v>733.48</v>
      </c>
      <c r="AE394" s="25">
        <v>1.238</v>
      </c>
      <c r="AF394" s="25">
        <f t="shared" si="81"/>
        <v>227012.06</v>
      </c>
      <c r="AG394" s="25">
        <f t="shared" si="82"/>
        <v>469257.71</v>
      </c>
      <c r="AH394" s="1">
        <f t="shared" si="72"/>
        <v>3487.41</v>
      </c>
      <c r="AI394" s="1">
        <f t="shared" si="73"/>
        <v>3434.22</v>
      </c>
      <c r="AJ394" s="1">
        <v>4172.18</v>
      </c>
      <c r="AK394" s="1">
        <f t="shared" si="74"/>
        <v>-684.77000000000044</v>
      </c>
      <c r="AL394" s="29">
        <f t="shared" si="83"/>
        <v>737.96000000000049</v>
      </c>
      <c r="AM394" s="11">
        <f t="shared" si="75"/>
        <v>2760004.4771000003</v>
      </c>
    </row>
    <row r="395" spans="1:40" x14ac:dyDescent="0.3">
      <c r="A395" s="39">
        <v>45905.072916666664</v>
      </c>
      <c r="B395" s="1">
        <v>1467.82</v>
      </c>
      <c r="C395" s="11">
        <v>3.2732000000000001</v>
      </c>
      <c r="D395" s="1">
        <v>636.95000000000005</v>
      </c>
      <c r="E395" s="11">
        <v>3.0760000000000001</v>
      </c>
      <c r="F395" s="1">
        <v>407.89</v>
      </c>
      <c r="G395" s="11">
        <v>3.53</v>
      </c>
      <c r="H395" s="1">
        <v>-101.9</v>
      </c>
      <c r="I395" s="11">
        <v>3.5658300000000001</v>
      </c>
      <c r="J395" s="1">
        <v>243.85</v>
      </c>
      <c r="K395" s="11">
        <v>3.8809</v>
      </c>
      <c r="L395" s="1">
        <v>0</v>
      </c>
      <c r="M395" s="11">
        <v>6.2</v>
      </c>
      <c r="N395" s="1">
        <v>8.44</v>
      </c>
      <c r="O395" s="11">
        <v>2.8224999999999998</v>
      </c>
      <c r="P395" s="1">
        <f t="shared" si="76"/>
        <v>2663.0499999999997</v>
      </c>
      <c r="Q395" s="1">
        <v>2674.51</v>
      </c>
      <c r="R395" s="16">
        <f t="shared" si="77"/>
        <v>2202599.9030000004</v>
      </c>
      <c r="S395" s="1">
        <v>-729.17</v>
      </c>
      <c r="T395" s="1">
        <v>36.020000000000003</v>
      </c>
      <c r="U395" s="1">
        <v>12</v>
      </c>
      <c r="V395" s="1">
        <v>6.43</v>
      </c>
      <c r="W395" s="1" cm="1">
        <f t="array" ref="W395">SUM(ABS(S395:V395))</f>
        <v>783.61999999999989</v>
      </c>
      <c r="X395" s="25">
        <v>1.238</v>
      </c>
      <c r="Y395" s="42">
        <f t="shared" si="78"/>
        <v>242530.38999999996</v>
      </c>
      <c r="Z395" s="20">
        <v>571.94000000000005</v>
      </c>
      <c r="AA395" s="20">
        <f t="shared" si="79"/>
        <v>1355.56</v>
      </c>
      <c r="AB395" s="21">
        <v>98.220000000000013</v>
      </c>
      <c r="AC395" s="21">
        <v>5.09</v>
      </c>
      <c r="AD395" s="8">
        <f t="shared" si="80"/>
        <v>675.25000000000011</v>
      </c>
      <c r="AE395" s="25">
        <v>1.238</v>
      </c>
      <c r="AF395" s="25">
        <f t="shared" si="81"/>
        <v>208989.87500000003</v>
      </c>
      <c r="AG395" s="25">
        <f t="shared" si="82"/>
        <v>451520.26500000001</v>
      </c>
      <c r="AH395" s="1">
        <f t="shared" si="72"/>
        <v>3338.2999999999997</v>
      </c>
      <c r="AI395" s="1">
        <f t="shared" si="73"/>
        <v>3349.76</v>
      </c>
      <c r="AJ395" s="1">
        <v>4088.9</v>
      </c>
      <c r="AK395" s="1">
        <f t="shared" si="74"/>
        <v>-750.60000000000036</v>
      </c>
      <c r="AL395" s="29">
        <f t="shared" si="83"/>
        <v>739.13999999999987</v>
      </c>
      <c r="AM395" s="11">
        <f t="shared" si="75"/>
        <v>2654120.1680000005</v>
      </c>
    </row>
    <row r="396" spans="1:40" x14ac:dyDescent="0.3">
      <c r="A396" s="39">
        <v>45905.083333333336</v>
      </c>
      <c r="B396" s="1">
        <v>1467.82</v>
      </c>
      <c r="C396" s="11">
        <v>3.2732000000000001</v>
      </c>
      <c r="D396" s="1">
        <v>636.95000000000005</v>
      </c>
      <c r="E396" s="11">
        <v>3.0760000000000001</v>
      </c>
      <c r="F396" s="1">
        <v>399.24</v>
      </c>
      <c r="G396" s="11">
        <v>3.53</v>
      </c>
      <c r="H396" s="1">
        <v>-101.9</v>
      </c>
      <c r="I396" s="11">
        <v>3.55165</v>
      </c>
      <c r="J396" s="1">
        <v>552.86</v>
      </c>
      <c r="K396" s="11">
        <v>3.75177</v>
      </c>
      <c r="L396" s="1">
        <v>0</v>
      </c>
      <c r="M396" s="11">
        <v>6.2</v>
      </c>
      <c r="N396" s="1">
        <v>6.18</v>
      </c>
      <c r="O396" s="11">
        <v>2.8224999999999998</v>
      </c>
      <c r="P396" s="1">
        <f t="shared" si="76"/>
        <v>2961.15</v>
      </c>
      <c r="Q396" s="1">
        <v>2804.08</v>
      </c>
      <c r="R396" s="16">
        <f t="shared" si="77"/>
        <v>2475694.3253000006</v>
      </c>
      <c r="S396" s="1">
        <v>-628.95000000000005</v>
      </c>
      <c r="T396" s="1">
        <v>36.04</v>
      </c>
      <c r="U396" s="1">
        <v>12</v>
      </c>
      <c r="V396" s="1">
        <v>6.42</v>
      </c>
      <c r="W396" s="1" cm="1">
        <f t="array" ref="W396">SUM(ABS(S396:V396))</f>
        <v>683.41</v>
      </c>
      <c r="X396" s="25">
        <v>1.238</v>
      </c>
      <c r="Y396" s="42">
        <f t="shared" si="78"/>
        <v>211515.39499999999</v>
      </c>
      <c r="Z396" s="20">
        <v>476.01</v>
      </c>
      <c r="AA396" s="20">
        <f t="shared" si="79"/>
        <v>1159.42</v>
      </c>
      <c r="AB396" s="21">
        <v>98.220000000000013</v>
      </c>
      <c r="AC396" s="21">
        <v>7.58</v>
      </c>
      <c r="AD396" s="8">
        <f t="shared" si="80"/>
        <v>581.81000000000006</v>
      </c>
      <c r="AE396" s="25">
        <v>1.238</v>
      </c>
      <c r="AF396" s="25">
        <f t="shared" si="81"/>
        <v>180070.19500000001</v>
      </c>
      <c r="AG396" s="25">
        <f t="shared" si="82"/>
        <v>391585.58999999997</v>
      </c>
      <c r="AH396" s="1">
        <f t="shared" si="72"/>
        <v>3542.96</v>
      </c>
      <c r="AI396" s="1">
        <f t="shared" si="73"/>
        <v>3385.89</v>
      </c>
      <c r="AJ396" s="1">
        <v>4016.68</v>
      </c>
      <c r="AK396" s="1">
        <f t="shared" si="74"/>
        <v>-473.7199999999998</v>
      </c>
      <c r="AL396" s="29">
        <f t="shared" si="83"/>
        <v>630.79</v>
      </c>
      <c r="AM396" s="11">
        <f t="shared" si="75"/>
        <v>2867279.9153000005</v>
      </c>
    </row>
    <row r="397" spans="1:40" x14ac:dyDescent="0.3">
      <c r="A397" s="39">
        <v>45905.09375</v>
      </c>
      <c r="B397" s="1">
        <v>1467.82</v>
      </c>
      <c r="C397" s="11">
        <v>3.2732000000000001</v>
      </c>
      <c r="D397" s="1">
        <v>636.95000000000005</v>
      </c>
      <c r="E397" s="11">
        <v>3.0760000000000001</v>
      </c>
      <c r="F397" s="1">
        <v>398.57</v>
      </c>
      <c r="G397" s="11">
        <v>3.53</v>
      </c>
      <c r="H397" s="1">
        <v>-101.9</v>
      </c>
      <c r="I397" s="11">
        <v>3.53267</v>
      </c>
      <c r="J397" s="1">
        <v>530.28</v>
      </c>
      <c r="K397" s="11">
        <v>3.7511300000000003</v>
      </c>
      <c r="L397" s="1">
        <v>0</v>
      </c>
      <c r="M397" s="11">
        <v>6.2</v>
      </c>
      <c r="N397" s="1">
        <v>6</v>
      </c>
      <c r="O397" s="11">
        <v>2.8224999999999998</v>
      </c>
      <c r="P397" s="1">
        <f t="shared" si="76"/>
        <v>2937.7200000000003</v>
      </c>
      <c r="Q397" s="1">
        <v>2874.63</v>
      </c>
      <c r="R397" s="16">
        <f t="shared" si="77"/>
        <v>2454195.96685</v>
      </c>
      <c r="S397" s="1">
        <v>-565.5</v>
      </c>
      <c r="T397" s="1">
        <v>36.06</v>
      </c>
      <c r="U397" s="1">
        <v>12</v>
      </c>
      <c r="V397" s="1">
        <v>6.39</v>
      </c>
      <c r="W397" s="1" cm="1">
        <f t="array" ref="W397">SUM(ABS(S397:V397))</f>
        <v>619.94999999999993</v>
      </c>
      <c r="X397" s="25">
        <v>1.238</v>
      </c>
      <c r="Y397" s="42">
        <f t="shared" si="78"/>
        <v>191874.52499999997</v>
      </c>
      <c r="Z397" s="20">
        <v>421.32</v>
      </c>
      <c r="AA397" s="20">
        <f t="shared" si="79"/>
        <v>1041.27</v>
      </c>
      <c r="AB397" s="21">
        <v>98.210000000000008</v>
      </c>
      <c r="AC397" s="21">
        <v>8.4500000000000011</v>
      </c>
      <c r="AD397" s="8">
        <f t="shared" si="80"/>
        <v>527.98</v>
      </c>
      <c r="AE397" s="25">
        <v>1.238</v>
      </c>
      <c r="AF397" s="25">
        <f t="shared" si="81"/>
        <v>163409.81</v>
      </c>
      <c r="AG397" s="25">
        <f t="shared" si="82"/>
        <v>355284.33499999996</v>
      </c>
      <c r="AH397" s="1">
        <f t="shared" si="72"/>
        <v>3465.7000000000003</v>
      </c>
      <c r="AI397" s="1">
        <f t="shared" si="73"/>
        <v>3402.61</v>
      </c>
      <c r="AJ397" s="1">
        <v>3954.77</v>
      </c>
      <c r="AK397" s="1">
        <f t="shared" si="74"/>
        <v>-489.06999999999971</v>
      </c>
      <c r="AL397" s="29">
        <f t="shared" si="83"/>
        <v>552.15999999999985</v>
      </c>
      <c r="AM397" s="11">
        <f t="shared" si="75"/>
        <v>2809480.3018499999</v>
      </c>
    </row>
    <row r="398" spans="1:40" x14ac:dyDescent="0.3">
      <c r="A398" s="39">
        <v>45905.104166666664</v>
      </c>
      <c r="B398" s="1">
        <v>1467.82</v>
      </c>
      <c r="C398" s="11">
        <v>3.2732000000000001</v>
      </c>
      <c r="D398" s="1">
        <v>636.95000000000005</v>
      </c>
      <c r="E398" s="11">
        <v>3.0760000000000001</v>
      </c>
      <c r="F398" s="1">
        <v>398.57</v>
      </c>
      <c r="G398" s="11">
        <v>3.53</v>
      </c>
      <c r="H398" s="1">
        <v>-101.9</v>
      </c>
      <c r="I398" s="11">
        <v>3.54033</v>
      </c>
      <c r="J398" s="1">
        <v>527.12</v>
      </c>
      <c r="K398" s="11">
        <v>3.8002500000000001</v>
      </c>
      <c r="L398" s="1">
        <v>0</v>
      </c>
      <c r="M398" s="11">
        <v>6.2</v>
      </c>
      <c r="N398" s="1">
        <v>6</v>
      </c>
      <c r="O398" s="11">
        <v>2.8224999999999998</v>
      </c>
      <c r="P398" s="1">
        <f t="shared" si="76"/>
        <v>2934.56</v>
      </c>
      <c r="Q398" s="1">
        <v>2822.02</v>
      </c>
      <c r="R398" s="16">
        <f t="shared" si="77"/>
        <v>2457510.4692499996</v>
      </c>
      <c r="S398" s="1">
        <v>-577.79</v>
      </c>
      <c r="T398" s="1">
        <v>36.07</v>
      </c>
      <c r="U398" s="1">
        <v>12</v>
      </c>
      <c r="V398" s="1">
        <v>6.38</v>
      </c>
      <c r="W398" s="1" cm="1">
        <f t="array" ref="W398">SUM(ABS(S398:V398))</f>
        <v>632.24</v>
      </c>
      <c r="X398" s="25">
        <v>1.238</v>
      </c>
      <c r="Y398" s="42">
        <f t="shared" si="78"/>
        <v>195678.28</v>
      </c>
      <c r="Z398" s="20">
        <v>421.35999999999996</v>
      </c>
      <c r="AA398" s="20">
        <f t="shared" si="79"/>
        <v>1053.5999999999999</v>
      </c>
      <c r="AB398" s="21">
        <v>98.220000000000013</v>
      </c>
      <c r="AC398" s="21">
        <v>7.23</v>
      </c>
      <c r="AD398" s="8">
        <f t="shared" si="80"/>
        <v>526.80999999999995</v>
      </c>
      <c r="AE398" s="25">
        <v>1.238</v>
      </c>
      <c r="AF398" s="25">
        <f t="shared" si="81"/>
        <v>163047.69499999998</v>
      </c>
      <c r="AG398" s="25">
        <f t="shared" si="82"/>
        <v>358725.97499999998</v>
      </c>
      <c r="AH398" s="1">
        <f t="shared" si="72"/>
        <v>3461.37</v>
      </c>
      <c r="AI398" s="1">
        <f t="shared" si="73"/>
        <v>3348.83</v>
      </c>
      <c r="AJ398" s="1">
        <v>3916.9</v>
      </c>
      <c r="AK398" s="1">
        <f t="shared" si="74"/>
        <v>-455.5300000000002</v>
      </c>
      <c r="AL398" s="29">
        <f t="shared" si="83"/>
        <v>568.07000000000016</v>
      </c>
      <c r="AM398" s="11">
        <f t="shared" si="75"/>
        <v>2816236.4442499997</v>
      </c>
    </row>
    <row r="399" spans="1:40" x14ac:dyDescent="0.3">
      <c r="A399" s="39">
        <v>45905.114583333336</v>
      </c>
      <c r="B399" s="1">
        <v>1467.82</v>
      </c>
      <c r="C399" s="11">
        <v>3.2732000000000001</v>
      </c>
      <c r="D399" s="1">
        <v>636.95000000000005</v>
      </c>
      <c r="E399" s="11">
        <v>3.0760000000000001</v>
      </c>
      <c r="F399" s="1">
        <v>398.57</v>
      </c>
      <c r="G399" s="11">
        <v>3.53</v>
      </c>
      <c r="H399" s="1">
        <v>-101.9</v>
      </c>
      <c r="I399" s="11">
        <v>3.50386</v>
      </c>
      <c r="J399" s="1">
        <v>491.03</v>
      </c>
      <c r="K399" s="11">
        <v>3.8003800000000001</v>
      </c>
      <c r="L399" s="1">
        <v>0</v>
      </c>
      <c r="M399" s="11">
        <v>6.2</v>
      </c>
      <c r="N399" s="1">
        <v>6</v>
      </c>
      <c r="O399" s="11">
        <v>2.8224999999999998</v>
      </c>
      <c r="P399" s="1">
        <f t="shared" si="76"/>
        <v>2898.4700000000003</v>
      </c>
      <c r="Q399" s="1">
        <v>2837.51</v>
      </c>
      <c r="R399" s="16">
        <f t="shared" si="77"/>
        <v>2424167.7453499995</v>
      </c>
      <c r="S399" s="1">
        <v>-519.88</v>
      </c>
      <c r="T399" s="1">
        <v>36.04</v>
      </c>
      <c r="U399" s="1">
        <v>12</v>
      </c>
      <c r="V399" s="1">
        <v>6.38</v>
      </c>
      <c r="W399" s="1" cm="1">
        <f t="array" ref="W399">SUM(ABS(S399:V399))</f>
        <v>574.29999999999995</v>
      </c>
      <c r="X399" s="25">
        <v>1.238</v>
      </c>
      <c r="Y399" s="42">
        <f t="shared" si="78"/>
        <v>177745.84999999998</v>
      </c>
      <c r="Z399" s="20">
        <v>420.6</v>
      </c>
      <c r="AA399" s="20">
        <f t="shared" si="79"/>
        <v>994.9</v>
      </c>
      <c r="AB399" s="21">
        <v>98.220000000000013</v>
      </c>
      <c r="AC399" s="21">
        <v>6.0200000000000005</v>
      </c>
      <c r="AD399" s="8">
        <f t="shared" si="80"/>
        <v>524.84</v>
      </c>
      <c r="AE399" s="25">
        <v>1.238</v>
      </c>
      <c r="AF399" s="25">
        <f t="shared" si="81"/>
        <v>162437.98000000001</v>
      </c>
      <c r="AG399" s="25">
        <f t="shared" si="82"/>
        <v>340183.82999999996</v>
      </c>
      <c r="AH399" s="1">
        <f t="shared" si="72"/>
        <v>3423.3100000000004</v>
      </c>
      <c r="AI399" s="1">
        <f t="shared" si="73"/>
        <v>3362.3500000000004</v>
      </c>
      <c r="AJ399" s="1">
        <v>3875.15</v>
      </c>
      <c r="AK399" s="1">
        <f t="shared" si="74"/>
        <v>-451.83999999999969</v>
      </c>
      <c r="AL399" s="29">
        <f t="shared" si="83"/>
        <v>512.79999999999973</v>
      </c>
      <c r="AM399" s="11">
        <f t="shared" si="75"/>
        <v>2764351.5753499996</v>
      </c>
    </row>
    <row r="400" spans="1:40" x14ac:dyDescent="0.3">
      <c r="A400" s="39">
        <v>45905.125</v>
      </c>
      <c r="B400" s="1">
        <v>1467.82</v>
      </c>
      <c r="C400" s="11">
        <v>3.2732000000000001</v>
      </c>
      <c r="D400" s="1">
        <v>1006.73</v>
      </c>
      <c r="E400" s="11">
        <v>3.0760000000000001</v>
      </c>
      <c r="F400" s="1">
        <v>28.79</v>
      </c>
      <c r="G400" s="11">
        <v>3.53</v>
      </c>
      <c r="H400" s="1">
        <v>-101.9</v>
      </c>
      <c r="I400" s="11">
        <v>3.44895</v>
      </c>
      <c r="J400" s="1">
        <v>452.42</v>
      </c>
      <c r="K400" s="11">
        <v>3.7503699999999998</v>
      </c>
      <c r="L400" s="1">
        <v>0</v>
      </c>
      <c r="M400" s="11">
        <v>6.2</v>
      </c>
      <c r="N400" s="1">
        <v>6</v>
      </c>
      <c r="O400" s="11">
        <v>2.8224999999999998</v>
      </c>
      <c r="P400" s="1">
        <f t="shared" si="76"/>
        <v>2859.86</v>
      </c>
      <c r="Q400" s="1">
        <v>2854.14</v>
      </c>
      <c r="R400" s="16">
        <f t="shared" si="77"/>
        <v>2341256.9986</v>
      </c>
      <c r="S400" s="1">
        <v>-492.05</v>
      </c>
      <c r="T400" s="1">
        <v>36.04</v>
      </c>
      <c r="U400" s="1">
        <v>12</v>
      </c>
      <c r="V400" s="1">
        <v>6.37</v>
      </c>
      <c r="W400" s="1" cm="1">
        <f t="array" ref="W400">SUM(ABS(S400:V400))</f>
        <v>546.46</v>
      </c>
      <c r="X400" s="25">
        <v>1.238</v>
      </c>
      <c r="Y400" s="42">
        <f t="shared" si="78"/>
        <v>169129.37000000002</v>
      </c>
      <c r="Z400" s="20">
        <v>419.06</v>
      </c>
      <c r="AA400" s="20">
        <f t="shared" si="79"/>
        <v>965.52</v>
      </c>
      <c r="AB400" s="21">
        <v>98.220000000000013</v>
      </c>
      <c r="AC400" s="21">
        <v>6.2799999999999994</v>
      </c>
      <c r="AD400" s="8">
        <f t="shared" si="80"/>
        <v>523.55999999999995</v>
      </c>
      <c r="AE400" s="25">
        <v>1.238</v>
      </c>
      <c r="AF400" s="25">
        <f t="shared" si="81"/>
        <v>162041.81999999998</v>
      </c>
      <c r="AG400" s="25">
        <f t="shared" si="82"/>
        <v>331171.19</v>
      </c>
      <c r="AH400" s="1">
        <f t="shared" si="72"/>
        <v>3383.42</v>
      </c>
      <c r="AI400" s="1">
        <f t="shared" si="73"/>
        <v>3377.7</v>
      </c>
      <c r="AJ400" s="1">
        <v>3839.56</v>
      </c>
      <c r="AK400" s="1">
        <f t="shared" si="74"/>
        <v>-456.13999999999987</v>
      </c>
      <c r="AL400" s="29">
        <f t="shared" si="83"/>
        <v>461.86000000000013</v>
      </c>
      <c r="AM400" s="11">
        <f t="shared" si="75"/>
        <v>2672428.1886</v>
      </c>
    </row>
    <row r="401" spans="1:39" x14ac:dyDescent="0.3">
      <c r="A401" s="39">
        <v>45905.135416666664</v>
      </c>
      <c r="B401" s="1">
        <v>1467.82</v>
      </c>
      <c r="C401" s="11">
        <v>3.2732000000000001</v>
      </c>
      <c r="D401" s="1">
        <v>1035.52</v>
      </c>
      <c r="E401" s="11">
        <v>3.0760000000000001</v>
      </c>
      <c r="F401" s="1">
        <v>0</v>
      </c>
      <c r="G401" s="11">
        <v>3.53</v>
      </c>
      <c r="H401" s="1">
        <v>-101.9</v>
      </c>
      <c r="I401" s="11">
        <v>3.40978</v>
      </c>
      <c r="J401" s="1">
        <v>413.81</v>
      </c>
      <c r="K401" s="11">
        <v>3.6301900000000002</v>
      </c>
      <c r="L401" s="1">
        <v>0</v>
      </c>
      <c r="M401" s="11">
        <v>6.2</v>
      </c>
      <c r="N401" s="1">
        <v>6</v>
      </c>
      <c r="O401" s="11">
        <v>2.8224999999999998</v>
      </c>
      <c r="P401" s="1">
        <f t="shared" si="76"/>
        <v>2821.25</v>
      </c>
      <c r="Q401" s="1">
        <v>2829.63</v>
      </c>
      <c r="R401" s="16">
        <f t="shared" si="77"/>
        <v>2290353.8214750001</v>
      </c>
      <c r="S401" s="1">
        <v>-477.22</v>
      </c>
      <c r="T401" s="1">
        <v>36.07</v>
      </c>
      <c r="U401" s="1">
        <v>12</v>
      </c>
      <c r="V401" s="1">
        <v>6.36</v>
      </c>
      <c r="W401" s="1" cm="1">
        <f t="array" ref="W401">SUM(ABS(S401:V401))</f>
        <v>531.65000000000009</v>
      </c>
      <c r="X401" s="25">
        <v>1.238</v>
      </c>
      <c r="Y401" s="42">
        <f t="shared" si="78"/>
        <v>164545.67500000002</v>
      </c>
      <c r="Z401" s="20">
        <v>419.62</v>
      </c>
      <c r="AA401" s="20">
        <f t="shared" si="79"/>
        <v>951.2700000000001</v>
      </c>
      <c r="AB401" s="21">
        <v>98.210000000000008</v>
      </c>
      <c r="AC401" s="21">
        <v>5.58</v>
      </c>
      <c r="AD401" s="8">
        <f t="shared" si="80"/>
        <v>523.41000000000008</v>
      </c>
      <c r="AE401" s="25">
        <v>1.238</v>
      </c>
      <c r="AF401" s="25">
        <f t="shared" si="81"/>
        <v>161995.39500000002</v>
      </c>
      <c r="AG401" s="25">
        <f t="shared" si="82"/>
        <v>326541.07000000007</v>
      </c>
      <c r="AH401" s="1">
        <f t="shared" si="72"/>
        <v>3344.66</v>
      </c>
      <c r="AI401" s="1">
        <f t="shared" si="73"/>
        <v>3353.04</v>
      </c>
      <c r="AJ401" s="1">
        <v>3792.03</v>
      </c>
      <c r="AK401" s="1">
        <f t="shared" si="74"/>
        <v>-447.37000000000035</v>
      </c>
      <c r="AL401" s="29">
        <f t="shared" si="83"/>
        <v>438.99000000000024</v>
      </c>
      <c r="AM401" s="11">
        <f t="shared" si="75"/>
        <v>2616894.8914750004</v>
      </c>
    </row>
    <row r="402" spans="1:39" x14ac:dyDescent="0.3">
      <c r="A402" s="39">
        <v>45905.145833333336</v>
      </c>
      <c r="B402" s="1">
        <v>1467.82</v>
      </c>
      <c r="C402" s="11">
        <v>3.2732000000000001</v>
      </c>
      <c r="D402" s="1">
        <v>1035.52</v>
      </c>
      <c r="E402" s="11">
        <v>3.0760000000000001</v>
      </c>
      <c r="F402" s="1">
        <v>0</v>
      </c>
      <c r="G402" s="11">
        <v>3.53</v>
      </c>
      <c r="H402" s="1">
        <v>-101.9</v>
      </c>
      <c r="I402" s="11">
        <v>3.4090100000000003</v>
      </c>
      <c r="J402" s="1">
        <v>411.28</v>
      </c>
      <c r="K402" s="11">
        <v>3.60039</v>
      </c>
      <c r="L402" s="1">
        <v>0</v>
      </c>
      <c r="M402" s="11">
        <v>6.2</v>
      </c>
      <c r="N402" s="1">
        <v>6</v>
      </c>
      <c r="O402" s="11">
        <v>2.8224999999999998</v>
      </c>
      <c r="P402" s="1">
        <f t="shared" si="76"/>
        <v>2818.7200000000003</v>
      </c>
      <c r="Q402" s="1">
        <v>2801.09</v>
      </c>
      <c r="R402" s="16">
        <f t="shared" si="77"/>
        <v>2285013.3060499998</v>
      </c>
      <c r="S402" s="1">
        <v>-479.26</v>
      </c>
      <c r="T402" s="1">
        <v>36.08</v>
      </c>
      <c r="U402" s="1">
        <v>12</v>
      </c>
      <c r="V402" s="1">
        <v>6.36</v>
      </c>
      <c r="W402" s="1" cm="1">
        <f t="array" ref="W402">SUM(ABS(S402:V402))</f>
        <v>533.70000000000005</v>
      </c>
      <c r="X402" s="25">
        <v>1.238</v>
      </c>
      <c r="Y402" s="42">
        <f t="shared" si="78"/>
        <v>165180.15000000002</v>
      </c>
      <c r="Z402" s="20">
        <v>420.2</v>
      </c>
      <c r="AA402" s="20">
        <f t="shared" si="79"/>
        <v>953.90000000000009</v>
      </c>
      <c r="AB402" s="21">
        <v>98.210000000000008</v>
      </c>
      <c r="AC402" s="21">
        <v>4.6099999999999994</v>
      </c>
      <c r="AD402" s="8">
        <f t="shared" si="80"/>
        <v>523.02</v>
      </c>
      <c r="AE402" s="25">
        <v>1.238</v>
      </c>
      <c r="AF402" s="25">
        <f t="shared" si="81"/>
        <v>161874.68999999997</v>
      </c>
      <c r="AG402" s="25">
        <f t="shared" si="82"/>
        <v>327054.83999999997</v>
      </c>
      <c r="AH402" s="1">
        <f t="shared" si="72"/>
        <v>3341.7400000000002</v>
      </c>
      <c r="AI402" s="1">
        <f t="shared" si="73"/>
        <v>3324.11</v>
      </c>
      <c r="AJ402" s="1">
        <v>3763</v>
      </c>
      <c r="AK402" s="1">
        <f t="shared" si="74"/>
        <v>-421.25999999999976</v>
      </c>
      <c r="AL402" s="29">
        <f t="shared" si="83"/>
        <v>438.88999999999987</v>
      </c>
      <c r="AM402" s="11">
        <f t="shared" si="75"/>
        <v>2612068.1460499996</v>
      </c>
    </row>
    <row r="403" spans="1:39" x14ac:dyDescent="0.3">
      <c r="A403" s="39">
        <v>45905.15625</v>
      </c>
      <c r="B403" s="1">
        <v>1467.82</v>
      </c>
      <c r="C403" s="11">
        <v>3.2732000000000001</v>
      </c>
      <c r="D403" s="1">
        <v>1035.52</v>
      </c>
      <c r="E403" s="11">
        <v>3.0760000000000001</v>
      </c>
      <c r="F403" s="1">
        <v>0</v>
      </c>
      <c r="G403" s="11">
        <v>3.53</v>
      </c>
      <c r="H403" s="1">
        <v>-101.9</v>
      </c>
      <c r="I403" s="11">
        <v>3.3581399999999997</v>
      </c>
      <c r="J403" s="1">
        <v>384.22</v>
      </c>
      <c r="K403" s="11">
        <v>3.71028</v>
      </c>
      <c r="L403" s="1">
        <v>0</v>
      </c>
      <c r="M403" s="11">
        <v>6.2</v>
      </c>
      <c r="N403" s="1">
        <v>6</v>
      </c>
      <c r="O403" s="11">
        <v>2.8224999999999998</v>
      </c>
      <c r="P403" s="1">
        <f t="shared" si="76"/>
        <v>2791.66</v>
      </c>
      <c r="Q403" s="1">
        <v>2768.62</v>
      </c>
      <c r="R403" s="16">
        <f t="shared" si="77"/>
        <v>2272508.0649000001</v>
      </c>
      <c r="S403" s="1">
        <v>-479.98</v>
      </c>
      <c r="T403" s="1">
        <v>36.07</v>
      </c>
      <c r="U403" s="1">
        <v>12</v>
      </c>
      <c r="V403" s="1">
        <v>6.35</v>
      </c>
      <c r="W403" s="1" cm="1">
        <f t="array" ref="W403">SUM(ABS(S403:V403))</f>
        <v>534.40000000000009</v>
      </c>
      <c r="X403" s="25">
        <v>1.238</v>
      </c>
      <c r="Y403" s="42">
        <f t="shared" si="78"/>
        <v>165396.80000000002</v>
      </c>
      <c r="Z403" s="20">
        <v>419.67999999999995</v>
      </c>
      <c r="AA403" s="20">
        <f t="shared" si="79"/>
        <v>954.08</v>
      </c>
      <c r="AB403" s="21">
        <v>98.210000000000008</v>
      </c>
      <c r="AC403" s="21">
        <v>2.76</v>
      </c>
      <c r="AD403" s="8">
        <f t="shared" si="80"/>
        <v>520.65</v>
      </c>
      <c r="AE403" s="25">
        <v>1.238</v>
      </c>
      <c r="AF403" s="25">
        <f t="shared" si="81"/>
        <v>161141.17500000002</v>
      </c>
      <c r="AG403" s="25">
        <f t="shared" si="82"/>
        <v>326537.97500000003</v>
      </c>
      <c r="AH403" s="1">
        <f t="shared" si="72"/>
        <v>3312.31</v>
      </c>
      <c r="AI403" s="1">
        <f t="shared" si="73"/>
        <v>3289.27</v>
      </c>
      <c r="AJ403" s="1">
        <v>3727.72</v>
      </c>
      <c r="AK403" s="1">
        <f t="shared" si="74"/>
        <v>-415.40999999999985</v>
      </c>
      <c r="AL403" s="29">
        <f t="shared" si="83"/>
        <v>438.44999999999982</v>
      </c>
      <c r="AM403" s="11">
        <f t="shared" si="75"/>
        <v>2599046.0399000002</v>
      </c>
    </row>
    <row r="404" spans="1:39" x14ac:dyDescent="0.3">
      <c r="A404" s="39">
        <v>45905.166666666664</v>
      </c>
      <c r="B404" s="1">
        <v>1467.82</v>
      </c>
      <c r="C404" s="11">
        <v>3.2732000000000001</v>
      </c>
      <c r="D404" s="1">
        <v>1035.52</v>
      </c>
      <c r="E404" s="11">
        <v>3.0760000000000001</v>
      </c>
      <c r="F404" s="1">
        <v>0</v>
      </c>
      <c r="G404" s="11">
        <v>3.53</v>
      </c>
      <c r="H404" s="1">
        <v>-101.9</v>
      </c>
      <c r="I404" s="11">
        <v>3.3648000000000002</v>
      </c>
      <c r="J404" s="1">
        <v>337.33</v>
      </c>
      <c r="K404" s="11">
        <v>3.7100500000000003</v>
      </c>
      <c r="L404" s="1">
        <v>0</v>
      </c>
      <c r="M404" s="11">
        <v>6.2</v>
      </c>
      <c r="N404" s="1">
        <v>6</v>
      </c>
      <c r="O404" s="11">
        <v>2.8224999999999998</v>
      </c>
      <c r="P404" s="1">
        <f t="shared" si="76"/>
        <v>2744.77</v>
      </c>
      <c r="Q404" s="1">
        <v>2762.24</v>
      </c>
      <c r="R404" s="16">
        <f t="shared" si="77"/>
        <v>2228825.2476249998</v>
      </c>
      <c r="S404" s="1">
        <v>-469.28</v>
      </c>
      <c r="T404" s="1">
        <v>36.1</v>
      </c>
      <c r="U404" s="1">
        <v>12</v>
      </c>
      <c r="V404" s="1">
        <v>6.34</v>
      </c>
      <c r="W404" s="1" cm="1">
        <f t="array" ref="W404">SUM(ABS(S404:V404))</f>
        <v>523.72</v>
      </c>
      <c r="X404" s="25">
        <v>1.238</v>
      </c>
      <c r="Y404" s="42">
        <f t="shared" si="78"/>
        <v>162091.34</v>
      </c>
      <c r="Z404" s="20">
        <v>417.20000000000005</v>
      </c>
      <c r="AA404" s="20">
        <f t="shared" si="79"/>
        <v>940.92000000000007</v>
      </c>
      <c r="AB404" s="21">
        <v>98.23</v>
      </c>
      <c r="AC404" s="21">
        <v>1.38</v>
      </c>
      <c r="AD404" s="8">
        <f t="shared" si="80"/>
        <v>516.81000000000006</v>
      </c>
      <c r="AE404" s="25">
        <v>1.238</v>
      </c>
      <c r="AF404" s="25">
        <f t="shared" si="81"/>
        <v>159952.69500000001</v>
      </c>
      <c r="AG404" s="25">
        <f t="shared" si="82"/>
        <v>322044.03500000003</v>
      </c>
      <c r="AH404" s="1">
        <f t="shared" si="72"/>
        <v>3261.58</v>
      </c>
      <c r="AI404" s="1">
        <f t="shared" si="73"/>
        <v>3279.0499999999997</v>
      </c>
      <c r="AJ404" s="1">
        <v>3706.16</v>
      </c>
      <c r="AK404" s="1">
        <f t="shared" si="74"/>
        <v>-444.57999999999993</v>
      </c>
      <c r="AL404" s="29">
        <f t="shared" si="83"/>
        <v>427.11000000000013</v>
      </c>
      <c r="AM404" s="11">
        <f t="shared" si="75"/>
        <v>2550869.282625</v>
      </c>
    </row>
    <row r="405" spans="1:39" x14ac:dyDescent="0.3">
      <c r="A405" s="39">
        <v>45905.177083333336</v>
      </c>
      <c r="B405" s="1">
        <v>1467.82</v>
      </c>
      <c r="C405" s="11">
        <v>3.2732000000000001</v>
      </c>
      <c r="D405" s="1">
        <v>1035.52</v>
      </c>
      <c r="E405" s="11">
        <v>3.0760000000000001</v>
      </c>
      <c r="F405" s="1">
        <v>0</v>
      </c>
      <c r="G405" s="11">
        <v>3.53</v>
      </c>
      <c r="H405" s="1">
        <v>-101.9</v>
      </c>
      <c r="I405" s="11">
        <v>3.3994</v>
      </c>
      <c r="J405" s="1">
        <v>297.97000000000003</v>
      </c>
      <c r="K405" s="11">
        <v>3.7101100000000002</v>
      </c>
      <c r="L405" s="1">
        <v>0</v>
      </c>
      <c r="M405" s="11">
        <v>6.2</v>
      </c>
      <c r="N405" s="1">
        <v>6</v>
      </c>
      <c r="O405" s="11">
        <v>2.8224999999999998</v>
      </c>
      <c r="P405" s="1">
        <f t="shared" si="76"/>
        <v>2705.41</v>
      </c>
      <c r="Q405" s="1">
        <v>2719.27</v>
      </c>
      <c r="R405" s="16">
        <f t="shared" si="77"/>
        <v>2191441.3901749998</v>
      </c>
      <c r="S405" s="1">
        <v>-483.06</v>
      </c>
      <c r="T405" s="1">
        <v>36.11</v>
      </c>
      <c r="U405" s="1">
        <v>12</v>
      </c>
      <c r="V405" s="1">
        <v>6.35</v>
      </c>
      <c r="W405" s="1" cm="1">
        <f t="array" ref="W405">SUM(ABS(S405:V405))</f>
        <v>537.52</v>
      </c>
      <c r="X405" s="25">
        <v>1.238</v>
      </c>
      <c r="Y405" s="42">
        <f t="shared" si="78"/>
        <v>166362.44</v>
      </c>
      <c r="Z405" s="20">
        <v>420.43999999999994</v>
      </c>
      <c r="AA405" s="20">
        <f t="shared" si="79"/>
        <v>957.95999999999992</v>
      </c>
      <c r="AB405" s="21">
        <v>98.23</v>
      </c>
      <c r="AC405" s="21">
        <v>0.77</v>
      </c>
      <c r="AD405" s="8">
        <f t="shared" si="80"/>
        <v>519.43999999999994</v>
      </c>
      <c r="AE405" s="25">
        <v>1.238</v>
      </c>
      <c r="AF405" s="25">
        <f t="shared" si="81"/>
        <v>160766.68</v>
      </c>
      <c r="AG405" s="25">
        <f t="shared" si="82"/>
        <v>327129.12</v>
      </c>
      <c r="AH405" s="1">
        <f t="shared" si="72"/>
        <v>3224.85</v>
      </c>
      <c r="AI405" s="1">
        <f t="shared" si="73"/>
        <v>3238.71</v>
      </c>
      <c r="AJ405" s="1">
        <v>3680.1</v>
      </c>
      <c r="AK405" s="1">
        <f t="shared" si="74"/>
        <v>-455.25</v>
      </c>
      <c r="AL405" s="29">
        <f t="shared" si="83"/>
        <v>441.38999999999987</v>
      </c>
      <c r="AM405" s="11">
        <f t="shared" si="75"/>
        <v>2518570.5101749999</v>
      </c>
    </row>
    <row r="406" spans="1:39" x14ac:dyDescent="0.3">
      <c r="A406" s="39">
        <v>45905.1875</v>
      </c>
      <c r="B406" s="1">
        <v>1467.82</v>
      </c>
      <c r="C406" s="11">
        <v>3.2732000000000001</v>
      </c>
      <c r="D406" s="1">
        <v>1035.52</v>
      </c>
      <c r="E406" s="11">
        <v>3.0760000000000001</v>
      </c>
      <c r="F406" s="1">
        <v>0</v>
      </c>
      <c r="G406" s="11">
        <v>3.53</v>
      </c>
      <c r="H406" s="1">
        <v>-101.9</v>
      </c>
      <c r="I406" s="11">
        <v>3.4098899999999999</v>
      </c>
      <c r="J406" s="1">
        <v>295.44</v>
      </c>
      <c r="K406" s="11">
        <v>3.8127499999999999</v>
      </c>
      <c r="L406" s="1">
        <v>0</v>
      </c>
      <c r="M406" s="11">
        <v>6.2</v>
      </c>
      <c r="N406" s="1">
        <v>6</v>
      </c>
      <c r="O406" s="11">
        <v>2.8224999999999998</v>
      </c>
      <c r="P406" s="1">
        <f t="shared" si="76"/>
        <v>2702.88</v>
      </c>
      <c r="Q406" s="1">
        <v>2715.13</v>
      </c>
      <c r="R406" s="16">
        <f t="shared" si="77"/>
        <v>2196408.5032499996</v>
      </c>
      <c r="S406" s="1">
        <v>-477.19</v>
      </c>
      <c r="T406" s="1">
        <v>36.130000000000003</v>
      </c>
      <c r="U406" s="1">
        <v>12</v>
      </c>
      <c r="V406" s="1">
        <v>6.35</v>
      </c>
      <c r="W406" s="1" cm="1">
        <f t="array" ref="W406">SUM(ABS(S406:V406))</f>
        <v>531.67000000000007</v>
      </c>
      <c r="X406" s="25">
        <v>1.238</v>
      </c>
      <c r="Y406" s="42">
        <f t="shared" si="78"/>
        <v>164551.86500000002</v>
      </c>
      <c r="Z406" s="20">
        <v>419</v>
      </c>
      <c r="AA406" s="20">
        <f t="shared" si="79"/>
        <v>950.67000000000007</v>
      </c>
      <c r="AB406" s="21">
        <v>98.23</v>
      </c>
      <c r="AC406" s="21">
        <v>0.66</v>
      </c>
      <c r="AD406" s="8">
        <f t="shared" si="80"/>
        <v>517.89</v>
      </c>
      <c r="AE406" s="25">
        <v>1.238</v>
      </c>
      <c r="AF406" s="25">
        <f t="shared" si="81"/>
        <v>160286.95500000002</v>
      </c>
      <c r="AG406" s="25">
        <f t="shared" si="82"/>
        <v>324838.82000000007</v>
      </c>
      <c r="AH406" s="1">
        <f t="shared" si="72"/>
        <v>3220.77</v>
      </c>
      <c r="AI406" s="1">
        <f t="shared" si="73"/>
        <v>3233.02</v>
      </c>
      <c r="AJ406" s="1">
        <v>3669.43</v>
      </c>
      <c r="AK406" s="1">
        <f t="shared" si="74"/>
        <v>-448.65999999999985</v>
      </c>
      <c r="AL406" s="29">
        <f t="shared" si="83"/>
        <v>436.40999999999985</v>
      </c>
      <c r="AM406" s="11">
        <f t="shared" si="75"/>
        <v>2521247.3232499994</v>
      </c>
    </row>
    <row r="407" spans="1:39" x14ac:dyDescent="0.3">
      <c r="A407" s="39">
        <v>45905.197916666664</v>
      </c>
      <c r="B407" s="1">
        <v>1467.82</v>
      </c>
      <c r="C407" s="11">
        <v>3.2732000000000001</v>
      </c>
      <c r="D407" s="1">
        <v>1035.52</v>
      </c>
      <c r="E407" s="11">
        <v>3.0760000000000001</v>
      </c>
      <c r="F407" s="1">
        <v>0</v>
      </c>
      <c r="G407" s="11">
        <v>3.53</v>
      </c>
      <c r="H407" s="1">
        <v>-101.9</v>
      </c>
      <c r="I407" s="11">
        <v>3.4290400000000001</v>
      </c>
      <c r="J407" s="1">
        <v>286.42</v>
      </c>
      <c r="K407" s="11">
        <v>3.9800300000000002</v>
      </c>
      <c r="L407" s="1">
        <v>0</v>
      </c>
      <c r="M407" s="11">
        <v>6.2</v>
      </c>
      <c r="N407" s="1">
        <v>6</v>
      </c>
      <c r="O407" s="11">
        <v>2.8224999999999998</v>
      </c>
      <c r="P407" s="1">
        <f t="shared" si="76"/>
        <v>2693.86</v>
      </c>
      <c r="Q407" s="1">
        <v>2707.27</v>
      </c>
      <c r="R407" s="16">
        <f t="shared" si="77"/>
        <v>2199300.99015</v>
      </c>
      <c r="S407" s="1">
        <v>-475.69</v>
      </c>
      <c r="T407" s="1">
        <v>36.159999999999997</v>
      </c>
      <c r="U407" s="1">
        <v>12</v>
      </c>
      <c r="V407" s="1">
        <v>6.36</v>
      </c>
      <c r="W407" s="1" cm="1">
        <f t="array" ref="W407">SUM(ABS(S407:V407))</f>
        <v>530.21</v>
      </c>
      <c r="X407" s="25">
        <v>1.238</v>
      </c>
      <c r="Y407" s="42">
        <f t="shared" si="78"/>
        <v>164099.995</v>
      </c>
      <c r="Z407" s="20">
        <v>418.25999999999993</v>
      </c>
      <c r="AA407" s="20">
        <f t="shared" si="79"/>
        <v>948.47</v>
      </c>
      <c r="AB407" s="21">
        <v>98.220000000000013</v>
      </c>
      <c r="AC407" s="21">
        <v>0.22999999999999998</v>
      </c>
      <c r="AD407" s="8">
        <f t="shared" si="80"/>
        <v>516.70999999999992</v>
      </c>
      <c r="AE407" s="25">
        <v>1.238</v>
      </c>
      <c r="AF407" s="25">
        <f t="shared" si="81"/>
        <v>159921.745</v>
      </c>
      <c r="AG407" s="25">
        <f t="shared" si="82"/>
        <v>324021.74</v>
      </c>
      <c r="AH407" s="1">
        <f t="shared" si="72"/>
        <v>3210.57</v>
      </c>
      <c r="AI407" s="1">
        <f t="shared" si="73"/>
        <v>3223.98</v>
      </c>
      <c r="AJ407" s="1">
        <v>3661.73</v>
      </c>
      <c r="AK407" s="1">
        <f t="shared" si="74"/>
        <v>-451.15999999999985</v>
      </c>
      <c r="AL407" s="29">
        <f t="shared" si="83"/>
        <v>437.75</v>
      </c>
      <c r="AM407" s="11">
        <f t="shared" si="75"/>
        <v>2523322.7301500002</v>
      </c>
    </row>
    <row r="408" spans="1:39" x14ac:dyDescent="0.3">
      <c r="A408" s="39">
        <v>45905.208333333336</v>
      </c>
      <c r="B408" s="1">
        <v>1467.82</v>
      </c>
      <c r="C408" s="11">
        <v>3.2732000000000001</v>
      </c>
      <c r="D408" s="1">
        <v>1035.52</v>
      </c>
      <c r="E408" s="11">
        <v>3.0760000000000001</v>
      </c>
      <c r="F408" s="1">
        <v>0</v>
      </c>
      <c r="G408" s="11">
        <v>3.53</v>
      </c>
      <c r="H408" s="1">
        <v>-101.9</v>
      </c>
      <c r="I408" s="11">
        <v>3.3398300000000001</v>
      </c>
      <c r="J408" s="1">
        <v>195.7</v>
      </c>
      <c r="K408" s="11">
        <v>3.98027</v>
      </c>
      <c r="L408" s="1">
        <v>0</v>
      </c>
      <c r="M408" s="11">
        <v>6.2</v>
      </c>
      <c r="N408" s="1">
        <v>6</v>
      </c>
      <c r="O408" s="11">
        <v>2.8224999999999998</v>
      </c>
      <c r="P408" s="1">
        <f t="shared" si="76"/>
        <v>2603.14</v>
      </c>
      <c r="Q408" s="1">
        <v>2590.31</v>
      </c>
      <c r="R408" s="16">
        <f t="shared" si="77"/>
        <v>2111318.2764999997</v>
      </c>
      <c r="S408" s="1">
        <v>-601.44000000000005</v>
      </c>
      <c r="T408" s="1">
        <v>36.18</v>
      </c>
      <c r="U408" s="1">
        <v>12</v>
      </c>
      <c r="V408" s="1">
        <v>6.36</v>
      </c>
      <c r="W408" s="1" cm="1">
        <f t="array" ref="W408">SUM(ABS(S408:V408))</f>
        <v>655.98</v>
      </c>
      <c r="X408" s="25">
        <v>1.238</v>
      </c>
      <c r="Y408" s="42">
        <f t="shared" si="78"/>
        <v>203025.81</v>
      </c>
      <c r="Z408" s="20">
        <v>418.30000000000007</v>
      </c>
      <c r="AA408" s="20">
        <f t="shared" si="79"/>
        <v>1074.2800000000002</v>
      </c>
      <c r="AB408" s="21">
        <v>98.220000000000013</v>
      </c>
      <c r="AC408" s="21">
        <v>0.19999999999999998</v>
      </c>
      <c r="AD408" s="8">
        <f t="shared" si="80"/>
        <v>516.72000000000014</v>
      </c>
      <c r="AE408" s="25">
        <v>1.238</v>
      </c>
      <c r="AF408" s="25">
        <f t="shared" si="81"/>
        <v>159924.84000000005</v>
      </c>
      <c r="AG408" s="25">
        <f t="shared" si="82"/>
        <v>362950.65</v>
      </c>
      <c r="AH408" s="1">
        <f t="shared" si="72"/>
        <v>3119.86</v>
      </c>
      <c r="AI408" s="1">
        <f t="shared" si="73"/>
        <v>3107.03</v>
      </c>
      <c r="AJ408" s="1">
        <v>3664.79</v>
      </c>
      <c r="AK408" s="1">
        <f t="shared" si="74"/>
        <v>-544.92999999999984</v>
      </c>
      <c r="AL408" s="29">
        <f t="shared" si="83"/>
        <v>557.75999999999976</v>
      </c>
      <c r="AM408" s="11">
        <f t="shared" si="75"/>
        <v>2474268.9264999996</v>
      </c>
    </row>
    <row r="409" spans="1:39" x14ac:dyDescent="0.3">
      <c r="A409" s="39">
        <v>45905.21875</v>
      </c>
      <c r="B409" s="1">
        <v>1467.82</v>
      </c>
      <c r="C409" s="11">
        <v>3.2732000000000001</v>
      </c>
      <c r="D409" s="1">
        <v>1035.52</v>
      </c>
      <c r="E409" s="11">
        <v>3.0760000000000001</v>
      </c>
      <c r="F409" s="1">
        <v>0</v>
      </c>
      <c r="G409" s="11">
        <v>3.53</v>
      </c>
      <c r="H409" s="1">
        <v>-101.9</v>
      </c>
      <c r="I409" s="11">
        <v>3.40991</v>
      </c>
      <c r="J409" s="1">
        <v>198.28</v>
      </c>
      <c r="K409" s="11">
        <v>3.9803099999999998</v>
      </c>
      <c r="L409" s="1">
        <v>0</v>
      </c>
      <c r="M409" s="11">
        <v>6.2</v>
      </c>
      <c r="N409" s="1">
        <v>6</v>
      </c>
      <c r="O409" s="11">
        <v>2.8224999999999998</v>
      </c>
      <c r="P409" s="1">
        <f t="shared" si="76"/>
        <v>2605.7200000000003</v>
      </c>
      <c r="Q409" s="1">
        <v>2492.9299999999998</v>
      </c>
      <c r="R409" s="16">
        <f t="shared" si="77"/>
        <v>2112102.2454499998</v>
      </c>
      <c r="S409" s="1">
        <v>-695.13</v>
      </c>
      <c r="T409" s="1">
        <v>36.21</v>
      </c>
      <c r="U409" s="1">
        <v>12</v>
      </c>
      <c r="V409" s="1">
        <v>6.35</v>
      </c>
      <c r="W409" s="1" cm="1">
        <f t="array" ref="W409">SUM(ABS(S409:V409))</f>
        <v>749.69</v>
      </c>
      <c r="X409" s="25">
        <v>1.238</v>
      </c>
      <c r="Y409" s="42">
        <f t="shared" si="78"/>
        <v>232029.05500000002</v>
      </c>
      <c r="Z409" s="20">
        <v>420.95000000000005</v>
      </c>
      <c r="AA409" s="20">
        <f t="shared" si="79"/>
        <v>1170.6400000000001</v>
      </c>
      <c r="AB409" s="21">
        <v>98.220000000000013</v>
      </c>
      <c r="AC409" s="21">
        <v>0.21</v>
      </c>
      <c r="AD409" s="8">
        <f t="shared" si="80"/>
        <v>519.38000000000011</v>
      </c>
      <c r="AE409" s="25">
        <v>1.238</v>
      </c>
      <c r="AF409" s="25">
        <f t="shared" si="81"/>
        <v>160748.11000000002</v>
      </c>
      <c r="AG409" s="25">
        <f t="shared" si="82"/>
        <v>392777.16500000004</v>
      </c>
      <c r="AH409" s="1">
        <f t="shared" si="72"/>
        <v>3125.1000000000004</v>
      </c>
      <c r="AI409" s="1">
        <f t="shared" si="73"/>
        <v>3012.31</v>
      </c>
      <c r="AJ409" s="1">
        <v>3668.66</v>
      </c>
      <c r="AK409" s="1">
        <f t="shared" si="74"/>
        <v>-543.55999999999949</v>
      </c>
      <c r="AL409" s="29">
        <f t="shared" si="83"/>
        <v>656.34999999999991</v>
      </c>
      <c r="AM409" s="11">
        <f t="shared" si="75"/>
        <v>2504879.4104499999</v>
      </c>
    </row>
    <row r="410" spans="1:39" x14ac:dyDescent="0.3">
      <c r="A410" s="39">
        <v>45905.229166666664</v>
      </c>
      <c r="B410" s="1">
        <v>1467.82</v>
      </c>
      <c r="C410" s="11">
        <v>3.2732000000000001</v>
      </c>
      <c r="D410" s="1">
        <v>1035.52</v>
      </c>
      <c r="E410" s="11">
        <v>3.0760000000000001</v>
      </c>
      <c r="F410" s="1">
        <v>0</v>
      </c>
      <c r="G410" s="11">
        <v>3.53</v>
      </c>
      <c r="H410" s="1">
        <v>-101.9</v>
      </c>
      <c r="I410" s="11">
        <v>3.5468200000000003</v>
      </c>
      <c r="J410" s="1">
        <v>189.9</v>
      </c>
      <c r="K410" s="11">
        <v>4.1455600000000006</v>
      </c>
      <c r="L410" s="1">
        <v>0</v>
      </c>
      <c r="M410" s="11">
        <v>6.2</v>
      </c>
      <c r="N410" s="1">
        <v>6</v>
      </c>
      <c r="O410" s="11">
        <v>2.8224999999999998</v>
      </c>
      <c r="P410" s="1">
        <f t="shared" si="76"/>
        <v>2597.34</v>
      </c>
      <c r="Q410" s="1">
        <v>2466.1999999999998</v>
      </c>
      <c r="R410" s="16">
        <f t="shared" si="77"/>
        <v>2108120.9575</v>
      </c>
      <c r="S410" s="1">
        <v>-716.86</v>
      </c>
      <c r="T410" s="1">
        <v>36.229999999999997</v>
      </c>
      <c r="U410" s="1">
        <v>12</v>
      </c>
      <c r="V410" s="1">
        <v>6.37</v>
      </c>
      <c r="W410" s="1" cm="1">
        <f t="array" ref="W410">SUM(ABS(S410:V410))</f>
        <v>771.46</v>
      </c>
      <c r="X410" s="25">
        <v>1.238</v>
      </c>
      <c r="Y410" s="42">
        <f t="shared" si="78"/>
        <v>238766.87000000002</v>
      </c>
      <c r="Z410" s="20">
        <v>420.95000000000005</v>
      </c>
      <c r="AA410" s="20">
        <f t="shared" si="79"/>
        <v>1192.4100000000001</v>
      </c>
      <c r="AB410" s="21">
        <v>98.210000000000008</v>
      </c>
      <c r="AC410" s="21">
        <v>0.13</v>
      </c>
      <c r="AD410" s="8">
        <f t="shared" si="80"/>
        <v>519.29000000000008</v>
      </c>
      <c r="AE410" s="25">
        <v>1.238</v>
      </c>
      <c r="AF410" s="25">
        <f t="shared" si="81"/>
        <v>160720.255</v>
      </c>
      <c r="AG410" s="25">
        <f t="shared" si="82"/>
        <v>399487.125</v>
      </c>
      <c r="AH410" s="1">
        <f t="shared" si="72"/>
        <v>3116.63</v>
      </c>
      <c r="AI410" s="1">
        <f t="shared" si="73"/>
        <v>2985.49</v>
      </c>
      <c r="AJ410" s="1">
        <v>3661.86</v>
      </c>
      <c r="AK410" s="1">
        <f t="shared" si="74"/>
        <v>-545.23</v>
      </c>
      <c r="AL410" s="29">
        <f t="shared" si="83"/>
        <v>676.37000000000035</v>
      </c>
      <c r="AM410" s="11">
        <f t="shared" si="75"/>
        <v>2507608.0825</v>
      </c>
    </row>
    <row r="411" spans="1:39" x14ac:dyDescent="0.3">
      <c r="A411" s="39">
        <v>45905.239583333336</v>
      </c>
      <c r="B411" s="1">
        <v>1469.59</v>
      </c>
      <c r="C411" s="11">
        <v>3.2732000000000001</v>
      </c>
      <c r="D411" s="1">
        <v>1035.52</v>
      </c>
      <c r="E411" s="11">
        <v>3.0760000000000001</v>
      </c>
      <c r="F411" s="1">
        <v>0</v>
      </c>
      <c r="G411" s="11">
        <v>3.53</v>
      </c>
      <c r="H411" s="1">
        <v>-101.9</v>
      </c>
      <c r="I411" s="11">
        <v>3.5588899999999999</v>
      </c>
      <c r="J411" s="1">
        <v>189.26</v>
      </c>
      <c r="K411" s="11">
        <v>3.9391700000000003</v>
      </c>
      <c r="L411" s="1">
        <v>0</v>
      </c>
      <c r="M411" s="11">
        <v>6.2</v>
      </c>
      <c r="N411" s="1">
        <v>16.96</v>
      </c>
      <c r="O411" s="11">
        <v>2.8224999999999998</v>
      </c>
      <c r="P411" s="1">
        <f t="shared" si="76"/>
        <v>2609.4299999999994</v>
      </c>
      <c r="Q411" s="1">
        <v>2462.4299999999998</v>
      </c>
      <c r="R411" s="16">
        <f t="shared" si="77"/>
        <v>2106566.8827999998</v>
      </c>
      <c r="S411" s="1">
        <v>-729.15</v>
      </c>
      <c r="T411" s="1">
        <v>36.24</v>
      </c>
      <c r="U411" s="1">
        <v>12</v>
      </c>
      <c r="V411" s="1">
        <v>6.38</v>
      </c>
      <c r="W411" s="1" cm="1">
        <f t="array" ref="W411">SUM(ABS(S411:V411))</f>
        <v>783.77</v>
      </c>
      <c r="X411" s="25">
        <v>1.238</v>
      </c>
      <c r="Y411" s="42">
        <f t="shared" si="78"/>
        <v>242576.81499999997</v>
      </c>
      <c r="Z411" s="20">
        <v>420.62000000000006</v>
      </c>
      <c r="AA411" s="20">
        <f t="shared" si="79"/>
        <v>1204.3900000000001</v>
      </c>
      <c r="AB411" s="21">
        <v>98.220000000000013</v>
      </c>
      <c r="AC411" s="21">
        <v>0.29000000000000004</v>
      </c>
      <c r="AD411" s="8">
        <f t="shared" si="80"/>
        <v>519.13</v>
      </c>
      <c r="AE411" s="25">
        <v>1.238</v>
      </c>
      <c r="AF411" s="25">
        <f t="shared" si="81"/>
        <v>160670.73500000002</v>
      </c>
      <c r="AG411" s="25">
        <f t="shared" si="82"/>
        <v>403247.55</v>
      </c>
      <c r="AH411" s="1">
        <f t="shared" si="72"/>
        <v>3128.5599999999995</v>
      </c>
      <c r="AI411" s="1">
        <f t="shared" si="73"/>
        <v>2981.56</v>
      </c>
      <c r="AJ411" s="1">
        <v>3672.23</v>
      </c>
      <c r="AK411" s="1">
        <f t="shared" si="74"/>
        <v>-543.67000000000053</v>
      </c>
      <c r="AL411" s="29">
        <f t="shared" si="83"/>
        <v>690.67000000000007</v>
      </c>
      <c r="AM411" s="11">
        <f t="shared" si="75"/>
        <v>2509814.4327999996</v>
      </c>
    </row>
    <row r="412" spans="1:39" x14ac:dyDescent="0.3">
      <c r="A412" s="39">
        <v>45905.25</v>
      </c>
      <c r="B412" s="1">
        <v>1469.98</v>
      </c>
      <c r="C412" s="11">
        <v>3.2732000000000001</v>
      </c>
      <c r="D412" s="1">
        <v>666.18</v>
      </c>
      <c r="E412" s="11">
        <v>3.0760000000000001</v>
      </c>
      <c r="F412" s="1">
        <v>369.34</v>
      </c>
      <c r="G412" s="11">
        <v>3.53</v>
      </c>
      <c r="H412" s="1">
        <v>-88.12</v>
      </c>
      <c r="I412" s="11">
        <v>3.6395599999999999</v>
      </c>
      <c r="J412" s="1">
        <v>189.26</v>
      </c>
      <c r="K412" s="11">
        <v>3.7602600000000002</v>
      </c>
      <c r="L412" s="1">
        <v>0</v>
      </c>
      <c r="M412" s="11">
        <v>6.2</v>
      </c>
      <c r="N412" s="1">
        <v>20.41</v>
      </c>
      <c r="O412" s="11">
        <v>2.8224999999999998</v>
      </c>
      <c r="P412" s="1">
        <f t="shared" si="76"/>
        <v>2627.05</v>
      </c>
      <c r="Q412" s="1">
        <v>2474.21</v>
      </c>
      <c r="R412" s="16">
        <f t="shared" si="77"/>
        <v>2153258.6053499999</v>
      </c>
      <c r="S412" s="1">
        <v>-724.44</v>
      </c>
      <c r="T412" s="1">
        <v>36.24</v>
      </c>
      <c r="U412" s="1">
        <v>12</v>
      </c>
      <c r="V412" s="1">
        <v>12.09</v>
      </c>
      <c r="W412" s="1" cm="1">
        <f t="array" ref="W412">SUM(ABS(S412:V412))</f>
        <v>784.7700000000001</v>
      </c>
      <c r="X412" s="25">
        <v>1.238</v>
      </c>
      <c r="Y412" s="42">
        <f t="shared" si="78"/>
        <v>242886.31500000003</v>
      </c>
      <c r="Z412" s="20">
        <v>420.37000000000006</v>
      </c>
      <c r="AA412" s="20">
        <f t="shared" si="79"/>
        <v>1205.1400000000001</v>
      </c>
      <c r="AB412" s="21">
        <v>98.2</v>
      </c>
      <c r="AC412" s="21">
        <v>0.92</v>
      </c>
      <c r="AD412" s="8">
        <f t="shared" si="80"/>
        <v>519.49</v>
      </c>
      <c r="AE412" s="25">
        <v>1.238</v>
      </c>
      <c r="AF412" s="25">
        <f t="shared" si="81"/>
        <v>160782.155</v>
      </c>
      <c r="AG412" s="25">
        <f t="shared" si="82"/>
        <v>403668.47000000003</v>
      </c>
      <c r="AH412" s="1">
        <f t="shared" si="72"/>
        <v>3146.54</v>
      </c>
      <c r="AI412" s="1">
        <f t="shared" si="73"/>
        <v>2993.7</v>
      </c>
      <c r="AJ412" s="1">
        <v>3685.24</v>
      </c>
      <c r="AK412" s="1">
        <f t="shared" si="74"/>
        <v>-538.69999999999982</v>
      </c>
      <c r="AL412" s="29">
        <f t="shared" si="83"/>
        <v>691.54</v>
      </c>
      <c r="AM412" s="11">
        <f t="shared" si="75"/>
        <v>2556927.0753500001</v>
      </c>
    </row>
    <row r="413" spans="1:39" x14ac:dyDescent="0.3">
      <c r="A413" s="39">
        <v>45905.260416666664</v>
      </c>
      <c r="B413" s="1">
        <v>1470</v>
      </c>
      <c r="C413" s="11">
        <v>3.2732000000000001</v>
      </c>
      <c r="D413" s="1">
        <v>636.95000000000005</v>
      </c>
      <c r="E413" s="11">
        <v>3.0760000000000001</v>
      </c>
      <c r="F413" s="1">
        <v>398.57</v>
      </c>
      <c r="G413" s="11">
        <v>3.53</v>
      </c>
      <c r="H413" s="1">
        <v>-86.59</v>
      </c>
      <c r="I413" s="11">
        <v>3.5493600000000001</v>
      </c>
      <c r="J413" s="1">
        <v>189.26</v>
      </c>
      <c r="K413" s="11">
        <v>4.0007999999999999</v>
      </c>
      <c r="L413" s="1">
        <v>0</v>
      </c>
      <c r="M413" s="11">
        <v>6.2</v>
      </c>
      <c r="N413" s="1">
        <v>28.29</v>
      </c>
      <c r="O413" s="11">
        <v>2.8224999999999998</v>
      </c>
      <c r="P413" s="1">
        <f t="shared" si="76"/>
        <v>2636.4799999999996</v>
      </c>
      <c r="Q413" s="1">
        <v>2492.84</v>
      </c>
      <c r="R413" s="16">
        <f t="shared" si="77"/>
        <v>2176878.7876499998</v>
      </c>
      <c r="S413" s="1">
        <v>-725.35</v>
      </c>
      <c r="T413" s="1">
        <v>36.25</v>
      </c>
      <c r="U413" s="1">
        <v>12</v>
      </c>
      <c r="V413" s="1">
        <v>12.67</v>
      </c>
      <c r="W413" s="1" cm="1">
        <f t="array" ref="W413">SUM(ABS(S413:V413))</f>
        <v>786.27</v>
      </c>
      <c r="X413" s="25">
        <v>1.238</v>
      </c>
      <c r="Y413" s="42">
        <f t="shared" si="78"/>
        <v>243350.565</v>
      </c>
      <c r="Z413" s="20">
        <v>420.95</v>
      </c>
      <c r="AA413" s="20">
        <f t="shared" si="79"/>
        <v>1207.22</v>
      </c>
      <c r="AB413" s="21">
        <v>99.22999999999999</v>
      </c>
      <c r="AC413" s="21">
        <v>0.63</v>
      </c>
      <c r="AD413" s="8">
        <f t="shared" si="80"/>
        <v>520.80999999999995</v>
      </c>
      <c r="AE413" s="25">
        <v>1.238</v>
      </c>
      <c r="AF413" s="25">
        <f t="shared" si="81"/>
        <v>161190.69499999998</v>
      </c>
      <c r="AG413" s="25">
        <f t="shared" si="82"/>
        <v>404541.26</v>
      </c>
      <c r="AH413" s="1">
        <f t="shared" si="72"/>
        <v>3157.2899999999995</v>
      </c>
      <c r="AI413" s="1">
        <f t="shared" si="73"/>
        <v>3013.65</v>
      </c>
      <c r="AJ413" s="1">
        <v>3703.75</v>
      </c>
      <c r="AK413" s="1">
        <f t="shared" si="74"/>
        <v>-546.46000000000049</v>
      </c>
      <c r="AL413" s="29">
        <f t="shared" si="83"/>
        <v>690.09999999999991</v>
      </c>
      <c r="AM413" s="11">
        <f t="shared" si="75"/>
        <v>2581420.0476500001</v>
      </c>
    </row>
    <row r="414" spans="1:39" x14ac:dyDescent="0.3">
      <c r="A414" s="39">
        <v>45905.270833333336</v>
      </c>
      <c r="B414" s="1">
        <v>1470</v>
      </c>
      <c r="C414" s="11">
        <v>3.2732000000000001</v>
      </c>
      <c r="D414" s="1">
        <v>636.95000000000005</v>
      </c>
      <c r="E414" s="11">
        <v>3.0760000000000001</v>
      </c>
      <c r="F414" s="1">
        <v>398.57</v>
      </c>
      <c r="G414" s="11">
        <v>3.53</v>
      </c>
      <c r="H414" s="1">
        <v>-66.61</v>
      </c>
      <c r="I414" s="11">
        <v>3.4512600000000004</v>
      </c>
      <c r="J414" s="1">
        <v>214.94</v>
      </c>
      <c r="K414" s="11">
        <v>3.5628299999999999</v>
      </c>
      <c r="L414" s="1">
        <v>0</v>
      </c>
      <c r="M414" s="11">
        <v>6.2</v>
      </c>
      <c r="N414" s="1">
        <v>37.44</v>
      </c>
      <c r="O414" s="11">
        <v>2.8224999999999998</v>
      </c>
      <c r="P414" s="1">
        <f t="shared" si="76"/>
        <v>2691.29</v>
      </c>
      <c r="Q414" s="1">
        <v>2495.39</v>
      </c>
      <c r="R414" s="16">
        <f t="shared" si="77"/>
        <v>2204848.7379000001</v>
      </c>
      <c r="S414" s="1">
        <v>-724.93</v>
      </c>
      <c r="T414" s="1">
        <v>36.24</v>
      </c>
      <c r="U414" s="1">
        <v>12</v>
      </c>
      <c r="V414" s="1">
        <v>12.67</v>
      </c>
      <c r="W414" s="1" cm="1">
        <f t="array" ref="W414">SUM(ABS(S414:V414))</f>
        <v>785.83999999999992</v>
      </c>
      <c r="X414" s="25">
        <v>1.238</v>
      </c>
      <c r="Y414" s="42">
        <f t="shared" si="78"/>
        <v>243217.47999999995</v>
      </c>
      <c r="Z414" s="20">
        <v>420.61999999999995</v>
      </c>
      <c r="AA414" s="20">
        <f t="shared" si="79"/>
        <v>1206.4599999999998</v>
      </c>
      <c r="AB414" s="21">
        <v>101.9</v>
      </c>
      <c r="AC414" s="21">
        <v>0.1</v>
      </c>
      <c r="AD414" s="8">
        <f t="shared" si="80"/>
        <v>522.62</v>
      </c>
      <c r="AE414" s="25">
        <v>1.238</v>
      </c>
      <c r="AF414" s="25">
        <f t="shared" si="81"/>
        <v>161750.88999999998</v>
      </c>
      <c r="AG414" s="25">
        <f t="shared" si="82"/>
        <v>404968.36999999994</v>
      </c>
      <c r="AH414" s="1">
        <f t="shared" si="72"/>
        <v>3213.91</v>
      </c>
      <c r="AI414" s="1">
        <f t="shared" si="73"/>
        <v>3018.0099999999998</v>
      </c>
      <c r="AJ414" s="1">
        <v>3703.77</v>
      </c>
      <c r="AK414" s="1">
        <f t="shared" si="74"/>
        <v>-489.86000000000013</v>
      </c>
      <c r="AL414" s="29">
        <f t="shared" si="83"/>
        <v>685.76000000000022</v>
      </c>
      <c r="AM414" s="11">
        <f t="shared" si="75"/>
        <v>2609817.1079000002</v>
      </c>
    </row>
    <row r="415" spans="1:39" x14ac:dyDescent="0.3">
      <c r="A415" s="39">
        <v>45905.28125</v>
      </c>
      <c r="B415" s="1">
        <v>1470</v>
      </c>
      <c r="C415" s="11">
        <v>3.2732000000000001</v>
      </c>
      <c r="D415" s="1">
        <v>636.95000000000005</v>
      </c>
      <c r="E415" s="11">
        <v>3.0760000000000001</v>
      </c>
      <c r="F415" s="1">
        <v>398.57</v>
      </c>
      <c r="G415" s="11">
        <v>3.53</v>
      </c>
      <c r="H415" s="1">
        <v>-61.44</v>
      </c>
      <c r="I415" s="11">
        <v>3.3058299999999998</v>
      </c>
      <c r="J415" s="1">
        <v>234.18</v>
      </c>
      <c r="K415" s="11">
        <v>3.20566</v>
      </c>
      <c r="L415" s="1">
        <v>0</v>
      </c>
      <c r="M415" s="11">
        <v>6.2</v>
      </c>
      <c r="N415" s="1">
        <v>50.98</v>
      </c>
      <c r="O415" s="11">
        <v>2.8224999999999998</v>
      </c>
      <c r="P415" s="1">
        <f t="shared" si="76"/>
        <v>2729.24</v>
      </c>
      <c r="Q415" s="1">
        <v>2529.71</v>
      </c>
      <c r="R415" s="16">
        <f t="shared" si="77"/>
        <v>2217324.1533999997</v>
      </c>
      <c r="S415" s="1">
        <v>-655.6</v>
      </c>
      <c r="T415" s="1">
        <v>36.270000000000003</v>
      </c>
      <c r="U415" s="1">
        <v>12</v>
      </c>
      <c r="V415" s="1">
        <v>10.27</v>
      </c>
      <c r="W415" s="1" cm="1">
        <f t="array" ref="W415">SUM(ABS(S415:V415))</f>
        <v>714.14</v>
      </c>
      <c r="X415" s="25">
        <v>1.238</v>
      </c>
      <c r="Y415" s="42">
        <f t="shared" si="78"/>
        <v>221026.33</v>
      </c>
      <c r="Z415" s="20">
        <v>413.62</v>
      </c>
      <c r="AA415" s="20">
        <f t="shared" si="79"/>
        <v>1127.76</v>
      </c>
      <c r="AB415" s="21">
        <v>106.29</v>
      </c>
      <c r="AC415" s="21">
        <v>0.17</v>
      </c>
      <c r="AD415" s="8">
        <f t="shared" si="80"/>
        <v>520.07999999999993</v>
      </c>
      <c r="AE415" s="25">
        <v>1.238</v>
      </c>
      <c r="AF415" s="25">
        <f t="shared" si="81"/>
        <v>160964.75999999998</v>
      </c>
      <c r="AG415" s="25">
        <f t="shared" si="82"/>
        <v>381991.08999999997</v>
      </c>
      <c r="AH415" s="1">
        <f t="shared" si="72"/>
        <v>3249.3199999999997</v>
      </c>
      <c r="AI415" s="1">
        <f t="shared" si="73"/>
        <v>3049.79</v>
      </c>
      <c r="AJ415" s="1">
        <v>3666.53</v>
      </c>
      <c r="AK415" s="1">
        <f t="shared" si="74"/>
        <v>-417.21000000000049</v>
      </c>
      <c r="AL415" s="29">
        <f t="shared" si="83"/>
        <v>616.74000000000024</v>
      </c>
      <c r="AM415" s="11">
        <f t="shared" si="75"/>
        <v>2599315.2433999996</v>
      </c>
    </row>
    <row r="416" spans="1:39" x14ac:dyDescent="0.3">
      <c r="A416" s="39">
        <v>45905.291666666664</v>
      </c>
      <c r="B416" s="1">
        <v>1468.57</v>
      </c>
      <c r="C416" s="11">
        <v>3.2732000000000001</v>
      </c>
      <c r="D416" s="1">
        <v>636.95000000000005</v>
      </c>
      <c r="E416" s="11">
        <v>3.0760000000000001</v>
      </c>
      <c r="F416" s="1">
        <v>398.57</v>
      </c>
      <c r="G416" s="11">
        <v>3.53</v>
      </c>
      <c r="H416" s="1">
        <v>-46.43</v>
      </c>
      <c r="I416" s="11">
        <v>3.3007</v>
      </c>
      <c r="J416" s="1">
        <v>126.26</v>
      </c>
      <c r="K416" s="11">
        <v>3.3172700000000002</v>
      </c>
      <c r="L416" s="1">
        <v>0</v>
      </c>
      <c r="M416" s="11">
        <v>6.2</v>
      </c>
      <c r="N416" s="1">
        <v>68.650000000000006</v>
      </c>
      <c r="O416" s="11">
        <v>2.8224999999999998</v>
      </c>
      <c r="P416" s="1">
        <f t="shared" si="76"/>
        <v>2652.5700000000006</v>
      </c>
      <c r="Q416" s="1">
        <v>2607.9899999999998</v>
      </c>
      <c r="R416" s="16">
        <f t="shared" si="77"/>
        <v>2158121.3145500002</v>
      </c>
      <c r="S416" s="1">
        <v>-546.24</v>
      </c>
      <c r="T416" s="1">
        <v>36.270000000000003</v>
      </c>
      <c r="U416" s="1">
        <v>12</v>
      </c>
      <c r="V416" s="1">
        <v>6.37</v>
      </c>
      <c r="W416" s="1" cm="1">
        <f t="array" ref="W416">SUM(ABS(S416:V416))</f>
        <v>600.88</v>
      </c>
      <c r="X416" s="25">
        <v>1.238</v>
      </c>
      <c r="Y416" s="42">
        <f t="shared" si="78"/>
        <v>185972.36000000002</v>
      </c>
      <c r="Z416" s="20">
        <v>397.12</v>
      </c>
      <c r="AA416" s="20">
        <f t="shared" si="79"/>
        <v>998</v>
      </c>
      <c r="AB416" s="21">
        <v>112.33999999999999</v>
      </c>
      <c r="AC416" s="21">
        <v>0.13</v>
      </c>
      <c r="AD416" s="8">
        <f t="shared" si="80"/>
        <v>509.59</v>
      </c>
      <c r="AE416" s="25">
        <v>1.238</v>
      </c>
      <c r="AF416" s="25">
        <f t="shared" si="81"/>
        <v>157718.10499999998</v>
      </c>
      <c r="AG416" s="25">
        <f t="shared" si="82"/>
        <v>343690.46499999997</v>
      </c>
      <c r="AH416" s="1">
        <f t="shared" si="72"/>
        <v>3162.1600000000008</v>
      </c>
      <c r="AI416" s="1">
        <f t="shared" si="73"/>
        <v>3117.58</v>
      </c>
      <c r="AJ416" s="1">
        <v>3612.53</v>
      </c>
      <c r="AK416" s="1">
        <f t="shared" si="74"/>
        <v>-450.36999999999944</v>
      </c>
      <c r="AL416" s="29">
        <f t="shared" si="83"/>
        <v>494.95000000000027</v>
      </c>
      <c r="AM416" s="11">
        <f t="shared" si="75"/>
        <v>2501811.7795500001</v>
      </c>
    </row>
    <row r="417" spans="1:39" x14ac:dyDescent="0.3">
      <c r="A417" s="39">
        <v>45905.302083333336</v>
      </c>
      <c r="B417" s="1">
        <v>1468.47</v>
      </c>
      <c r="C417" s="11">
        <v>3.2732000000000001</v>
      </c>
      <c r="D417" s="1">
        <v>636.95000000000005</v>
      </c>
      <c r="E417" s="11">
        <v>3.0760000000000001</v>
      </c>
      <c r="F417" s="1">
        <v>398.57</v>
      </c>
      <c r="G417" s="11">
        <v>3.53</v>
      </c>
      <c r="H417" s="1">
        <v>53.32</v>
      </c>
      <c r="I417" s="11">
        <v>3.0005600000000001</v>
      </c>
      <c r="J417" s="1">
        <v>127.98</v>
      </c>
      <c r="K417" s="11">
        <v>2.3498299999999999</v>
      </c>
      <c r="L417" s="1">
        <v>0</v>
      </c>
      <c r="M417" s="11">
        <v>6.2</v>
      </c>
      <c r="N417" s="1">
        <v>91.63</v>
      </c>
      <c r="O417" s="11">
        <v>2.8224999999999998</v>
      </c>
      <c r="P417" s="1">
        <f t="shared" si="76"/>
        <v>2776.9200000000005</v>
      </c>
      <c r="Q417" s="1">
        <v>2721.61</v>
      </c>
      <c r="R417" s="16">
        <f t="shared" si="77"/>
        <v>2223038.2703999998</v>
      </c>
      <c r="S417" s="1">
        <v>-380.03</v>
      </c>
      <c r="T417" s="1">
        <v>36.31</v>
      </c>
      <c r="U417" s="1">
        <v>12</v>
      </c>
      <c r="V417" s="1">
        <v>6.37</v>
      </c>
      <c r="W417" s="1" cm="1">
        <f t="array" ref="W417">SUM(ABS(S417:V417))</f>
        <v>434.71</v>
      </c>
      <c r="X417" s="25">
        <v>1.238</v>
      </c>
      <c r="Y417" s="42">
        <f t="shared" si="78"/>
        <v>134542.745</v>
      </c>
      <c r="Z417" s="20">
        <v>397.35999999999996</v>
      </c>
      <c r="AA417" s="20">
        <f t="shared" si="79"/>
        <v>832.06999999999994</v>
      </c>
      <c r="AB417" s="21">
        <v>119.66000000000001</v>
      </c>
      <c r="AC417" s="21">
        <v>0.09</v>
      </c>
      <c r="AD417" s="8">
        <f t="shared" si="80"/>
        <v>517.11</v>
      </c>
      <c r="AE417" s="25">
        <v>1.238</v>
      </c>
      <c r="AF417" s="25">
        <f t="shared" si="81"/>
        <v>160045.54500000001</v>
      </c>
      <c r="AG417" s="25">
        <f t="shared" si="82"/>
        <v>294588.29000000004</v>
      </c>
      <c r="AH417" s="1">
        <f t="shared" si="72"/>
        <v>3294.0300000000007</v>
      </c>
      <c r="AI417" s="1">
        <f t="shared" si="73"/>
        <v>3238.7200000000003</v>
      </c>
      <c r="AJ417" s="1">
        <v>3554.44</v>
      </c>
      <c r="AK417" s="1">
        <f t="shared" si="74"/>
        <v>-260.4099999999994</v>
      </c>
      <c r="AL417" s="29">
        <f t="shared" si="83"/>
        <v>315.7199999999998</v>
      </c>
      <c r="AM417" s="11">
        <f t="shared" si="75"/>
        <v>2517626.5603999998</v>
      </c>
    </row>
    <row r="418" spans="1:39" x14ac:dyDescent="0.3">
      <c r="A418" s="39">
        <v>45905.3125</v>
      </c>
      <c r="B418" s="1">
        <v>1468.47</v>
      </c>
      <c r="C418" s="11">
        <v>3.2732000000000001</v>
      </c>
      <c r="D418" s="1">
        <v>636.95000000000005</v>
      </c>
      <c r="E418" s="11">
        <v>3.0760000000000001</v>
      </c>
      <c r="F418" s="1">
        <v>398.57</v>
      </c>
      <c r="G418" s="11">
        <v>3.53</v>
      </c>
      <c r="H418" s="1">
        <v>53.99</v>
      </c>
      <c r="I418" s="11">
        <v>2.6930800000000001</v>
      </c>
      <c r="J418" s="1">
        <v>158.4</v>
      </c>
      <c r="K418" s="11">
        <v>2.1127500000000001</v>
      </c>
      <c r="L418" s="1">
        <v>0</v>
      </c>
      <c r="M418" s="11">
        <v>6.2</v>
      </c>
      <c r="N418" s="1">
        <v>113.35</v>
      </c>
      <c r="O418" s="11">
        <v>2.8224999999999998</v>
      </c>
      <c r="P418" s="1">
        <f t="shared" si="76"/>
        <v>2829.73</v>
      </c>
      <c r="Q418" s="1">
        <v>2786.23</v>
      </c>
      <c r="R418" s="16">
        <f t="shared" si="77"/>
        <v>2243198.9170500003</v>
      </c>
      <c r="S418" s="1">
        <v>-252.37</v>
      </c>
      <c r="T418" s="1">
        <v>36.33</v>
      </c>
      <c r="U418" s="1">
        <v>12</v>
      </c>
      <c r="V418" s="1">
        <v>4.83</v>
      </c>
      <c r="W418" s="1" cm="1">
        <f t="array" ref="W418">SUM(ABS(S418:V418))</f>
        <v>305.52999999999997</v>
      </c>
      <c r="X418" s="25">
        <v>1.238</v>
      </c>
      <c r="Y418" s="42">
        <f t="shared" si="78"/>
        <v>94561.534999999989</v>
      </c>
      <c r="Z418" s="20">
        <v>397.78000000000009</v>
      </c>
      <c r="AA418" s="20">
        <f t="shared" si="79"/>
        <v>703.31000000000006</v>
      </c>
      <c r="AB418" s="21">
        <v>128.4</v>
      </c>
      <c r="AC418" s="21">
        <v>0.09</v>
      </c>
      <c r="AD418" s="8">
        <f t="shared" si="80"/>
        <v>526.2700000000001</v>
      </c>
      <c r="AE418" s="25">
        <v>1.238</v>
      </c>
      <c r="AF418" s="25">
        <f t="shared" si="81"/>
        <v>162880.56500000003</v>
      </c>
      <c r="AG418" s="25">
        <f t="shared" si="82"/>
        <v>257442.10000000003</v>
      </c>
      <c r="AH418" s="1">
        <f t="shared" si="72"/>
        <v>3356</v>
      </c>
      <c r="AI418" s="1">
        <f t="shared" si="73"/>
        <v>3312.5</v>
      </c>
      <c r="AJ418" s="1">
        <v>3490.14</v>
      </c>
      <c r="AK418" s="1">
        <f t="shared" si="74"/>
        <v>-134.13999999999987</v>
      </c>
      <c r="AL418" s="29">
        <f t="shared" si="83"/>
        <v>177.63999999999987</v>
      </c>
      <c r="AM418" s="11">
        <f t="shared" si="75"/>
        <v>2500641.0170500004</v>
      </c>
    </row>
    <row r="419" spans="1:39" x14ac:dyDescent="0.3">
      <c r="A419" s="39">
        <v>45905.322916666664</v>
      </c>
      <c r="B419" s="1">
        <v>1468.47</v>
      </c>
      <c r="C419" s="11">
        <v>3.2732000000000001</v>
      </c>
      <c r="D419" s="1">
        <v>636.95000000000005</v>
      </c>
      <c r="E419" s="11">
        <v>3.0760000000000001</v>
      </c>
      <c r="F419" s="1">
        <v>398.57</v>
      </c>
      <c r="G419" s="11">
        <v>3.53</v>
      </c>
      <c r="H419" s="1">
        <v>55.39</v>
      </c>
      <c r="I419" s="11">
        <v>2.4000300000000001</v>
      </c>
      <c r="J419" s="1">
        <v>205.6</v>
      </c>
      <c r="K419" s="11">
        <v>1.7587300000000001</v>
      </c>
      <c r="L419" s="1">
        <v>0</v>
      </c>
      <c r="M419" s="11">
        <v>6.2</v>
      </c>
      <c r="N419" s="1">
        <v>138.18</v>
      </c>
      <c r="O419" s="11">
        <v>2.8224999999999998</v>
      </c>
      <c r="P419" s="1">
        <f t="shared" si="76"/>
        <v>2903.16</v>
      </c>
      <c r="Q419" s="1">
        <v>2826.27</v>
      </c>
      <c r="R419" s="16">
        <f t="shared" si="77"/>
        <v>2264337.9759249995</v>
      </c>
      <c r="S419" s="1">
        <v>-166.03</v>
      </c>
      <c r="T419" s="1">
        <v>36.35</v>
      </c>
      <c r="U419" s="1">
        <v>12</v>
      </c>
      <c r="V419" s="1">
        <v>0</v>
      </c>
      <c r="W419" s="1" cm="1">
        <f t="array" ref="W419">SUM(ABS(S419:V419))</f>
        <v>214.38</v>
      </c>
      <c r="X419" s="25">
        <v>1.238</v>
      </c>
      <c r="Y419" s="42">
        <f t="shared" si="78"/>
        <v>66350.61</v>
      </c>
      <c r="Z419" s="20">
        <v>391.62999999999994</v>
      </c>
      <c r="AA419" s="20">
        <f t="shared" si="79"/>
        <v>606.01</v>
      </c>
      <c r="AB419" s="21">
        <v>136.94000000000003</v>
      </c>
      <c r="AC419" s="21">
        <v>0.09</v>
      </c>
      <c r="AD419" s="8">
        <f t="shared" si="80"/>
        <v>528.66</v>
      </c>
      <c r="AE419" s="25">
        <v>1.238</v>
      </c>
      <c r="AF419" s="25">
        <f t="shared" si="81"/>
        <v>163620.26999999999</v>
      </c>
      <c r="AG419" s="25">
        <f t="shared" si="82"/>
        <v>229970.88</v>
      </c>
      <c r="AH419" s="1">
        <f t="shared" si="72"/>
        <v>3431.8199999999997</v>
      </c>
      <c r="AI419" s="1">
        <f t="shared" si="73"/>
        <v>3354.93</v>
      </c>
      <c r="AJ419" s="1">
        <v>3431.46</v>
      </c>
      <c r="AK419" s="1">
        <f t="shared" si="74"/>
        <v>0.35999999999967258</v>
      </c>
      <c r="AL419" s="29">
        <f t="shared" si="83"/>
        <v>76.5300000000002</v>
      </c>
      <c r="AM419" s="11">
        <f t="shared" si="75"/>
        <v>2494308.8559249993</v>
      </c>
    </row>
    <row r="420" spans="1:39" x14ac:dyDescent="0.3">
      <c r="A420" s="39">
        <v>45905.333333333336</v>
      </c>
      <c r="B420" s="1">
        <v>1379.2</v>
      </c>
      <c r="C420" s="11">
        <v>3.2732000000000001</v>
      </c>
      <c r="D420" s="1">
        <v>636.95000000000005</v>
      </c>
      <c r="E420" s="11">
        <v>3.0760000000000001</v>
      </c>
      <c r="F420" s="1">
        <v>398.57</v>
      </c>
      <c r="G420" s="11">
        <v>3.53</v>
      </c>
      <c r="H420" s="1">
        <v>85.36</v>
      </c>
      <c r="I420" s="11">
        <v>2.11219</v>
      </c>
      <c r="J420" s="1">
        <v>41.62</v>
      </c>
      <c r="K420" s="11">
        <v>2.5947900000000002</v>
      </c>
      <c r="L420" s="1">
        <v>1.81</v>
      </c>
      <c r="M420" s="11">
        <v>6.2</v>
      </c>
      <c r="N420" s="1">
        <v>167.78</v>
      </c>
      <c r="O420" s="11">
        <v>2.8224999999999998</v>
      </c>
      <c r="P420" s="1">
        <f t="shared" si="76"/>
        <v>2711.2900000000004</v>
      </c>
      <c r="Q420" s="1">
        <v>2679.33</v>
      </c>
      <c r="R420" s="16">
        <f t="shared" si="77"/>
        <v>2163420.1220500004</v>
      </c>
      <c r="S420" s="1">
        <v>-267.35000000000002</v>
      </c>
      <c r="T420" s="1">
        <v>36.380000000000003</v>
      </c>
      <c r="U420" s="1">
        <v>12</v>
      </c>
      <c r="V420" s="1">
        <v>0</v>
      </c>
      <c r="W420" s="1" cm="1">
        <f t="array" ref="W420">SUM(ABS(S420:V420))</f>
        <v>315.73</v>
      </c>
      <c r="X420" s="25">
        <v>1.238</v>
      </c>
      <c r="Y420" s="42">
        <f t="shared" si="78"/>
        <v>97718.434999999998</v>
      </c>
      <c r="Z420" s="20">
        <v>391.35999999999996</v>
      </c>
      <c r="AA420" s="20">
        <f t="shared" si="79"/>
        <v>707.08999999999992</v>
      </c>
      <c r="AB420" s="21">
        <v>145.94000000000003</v>
      </c>
      <c r="AC420" s="21">
        <v>0.09</v>
      </c>
      <c r="AD420" s="8">
        <f t="shared" si="80"/>
        <v>537.39</v>
      </c>
      <c r="AE420" s="25">
        <v>1.238</v>
      </c>
      <c r="AF420" s="25">
        <f t="shared" si="81"/>
        <v>166322.20499999999</v>
      </c>
      <c r="AG420" s="25">
        <f t="shared" si="82"/>
        <v>264040.64</v>
      </c>
      <c r="AH420" s="1">
        <f t="shared" si="72"/>
        <v>3248.6800000000003</v>
      </c>
      <c r="AI420" s="1">
        <f t="shared" si="73"/>
        <v>3216.72</v>
      </c>
      <c r="AJ420" s="1">
        <v>3381.53</v>
      </c>
      <c r="AK420" s="1">
        <f t="shared" si="74"/>
        <v>-132.84999999999991</v>
      </c>
      <c r="AL420" s="29">
        <f t="shared" si="83"/>
        <v>164.8100000000004</v>
      </c>
      <c r="AM420" s="11">
        <f t="shared" si="75"/>
        <v>2427460.7620500005</v>
      </c>
    </row>
    <row r="421" spans="1:39" x14ac:dyDescent="0.3">
      <c r="A421" s="39">
        <v>45905.34375</v>
      </c>
      <c r="B421" s="1">
        <v>1373.28</v>
      </c>
      <c r="C421" s="11">
        <v>3.2732000000000001</v>
      </c>
      <c r="D421" s="1">
        <v>636.95000000000005</v>
      </c>
      <c r="E421" s="11">
        <v>3.0760000000000001</v>
      </c>
      <c r="F421" s="1">
        <v>398.57</v>
      </c>
      <c r="G421" s="11">
        <v>3.53</v>
      </c>
      <c r="H421" s="1">
        <v>87.59</v>
      </c>
      <c r="I421" s="11">
        <v>1.9999899999999999</v>
      </c>
      <c r="J421" s="1">
        <v>29.89</v>
      </c>
      <c r="K421" s="11">
        <v>2.5949599999999999</v>
      </c>
      <c r="L421" s="1">
        <v>1.93</v>
      </c>
      <c r="M421" s="11">
        <v>6.2</v>
      </c>
      <c r="N421" s="1">
        <v>196.37</v>
      </c>
      <c r="O421" s="11">
        <v>2.8224999999999998</v>
      </c>
      <c r="P421" s="1">
        <f t="shared" si="76"/>
        <v>2724.58</v>
      </c>
      <c r="Q421" s="1">
        <v>2612.15</v>
      </c>
      <c r="R421" s="16">
        <f t="shared" si="77"/>
        <v>2170048.2998750005</v>
      </c>
      <c r="S421" s="1">
        <v>-294.69</v>
      </c>
      <c r="T421" s="1">
        <v>36.35</v>
      </c>
      <c r="U421" s="1">
        <v>12</v>
      </c>
      <c r="V421" s="1">
        <v>0</v>
      </c>
      <c r="W421" s="1" cm="1">
        <f t="array" ref="W421">SUM(ABS(S421:V421))</f>
        <v>343.04</v>
      </c>
      <c r="X421" s="25">
        <v>1.238</v>
      </c>
      <c r="Y421" s="42">
        <f t="shared" si="78"/>
        <v>106170.88</v>
      </c>
      <c r="Z421" s="20">
        <v>398.64999999999992</v>
      </c>
      <c r="AA421" s="20">
        <f t="shared" si="79"/>
        <v>741.68999999999994</v>
      </c>
      <c r="AB421" s="21">
        <v>154.62</v>
      </c>
      <c r="AC421" s="21">
        <v>0.09</v>
      </c>
      <c r="AD421" s="8">
        <f t="shared" si="80"/>
        <v>553.36</v>
      </c>
      <c r="AE421" s="25">
        <v>1.238</v>
      </c>
      <c r="AF421" s="25">
        <f t="shared" si="81"/>
        <v>171264.91999999998</v>
      </c>
      <c r="AG421" s="25">
        <f t="shared" si="82"/>
        <v>277435.8</v>
      </c>
      <c r="AH421" s="1">
        <f t="shared" si="72"/>
        <v>3277.94</v>
      </c>
      <c r="AI421" s="1">
        <f t="shared" si="73"/>
        <v>3165.51</v>
      </c>
      <c r="AJ421" s="1">
        <v>3350.66</v>
      </c>
      <c r="AK421" s="1">
        <f t="shared" si="74"/>
        <v>-72.7199999999998</v>
      </c>
      <c r="AL421" s="29">
        <f t="shared" si="83"/>
        <v>185.14999999999964</v>
      </c>
      <c r="AM421" s="11">
        <f t="shared" si="75"/>
        <v>2447484.0998750003</v>
      </c>
    </row>
    <row r="422" spans="1:39" x14ac:dyDescent="0.3">
      <c r="A422" s="39">
        <v>45905.354166666664</v>
      </c>
      <c r="B422" s="1">
        <v>1360.26</v>
      </c>
      <c r="C422" s="11">
        <v>3.2732000000000001</v>
      </c>
      <c r="D422" s="1">
        <v>636.95000000000005</v>
      </c>
      <c r="E422" s="11">
        <v>3.0760000000000001</v>
      </c>
      <c r="F422" s="1">
        <v>398.57</v>
      </c>
      <c r="G422" s="11">
        <v>3.53</v>
      </c>
      <c r="H422" s="1">
        <v>84.63</v>
      </c>
      <c r="I422" s="11">
        <v>1.9998499999999999</v>
      </c>
      <c r="J422" s="1">
        <v>27.72</v>
      </c>
      <c r="K422" s="11">
        <v>2.9494000000000002</v>
      </c>
      <c r="L422" s="1">
        <v>5.73</v>
      </c>
      <c r="M422" s="11">
        <v>6.2</v>
      </c>
      <c r="N422" s="1">
        <v>226.49</v>
      </c>
      <c r="O422" s="11">
        <v>2.8224999999999998</v>
      </c>
      <c r="P422" s="1">
        <f t="shared" si="76"/>
        <v>2740.3500000000004</v>
      </c>
      <c r="Q422" s="1">
        <v>2568.11</v>
      </c>
      <c r="R422" s="16">
        <f t="shared" si="77"/>
        <v>2186103.0076250001</v>
      </c>
      <c r="S422" s="1">
        <v>-294.19</v>
      </c>
      <c r="T422" s="1">
        <v>36.35</v>
      </c>
      <c r="U422" s="1">
        <v>12</v>
      </c>
      <c r="V422" s="1">
        <v>0</v>
      </c>
      <c r="W422" s="1" cm="1">
        <f t="array" ref="W422">SUM(ABS(S422:V422))</f>
        <v>342.54</v>
      </c>
      <c r="X422" s="25">
        <v>1.238</v>
      </c>
      <c r="Y422" s="42">
        <f t="shared" si="78"/>
        <v>106016.13</v>
      </c>
      <c r="Z422" s="20">
        <v>395.96</v>
      </c>
      <c r="AA422" s="20">
        <f t="shared" si="79"/>
        <v>738.5</v>
      </c>
      <c r="AB422" s="21">
        <v>126.47999999999999</v>
      </c>
      <c r="AC422" s="21">
        <v>0.09</v>
      </c>
      <c r="AD422" s="8">
        <f t="shared" si="80"/>
        <v>522.53</v>
      </c>
      <c r="AE422" s="25">
        <v>1.238</v>
      </c>
      <c r="AF422" s="25">
        <f t="shared" si="81"/>
        <v>161723.03499999997</v>
      </c>
      <c r="AG422" s="25">
        <f t="shared" si="82"/>
        <v>267739.16499999998</v>
      </c>
      <c r="AH422" s="1">
        <f t="shared" si="72"/>
        <v>3262.88</v>
      </c>
      <c r="AI422" s="1">
        <f t="shared" si="73"/>
        <v>3090.6400000000003</v>
      </c>
      <c r="AJ422" s="1">
        <v>3400.37</v>
      </c>
      <c r="AK422" s="1">
        <f t="shared" si="74"/>
        <v>-137.48999999999978</v>
      </c>
      <c r="AL422" s="29">
        <f t="shared" si="83"/>
        <v>309.72999999999956</v>
      </c>
      <c r="AM422" s="11">
        <f t="shared" si="75"/>
        <v>2453842.1726250001</v>
      </c>
    </row>
    <row r="423" spans="1:39" x14ac:dyDescent="0.3">
      <c r="A423" s="39">
        <v>45905.364583333336</v>
      </c>
      <c r="B423" s="1">
        <v>1359.4</v>
      </c>
      <c r="C423" s="11">
        <v>3.2732000000000001</v>
      </c>
      <c r="D423" s="1">
        <v>636.95000000000005</v>
      </c>
      <c r="E423" s="11">
        <v>3.0760000000000001</v>
      </c>
      <c r="F423" s="1">
        <v>398.57</v>
      </c>
      <c r="G423" s="11">
        <v>3.53</v>
      </c>
      <c r="H423" s="1">
        <v>66.680000000000007</v>
      </c>
      <c r="I423" s="11">
        <v>1.99939</v>
      </c>
      <c r="J423" s="1">
        <v>24.33</v>
      </c>
      <c r="K423" s="11">
        <v>2.97105</v>
      </c>
      <c r="L423" s="1">
        <v>27.01</v>
      </c>
      <c r="M423" s="11">
        <v>6.2</v>
      </c>
      <c r="N423" s="1">
        <v>257.13</v>
      </c>
      <c r="O423" s="11">
        <v>2.8224999999999998</v>
      </c>
      <c r="P423" s="1">
        <f t="shared" si="76"/>
        <v>2770.07</v>
      </c>
      <c r="Q423" s="1">
        <v>2684.33</v>
      </c>
      <c r="R423" s="16">
        <f t="shared" si="77"/>
        <v>2228653.6941749998</v>
      </c>
      <c r="S423" s="1">
        <v>-167.16</v>
      </c>
      <c r="T423" s="1">
        <v>36.340000000000003</v>
      </c>
      <c r="U423" s="1">
        <v>12</v>
      </c>
      <c r="V423" s="1">
        <v>0</v>
      </c>
      <c r="W423" s="1" cm="1">
        <f t="array" ref="W423">SUM(ABS(S423:V423))</f>
        <v>215.5</v>
      </c>
      <c r="X423" s="25">
        <v>1.238</v>
      </c>
      <c r="Y423" s="42">
        <f t="shared" si="78"/>
        <v>66697.25</v>
      </c>
      <c r="Z423" s="20">
        <v>392.32</v>
      </c>
      <c r="AA423" s="20">
        <f t="shared" si="79"/>
        <v>607.81999999999994</v>
      </c>
      <c r="AB423" s="21">
        <v>123.23</v>
      </c>
      <c r="AC423" s="21">
        <v>0.11</v>
      </c>
      <c r="AD423" s="8">
        <f t="shared" si="80"/>
        <v>515.66</v>
      </c>
      <c r="AE423" s="25">
        <v>1.238</v>
      </c>
      <c r="AF423" s="25">
        <f t="shared" si="81"/>
        <v>159596.76999999999</v>
      </c>
      <c r="AG423" s="25">
        <f t="shared" si="82"/>
        <v>226294.02</v>
      </c>
      <c r="AH423" s="1">
        <f t="shared" si="72"/>
        <v>3285.73</v>
      </c>
      <c r="AI423" s="1">
        <f t="shared" si="73"/>
        <v>3199.99</v>
      </c>
      <c r="AJ423" s="1">
        <v>3430.97</v>
      </c>
      <c r="AK423" s="1">
        <f t="shared" si="74"/>
        <v>-145.23999999999978</v>
      </c>
      <c r="AL423" s="29">
        <f t="shared" si="83"/>
        <v>230.98000000000002</v>
      </c>
      <c r="AM423" s="11">
        <f t="shared" si="75"/>
        <v>2454947.7141749999</v>
      </c>
    </row>
    <row r="424" spans="1:39" x14ac:dyDescent="0.3">
      <c r="A424" s="39">
        <v>45905.375</v>
      </c>
      <c r="B424" s="1">
        <v>1222.2</v>
      </c>
      <c r="C424" s="11">
        <v>3.2732000000000001</v>
      </c>
      <c r="D424" s="1">
        <v>636.95000000000005</v>
      </c>
      <c r="E424" s="11">
        <v>3.0760000000000001</v>
      </c>
      <c r="F424" s="1">
        <v>398.57</v>
      </c>
      <c r="G424" s="11">
        <v>3.53</v>
      </c>
      <c r="H424" s="1">
        <v>22.83</v>
      </c>
      <c r="I424" s="11">
        <v>1.9995099999999999</v>
      </c>
      <c r="J424" s="1">
        <v>24.1</v>
      </c>
      <c r="K424" s="11">
        <v>3.00081</v>
      </c>
      <c r="L424" s="1">
        <v>73.459999999999994</v>
      </c>
      <c r="M424" s="11">
        <v>6.2</v>
      </c>
      <c r="N424" s="1">
        <v>262.52999999999997</v>
      </c>
      <c r="O424" s="11">
        <v>2.8224999999999998</v>
      </c>
      <c r="P424" s="1">
        <f t="shared" si="76"/>
        <v>2640.6400000000003</v>
      </c>
      <c r="Q424" s="1">
        <v>2716.79</v>
      </c>
      <c r="R424" s="16">
        <f t="shared" si="77"/>
        <v>2170281.6498250002</v>
      </c>
      <c r="S424" s="1">
        <v>-172.04</v>
      </c>
      <c r="T424" s="1">
        <v>36.369999999999997</v>
      </c>
      <c r="U424" s="1">
        <v>12</v>
      </c>
      <c r="V424" s="1">
        <v>0</v>
      </c>
      <c r="W424" s="1" cm="1">
        <f t="array" ref="W424">SUM(ABS(S424:V424))</f>
        <v>220.41</v>
      </c>
      <c r="X424" s="25">
        <v>1.238</v>
      </c>
      <c r="Y424" s="42">
        <f t="shared" si="78"/>
        <v>68216.89499999999</v>
      </c>
      <c r="Z424" s="20">
        <v>392.31999999999994</v>
      </c>
      <c r="AA424" s="20">
        <f t="shared" si="79"/>
        <v>612.7299999999999</v>
      </c>
      <c r="AB424" s="21">
        <v>131.22000000000003</v>
      </c>
      <c r="AC424" s="21">
        <v>0.11</v>
      </c>
      <c r="AD424" s="8">
        <f t="shared" si="80"/>
        <v>523.65</v>
      </c>
      <c r="AE424" s="25">
        <v>1.238</v>
      </c>
      <c r="AF424" s="25">
        <f t="shared" si="81"/>
        <v>162069.67499999999</v>
      </c>
      <c r="AG424" s="25">
        <f t="shared" si="82"/>
        <v>230286.56999999998</v>
      </c>
      <c r="AH424" s="1">
        <f t="shared" si="72"/>
        <v>3164.2900000000004</v>
      </c>
      <c r="AI424" s="1">
        <f t="shared" si="73"/>
        <v>3240.44</v>
      </c>
      <c r="AJ424" s="1">
        <v>3475.12</v>
      </c>
      <c r="AK424" s="1">
        <f t="shared" si="74"/>
        <v>-310.82999999999947</v>
      </c>
      <c r="AL424" s="29">
        <f t="shared" si="83"/>
        <v>234.67999999999984</v>
      </c>
      <c r="AM424" s="11">
        <f t="shared" si="75"/>
        <v>2400568.219825</v>
      </c>
    </row>
    <row r="425" spans="1:39" x14ac:dyDescent="0.3">
      <c r="A425" s="39">
        <v>45905.385416666664</v>
      </c>
      <c r="B425" s="1">
        <v>1143.28</v>
      </c>
      <c r="C425" s="11">
        <v>3.2732000000000001</v>
      </c>
      <c r="D425" s="1">
        <v>636.95000000000005</v>
      </c>
      <c r="E425" s="11">
        <v>3.0760000000000001</v>
      </c>
      <c r="F425" s="1">
        <v>398.57</v>
      </c>
      <c r="G425" s="11">
        <v>3.53</v>
      </c>
      <c r="H425" s="1">
        <v>19.53</v>
      </c>
      <c r="I425" s="11">
        <v>1.99952</v>
      </c>
      <c r="J425" s="1">
        <v>24.1</v>
      </c>
      <c r="K425" s="11">
        <v>3.1409199999999999</v>
      </c>
      <c r="L425" s="1">
        <v>76.459999999999994</v>
      </c>
      <c r="M425" s="11">
        <v>6.2</v>
      </c>
      <c r="N425" s="1">
        <v>286.25</v>
      </c>
      <c r="O425" s="11">
        <v>2.8224999999999998</v>
      </c>
      <c r="P425" s="1">
        <f t="shared" si="76"/>
        <v>2585.1400000000003</v>
      </c>
      <c r="Q425" s="1">
        <v>2603.66</v>
      </c>
      <c r="R425" s="16">
        <f t="shared" si="77"/>
        <v>2126283.4546499997</v>
      </c>
      <c r="S425" s="1">
        <v>-329.48</v>
      </c>
      <c r="T425" s="1">
        <v>36.39</v>
      </c>
      <c r="U425" s="1">
        <v>12</v>
      </c>
      <c r="V425" s="1">
        <v>0</v>
      </c>
      <c r="W425" s="1" cm="1">
        <f t="array" ref="W425">SUM(ABS(S425:V425))</f>
        <v>377.87</v>
      </c>
      <c r="X425" s="25">
        <v>1.238</v>
      </c>
      <c r="Y425" s="42">
        <f t="shared" si="78"/>
        <v>116950.765</v>
      </c>
      <c r="Z425" s="20">
        <v>393.63999999999993</v>
      </c>
      <c r="AA425" s="20">
        <f t="shared" si="79"/>
        <v>771.51</v>
      </c>
      <c r="AB425" s="21">
        <v>128.51999999999998</v>
      </c>
      <c r="AC425" s="21">
        <v>0.08</v>
      </c>
      <c r="AD425" s="8">
        <f t="shared" si="80"/>
        <v>522.2399999999999</v>
      </c>
      <c r="AE425" s="25">
        <v>1.238</v>
      </c>
      <c r="AF425" s="25">
        <f t="shared" si="81"/>
        <v>161633.27999999997</v>
      </c>
      <c r="AG425" s="25">
        <f t="shared" si="82"/>
        <v>278584.04499999998</v>
      </c>
      <c r="AH425" s="1">
        <f t="shared" si="72"/>
        <v>3107.38</v>
      </c>
      <c r="AI425" s="1">
        <f t="shared" si="73"/>
        <v>3125.8999999999996</v>
      </c>
      <c r="AJ425" s="1">
        <v>3509.33</v>
      </c>
      <c r="AK425" s="1">
        <f t="shared" si="74"/>
        <v>-401.94999999999982</v>
      </c>
      <c r="AL425" s="29">
        <f t="shared" si="83"/>
        <v>383.43000000000029</v>
      </c>
      <c r="AM425" s="11">
        <f t="shared" si="75"/>
        <v>2404867.4996499997</v>
      </c>
    </row>
    <row r="426" spans="1:39" x14ac:dyDescent="0.3">
      <c r="A426" s="39">
        <v>45905.395833333336</v>
      </c>
      <c r="B426" s="1">
        <v>1072.58</v>
      </c>
      <c r="C426" s="11">
        <v>3.2732000000000001</v>
      </c>
      <c r="D426" s="1">
        <v>636.95000000000005</v>
      </c>
      <c r="E426" s="11">
        <v>3.0760000000000001</v>
      </c>
      <c r="F426" s="1">
        <v>398.57</v>
      </c>
      <c r="G426" s="11">
        <v>3.53</v>
      </c>
      <c r="H426" s="1">
        <v>19.53</v>
      </c>
      <c r="I426" s="11">
        <v>1.99935</v>
      </c>
      <c r="J426" s="1">
        <v>19.59</v>
      </c>
      <c r="K426" s="11">
        <v>3.1968800000000002</v>
      </c>
      <c r="L426" s="1">
        <v>76.63</v>
      </c>
      <c r="M426" s="11">
        <v>6.2</v>
      </c>
      <c r="N426" s="1">
        <v>304.33</v>
      </c>
      <c r="O426" s="11">
        <v>2.8224999999999998</v>
      </c>
      <c r="P426" s="1">
        <f t="shared" si="76"/>
        <v>2528.1800000000003</v>
      </c>
      <c r="Q426" s="1">
        <v>2480.54</v>
      </c>
      <c r="R426" s="16">
        <f t="shared" si="77"/>
        <v>2078182.6914250001</v>
      </c>
      <c r="S426" s="1">
        <v>-472.83</v>
      </c>
      <c r="T426" s="1">
        <v>36.380000000000003</v>
      </c>
      <c r="U426" s="1">
        <v>12</v>
      </c>
      <c r="V426" s="1">
        <v>0</v>
      </c>
      <c r="W426" s="1" cm="1">
        <f t="array" ref="W426">SUM(ABS(S426:V426))</f>
        <v>521.21</v>
      </c>
      <c r="X426" s="25">
        <v>1.238</v>
      </c>
      <c r="Y426" s="42">
        <f t="shared" si="78"/>
        <v>161314.49500000002</v>
      </c>
      <c r="Z426" s="20">
        <v>393.82</v>
      </c>
      <c r="AA426" s="20">
        <f t="shared" si="79"/>
        <v>915.03</v>
      </c>
      <c r="AB426" s="21">
        <v>129.68</v>
      </c>
      <c r="AC426" s="21">
        <v>0.09</v>
      </c>
      <c r="AD426" s="8">
        <f t="shared" si="80"/>
        <v>523.59</v>
      </c>
      <c r="AE426" s="25">
        <v>1.238</v>
      </c>
      <c r="AF426" s="25">
        <f t="shared" si="81"/>
        <v>162051.10500000001</v>
      </c>
      <c r="AG426" s="25">
        <f t="shared" si="82"/>
        <v>323365.60000000003</v>
      </c>
      <c r="AH426" s="1">
        <f t="shared" si="72"/>
        <v>3051.7700000000004</v>
      </c>
      <c r="AI426" s="1">
        <f t="shared" si="73"/>
        <v>3004.13</v>
      </c>
      <c r="AJ426" s="1">
        <v>3539.95</v>
      </c>
      <c r="AK426" s="1">
        <f t="shared" si="74"/>
        <v>-488.17999999999938</v>
      </c>
      <c r="AL426" s="29">
        <f t="shared" si="83"/>
        <v>535.81999999999971</v>
      </c>
      <c r="AM426" s="11">
        <f t="shared" si="75"/>
        <v>2401548.2914249999</v>
      </c>
    </row>
    <row r="427" spans="1:39" x14ac:dyDescent="0.3">
      <c r="A427" s="39">
        <v>45905.40625</v>
      </c>
      <c r="B427" s="1">
        <v>1065.52</v>
      </c>
      <c r="C427" s="11">
        <v>3.2732000000000001</v>
      </c>
      <c r="D427" s="1">
        <v>636.95000000000005</v>
      </c>
      <c r="E427" s="11">
        <v>3.0760000000000001</v>
      </c>
      <c r="F427" s="1">
        <v>398.57</v>
      </c>
      <c r="G427" s="11">
        <v>3.53</v>
      </c>
      <c r="H427" s="1">
        <v>19.53</v>
      </c>
      <c r="I427" s="11">
        <v>1.9992099999999999</v>
      </c>
      <c r="J427" s="1">
        <v>19.27</v>
      </c>
      <c r="K427" s="11">
        <v>3.1409099999999999</v>
      </c>
      <c r="L427" s="1">
        <v>76.64</v>
      </c>
      <c r="M427" s="11">
        <v>6.2</v>
      </c>
      <c r="N427" s="1">
        <v>322.68</v>
      </c>
      <c r="O427" s="11">
        <v>2.8224999999999998</v>
      </c>
      <c r="P427" s="1">
        <f t="shared" si="76"/>
        <v>2539.16</v>
      </c>
      <c r="Q427" s="1">
        <v>2532.06</v>
      </c>
      <c r="R427" s="16">
        <f t="shared" si="77"/>
        <v>2084843.1427499999</v>
      </c>
      <c r="S427" s="1">
        <v>-438.13</v>
      </c>
      <c r="T427" s="1">
        <v>36.4</v>
      </c>
      <c r="U427" s="1">
        <v>12</v>
      </c>
      <c r="V427" s="1">
        <v>0</v>
      </c>
      <c r="W427" s="1" cm="1">
        <f t="array" ref="W427">SUM(ABS(S427:V427))</f>
        <v>486.53</v>
      </c>
      <c r="X427" s="25">
        <v>1.238</v>
      </c>
      <c r="Y427" s="42">
        <f t="shared" si="78"/>
        <v>150581.03499999997</v>
      </c>
      <c r="Z427" s="20">
        <v>392.45</v>
      </c>
      <c r="AA427" s="20">
        <f t="shared" si="79"/>
        <v>878.98</v>
      </c>
      <c r="AB427" s="21">
        <v>137.41999999999999</v>
      </c>
      <c r="AC427" s="21">
        <v>0.15</v>
      </c>
      <c r="AD427" s="8">
        <f t="shared" si="80"/>
        <v>530.02</v>
      </c>
      <c r="AE427" s="25">
        <v>1.238</v>
      </c>
      <c r="AF427" s="25">
        <f t="shared" si="81"/>
        <v>164041.19</v>
      </c>
      <c r="AG427" s="25">
        <f t="shared" si="82"/>
        <v>314622.22499999998</v>
      </c>
      <c r="AH427" s="1">
        <f t="shared" si="72"/>
        <v>3069.18</v>
      </c>
      <c r="AI427" s="1">
        <f t="shared" si="73"/>
        <v>3062.08</v>
      </c>
      <c r="AJ427" s="1">
        <v>3563.04</v>
      </c>
      <c r="AK427" s="1">
        <f t="shared" si="74"/>
        <v>-493.86000000000013</v>
      </c>
      <c r="AL427" s="29">
        <f t="shared" si="83"/>
        <v>500.96000000000004</v>
      </c>
      <c r="AM427" s="11">
        <f t="shared" si="75"/>
        <v>2399465.3677499997</v>
      </c>
    </row>
    <row r="428" spans="1:39" x14ac:dyDescent="0.3">
      <c r="A428" s="39">
        <v>45905.416666666664</v>
      </c>
      <c r="B428" s="1">
        <v>1065.3800000000001</v>
      </c>
      <c r="C428" s="11">
        <v>3.2732000000000001</v>
      </c>
      <c r="D428" s="1">
        <v>636.95000000000005</v>
      </c>
      <c r="E428" s="11">
        <v>3.0760000000000001</v>
      </c>
      <c r="F428" s="1">
        <v>398.57</v>
      </c>
      <c r="G428" s="11">
        <v>3.53</v>
      </c>
      <c r="H428" s="1">
        <v>19.62</v>
      </c>
      <c r="I428" s="11">
        <v>1.8009000000000002</v>
      </c>
      <c r="J428" s="1">
        <v>55.77</v>
      </c>
      <c r="K428" s="11">
        <v>2.9996399999999999</v>
      </c>
      <c r="L428" s="1">
        <v>76.64</v>
      </c>
      <c r="M428" s="11">
        <v>6.2</v>
      </c>
      <c r="N428" s="1">
        <v>355.64</v>
      </c>
      <c r="O428" s="11">
        <v>2.8224999999999998</v>
      </c>
      <c r="P428" s="1">
        <f t="shared" si="76"/>
        <v>2608.5699999999997</v>
      </c>
      <c r="Q428" s="1">
        <v>2609.58</v>
      </c>
      <c r="R428" s="16">
        <f t="shared" si="77"/>
        <v>2133749.3991999999</v>
      </c>
      <c r="S428" s="1">
        <v>-323.92</v>
      </c>
      <c r="T428" s="1">
        <v>36.4</v>
      </c>
      <c r="U428" s="1">
        <v>12</v>
      </c>
      <c r="V428" s="1">
        <v>0</v>
      </c>
      <c r="W428" s="1" cm="1">
        <f t="array" ref="W428">SUM(ABS(S428:V428))</f>
        <v>372.32</v>
      </c>
      <c r="X428" s="25">
        <v>1.238</v>
      </c>
      <c r="Y428" s="42">
        <f t="shared" si="78"/>
        <v>115233.04000000001</v>
      </c>
      <c r="Z428" s="20">
        <v>446.03</v>
      </c>
      <c r="AA428" s="20">
        <f t="shared" si="79"/>
        <v>818.34999999999991</v>
      </c>
      <c r="AB428" s="21">
        <v>133.88</v>
      </c>
      <c r="AC428" s="21">
        <v>0.27</v>
      </c>
      <c r="AD428" s="8">
        <f t="shared" si="80"/>
        <v>580.17999999999995</v>
      </c>
      <c r="AE428" s="25">
        <v>1.238</v>
      </c>
      <c r="AF428" s="25">
        <f t="shared" si="81"/>
        <v>179565.71</v>
      </c>
      <c r="AG428" s="25">
        <f t="shared" si="82"/>
        <v>294798.75</v>
      </c>
      <c r="AH428" s="1">
        <f t="shared" si="72"/>
        <v>3188.7499999999995</v>
      </c>
      <c r="AI428" s="1">
        <f t="shared" si="73"/>
        <v>3189.7599999999998</v>
      </c>
      <c r="AJ428" s="1">
        <v>3580.12</v>
      </c>
      <c r="AK428" s="1">
        <f t="shared" si="74"/>
        <v>-391.37000000000035</v>
      </c>
      <c r="AL428" s="29">
        <f t="shared" si="83"/>
        <v>390.36000000000013</v>
      </c>
      <c r="AM428" s="11">
        <f t="shared" si="75"/>
        <v>2428548.1491999999</v>
      </c>
    </row>
    <row r="429" spans="1:39" x14ac:dyDescent="0.3">
      <c r="A429" s="39">
        <v>45905.427083333336</v>
      </c>
      <c r="B429" s="1">
        <v>1067.4000000000001</v>
      </c>
      <c r="C429" s="11">
        <v>3.2732000000000001</v>
      </c>
      <c r="D429" s="1">
        <v>636.95000000000005</v>
      </c>
      <c r="E429" s="11">
        <v>3.0760000000000001</v>
      </c>
      <c r="F429" s="1">
        <v>398.57</v>
      </c>
      <c r="G429" s="11">
        <v>3.53</v>
      </c>
      <c r="H429" s="1">
        <v>19.63</v>
      </c>
      <c r="I429" s="11">
        <v>1.8898299999999999</v>
      </c>
      <c r="J429" s="1">
        <v>115.64</v>
      </c>
      <c r="K429" s="11">
        <v>2.9617900000000001</v>
      </c>
      <c r="L429" s="1">
        <v>76.38</v>
      </c>
      <c r="M429" s="11">
        <v>6.2</v>
      </c>
      <c r="N429" s="1">
        <v>383.22</v>
      </c>
      <c r="O429" s="11">
        <v>2.8224999999999998</v>
      </c>
      <c r="P429" s="1">
        <f t="shared" si="76"/>
        <v>2697.79</v>
      </c>
      <c r="Q429" s="1">
        <v>2692.89</v>
      </c>
      <c r="R429" s="16">
        <f t="shared" si="77"/>
        <v>2198704.297125</v>
      </c>
      <c r="S429" s="1">
        <v>-235.58</v>
      </c>
      <c r="T429" s="1">
        <v>36.369999999999997</v>
      </c>
      <c r="U429" s="1">
        <v>12</v>
      </c>
      <c r="V429" s="1">
        <v>0</v>
      </c>
      <c r="W429" s="1" cm="1">
        <f t="array" ref="W429">SUM(ABS(S429:V429))</f>
        <v>283.95</v>
      </c>
      <c r="X429" s="25">
        <v>1.238</v>
      </c>
      <c r="Y429" s="42">
        <f t="shared" si="78"/>
        <v>87882.524999999994</v>
      </c>
      <c r="Z429" s="20">
        <v>478.74999999999994</v>
      </c>
      <c r="AA429" s="20">
        <f t="shared" si="79"/>
        <v>762.69999999999993</v>
      </c>
      <c r="AB429" s="21">
        <v>139.66000000000003</v>
      </c>
      <c r="AC429" s="21">
        <v>0.21000000000000002</v>
      </c>
      <c r="AD429" s="8">
        <f t="shared" si="80"/>
        <v>618.62</v>
      </c>
      <c r="AE429" s="25">
        <v>1.238</v>
      </c>
      <c r="AF429" s="25">
        <f t="shared" si="81"/>
        <v>191462.88999999998</v>
      </c>
      <c r="AG429" s="25">
        <f t="shared" si="82"/>
        <v>279345.41499999998</v>
      </c>
      <c r="AH429" s="1">
        <f t="shared" si="72"/>
        <v>3316.41</v>
      </c>
      <c r="AI429" s="1">
        <f t="shared" si="73"/>
        <v>3311.5099999999998</v>
      </c>
      <c r="AJ429" s="1">
        <v>3615.83</v>
      </c>
      <c r="AK429" s="1">
        <f t="shared" si="74"/>
        <v>-299.42000000000007</v>
      </c>
      <c r="AL429" s="29">
        <f t="shared" si="83"/>
        <v>304.32000000000016</v>
      </c>
      <c r="AM429" s="11">
        <f t="shared" si="75"/>
        <v>2478049.7121250001</v>
      </c>
    </row>
    <row r="430" spans="1:39" x14ac:dyDescent="0.3">
      <c r="A430" s="39">
        <v>45905.4375</v>
      </c>
      <c r="B430" s="1">
        <v>1068.1300000000001</v>
      </c>
      <c r="C430" s="11">
        <v>3.2732000000000001</v>
      </c>
      <c r="D430" s="1">
        <v>636.95000000000005</v>
      </c>
      <c r="E430" s="11">
        <v>3.0760000000000001</v>
      </c>
      <c r="F430" s="1">
        <v>398.57</v>
      </c>
      <c r="G430" s="11">
        <v>3.53</v>
      </c>
      <c r="H430" s="1">
        <v>19.63</v>
      </c>
      <c r="I430" s="11">
        <v>1.9992799999999999</v>
      </c>
      <c r="J430" s="1">
        <v>119.66</v>
      </c>
      <c r="K430" s="11">
        <v>2.7996399999999997</v>
      </c>
      <c r="L430" s="1">
        <v>76.41</v>
      </c>
      <c r="M430" s="11">
        <v>6.2</v>
      </c>
      <c r="N430" s="1">
        <v>399.45</v>
      </c>
      <c r="O430" s="11">
        <v>2.8224999999999998</v>
      </c>
      <c r="P430" s="1">
        <f t="shared" si="76"/>
        <v>2718.7999999999997</v>
      </c>
      <c r="Q430" s="1">
        <v>2735.6</v>
      </c>
      <c r="R430" s="16">
        <f t="shared" si="77"/>
        <v>2209463.4574500006</v>
      </c>
      <c r="S430" s="1">
        <v>-217.9</v>
      </c>
      <c r="T430" s="1">
        <v>36.380000000000003</v>
      </c>
      <c r="U430" s="1">
        <v>12</v>
      </c>
      <c r="V430" s="1">
        <v>0</v>
      </c>
      <c r="W430" s="1" cm="1">
        <f t="array" ref="W430">SUM(ABS(S430:V430))</f>
        <v>266.27999999999997</v>
      </c>
      <c r="X430" s="25">
        <v>1.238</v>
      </c>
      <c r="Y430" s="42">
        <f t="shared" si="78"/>
        <v>82413.659999999989</v>
      </c>
      <c r="Z430" s="20">
        <v>456.63999999999993</v>
      </c>
      <c r="AA430" s="20">
        <f t="shared" si="79"/>
        <v>722.91999999999985</v>
      </c>
      <c r="AB430" s="21">
        <v>147.64999999999998</v>
      </c>
      <c r="AC430" s="21">
        <v>0.52</v>
      </c>
      <c r="AD430" s="8">
        <f t="shared" si="80"/>
        <v>604.80999999999995</v>
      </c>
      <c r="AE430" s="25">
        <v>1.238</v>
      </c>
      <c r="AF430" s="25">
        <f t="shared" si="81"/>
        <v>187188.69500000001</v>
      </c>
      <c r="AG430" s="25">
        <f t="shared" si="82"/>
        <v>269602.35499999998</v>
      </c>
      <c r="AH430" s="1">
        <f t="shared" si="72"/>
        <v>3323.6099999999997</v>
      </c>
      <c r="AI430" s="1">
        <f t="shared" si="73"/>
        <v>3340.41</v>
      </c>
      <c r="AJ430" s="1">
        <v>3622.66</v>
      </c>
      <c r="AK430" s="1">
        <f t="shared" si="74"/>
        <v>-299.05000000000018</v>
      </c>
      <c r="AL430" s="29">
        <f t="shared" si="83"/>
        <v>282.25</v>
      </c>
      <c r="AM430" s="11">
        <f t="shared" si="75"/>
        <v>2479065.8124500006</v>
      </c>
    </row>
    <row r="431" spans="1:39" x14ac:dyDescent="0.3">
      <c r="A431" s="39">
        <v>45905.447916666664</v>
      </c>
      <c r="B431" s="1">
        <v>1068.52</v>
      </c>
      <c r="C431" s="11">
        <v>3.2732000000000001</v>
      </c>
      <c r="D431" s="1">
        <v>636.95000000000005</v>
      </c>
      <c r="E431" s="11">
        <v>3.0760000000000001</v>
      </c>
      <c r="F431" s="1">
        <v>398.57</v>
      </c>
      <c r="G431" s="11">
        <v>3.53</v>
      </c>
      <c r="H431" s="1">
        <v>19.63</v>
      </c>
      <c r="I431" s="11">
        <v>1.99939</v>
      </c>
      <c r="J431" s="1">
        <v>212.03</v>
      </c>
      <c r="K431" s="11">
        <v>2.4013599999999999</v>
      </c>
      <c r="L431" s="1">
        <v>76.010000000000005</v>
      </c>
      <c r="M431" s="11">
        <v>6.2</v>
      </c>
      <c r="N431" s="1">
        <v>416.28</v>
      </c>
      <c r="O431" s="11">
        <v>2.8224999999999998</v>
      </c>
      <c r="P431" s="1">
        <f t="shared" si="76"/>
        <v>2827.9900000000007</v>
      </c>
      <c r="Q431" s="1">
        <v>2813.18</v>
      </c>
      <c r="R431" s="16">
        <f t="shared" si="77"/>
        <v>2264577.6626249999</v>
      </c>
      <c r="S431" s="1">
        <v>-133.05000000000001</v>
      </c>
      <c r="T431" s="1">
        <v>36.4</v>
      </c>
      <c r="U431" s="1">
        <v>12</v>
      </c>
      <c r="V431" s="1">
        <v>0</v>
      </c>
      <c r="W431" s="1" cm="1">
        <f t="array" ref="W431">SUM(ABS(S431:V431))</f>
        <v>181.45000000000002</v>
      </c>
      <c r="X431" s="25">
        <v>1.238</v>
      </c>
      <c r="Y431" s="42">
        <f t="shared" si="78"/>
        <v>56158.775000000009</v>
      </c>
      <c r="Z431" s="20">
        <v>480.60999999999996</v>
      </c>
      <c r="AA431" s="20">
        <f t="shared" si="79"/>
        <v>662.06</v>
      </c>
      <c r="AB431" s="21">
        <v>147.74</v>
      </c>
      <c r="AC431" s="21">
        <v>1.01</v>
      </c>
      <c r="AD431" s="8">
        <f t="shared" si="80"/>
        <v>629.3599999999999</v>
      </c>
      <c r="AE431" s="25">
        <v>1.238</v>
      </c>
      <c r="AF431" s="25">
        <f t="shared" si="81"/>
        <v>194786.91999999998</v>
      </c>
      <c r="AG431" s="25">
        <f t="shared" si="82"/>
        <v>250945.69500000001</v>
      </c>
      <c r="AH431" s="1">
        <f t="shared" si="72"/>
        <v>3457.3500000000004</v>
      </c>
      <c r="AI431" s="1">
        <f t="shared" si="73"/>
        <v>3442.54</v>
      </c>
      <c r="AJ431" s="1">
        <v>3644.54</v>
      </c>
      <c r="AK431" s="1">
        <f t="shared" si="74"/>
        <v>-187.1899999999996</v>
      </c>
      <c r="AL431" s="29">
        <f t="shared" si="83"/>
        <v>202</v>
      </c>
      <c r="AM431" s="11">
        <f t="shared" si="75"/>
        <v>2515523.3576249997</v>
      </c>
    </row>
    <row r="432" spans="1:39" x14ac:dyDescent="0.3">
      <c r="A432" s="39">
        <v>45905.458333333336</v>
      </c>
      <c r="B432" s="1">
        <v>1068.52</v>
      </c>
      <c r="C432" s="11">
        <v>3.2732000000000001</v>
      </c>
      <c r="D432" s="1">
        <v>636.95000000000005</v>
      </c>
      <c r="E432" s="11">
        <v>3.0760000000000001</v>
      </c>
      <c r="F432" s="1">
        <v>398.57</v>
      </c>
      <c r="G432" s="11">
        <v>3.53</v>
      </c>
      <c r="H432" s="1">
        <v>19.63</v>
      </c>
      <c r="I432" s="11">
        <v>1.9995099999999999</v>
      </c>
      <c r="J432" s="1">
        <v>126.14</v>
      </c>
      <c r="K432" s="11">
        <v>2.7994299999999996</v>
      </c>
      <c r="L432" s="1">
        <v>76.510000000000005</v>
      </c>
      <c r="M432" s="11">
        <v>6.2</v>
      </c>
      <c r="N432" s="1">
        <v>423.67</v>
      </c>
      <c r="O432" s="11">
        <v>2.8224999999999998</v>
      </c>
      <c r="P432" s="1">
        <f t="shared" si="76"/>
        <v>2749.9900000000002</v>
      </c>
      <c r="Q432" s="1">
        <v>2965.24</v>
      </c>
      <c r="R432" s="16">
        <f t="shared" si="77"/>
        <v>2231557.7551250001</v>
      </c>
      <c r="S432" s="1">
        <v>-101.63</v>
      </c>
      <c r="T432" s="1">
        <v>36.39</v>
      </c>
      <c r="U432" s="1">
        <v>12</v>
      </c>
      <c r="V432" s="1">
        <v>0</v>
      </c>
      <c r="W432" s="1" cm="1">
        <f t="array" ref="W432">SUM(ABS(S432:V432))</f>
        <v>150.01999999999998</v>
      </c>
      <c r="X432" s="25">
        <v>1.238</v>
      </c>
      <c r="Y432" s="42">
        <f t="shared" si="78"/>
        <v>46431.189999999995</v>
      </c>
      <c r="Z432" s="20">
        <v>398.8</v>
      </c>
      <c r="AA432" s="20">
        <f t="shared" si="79"/>
        <v>548.81999999999994</v>
      </c>
      <c r="AB432" s="21">
        <v>141.94000000000003</v>
      </c>
      <c r="AC432" s="21">
        <v>1.83</v>
      </c>
      <c r="AD432" s="8">
        <f t="shared" si="80"/>
        <v>542.57000000000005</v>
      </c>
      <c r="AE432" s="25">
        <v>1.238</v>
      </c>
      <c r="AF432" s="25">
        <f t="shared" si="81"/>
        <v>167925.41500000001</v>
      </c>
      <c r="AG432" s="25">
        <f t="shared" si="82"/>
        <v>214356.60500000001</v>
      </c>
      <c r="AH432" s="1">
        <f t="shared" si="72"/>
        <v>3292.5600000000004</v>
      </c>
      <c r="AI432" s="1">
        <f t="shared" si="73"/>
        <v>3507.81</v>
      </c>
      <c r="AJ432" s="1">
        <v>3670.81</v>
      </c>
      <c r="AK432" s="1">
        <f t="shared" si="74"/>
        <v>-378.24999999999955</v>
      </c>
      <c r="AL432" s="29">
        <f t="shared" si="83"/>
        <v>163</v>
      </c>
      <c r="AM432" s="11">
        <f t="shared" si="75"/>
        <v>2445914.3601250001</v>
      </c>
    </row>
    <row r="433" spans="1:39" x14ac:dyDescent="0.3">
      <c r="A433" s="39">
        <v>45905.46875</v>
      </c>
      <c r="B433" s="1">
        <v>1068.52</v>
      </c>
      <c r="C433" s="11">
        <v>3.2732000000000001</v>
      </c>
      <c r="D433" s="1">
        <v>636.95000000000005</v>
      </c>
      <c r="E433" s="11">
        <v>3.0760000000000001</v>
      </c>
      <c r="F433" s="1">
        <v>398.57</v>
      </c>
      <c r="G433" s="11">
        <v>3.53</v>
      </c>
      <c r="H433" s="1">
        <v>19.63</v>
      </c>
      <c r="I433" s="11">
        <v>1.99996</v>
      </c>
      <c r="J433" s="1">
        <v>119.66</v>
      </c>
      <c r="K433" s="11">
        <v>2.7992699999999999</v>
      </c>
      <c r="L433" s="1">
        <v>76.55</v>
      </c>
      <c r="M433" s="11">
        <v>6.2</v>
      </c>
      <c r="N433" s="1">
        <v>428.59</v>
      </c>
      <c r="O433" s="11">
        <v>2.8224999999999998</v>
      </c>
      <c r="P433" s="1">
        <f t="shared" si="76"/>
        <v>2748.4700000000003</v>
      </c>
      <c r="Q433" s="1">
        <v>2711.02</v>
      </c>
      <c r="R433" s="16">
        <f t="shared" si="77"/>
        <v>2230553.7755</v>
      </c>
      <c r="S433" s="1">
        <v>-240.73</v>
      </c>
      <c r="T433" s="1">
        <v>36.409999999999997</v>
      </c>
      <c r="U433" s="1">
        <v>12</v>
      </c>
      <c r="V433" s="1">
        <v>0</v>
      </c>
      <c r="W433" s="1" cm="1">
        <f t="array" ref="W433">SUM(ABS(S433:V433))</f>
        <v>289.14</v>
      </c>
      <c r="X433" s="25">
        <v>1.238</v>
      </c>
      <c r="Y433" s="42">
        <f t="shared" si="78"/>
        <v>89488.829999999987</v>
      </c>
      <c r="Z433" s="20">
        <v>449.03999999999991</v>
      </c>
      <c r="AA433" s="20">
        <f t="shared" si="79"/>
        <v>738.17999999999984</v>
      </c>
      <c r="AB433" s="21">
        <v>151.48999999999998</v>
      </c>
      <c r="AC433" s="21">
        <v>3.02</v>
      </c>
      <c r="AD433" s="8">
        <f t="shared" si="80"/>
        <v>603.54999999999984</v>
      </c>
      <c r="AE433" s="25">
        <v>1.238</v>
      </c>
      <c r="AF433" s="25">
        <f t="shared" si="81"/>
        <v>186798.72499999995</v>
      </c>
      <c r="AG433" s="25">
        <f t="shared" si="82"/>
        <v>276287.55499999993</v>
      </c>
      <c r="AH433" s="1">
        <f t="shared" si="72"/>
        <v>3352.02</v>
      </c>
      <c r="AI433" s="1">
        <f t="shared" si="73"/>
        <v>3314.5699999999997</v>
      </c>
      <c r="AJ433" s="1">
        <v>3646.19</v>
      </c>
      <c r="AK433" s="1">
        <f t="shared" si="74"/>
        <v>-294.17000000000007</v>
      </c>
      <c r="AL433" s="29">
        <f t="shared" si="83"/>
        <v>331.62000000000035</v>
      </c>
      <c r="AM433" s="11">
        <f t="shared" si="75"/>
        <v>2506841.3305000002</v>
      </c>
    </row>
    <row r="434" spans="1:39" x14ac:dyDescent="0.3">
      <c r="A434" s="39">
        <v>45905.479166666664</v>
      </c>
      <c r="B434" s="1">
        <v>1068.52</v>
      </c>
      <c r="C434" s="11">
        <v>3.2732000000000001</v>
      </c>
      <c r="D434" s="1">
        <v>636.95000000000005</v>
      </c>
      <c r="E434" s="11">
        <v>3.0760000000000001</v>
      </c>
      <c r="F434" s="1">
        <v>398.57</v>
      </c>
      <c r="G434" s="11">
        <v>3.53</v>
      </c>
      <c r="H434" s="1">
        <v>19.63</v>
      </c>
      <c r="I434" s="11">
        <v>2.2008000000000001</v>
      </c>
      <c r="J434" s="1">
        <v>201.22</v>
      </c>
      <c r="K434" s="11">
        <v>2.43025</v>
      </c>
      <c r="L434" s="1">
        <v>76.709999999999994</v>
      </c>
      <c r="M434" s="11">
        <v>6.2</v>
      </c>
      <c r="N434" s="1">
        <v>444.39</v>
      </c>
      <c r="O434" s="11">
        <v>2.8224999999999998</v>
      </c>
      <c r="P434" s="1">
        <f t="shared" si="76"/>
        <v>2845.99</v>
      </c>
      <c r="Q434" s="1">
        <v>2847.02</v>
      </c>
      <c r="R434" s="16">
        <f t="shared" si="77"/>
        <v>2281449.8370000003</v>
      </c>
      <c r="S434" s="1">
        <v>-191.27</v>
      </c>
      <c r="T434" s="1">
        <v>36.42</v>
      </c>
      <c r="U434" s="1">
        <v>12</v>
      </c>
      <c r="V434" s="1">
        <v>0</v>
      </c>
      <c r="W434" s="1" cm="1">
        <f t="array" ref="W434">SUM(ABS(S434:V434))</f>
        <v>239.69</v>
      </c>
      <c r="X434" s="25">
        <v>1.238</v>
      </c>
      <c r="Y434" s="42">
        <f t="shared" si="78"/>
        <v>74184.055000000008</v>
      </c>
      <c r="Z434" s="20">
        <v>379.30999999999995</v>
      </c>
      <c r="AA434" s="20">
        <f t="shared" si="79"/>
        <v>619</v>
      </c>
      <c r="AB434" s="21">
        <v>144.40000000000003</v>
      </c>
      <c r="AC434" s="21">
        <v>3.55</v>
      </c>
      <c r="AD434" s="8">
        <f t="shared" si="80"/>
        <v>527.26</v>
      </c>
      <c r="AE434" s="25">
        <v>1.238</v>
      </c>
      <c r="AF434" s="25">
        <f t="shared" si="81"/>
        <v>163186.97</v>
      </c>
      <c r="AG434" s="25">
        <f t="shared" si="82"/>
        <v>237371.02500000002</v>
      </c>
      <c r="AH434" s="1">
        <f t="shared" si="72"/>
        <v>3373.25</v>
      </c>
      <c r="AI434" s="1">
        <f t="shared" si="73"/>
        <v>3374.2799999999997</v>
      </c>
      <c r="AJ434" s="1">
        <v>3637.99</v>
      </c>
      <c r="AK434" s="1">
        <f t="shared" si="74"/>
        <v>-264.73999999999978</v>
      </c>
      <c r="AL434" s="29">
        <f t="shared" si="83"/>
        <v>263.71000000000004</v>
      </c>
      <c r="AM434" s="11">
        <f t="shared" si="75"/>
        <v>2518820.8620000002</v>
      </c>
    </row>
    <row r="435" spans="1:39" x14ac:dyDescent="0.3">
      <c r="A435" s="39">
        <v>45905.489583333336</v>
      </c>
      <c r="B435" s="1">
        <v>1068.52</v>
      </c>
      <c r="C435" s="11">
        <v>3.2732000000000001</v>
      </c>
      <c r="D435" s="1">
        <v>636.95000000000005</v>
      </c>
      <c r="E435" s="11">
        <v>3.0760000000000001</v>
      </c>
      <c r="F435" s="1">
        <v>398.57</v>
      </c>
      <c r="G435" s="11">
        <v>3.53</v>
      </c>
      <c r="H435" s="1">
        <v>19.63</v>
      </c>
      <c r="I435" s="11">
        <v>2.5695100000000002</v>
      </c>
      <c r="J435" s="1">
        <v>126.5</v>
      </c>
      <c r="K435" s="11">
        <v>2.7009000000000003</v>
      </c>
      <c r="L435" s="1">
        <v>76.92</v>
      </c>
      <c r="M435" s="11">
        <v>6.2</v>
      </c>
      <c r="N435" s="1">
        <v>445.4</v>
      </c>
      <c r="O435" s="11">
        <v>2.8224999999999998</v>
      </c>
      <c r="P435" s="1">
        <f t="shared" si="76"/>
        <v>2772.4900000000002</v>
      </c>
      <c r="Q435" s="1">
        <v>2769.5</v>
      </c>
      <c r="R435" s="16">
        <f t="shared" si="77"/>
        <v>2247459.6988249999</v>
      </c>
      <c r="S435" s="1">
        <v>-318.17</v>
      </c>
      <c r="T435" s="1">
        <v>36.380000000000003</v>
      </c>
      <c r="U435" s="1">
        <v>12</v>
      </c>
      <c r="V435" s="1">
        <v>0</v>
      </c>
      <c r="W435" s="1" cm="1">
        <f t="array" ref="W435">SUM(ABS(S435:V435))</f>
        <v>366.55</v>
      </c>
      <c r="X435" s="25">
        <v>1.238</v>
      </c>
      <c r="Y435" s="42">
        <f t="shared" si="78"/>
        <v>113447.22500000001</v>
      </c>
      <c r="Z435" s="20">
        <v>333.96</v>
      </c>
      <c r="AA435" s="20">
        <f t="shared" si="79"/>
        <v>700.51</v>
      </c>
      <c r="AB435" s="21">
        <v>155.41999999999999</v>
      </c>
      <c r="AC435" s="21">
        <v>4.5600000000000005</v>
      </c>
      <c r="AD435" s="8">
        <f t="shared" si="80"/>
        <v>493.94</v>
      </c>
      <c r="AE435" s="25">
        <v>1.238</v>
      </c>
      <c r="AF435" s="25">
        <f t="shared" si="81"/>
        <v>152874.43</v>
      </c>
      <c r="AG435" s="25">
        <f t="shared" si="82"/>
        <v>266321.65500000003</v>
      </c>
      <c r="AH435" s="1">
        <f t="shared" si="72"/>
        <v>3266.4300000000003</v>
      </c>
      <c r="AI435" s="1">
        <f t="shared" si="73"/>
        <v>3263.44</v>
      </c>
      <c r="AJ435" s="1">
        <v>3648.29</v>
      </c>
      <c r="AK435" s="1">
        <f t="shared" si="74"/>
        <v>-381.85999999999967</v>
      </c>
      <c r="AL435" s="29">
        <f t="shared" si="83"/>
        <v>384.84999999999991</v>
      </c>
      <c r="AM435" s="11">
        <f t="shared" si="75"/>
        <v>2513781.3538250001</v>
      </c>
    </row>
    <row r="436" spans="1:39" x14ac:dyDescent="0.3">
      <c r="A436" s="39">
        <v>45905.5</v>
      </c>
      <c r="B436" s="1">
        <v>1068.52</v>
      </c>
      <c r="C436" s="11">
        <v>3.2732000000000001</v>
      </c>
      <c r="D436" s="1">
        <v>636.95000000000005</v>
      </c>
      <c r="E436" s="11">
        <v>3.0760000000000001</v>
      </c>
      <c r="F436" s="1">
        <v>398.57</v>
      </c>
      <c r="G436" s="11">
        <v>3.53</v>
      </c>
      <c r="H436" s="1">
        <v>19.63</v>
      </c>
      <c r="I436" s="11">
        <v>2.7803200000000001</v>
      </c>
      <c r="J436" s="1">
        <v>119.47</v>
      </c>
      <c r="K436" s="11">
        <v>2.9719000000000002</v>
      </c>
      <c r="L436" s="1">
        <v>75.88</v>
      </c>
      <c r="M436" s="11">
        <v>6.2</v>
      </c>
      <c r="N436" s="1">
        <v>422.89</v>
      </c>
      <c r="O436" s="11">
        <v>2.8224999999999998</v>
      </c>
      <c r="P436" s="1">
        <f t="shared" si="76"/>
        <v>2741.91</v>
      </c>
      <c r="Q436" s="1">
        <v>2892.1</v>
      </c>
      <c r="R436" s="16">
        <f t="shared" si="77"/>
        <v>2234345.8909</v>
      </c>
      <c r="S436" s="1">
        <v>-230.9</v>
      </c>
      <c r="T436" s="1">
        <v>36.270000000000003</v>
      </c>
      <c r="U436" s="1">
        <v>12</v>
      </c>
      <c r="V436" s="1">
        <v>0</v>
      </c>
      <c r="W436" s="1" cm="1">
        <f t="array" ref="W436">SUM(ABS(S436:V436))</f>
        <v>279.17</v>
      </c>
      <c r="X436" s="25">
        <v>1.238</v>
      </c>
      <c r="Y436" s="42">
        <f t="shared" si="78"/>
        <v>86403.115000000005</v>
      </c>
      <c r="Z436" s="20">
        <v>298.14999999999998</v>
      </c>
      <c r="AA436" s="20">
        <f t="shared" si="79"/>
        <v>577.31999999999994</v>
      </c>
      <c r="AB436" s="21">
        <v>214.50000000000003</v>
      </c>
      <c r="AC436" s="21">
        <v>5.2900000000000009</v>
      </c>
      <c r="AD436" s="8">
        <f t="shared" si="80"/>
        <v>517.93999999999994</v>
      </c>
      <c r="AE436" s="25">
        <v>1.238</v>
      </c>
      <c r="AF436" s="25">
        <f t="shared" si="81"/>
        <v>160302.43</v>
      </c>
      <c r="AG436" s="25">
        <f t="shared" si="82"/>
        <v>246705.54499999998</v>
      </c>
      <c r="AH436" s="1">
        <f t="shared" si="72"/>
        <v>3259.85</v>
      </c>
      <c r="AI436" s="1">
        <f t="shared" si="73"/>
        <v>3410.04</v>
      </c>
      <c r="AJ436" s="1">
        <v>3703.06</v>
      </c>
      <c r="AK436" s="1">
        <f t="shared" si="74"/>
        <v>-443.21000000000004</v>
      </c>
      <c r="AL436" s="29">
        <f t="shared" si="83"/>
        <v>293.02</v>
      </c>
      <c r="AM436" s="11">
        <f t="shared" si="75"/>
        <v>2481051.4358999999</v>
      </c>
    </row>
    <row r="437" spans="1:39" x14ac:dyDescent="0.3">
      <c r="A437" s="39">
        <v>45905.510416666664</v>
      </c>
      <c r="B437" s="1">
        <v>1068.52</v>
      </c>
      <c r="C437" s="11">
        <v>3.2732000000000001</v>
      </c>
      <c r="D437" s="1">
        <v>636.95000000000005</v>
      </c>
      <c r="E437" s="11">
        <v>3.0760000000000001</v>
      </c>
      <c r="F437" s="1">
        <v>398.57</v>
      </c>
      <c r="G437" s="11">
        <v>3.53</v>
      </c>
      <c r="H437" s="1">
        <v>19.63</v>
      </c>
      <c r="I437" s="11">
        <v>2.7991599999999996</v>
      </c>
      <c r="J437" s="1">
        <v>29.91</v>
      </c>
      <c r="K437" s="11">
        <v>3.0158700000000001</v>
      </c>
      <c r="L437" s="1">
        <v>74.61</v>
      </c>
      <c r="M437" s="11">
        <v>6.2</v>
      </c>
      <c r="N437" s="1">
        <v>429.6</v>
      </c>
      <c r="O437" s="11">
        <v>2.8224999999999998</v>
      </c>
      <c r="P437" s="1">
        <f t="shared" si="76"/>
        <v>2657.79</v>
      </c>
      <c r="Q437" s="1">
        <v>2733.16</v>
      </c>
      <c r="R437" s="16">
        <f t="shared" si="77"/>
        <v>2170992.5366250002</v>
      </c>
      <c r="S437" s="1">
        <v>-274.35000000000002</v>
      </c>
      <c r="T437" s="1">
        <v>36.229999999999997</v>
      </c>
      <c r="U437" s="1">
        <v>12</v>
      </c>
      <c r="V437" s="1">
        <v>0</v>
      </c>
      <c r="W437" s="1" cm="1">
        <f t="array" ref="W437">SUM(ABS(S437:V437))</f>
        <v>322.58000000000004</v>
      </c>
      <c r="X437" s="25">
        <v>1.238</v>
      </c>
      <c r="Y437" s="42">
        <f t="shared" si="78"/>
        <v>99838.510000000009</v>
      </c>
      <c r="Z437" s="20">
        <v>406.40000000000003</v>
      </c>
      <c r="AA437" s="20">
        <f t="shared" si="79"/>
        <v>728.98</v>
      </c>
      <c r="AB437" s="21">
        <v>216.46000000000004</v>
      </c>
      <c r="AC437" s="21">
        <v>6.28</v>
      </c>
      <c r="AD437" s="8">
        <f t="shared" si="80"/>
        <v>629.1400000000001</v>
      </c>
      <c r="AE437" s="25">
        <v>1.238</v>
      </c>
      <c r="AF437" s="25">
        <f t="shared" si="81"/>
        <v>194718.83000000002</v>
      </c>
      <c r="AG437" s="25">
        <f t="shared" si="82"/>
        <v>294557.34000000003</v>
      </c>
      <c r="AH437" s="1">
        <f t="shared" si="72"/>
        <v>3286.9300000000003</v>
      </c>
      <c r="AI437" s="1">
        <f t="shared" si="73"/>
        <v>3362.3</v>
      </c>
      <c r="AJ437" s="1">
        <v>3692.56</v>
      </c>
      <c r="AK437" s="1">
        <f t="shared" si="74"/>
        <v>-405.62999999999965</v>
      </c>
      <c r="AL437" s="29">
        <f t="shared" si="83"/>
        <v>330.25999999999976</v>
      </c>
      <c r="AM437" s="11">
        <f t="shared" si="75"/>
        <v>2465549.876625</v>
      </c>
    </row>
    <row r="438" spans="1:39" x14ac:dyDescent="0.3">
      <c r="A438" s="39">
        <v>45905.520833333336</v>
      </c>
      <c r="B438" s="1">
        <v>1067.92</v>
      </c>
      <c r="C438" s="11">
        <v>3.2732000000000001</v>
      </c>
      <c r="D438" s="1">
        <v>636.95000000000005</v>
      </c>
      <c r="E438" s="11">
        <v>3.0760000000000001</v>
      </c>
      <c r="F438" s="1">
        <v>398.57</v>
      </c>
      <c r="G438" s="11">
        <v>3.53</v>
      </c>
      <c r="H438" s="1">
        <v>19.63</v>
      </c>
      <c r="I438" s="11">
        <v>2.7997100000000001</v>
      </c>
      <c r="J438" s="1">
        <v>154.86000000000001</v>
      </c>
      <c r="K438" s="11">
        <v>2.7996399999999997</v>
      </c>
      <c r="L438" s="1">
        <v>74.61</v>
      </c>
      <c r="M438" s="11">
        <v>6.2</v>
      </c>
      <c r="N438" s="1">
        <v>431.91</v>
      </c>
      <c r="O438" s="11">
        <v>2.8224999999999998</v>
      </c>
      <c r="P438" s="1">
        <f t="shared" si="76"/>
        <v>2784.4500000000003</v>
      </c>
      <c r="Q438" s="1">
        <v>2785.58</v>
      </c>
      <c r="R438" s="16">
        <f t="shared" si="77"/>
        <v>2257971.1441750005</v>
      </c>
      <c r="S438" s="1">
        <v>-228.95</v>
      </c>
      <c r="T438" s="1">
        <v>36.24</v>
      </c>
      <c r="U438" s="1">
        <v>12</v>
      </c>
      <c r="V438" s="1">
        <v>0</v>
      </c>
      <c r="W438" s="1" cm="1">
        <f t="array" ref="W438">SUM(ABS(S438:V438))</f>
        <v>277.19</v>
      </c>
      <c r="X438" s="25">
        <v>1.238</v>
      </c>
      <c r="Y438" s="42">
        <f t="shared" si="78"/>
        <v>85790.305000000008</v>
      </c>
      <c r="Z438" s="20">
        <v>377.24</v>
      </c>
      <c r="AA438" s="20">
        <f t="shared" si="79"/>
        <v>654.43000000000006</v>
      </c>
      <c r="AB438" s="21">
        <v>203.17</v>
      </c>
      <c r="AC438" s="21">
        <v>7.24</v>
      </c>
      <c r="AD438" s="8">
        <f t="shared" si="80"/>
        <v>587.65</v>
      </c>
      <c r="AE438" s="25">
        <v>1.238</v>
      </c>
      <c r="AF438" s="25">
        <f t="shared" si="81"/>
        <v>181877.67499999999</v>
      </c>
      <c r="AG438" s="25">
        <f t="shared" si="82"/>
        <v>267667.98</v>
      </c>
      <c r="AH438" s="1">
        <f t="shared" si="72"/>
        <v>3372.1000000000004</v>
      </c>
      <c r="AI438" s="1">
        <f t="shared" si="73"/>
        <v>3373.23</v>
      </c>
      <c r="AJ438" s="1">
        <v>3667.34</v>
      </c>
      <c r="AK438" s="1">
        <f t="shared" si="74"/>
        <v>-295.23999999999978</v>
      </c>
      <c r="AL438" s="29">
        <f t="shared" si="83"/>
        <v>294.11000000000013</v>
      </c>
      <c r="AM438" s="11">
        <f t="shared" si="75"/>
        <v>2525639.1241750005</v>
      </c>
    </row>
    <row r="439" spans="1:39" x14ac:dyDescent="0.3">
      <c r="A439" s="39">
        <v>45905.53125</v>
      </c>
      <c r="B439" s="1">
        <v>1065.26</v>
      </c>
      <c r="C439" s="11">
        <v>3.2732000000000001</v>
      </c>
      <c r="D439" s="1">
        <v>636.95000000000005</v>
      </c>
      <c r="E439" s="11">
        <v>3.0760000000000001</v>
      </c>
      <c r="F439" s="1">
        <v>398.57</v>
      </c>
      <c r="G439" s="11">
        <v>3.53</v>
      </c>
      <c r="H439" s="1">
        <v>19.63</v>
      </c>
      <c r="I439" s="11">
        <v>2.4507699999999999</v>
      </c>
      <c r="J439" s="1">
        <v>167.73</v>
      </c>
      <c r="K439" s="11">
        <v>2.7997299999999998</v>
      </c>
      <c r="L439" s="1">
        <v>71.66</v>
      </c>
      <c r="M439" s="11">
        <v>6.2</v>
      </c>
      <c r="N439" s="1">
        <v>434.45</v>
      </c>
      <c r="O439" s="11">
        <v>2.8224999999999998</v>
      </c>
      <c r="P439" s="1">
        <f t="shared" si="76"/>
        <v>2794.25</v>
      </c>
      <c r="Q439" s="1">
        <v>2765.09</v>
      </c>
      <c r="R439" s="16">
        <f t="shared" si="77"/>
        <v>2260313.4462499996</v>
      </c>
      <c r="S439" s="1">
        <v>-228.71</v>
      </c>
      <c r="T439" s="1">
        <v>36.18</v>
      </c>
      <c r="U439" s="1">
        <v>12</v>
      </c>
      <c r="V439" s="1">
        <v>0</v>
      </c>
      <c r="W439" s="1" cm="1">
        <f t="array" ref="W439">SUM(ABS(S439:V439))</f>
        <v>276.89</v>
      </c>
      <c r="X439" s="25">
        <v>1.238</v>
      </c>
      <c r="Y439" s="42">
        <f t="shared" si="78"/>
        <v>85697.454999999987</v>
      </c>
      <c r="Z439" s="20">
        <v>346.36999999999995</v>
      </c>
      <c r="AA439" s="20">
        <f t="shared" si="79"/>
        <v>623.26</v>
      </c>
      <c r="AB439" s="21">
        <v>223.43</v>
      </c>
      <c r="AC439" s="21">
        <v>8.9600000000000009</v>
      </c>
      <c r="AD439" s="8">
        <f t="shared" si="80"/>
        <v>578.76</v>
      </c>
      <c r="AE439" s="25">
        <v>1.238</v>
      </c>
      <c r="AF439" s="25">
        <f t="shared" si="81"/>
        <v>179126.22</v>
      </c>
      <c r="AG439" s="25">
        <f t="shared" si="82"/>
        <v>264823.67499999999</v>
      </c>
      <c r="AH439" s="1">
        <f t="shared" si="72"/>
        <v>3373.01</v>
      </c>
      <c r="AI439" s="1">
        <f t="shared" si="73"/>
        <v>3343.8500000000004</v>
      </c>
      <c r="AJ439" s="1">
        <v>3635.7</v>
      </c>
      <c r="AK439" s="1">
        <f t="shared" si="74"/>
        <v>-262.6899999999996</v>
      </c>
      <c r="AL439" s="29">
        <f t="shared" si="83"/>
        <v>291.84999999999945</v>
      </c>
      <c r="AM439" s="11">
        <f t="shared" si="75"/>
        <v>2525137.1212499994</v>
      </c>
    </row>
    <row r="440" spans="1:39" x14ac:dyDescent="0.3">
      <c r="A440" s="39">
        <v>45905.541666666664</v>
      </c>
      <c r="B440" s="1">
        <v>1065.06</v>
      </c>
      <c r="C440" s="11">
        <v>3.2732000000000001</v>
      </c>
      <c r="D440" s="1">
        <v>636.95000000000005</v>
      </c>
      <c r="E440" s="11">
        <v>3.0760000000000001</v>
      </c>
      <c r="F440" s="1">
        <v>398.57</v>
      </c>
      <c r="G440" s="11">
        <v>3.53</v>
      </c>
      <c r="H440" s="1">
        <v>19.809999999999999</v>
      </c>
      <c r="I440" s="11">
        <v>2.50082</v>
      </c>
      <c r="J440" s="1">
        <v>196.75</v>
      </c>
      <c r="K440" s="11">
        <v>2.21062</v>
      </c>
      <c r="L440" s="1">
        <v>72.33</v>
      </c>
      <c r="M440" s="11">
        <v>6.2</v>
      </c>
      <c r="N440" s="1">
        <v>433.15</v>
      </c>
      <c r="O440" s="11">
        <v>2.8224999999999998</v>
      </c>
      <c r="P440" s="1">
        <f t="shared" si="76"/>
        <v>2822.62</v>
      </c>
      <c r="Q440" s="1">
        <v>2889.76</v>
      </c>
      <c r="R440" s="16">
        <f t="shared" si="77"/>
        <v>2251964.3240499999</v>
      </c>
      <c r="S440" s="1">
        <v>-108.6</v>
      </c>
      <c r="T440" s="1">
        <v>36.119999999999997</v>
      </c>
      <c r="U440" s="1">
        <v>12</v>
      </c>
      <c r="V440" s="1">
        <v>0</v>
      </c>
      <c r="W440" s="1" cm="1">
        <f t="array" ref="W440">SUM(ABS(S440:V440))</f>
        <v>156.72</v>
      </c>
      <c r="X440" s="25">
        <v>1.238</v>
      </c>
      <c r="Y440" s="42">
        <f t="shared" si="78"/>
        <v>48504.840000000004</v>
      </c>
      <c r="Z440" s="20">
        <v>295.40000000000003</v>
      </c>
      <c r="AA440" s="20">
        <f t="shared" si="79"/>
        <v>452.12</v>
      </c>
      <c r="AB440" s="21">
        <v>222.66000000000003</v>
      </c>
      <c r="AC440" s="21">
        <v>9.5499999999999989</v>
      </c>
      <c r="AD440" s="8">
        <f t="shared" si="80"/>
        <v>527.61</v>
      </c>
      <c r="AE440" s="25">
        <v>1.238</v>
      </c>
      <c r="AF440" s="25">
        <f t="shared" si="81"/>
        <v>163295.29500000001</v>
      </c>
      <c r="AG440" s="25">
        <f t="shared" si="82"/>
        <v>211800.13500000001</v>
      </c>
      <c r="AH440" s="1">
        <f t="shared" si="72"/>
        <v>3350.23</v>
      </c>
      <c r="AI440" s="1">
        <f t="shared" si="73"/>
        <v>3417.3700000000003</v>
      </c>
      <c r="AJ440" s="1">
        <v>3584.1</v>
      </c>
      <c r="AK440" s="1">
        <f t="shared" si="74"/>
        <v>-233.86999999999989</v>
      </c>
      <c r="AL440" s="29">
        <f t="shared" si="83"/>
        <v>166.72999999999956</v>
      </c>
      <c r="AM440" s="11">
        <f t="shared" si="75"/>
        <v>2463764.4590499997</v>
      </c>
    </row>
    <row r="441" spans="1:39" x14ac:dyDescent="0.3">
      <c r="A441" s="39">
        <v>45905.552083333336</v>
      </c>
      <c r="B441" s="1">
        <v>1065.06</v>
      </c>
      <c r="C441" s="11">
        <v>3.2732000000000001</v>
      </c>
      <c r="D441" s="1">
        <v>636.95000000000005</v>
      </c>
      <c r="E441" s="11">
        <v>3.0760000000000001</v>
      </c>
      <c r="F441" s="1">
        <v>398.57</v>
      </c>
      <c r="G441" s="11">
        <v>3.53</v>
      </c>
      <c r="H441" s="1">
        <v>19.82</v>
      </c>
      <c r="I441" s="11">
        <v>2.5692199999999996</v>
      </c>
      <c r="J441" s="1">
        <v>216.95</v>
      </c>
      <c r="K441" s="11">
        <v>2.3006100000000003</v>
      </c>
      <c r="L441" s="1">
        <v>71.5</v>
      </c>
      <c r="M441" s="11">
        <v>6.2</v>
      </c>
      <c r="N441" s="1">
        <v>433.2</v>
      </c>
      <c r="O441" s="11">
        <v>2.8224999999999998</v>
      </c>
      <c r="P441" s="1">
        <f t="shared" si="76"/>
        <v>2842.0499999999997</v>
      </c>
      <c r="Q441" s="1">
        <v>2853.64</v>
      </c>
      <c r="R441" s="16">
        <f t="shared" si="77"/>
        <v>2267102.7429750003</v>
      </c>
      <c r="S441" s="1">
        <v>-162.53</v>
      </c>
      <c r="T441" s="1">
        <v>36.03</v>
      </c>
      <c r="U441" s="1">
        <v>12</v>
      </c>
      <c r="V441" s="1">
        <v>0</v>
      </c>
      <c r="W441" s="1" cm="1">
        <f t="array" ref="W441">SUM(ABS(S441:V441))</f>
        <v>210.56</v>
      </c>
      <c r="X441" s="25">
        <v>1.238</v>
      </c>
      <c r="Y441" s="42">
        <f t="shared" si="78"/>
        <v>65168.319999999992</v>
      </c>
      <c r="Z441" s="20">
        <v>296.83999999999997</v>
      </c>
      <c r="AA441" s="20">
        <f t="shared" si="79"/>
        <v>507.4</v>
      </c>
      <c r="AB441" s="21">
        <v>219.94000000000003</v>
      </c>
      <c r="AC441" s="21">
        <v>9.84</v>
      </c>
      <c r="AD441" s="8">
        <f t="shared" si="80"/>
        <v>526.62</v>
      </c>
      <c r="AE441" s="25">
        <v>1.238</v>
      </c>
      <c r="AF441" s="25">
        <f t="shared" si="81"/>
        <v>162988.88999999998</v>
      </c>
      <c r="AG441" s="25">
        <f t="shared" si="82"/>
        <v>228157.20999999996</v>
      </c>
      <c r="AH441" s="1">
        <f t="shared" si="72"/>
        <v>3368.6699999999996</v>
      </c>
      <c r="AI441" s="1">
        <f t="shared" si="73"/>
        <v>3380.2599999999998</v>
      </c>
      <c r="AJ441" s="1">
        <v>3601.77</v>
      </c>
      <c r="AK441" s="1">
        <f t="shared" si="74"/>
        <v>-233.10000000000036</v>
      </c>
      <c r="AL441" s="29">
        <f t="shared" si="83"/>
        <v>221.51000000000022</v>
      </c>
      <c r="AM441" s="11">
        <f t="shared" si="75"/>
        <v>2495259.9529750003</v>
      </c>
    </row>
    <row r="442" spans="1:39" x14ac:dyDescent="0.3">
      <c r="A442" s="39">
        <v>45905.5625</v>
      </c>
      <c r="B442" s="1">
        <v>1129.8499999999999</v>
      </c>
      <c r="C442" s="11">
        <v>3.2732000000000001</v>
      </c>
      <c r="D442" s="1">
        <v>636.95000000000005</v>
      </c>
      <c r="E442" s="11">
        <v>3.0760000000000001</v>
      </c>
      <c r="F442" s="1">
        <v>398.57</v>
      </c>
      <c r="G442" s="11">
        <v>3.53</v>
      </c>
      <c r="H442" s="1">
        <v>19.82</v>
      </c>
      <c r="I442" s="11">
        <v>2.5699899999999998</v>
      </c>
      <c r="J442" s="1">
        <v>144.52000000000001</v>
      </c>
      <c r="K442" s="11">
        <v>2.79969</v>
      </c>
      <c r="L442" s="1">
        <v>70.349999999999994</v>
      </c>
      <c r="M442" s="11">
        <v>6.2</v>
      </c>
      <c r="N442" s="1">
        <v>436.35</v>
      </c>
      <c r="O442" s="11">
        <v>2.8224999999999998</v>
      </c>
      <c r="P442" s="1">
        <f t="shared" si="76"/>
        <v>2836.41</v>
      </c>
      <c r="Q442" s="1">
        <v>2852.4</v>
      </c>
      <c r="R442" s="16">
        <f t="shared" si="77"/>
        <v>2296937.8989000004</v>
      </c>
      <c r="S442" s="1">
        <v>-217.79</v>
      </c>
      <c r="T442" s="1">
        <v>35.99</v>
      </c>
      <c r="U442" s="1">
        <v>12</v>
      </c>
      <c r="V442" s="1">
        <v>0</v>
      </c>
      <c r="W442" s="1" cm="1">
        <f t="array" ref="W442">SUM(ABS(S442:V442))</f>
        <v>265.77999999999997</v>
      </c>
      <c r="X442" s="25">
        <v>1.238</v>
      </c>
      <c r="Y442" s="42">
        <f t="shared" si="78"/>
        <v>82258.909999999989</v>
      </c>
      <c r="Z442" s="20">
        <v>302.7</v>
      </c>
      <c r="AA442" s="20">
        <f t="shared" si="79"/>
        <v>568.48</v>
      </c>
      <c r="AB442" s="21">
        <v>208.29000000000002</v>
      </c>
      <c r="AC442" s="21">
        <v>6.97</v>
      </c>
      <c r="AD442" s="8">
        <f t="shared" si="80"/>
        <v>517.96</v>
      </c>
      <c r="AE442" s="25">
        <v>1.238</v>
      </c>
      <c r="AF442" s="25">
        <f t="shared" si="81"/>
        <v>160308.62000000002</v>
      </c>
      <c r="AG442" s="25">
        <f t="shared" si="82"/>
        <v>242567.53000000003</v>
      </c>
      <c r="AH442" s="1">
        <f t="shared" si="72"/>
        <v>3354.37</v>
      </c>
      <c r="AI442" s="1">
        <f t="shared" si="73"/>
        <v>3370.36</v>
      </c>
      <c r="AJ442" s="1">
        <v>3644.88</v>
      </c>
      <c r="AK442" s="1">
        <f t="shared" si="74"/>
        <v>-290.51000000000022</v>
      </c>
      <c r="AL442" s="29">
        <f t="shared" si="83"/>
        <v>274.52</v>
      </c>
      <c r="AM442" s="11">
        <f t="shared" si="75"/>
        <v>2539505.4289000006</v>
      </c>
    </row>
    <row r="443" spans="1:39" x14ac:dyDescent="0.3">
      <c r="A443" s="39">
        <v>45905.572916666664</v>
      </c>
      <c r="B443" s="1">
        <v>1138.5999999999999</v>
      </c>
      <c r="C443" s="11">
        <v>3.2732000000000001</v>
      </c>
      <c r="D443" s="1">
        <v>636.95000000000005</v>
      </c>
      <c r="E443" s="11">
        <v>3.0760000000000001</v>
      </c>
      <c r="F443" s="1">
        <v>398.57</v>
      </c>
      <c r="G443" s="11">
        <v>3.53</v>
      </c>
      <c r="H443" s="1">
        <v>19.82</v>
      </c>
      <c r="I443" s="11">
        <v>2.88707</v>
      </c>
      <c r="J443" s="1">
        <v>192.57</v>
      </c>
      <c r="K443" s="11">
        <v>2.84911</v>
      </c>
      <c r="L443" s="1">
        <v>70.27</v>
      </c>
      <c r="M443" s="11">
        <v>6.2</v>
      </c>
      <c r="N443" s="1">
        <v>429.68</v>
      </c>
      <c r="O443" s="11">
        <v>2.8224999999999998</v>
      </c>
      <c r="P443" s="1">
        <f t="shared" si="76"/>
        <v>2886.46</v>
      </c>
      <c r="Q443" s="1">
        <v>2916.42</v>
      </c>
      <c r="R443" s="16">
        <f t="shared" si="77"/>
        <v>2336849.1150250002</v>
      </c>
      <c r="S443" s="1">
        <v>-208.23</v>
      </c>
      <c r="T443" s="1">
        <v>35.909999999999997</v>
      </c>
      <c r="U443" s="1">
        <v>12</v>
      </c>
      <c r="V443" s="1">
        <v>0</v>
      </c>
      <c r="W443" s="1" cm="1">
        <f t="array" ref="W443">SUM(ABS(S443:V443))</f>
        <v>256.14</v>
      </c>
      <c r="X443" s="25">
        <v>1.238</v>
      </c>
      <c r="Y443" s="42">
        <f t="shared" si="78"/>
        <v>79275.33</v>
      </c>
      <c r="Z443" s="20">
        <v>311.51</v>
      </c>
      <c r="AA443" s="20">
        <f t="shared" si="79"/>
        <v>567.65</v>
      </c>
      <c r="AB443" s="21">
        <v>205.44</v>
      </c>
      <c r="AC443" s="21">
        <v>7.4399999999999995</v>
      </c>
      <c r="AD443" s="8">
        <f t="shared" si="80"/>
        <v>524.3900000000001</v>
      </c>
      <c r="AE443" s="25">
        <v>1.238</v>
      </c>
      <c r="AF443" s="25">
        <f t="shared" si="81"/>
        <v>162298.70500000005</v>
      </c>
      <c r="AG443" s="25">
        <f t="shared" si="82"/>
        <v>241574.03500000003</v>
      </c>
      <c r="AH443" s="1">
        <f t="shared" si="72"/>
        <v>3410.8500000000004</v>
      </c>
      <c r="AI443" s="1">
        <f t="shared" si="73"/>
        <v>3440.8100000000004</v>
      </c>
      <c r="AJ443" s="1">
        <v>3686.36</v>
      </c>
      <c r="AK443" s="1">
        <f t="shared" si="74"/>
        <v>-275.50999999999976</v>
      </c>
      <c r="AL443" s="29">
        <f t="shared" si="83"/>
        <v>245.54999999999973</v>
      </c>
      <c r="AM443" s="11">
        <f t="shared" si="75"/>
        <v>2578423.1500250003</v>
      </c>
    </row>
    <row r="444" spans="1:39" x14ac:dyDescent="0.3">
      <c r="A444" s="39">
        <v>45905.583333333336</v>
      </c>
      <c r="B444" s="1">
        <v>1138.8900000000001</v>
      </c>
      <c r="C444" s="11">
        <v>3.2732000000000001</v>
      </c>
      <c r="D444" s="1">
        <v>636.95000000000005</v>
      </c>
      <c r="E444" s="11">
        <v>3.0760000000000001</v>
      </c>
      <c r="F444" s="1">
        <v>398.57</v>
      </c>
      <c r="G444" s="11">
        <v>3.53</v>
      </c>
      <c r="H444" s="1">
        <v>20</v>
      </c>
      <c r="I444" s="11">
        <v>2.9024000000000001</v>
      </c>
      <c r="J444" s="1">
        <v>304.16000000000003</v>
      </c>
      <c r="K444" s="11">
        <v>2.94936</v>
      </c>
      <c r="L444" s="1">
        <v>69.650000000000006</v>
      </c>
      <c r="M444" s="11">
        <v>6.2</v>
      </c>
      <c r="N444" s="1">
        <v>417.35</v>
      </c>
      <c r="O444" s="11">
        <v>2.8224999999999998</v>
      </c>
      <c r="P444" s="1">
        <f t="shared" si="76"/>
        <v>2985.57</v>
      </c>
      <c r="Q444" s="1">
        <v>3128.57</v>
      </c>
      <c r="R444" s="16">
        <f t="shared" si="77"/>
        <v>2414737.6901500002</v>
      </c>
      <c r="S444" s="1">
        <v>-112.9</v>
      </c>
      <c r="T444" s="1">
        <v>35.83</v>
      </c>
      <c r="U444" s="1">
        <v>12</v>
      </c>
      <c r="V444" s="1">
        <v>0</v>
      </c>
      <c r="W444" s="1" cm="1">
        <f t="array" ref="W444">SUM(ABS(S444:V444))</f>
        <v>160.73000000000002</v>
      </c>
      <c r="X444" s="25">
        <v>1.238</v>
      </c>
      <c r="Y444" s="42">
        <f t="shared" si="78"/>
        <v>49745.935000000005</v>
      </c>
      <c r="Z444" s="20">
        <v>336.68</v>
      </c>
      <c r="AA444" s="20">
        <f t="shared" si="79"/>
        <v>497.41</v>
      </c>
      <c r="AB444" s="21">
        <v>198.92000000000002</v>
      </c>
      <c r="AC444" s="21">
        <v>7.0600000000000005</v>
      </c>
      <c r="AD444" s="8">
        <f t="shared" si="80"/>
        <v>542.66</v>
      </c>
      <c r="AE444" s="25">
        <v>1.238</v>
      </c>
      <c r="AF444" s="25">
        <f t="shared" si="81"/>
        <v>167953.26999999996</v>
      </c>
      <c r="AG444" s="25">
        <f t="shared" si="82"/>
        <v>217699.20499999996</v>
      </c>
      <c r="AH444" s="1">
        <f t="shared" si="72"/>
        <v>3528.23</v>
      </c>
      <c r="AI444" s="1">
        <f t="shared" si="73"/>
        <v>3671.23</v>
      </c>
      <c r="AJ444" s="1">
        <v>3845.53</v>
      </c>
      <c r="AK444" s="1">
        <f t="shared" si="74"/>
        <v>-317.30000000000018</v>
      </c>
      <c r="AL444" s="29">
        <f t="shared" si="83"/>
        <v>174.30000000000018</v>
      </c>
      <c r="AM444" s="11">
        <f t="shared" si="75"/>
        <v>2632436.8951500002</v>
      </c>
    </row>
    <row r="445" spans="1:39" x14ac:dyDescent="0.3">
      <c r="A445" s="39">
        <v>45905.59375</v>
      </c>
      <c r="B445" s="1">
        <v>1138.8900000000001</v>
      </c>
      <c r="C445" s="11">
        <v>3.2732000000000001</v>
      </c>
      <c r="D445" s="1">
        <v>636.95000000000005</v>
      </c>
      <c r="E445" s="11">
        <v>3.0760000000000001</v>
      </c>
      <c r="F445" s="1">
        <v>398.57</v>
      </c>
      <c r="G445" s="11">
        <v>3.53</v>
      </c>
      <c r="H445" s="1">
        <v>20.010000000000002</v>
      </c>
      <c r="I445" s="11">
        <v>2.9028800000000001</v>
      </c>
      <c r="J445" s="1">
        <v>312.52999999999997</v>
      </c>
      <c r="K445" s="11">
        <v>3.20072</v>
      </c>
      <c r="L445" s="1">
        <v>69.599999999999994</v>
      </c>
      <c r="M445" s="11">
        <v>6.2</v>
      </c>
      <c r="N445" s="1">
        <v>412.58</v>
      </c>
      <c r="O445" s="11">
        <v>2.8224999999999998</v>
      </c>
      <c r="P445" s="1">
        <f t="shared" si="76"/>
        <v>2989.1300000000006</v>
      </c>
      <c r="Q445" s="1">
        <v>3172.14</v>
      </c>
      <c r="R445" s="16">
        <f t="shared" si="77"/>
        <v>2437114.9371000002</v>
      </c>
      <c r="S445" s="1">
        <v>-194.88</v>
      </c>
      <c r="T445" s="1">
        <v>35.74</v>
      </c>
      <c r="U445" s="1">
        <v>12</v>
      </c>
      <c r="V445" s="1">
        <v>0</v>
      </c>
      <c r="W445" s="1" cm="1">
        <f t="array" ref="W445">SUM(ABS(S445:V445))</f>
        <v>242.62</v>
      </c>
      <c r="X445" s="25">
        <v>1.238</v>
      </c>
      <c r="Y445" s="42">
        <f t="shared" si="78"/>
        <v>75090.89</v>
      </c>
      <c r="Z445" s="20">
        <v>361.93999999999994</v>
      </c>
      <c r="AA445" s="20">
        <f t="shared" si="79"/>
        <v>604.55999999999995</v>
      </c>
      <c r="AB445" s="21">
        <v>190.20999999999998</v>
      </c>
      <c r="AC445" s="21">
        <v>6.9399999999999995</v>
      </c>
      <c r="AD445" s="8">
        <f t="shared" si="80"/>
        <v>559.08999999999992</v>
      </c>
      <c r="AE445" s="25">
        <v>1.238</v>
      </c>
      <c r="AF445" s="25">
        <f t="shared" si="81"/>
        <v>173038.35499999998</v>
      </c>
      <c r="AG445" s="25">
        <f t="shared" si="82"/>
        <v>248129.245</v>
      </c>
      <c r="AH445" s="1">
        <f t="shared" si="72"/>
        <v>3548.2200000000003</v>
      </c>
      <c r="AI445" s="1">
        <f t="shared" si="73"/>
        <v>3731.2299999999996</v>
      </c>
      <c r="AJ445" s="1">
        <v>3984.17</v>
      </c>
      <c r="AK445" s="1">
        <f t="shared" si="74"/>
        <v>-435.94999999999982</v>
      </c>
      <c r="AL445" s="29">
        <f t="shared" si="83"/>
        <v>252.94000000000051</v>
      </c>
      <c r="AM445" s="11">
        <f t="shared" si="75"/>
        <v>2685244.1821000003</v>
      </c>
    </row>
    <row r="446" spans="1:39" x14ac:dyDescent="0.3">
      <c r="A446" s="39">
        <v>45905.604166666664</v>
      </c>
      <c r="B446" s="1">
        <v>1291.33</v>
      </c>
      <c r="C446" s="11">
        <v>3.2732000000000001</v>
      </c>
      <c r="D446" s="1">
        <v>636.95000000000005</v>
      </c>
      <c r="E446" s="11">
        <v>3.0760000000000001</v>
      </c>
      <c r="F446" s="1">
        <v>398.57</v>
      </c>
      <c r="G446" s="11">
        <v>3.53</v>
      </c>
      <c r="H446" s="1">
        <v>20.010000000000002</v>
      </c>
      <c r="I446" s="11">
        <v>2.9422700000000002</v>
      </c>
      <c r="J446" s="1">
        <v>99.13</v>
      </c>
      <c r="K446" s="11">
        <v>3.0159499999999997</v>
      </c>
      <c r="L446" s="1">
        <v>69.510000000000005</v>
      </c>
      <c r="M446" s="11">
        <v>6.2</v>
      </c>
      <c r="N446" s="1">
        <v>405.5</v>
      </c>
      <c r="O446" s="11">
        <v>2.8224999999999998</v>
      </c>
      <c r="P446" s="1">
        <f t="shared" si="76"/>
        <v>2921.0000000000005</v>
      </c>
      <c r="Q446" s="1">
        <v>3133.95</v>
      </c>
      <c r="R446" s="16">
        <f t="shared" si="77"/>
        <v>2381580.8380499999</v>
      </c>
      <c r="S446" s="1">
        <v>-247.58</v>
      </c>
      <c r="T446" s="1">
        <v>35.69</v>
      </c>
      <c r="U446" s="1">
        <v>12</v>
      </c>
      <c r="V446" s="1">
        <v>0</v>
      </c>
      <c r="W446" s="1" cm="1">
        <f t="array" ref="W446">SUM(ABS(S446:V446))</f>
        <v>295.27</v>
      </c>
      <c r="X446" s="25">
        <v>1.238</v>
      </c>
      <c r="Y446" s="42">
        <f t="shared" si="78"/>
        <v>91386.064999999988</v>
      </c>
      <c r="Z446" s="20">
        <v>433.36</v>
      </c>
      <c r="AA446" s="20">
        <f t="shared" si="79"/>
        <v>728.63</v>
      </c>
      <c r="AB446" s="21">
        <v>188.11999999999998</v>
      </c>
      <c r="AC446" s="21">
        <v>7.1099999999999994</v>
      </c>
      <c r="AD446" s="8">
        <f t="shared" si="80"/>
        <v>628.59</v>
      </c>
      <c r="AE446" s="25">
        <v>1.238</v>
      </c>
      <c r="AF446" s="25">
        <f t="shared" si="81"/>
        <v>194548.60500000001</v>
      </c>
      <c r="AG446" s="25">
        <f t="shared" si="82"/>
        <v>285934.67</v>
      </c>
      <c r="AH446" s="1">
        <f t="shared" si="72"/>
        <v>3549.5900000000006</v>
      </c>
      <c r="AI446" s="1">
        <f t="shared" si="73"/>
        <v>3762.54</v>
      </c>
      <c r="AJ446" s="1">
        <v>4079.73</v>
      </c>
      <c r="AK446" s="1">
        <f t="shared" si="74"/>
        <v>-530.13999999999942</v>
      </c>
      <c r="AL446" s="29">
        <f t="shared" si="83"/>
        <v>317.19000000000005</v>
      </c>
      <c r="AM446" s="11">
        <f t="shared" si="75"/>
        <v>2667515.5080499998</v>
      </c>
    </row>
    <row r="447" spans="1:39" x14ac:dyDescent="0.3">
      <c r="A447" s="39">
        <v>45905.614583333336</v>
      </c>
      <c r="B447" s="1">
        <v>1374.19</v>
      </c>
      <c r="C447" s="11">
        <v>3.2732000000000001</v>
      </c>
      <c r="D447" s="1">
        <v>650.91999999999996</v>
      </c>
      <c r="E447" s="11">
        <v>3.0760000000000001</v>
      </c>
      <c r="F447" s="1">
        <v>398.57</v>
      </c>
      <c r="G447" s="11">
        <v>3.53</v>
      </c>
      <c r="H447" s="1">
        <v>20.010000000000002</v>
      </c>
      <c r="I447" s="11">
        <v>2.9713699999999998</v>
      </c>
      <c r="J447" s="1">
        <v>221.75</v>
      </c>
      <c r="K447" s="11">
        <v>3.2057800000000003</v>
      </c>
      <c r="L447" s="1">
        <v>72.92</v>
      </c>
      <c r="M447" s="11">
        <v>6.2</v>
      </c>
      <c r="N447" s="1">
        <v>396.64</v>
      </c>
      <c r="O447" s="11">
        <v>2.8224999999999998</v>
      </c>
      <c r="P447" s="1">
        <f t="shared" si="76"/>
        <v>3135.0000000000005</v>
      </c>
      <c r="Q447" s="1">
        <v>3247.64</v>
      </c>
      <c r="R447" s="16">
        <f t="shared" si="77"/>
        <v>2562284.9891749998</v>
      </c>
      <c r="S447" s="1">
        <v>-214.33</v>
      </c>
      <c r="T447" s="1">
        <v>35.65</v>
      </c>
      <c r="U447" s="1">
        <v>12</v>
      </c>
      <c r="V447" s="1">
        <v>0</v>
      </c>
      <c r="W447" s="1" cm="1">
        <f t="array" ref="W447">SUM(ABS(S447:V447))</f>
        <v>261.98</v>
      </c>
      <c r="X447" s="25">
        <v>1.238</v>
      </c>
      <c r="Y447" s="42">
        <f t="shared" si="78"/>
        <v>81082.810000000012</v>
      </c>
      <c r="Z447" s="20">
        <v>435.05999999999995</v>
      </c>
      <c r="AA447" s="20">
        <f t="shared" si="79"/>
        <v>697.04</v>
      </c>
      <c r="AB447" s="21">
        <v>182.28</v>
      </c>
      <c r="AC447" s="21">
        <v>6.92</v>
      </c>
      <c r="AD447" s="8">
        <f t="shared" si="80"/>
        <v>624.25999999999988</v>
      </c>
      <c r="AE447" s="25">
        <v>1.238</v>
      </c>
      <c r="AF447" s="25">
        <f t="shared" si="81"/>
        <v>193208.46999999994</v>
      </c>
      <c r="AG447" s="25">
        <f t="shared" si="82"/>
        <v>274291.27999999997</v>
      </c>
      <c r="AH447" s="1">
        <f t="shared" si="72"/>
        <v>3759.26</v>
      </c>
      <c r="AI447" s="1">
        <f t="shared" si="73"/>
        <v>3871.8999999999996</v>
      </c>
      <c r="AJ447" s="1">
        <v>4147.84</v>
      </c>
      <c r="AK447" s="1">
        <f t="shared" si="74"/>
        <v>-388.57999999999993</v>
      </c>
      <c r="AL447" s="29">
        <f t="shared" si="83"/>
        <v>275.94000000000051</v>
      </c>
      <c r="AM447" s="11">
        <f t="shared" si="75"/>
        <v>2836576.2691749996</v>
      </c>
    </row>
    <row r="448" spans="1:39" x14ac:dyDescent="0.3">
      <c r="A448" s="39">
        <v>45905.625</v>
      </c>
      <c r="B448" s="1">
        <v>1379.41</v>
      </c>
      <c r="C448" s="11">
        <v>3.2732000000000001</v>
      </c>
      <c r="D448" s="1">
        <v>659.19</v>
      </c>
      <c r="E448" s="11">
        <v>3.0760000000000001</v>
      </c>
      <c r="F448" s="1">
        <v>398.57</v>
      </c>
      <c r="G448" s="11">
        <v>3.53</v>
      </c>
      <c r="H448" s="1">
        <v>41.68</v>
      </c>
      <c r="I448" s="11">
        <v>2.9714699999999996</v>
      </c>
      <c r="J448" s="1">
        <v>200.99</v>
      </c>
      <c r="K448" s="11">
        <v>3.3857699999999999</v>
      </c>
      <c r="L448" s="1">
        <v>25.65</v>
      </c>
      <c r="M448" s="11">
        <v>6.2</v>
      </c>
      <c r="N448" s="1">
        <v>389.45</v>
      </c>
      <c r="O448" s="11">
        <v>2.8224999999999998</v>
      </c>
      <c r="P448" s="1">
        <f t="shared" si="76"/>
        <v>3094.94</v>
      </c>
      <c r="Q448" s="1">
        <v>3306.4</v>
      </c>
      <c r="R448" s="16">
        <f t="shared" si="77"/>
        <v>2503078.6897250004</v>
      </c>
      <c r="S448" s="1">
        <v>-200.86</v>
      </c>
      <c r="T448" s="1">
        <v>35.58</v>
      </c>
      <c r="U448" s="1">
        <v>12</v>
      </c>
      <c r="V448" s="1">
        <v>0</v>
      </c>
      <c r="W448" s="1" cm="1">
        <f t="array" ref="W448">SUM(ABS(S448:V448))</f>
        <v>248.44</v>
      </c>
      <c r="X448" s="25">
        <v>1.238</v>
      </c>
      <c r="Y448" s="42">
        <f t="shared" si="78"/>
        <v>76892.179999999993</v>
      </c>
      <c r="Z448" s="20">
        <v>458.91</v>
      </c>
      <c r="AA448" s="20">
        <f t="shared" si="79"/>
        <v>707.35</v>
      </c>
      <c r="AB448" s="21">
        <v>171.76</v>
      </c>
      <c r="AC448" s="21">
        <v>8.7100000000000009</v>
      </c>
      <c r="AD448" s="8">
        <f t="shared" si="80"/>
        <v>639.38000000000011</v>
      </c>
      <c r="AE448" s="25">
        <v>1.238</v>
      </c>
      <c r="AF448" s="25">
        <f t="shared" si="81"/>
        <v>197888.11000000004</v>
      </c>
      <c r="AG448" s="25">
        <f t="shared" si="82"/>
        <v>274780.29000000004</v>
      </c>
      <c r="AH448" s="1">
        <f t="shared" si="72"/>
        <v>3734.32</v>
      </c>
      <c r="AI448" s="1">
        <f t="shared" si="73"/>
        <v>3945.78</v>
      </c>
      <c r="AJ448" s="1">
        <v>4210.84</v>
      </c>
      <c r="AK448" s="1">
        <f t="shared" si="74"/>
        <v>-476.52</v>
      </c>
      <c r="AL448" s="29">
        <f t="shared" si="83"/>
        <v>265.05999999999995</v>
      </c>
      <c r="AM448" s="11">
        <f t="shared" si="75"/>
        <v>2777858.9797250004</v>
      </c>
    </row>
    <row r="449" spans="1:39" x14ac:dyDescent="0.3">
      <c r="A449" s="39">
        <v>45905.635416666664</v>
      </c>
      <c r="B449" s="1">
        <v>1379.41</v>
      </c>
      <c r="C449" s="11">
        <v>3.2732000000000001</v>
      </c>
      <c r="D449" s="1">
        <v>659.75</v>
      </c>
      <c r="E449" s="11">
        <v>3.0760000000000001</v>
      </c>
      <c r="F449" s="1">
        <v>398.57</v>
      </c>
      <c r="G449" s="11">
        <v>3.53</v>
      </c>
      <c r="H449" s="1">
        <v>55.11</v>
      </c>
      <c r="I449" s="11">
        <v>2.972</v>
      </c>
      <c r="J449" s="1">
        <v>199.46</v>
      </c>
      <c r="K449" s="11">
        <v>3.4990300000000003</v>
      </c>
      <c r="L449" s="1">
        <v>7.17</v>
      </c>
      <c r="M449" s="11">
        <v>6.2</v>
      </c>
      <c r="N449" s="1">
        <v>370.97</v>
      </c>
      <c r="O449" s="11">
        <v>2.8224999999999998</v>
      </c>
      <c r="P449" s="1">
        <f t="shared" si="76"/>
        <v>3070.4400000000005</v>
      </c>
      <c r="Q449" s="1">
        <v>3237.79</v>
      </c>
      <c r="R449" s="16">
        <f t="shared" si="77"/>
        <v>2476162.0452000005</v>
      </c>
      <c r="S449" s="1">
        <v>-314.12</v>
      </c>
      <c r="T449" s="1">
        <v>35.58</v>
      </c>
      <c r="U449" s="1">
        <v>12</v>
      </c>
      <c r="V449" s="1">
        <v>1.28</v>
      </c>
      <c r="W449" s="1" cm="1">
        <f t="array" ref="W449">SUM(ABS(S449:V449))</f>
        <v>362.97999999999996</v>
      </c>
      <c r="X449" s="25">
        <v>1.238</v>
      </c>
      <c r="Y449" s="42">
        <f t="shared" si="78"/>
        <v>112342.30999999998</v>
      </c>
      <c r="Z449" s="20">
        <v>466.84999999999997</v>
      </c>
      <c r="AA449" s="20">
        <f t="shared" si="79"/>
        <v>829.82999999999993</v>
      </c>
      <c r="AB449" s="21">
        <v>160.14999999999998</v>
      </c>
      <c r="AC449" s="21">
        <v>7.23</v>
      </c>
      <c r="AD449" s="8">
        <f t="shared" si="80"/>
        <v>634.23</v>
      </c>
      <c r="AE449" s="25">
        <v>1.238</v>
      </c>
      <c r="AF449" s="25">
        <f t="shared" si="81"/>
        <v>196294.185</v>
      </c>
      <c r="AG449" s="25">
        <f t="shared" si="82"/>
        <v>308636.495</v>
      </c>
      <c r="AH449" s="1">
        <f t="shared" si="72"/>
        <v>3704.6700000000005</v>
      </c>
      <c r="AI449" s="1">
        <f t="shared" si="73"/>
        <v>3872.02</v>
      </c>
      <c r="AJ449" s="1">
        <v>4246.8100000000004</v>
      </c>
      <c r="AK449" s="1">
        <f t="shared" si="74"/>
        <v>-542.13999999999987</v>
      </c>
      <c r="AL449" s="29">
        <f t="shared" si="83"/>
        <v>374.79000000000042</v>
      </c>
      <c r="AM449" s="11">
        <f t="shared" si="75"/>
        <v>2784798.5402000006</v>
      </c>
    </row>
    <row r="450" spans="1:39" x14ac:dyDescent="0.3">
      <c r="A450" s="39">
        <v>45905.645833333336</v>
      </c>
      <c r="B450" s="1">
        <v>1423.84</v>
      </c>
      <c r="C450" s="11">
        <v>3.2732000000000001</v>
      </c>
      <c r="D450" s="1">
        <v>658.93</v>
      </c>
      <c r="E450" s="11">
        <v>3.0760000000000001</v>
      </c>
      <c r="F450" s="1">
        <v>398.57</v>
      </c>
      <c r="G450" s="11">
        <v>3.53</v>
      </c>
      <c r="H450" s="1">
        <v>-36.11</v>
      </c>
      <c r="I450" s="11">
        <v>3.0704000000000002</v>
      </c>
      <c r="J450" s="1">
        <v>123.08</v>
      </c>
      <c r="K450" s="11">
        <v>3.3852199999999999</v>
      </c>
      <c r="L450" s="1">
        <v>2.21</v>
      </c>
      <c r="M450" s="11">
        <v>6.2</v>
      </c>
      <c r="N450" s="1">
        <v>354.34</v>
      </c>
      <c r="O450" s="11">
        <v>2.8224999999999998</v>
      </c>
      <c r="P450" s="1">
        <f t="shared" si="76"/>
        <v>2924.86</v>
      </c>
      <c r="Q450" s="1">
        <v>3185.42</v>
      </c>
      <c r="R450" s="16">
        <f t="shared" si="77"/>
        <v>2353485.3128999998</v>
      </c>
      <c r="S450" s="1">
        <v>-376.79</v>
      </c>
      <c r="T450" s="1">
        <v>35.54</v>
      </c>
      <c r="U450" s="1">
        <v>12</v>
      </c>
      <c r="V450" s="1">
        <v>6.44</v>
      </c>
      <c r="W450" s="1" cm="1">
        <f t="array" ref="W450">SUM(ABS(S450:V450))</f>
        <v>430.77000000000004</v>
      </c>
      <c r="X450" s="25">
        <v>1.238</v>
      </c>
      <c r="Y450" s="42">
        <f t="shared" si="78"/>
        <v>133323.315</v>
      </c>
      <c r="Z450" s="20">
        <v>497.5</v>
      </c>
      <c r="AA450" s="20">
        <f t="shared" si="79"/>
        <v>928.27</v>
      </c>
      <c r="AB450" s="21">
        <v>147.66</v>
      </c>
      <c r="AC450" s="21">
        <v>8.34</v>
      </c>
      <c r="AD450" s="8">
        <f t="shared" si="80"/>
        <v>653.5</v>
      </c>
      <c r="AE450" s="25">
        <v>1.238</v>
      </c>
      <c r="AF450" s="25">
        <f t="shared" si="81"/>
        <v>202258.25</v>
      </c>
      <c r="AG450" s="25">
        <f t="shared" si="82"/>
        <v>335581.565</v>
      </c>
      <c r="AH450" s="1">
        <f t="shared" si="72"/>
        <v>3578.36</v>
      </c>
      <c r="AI450" s="1">
        <f t="shared" si="73"/>
        <v>3838.92</v>
      </c>
      <c r="AJ450" s="1">
        <v>4169.6099999999997</v>
      </c>
      <c r="AK450" s="1">
        <f t="shared" si="74"/>
        <v>-591.24999999999955</v>
      </c>
      <c r="AL450" s="29">
        <f t="shared" si="83"/>
        <v>330.6899999999996</v>
      </c>
      <c r="AM450" s="11">
        <f t="shared" si="75"/>
        <v>2689066.8778999997</v>
      </c>
    </row>
    <row r="451" spans="1:39" x14ac:dyDescent="0.3">
      <c r="A451" s="39">
        <v>45905.65625</v>
      </c>
      <c r="B451" s="1">
        <v>1379.41</v>
      </c>
      <c r="C451" s="11">
        <v>3.2732000000000001</v>
      </c>
      <c r="D451" s="1">
        <v>636.95000000000005</v>
      </c>
      <c r="E451" s="11">
        <v>3.0760000000000001</v>
      </c>
      <c r="F451" s="1">
        <v>398.57</v>
      </c>
      <c r="G451" s="11">
        <v>3.53</v>
      </c>
      <c r="H451" s="1">
        <v>-43.05</v>
      </c>
      <c r="I451" s="11">
        <v>3.0706799999999999</v>
      </c>
      <c r="J451" s="1">
        <v>0</v>
      </c>
      <c r="K451" s="11">
        <v>3.3817699999999999</v>
      </c>
      <c r="L451" s="1">
        <v>1.93</v>
      </c>
      <c r="M451" s="11">
        <v>6.2</v>
      </c>
      <c r="N451" s="1">
        <v>314.61</v>
      </c>
      <c r="O451" s="11">
        <v>2.8224999999999998</v>
      </c>
      <c r="P451" s="1">
        <f t="shared" si="76"/>
        <v>2688.42</v>
      </c>
      <c r="Q451" s="1">
        <v>3219.37</v>
      </c>
      <c r="R451" s="16">
        <f t="shared" si="77"/>
        <v>2162263.7657499998</v>
      </c>
      <c r="S451" s="1">
        <v>-369.27</v>
      </c>
      <c r="T451" s="1">
        <v>35.53</v>
      </c>
      <c r="U451" s="1">
        <v>12</v>
      </c>
      <c r="V451" s="1">
        <v>6.41</v>
      </c>
      <c r="W451" s="1" cm="1">
        <f t="array" ref="W451">SUM(ABS(S451:V451))</f>
        <v>423.21</v>
      </c>
      <c r="X451" s="25">
        <v>1.238</v>
      </c>
      <c r="Y451" s="42">
        <f t="shared" si="78"/>
        <v>130983.49500000001</v>
      </c>
      <c r="Z451" s="20">
        <v>529.2700000000001</v>
      </c>
      <c r="AA451" s="20">
        <f t="shared" si="79"/>
        <v>952.48</v>
      </c>
      <c r="AB451" s="21">
        <v>134.62</v>
      </c>
      <c r="AC451" s="21">
        <v>9.2200000000000006</v>
      </c>
      <c r="AD451" s="8">
        <f t="shared" si="80"/>
        <v>673.11000000000013</v>
      </c>
      <c r="AE451" s="25">
        <v>1.238</v>
      </c>
      <c r="AF451" s="25">
        <f t="shared" si="81"/>
        <v>208327.54500000004</v>
      </c>
      <c r="AG451" s="25">
        <f t="shared" si="82"/>
        <v>339311.04000000004</v>
      </c>
      <c r="AH451" s="1">
        <f t="shared" si="72"/>
        <v>3361.53</v>
      </c>
      <c r="AI451" s="1">
        <f t="shared" si="73"/>
        <v>3892.48</v>
      </c>
      <c r="AJ451" s="1">
        <v>4192.93</v>
      </c>
      <c r="AK451" s="1">
        <f t="shared" si="74"/>
        <v>-831.40000000000009</v>
      </c>
      <c r="AL451" s="29">
        <f t="shared" si="83"/>
        <v>300.45000000000027</v>
      </c>
      <c r="AM451" s="11">
        <f t="shared" si="75"/>
        <v>2501574.8057499998</v>
      </c>
    </row>
    <row r="452" spans="1:39" x14ac:dyDescent="0.3">
      <c r="A452" s="39">
        <v>45905.666666666664</v>
      </c>
      <c r="B452" s="1">
        <v>1419.58</v>
      </c>
      <c r="C452" s="11">
        <v>3.2732000000000001</v>
      </c>
      <c r="D452" s="1">
        <v>679.34</v>
      </c>
      <c r="E452" s="11">
        <v>3.0760000000000001</v>
      </c>
      <c r="F452" s="1">
        <v>511.63</v>
      </c>
      <c r="G452" s="11">
        <v>3.53</v>
      </c>
      <c r="H452" s="1">
        <v>-46.04</v>
      </c>
      <c r="I452" s="11">
        <v>3.1787199999999998</v>
      </c>
      <c r="J452" s="1">
        <v>185.76</v>
      </c>
      <c r="K452" s="11">
        <v>3.3815900000000001</v>
      </c>
      <c r="L452" s="1">
        <v>0.13</v>
      </c>
      <c r="M452" s="11">
        <v>6.2</v>
      </c>
      <c r="N452" s="1">
        <v>294.29000000000002</v>
      </c>
      <c r="O452" s="11">
        <v>2.8224999999999998</v>
      </c>
      <c r="P452" s="1">
        <f t="shared" si="76"/>
        <v>3044.6900000000005</v>
      </c>
      <c r="Q452" s="1">
        <v>3250.35</v>
      </c>
      <c r="R452" s="16">
        <f t="shared" si="77"/>
        <v>2463882.1026499998</v>
      </c>
      <c r="S452" s="1">
        <v>-351.82</v>
      </c>
      <c r="T452" s="1">
        <v>35.520000000000003</v>
      </c>
      <c r="U452" s="1">
        <v>12</v>
      </c>
      <c r="V452" s="1">
        <v>6.42</v>
      </c>
      <c r="W452" s="1" cm="1">
        <f t="array" ref="W452">SUM(ABS(S452:V452))</f>
        <v>405.76</v>
      </c>
      <c r="X452" s="25">
        <v>1.238</v>
      </c>
      <c r="Y452" s="42">
        <f t="shared" si="78"/>
        <v>125582.72</v>
      </c>
      <c r="Z452" s="20">
        <v>525.34999999999991</v>
      </c>
      <c r="AA452" s="20">
        <f t="shared" si="79"/>
        <v>931.1099999999999</v>
      </c>
      <c r="AB452" s="21">
        <v>120.71</v>
      </c>
      <c r="AC452" s="21">
        <v>9.3699999999999992</v>
      </c>
      <c r="AD452" s="8">
        <f t="shared" si="80"/>
        <v>655.43</v>
      </c>
      <c r="AE452" s="25">
        <v>1.238</v>
      </c>
      <c r="AF452" s="25">
        <f t="shared" si="81"/>
        <v>202855.58499999999</v>
      </c>
      <c r="AG452" s="25">
        <f t="shared" si="82"/>
        <v>328438.30499999999</v>
      </c>
      <c r="AH452" s="1">
        <f t="shared" ref="AH452:AH515" si="84">B452+D452+F452+H452+J452+L452+N452+AD452</f>
        <v>3700.1200000000003</v>
      </c>
      <c r="AI452" s="1">
        <f t="shared" ref="AI452:AI515" si="85">Q452+AD452</f>
        <v>3905.7799999999997</v>
      </c>
      <c r="AJ452" s="1">
        <v>4327.18</v>
      </c>
      <c r="AK452" s="1">
        <f t="shared" ref="AK452:AK515" si="86">AH452-AJ452</f>
        <v>-627.05999999999995</v>
      </c>
      <c r="AL452" s="29">
        <f t="shared" si="83"/>
        <v>421.40000000000055</v>
      </c>
      <c r="AM452" s="11">
        <f t="shared" ref="AM452:AM515" si="87">(R452+AG452)</f>
        <v>2792320.40765</v>
      </c>
    </row>
    <row r="453" spans="1:39" x14ac:dyDescent="0.3">
      <c r="A453" s="39">
        <v>45905.677083333336</v>
      </c>
      <c r="B453" s="1">
        <v>1378.28</v>
      </c>
      <c r="C453" s="11">
        <v>3.2732000000000001</v>
      </c>
      <c r="D453" s="1">
        <v>690.11</v>
      </c>
      <c r="E453" s="11">
        <v>3.0760000000000001</v>
      </c>
      <c r="F453" s="1">
        <v>521.16</v>
      </c>
      <c r="G453" s="11">
        <v>3.53</v>
      </c>
      <c r="H453" s="1">
        <v>-46.48</v>
      </c>
      <c r="I453" s="11">
        <v>3.3900900000000003</v>
      </c>
      <c r="J453" s="1">
        <v>196.85</v>
      </c>
      <c r="K453" s="11">
        <v>3.4700100000000003</v>
      </c>
      <c r="L453" s="1">
        <v>0</v>
      </c>
      <c r="M453" s="11">
        <v>6.2</v>
      </c>
      <c r="N453" s="1">
        <v>270.27</v>
      </c>
      <c r="O453" s="11">
        <v>2.8224999999999998</v>
      </c>
      <c r="P453" s="1">
        <f t="shared" ref="P453:P516" si="88">(B453+D453+F453+H453+J453+L453+N453)</f>
        <v>3010.1899999999996</v>
      </c>
      <c r="Q453" s="1">
        <v>3146.04</v>
      </c>
      <c r="R453" s="16">
        <f t="shared" ref="R453:R516" si="89">(((B453*C453)+(D453*E453)+(F453*G453)+(H453*I453)+(J453*K453)+(L453*M453)+(N453*O453))*(1000/4))</f>
        <v>2440549.1040749997</v>
      </c>
      <c r="S453" s="1">
        <v>-458.5</v>
      </c>
      <c r="T453" s="1">
        <v>35.520000000000003</v>
      </c>
      <c r="U453" s="1">
        <v>12</v>
      </c>
      <c r="V453" s="1">
        <v>11.15</v>
      </c>
      <c r="W453" s="1" cm="1">
        <f t="array" ref="W453">SUM(ABS(S453:V453))</f>
        <v>517.16999999999996</v>
      </c>
      <c r="X453" s="25">
        <v>1.238</v>
      </c>
      <c r="Y453" s="42">
        <f t="shared" ref="Y453:Y516" si="90">((W453*X453)*1000)/4</f>
        <v>160064.11499999999</v>
      </c>
      <c r="Z453" s="20">
        <v>540.5200000000001</v>
      </c>
      <c r="AA453" s="20">
        <f t="shared" ref="AA453:AA516" si="91">W453+Z453</f>
        <v>1057.69</v>
      </c>
      <c r="AB453" s="21">
        <v>107.17000000000002</v>
      </c>
      <c r="AC453" s="21">
        <v>9.61</v>
      </c>
      <c r="AD453" s="8">
        <f t="shared" ref="AD453:AD516" si="92">Z453+AB453+AC453</f>
        <v>657.30000000000007</v>
      </c>
      <c r="AE453" s="25">
        <v>1.238</v>
      </c>
      <c r="AF453" s="25">
        <f t="shared" ref="AF453:AF516" si="93">((AD453*AE453*1000)/4)</f>
        <v>203434.35000000003</v>
      </c>
      <c r="AG453" s="25">
        <f t="shared" ref="AG453:AG516" si="94">Y453+AF453</f>
        <v>363498.46500000003</v>
      </c>
      <c r="AH453" s="1">
        <f t="shared" si="84"/>
        <v>3667.49</v>
      </c>
      <c r="AI453" s="1">
        <f t="shared" si="85"/>
        <v>3803.34</v>
      </c>
      <c r="AJ453" s="1">
        <v>4327.6400000000003</v>
      </c>
      <c r="AK453" s="1">
        <f t="shared" si="86"/>
        <v>-660.15000000000055</v>
      </c>
      <c r="AL453" s="29">
        <f t="shared" ref="AL453:AL516" si="95">AJ453-AI453</f>
        <v>524.30000000000018</v>
      </c>
      <c r="AM453" s="11">
        <f t="shared" si="87"/>
        <v>2804047.5690749995</v>
      </c>
    </row>
    <row r="454" spans="1:39" x14ac:dyDescent="0.3">
      <c r="A454" s="39">
        <v>45905.6875</v>
      </c>
      <c r="B454" s="1">
        <v>1374.66</v>
      </c>
      <c r="C454" s="11">
        <v>3.2732000000000001</v>
      </c>
      <c r="D454" s="1">
        <v>697.82</v>
      </c>
      <c r="E454" s="11">
        <v>3.0760000000000001</v>
      </c>
      <c r="F454" s="1">
        <v>521.16</v>
      </c>
      <c r="G454" s="11">
        <v>3.53</v>
      </c>
      <c r="H454" s="1">
        <v>-46.41</v>
      </c>
      <c r="I454" s="11">
        <v>3.4334499999999997</v>
      </c>
      <c r="J454" s="1">
        <v>327.23</v>
      </c>
      <c r="K454" s="11">
        <v>3.38191</v>
      </c>
      <c r="L454" s="1">
        <v>0</v>
      </c>
      <c r="M454" s="11">
        <v>6.2</v>
      </c>
      <c r="N454" s="1">
        <v>222.03</v>
      </c>
      <c r="O454" s="11">
        <v>2.8224999999999998</v>
      </c>
      <c r="P454" s="1">
        <f t="shared" si="88"/>
        <v>3096.4900000000002</v>
      </c>
      <c r="Q454" s="1">
        <v>3110.1</v>
      </c>
      <c r="R454" s="16">
        <f t="shared" si="89"/>
        <v>2514930.4754499998</v>
      </c>
      <c r="S454" s="1">
        <v>-526.9</v>
      </c>
      <c r="T454" s="1">
        <v>35.520000000000003</v>
      </c>
      <c r="U454" s="1">
        <v>12</v>
      </c>
      <c r="V454" s="1">
        <v>17.05</v>
      </c>
      <c r="W454" s="1" cm="1">
        <f t="array" ref="W454">SUM(ABS(S454:V454))</f>
        <v>591.46999999999991</v>
      </c>
      <c r="X454" s="25">
        <v>1.238</v>
      </c>
      <c r="Y454" s="42">
        <f t="shared" si="90"/>
        <v>183059.96499999997</v>
      </c>
      <c r="Z454" s="20">
        <v>536.97</v>
      </c>
      <c r="AA454" s="20">
        <f t="shared" si="91"/>
        <v>1128.44</v>
      </c>
      <c r="AB454" s="21">
        <v>92.700000000000017</v>
      </c>
      <c r="AC454" s="21">
        <v>10.74</v>
      </c>
      <c r="AD454" s="8">
        <f t="shared" si="92"/>
        <v>640.41000000000008</v>
      </c>
      <c r="AE454" s="25">
        <v>1.238</v>
      </c>
      <c r="AF454" s="25">
        <f t="shared" si="93"/>
        <v>198206.89500000002</v>
      </c>
      <c r="AG454" s="25">
        <f t="shared" si="94"/>
        <v>381266.86</v>
      </c>
      <c r="AH454" s="1">
        <f t="shared" si="84"/>
        <v>3736.9000000000005</v>
      </c>
      <c r="AI454" s="1">
        <f t="shared" si="85"/>
        <v>3750.51</v>
      </c>
      <c r="AJ454" s="1">
        <v>4354.21</v>
      </c>
      <c r="AK454" s="1">
        <f t="shared" si="86"/>
        <v>-617.30999999999949</v>
      </c>
      <c r="AL454" s="29">
        <f t="shared" si="95"/>
        <v>603.69999999999982</v>
      </c>
      <c r="AM454" s="11">
        <f t="shared" si="87"/>
        <v>2896197.3354499997</v>
      </c>
    </row>
    <row r="455" spans="1:39" x14ac:dyDescent="0.3">
      <c r="A455" s="39">
        <v>45905.697916666664</v>
      </c>
      <c r="B455" s="1">
        <v>1374.66</v>
      </c>
      <c r="C455" s="11">
        <v>3.2732000000000001</v>
      </c>
      <c r="D455" s="1">
        <v>705.52</v>
      </c>
      <c r="E455" s="11">
        <v>3.0760000000000001</v>
      </c>
      <c r="F455" s="1">
        <v>521.16</v>
      </c>
      <c r="G455" s="11">
        <v>3.53</v>
      </c>
      <c r="H455" s="1">
        <v>-46.21</v>
      </c>
      <c r="I455" s="11">
        <v>3.4515799999999999</v>
      </c>
      <c r="J455" s="1">
        <v>395.75</v>
      </c>
      <c r="K455" s="11">
        <v>3.40679</v>
      </c>
      <c r="L455" s="1">
        <v>0</v>
      </c>
      <c r="M455" s="11">
        <v>6.2</v>
      </c>
      <c r="N455" s="1">
        <v>194.65</v>
      </c>
      <c r="O455" s="11">
        <v>2.8224999999999998</v>
      </c>
      <c r="P455" s="1">
        <f t="shared" si="88"/>
        <v>3145.53</v>
      </c>
      <c r="Q455" s="1">
        <v>3098.19</v>
      </c>
      <c r="R455" s="16">
        <f t="shared" si="89"/>
        <v>2561887.6719249999</v>
      </c>
      <c r="S455" s="1">
        <v>-497.38</v>
      </c>
      <c r="T455" s="1">
        <v>35.56</v>
      </c>
      <c r="U455" s="1">
        <v>12</v>
      </c>
      <c r="V455" s="1">
        <v>19.04</v>
      </c>
      <c r="W455" s="1" cm="1">
        <f t="array" ref="W455">SUM(ABS(S455:V455))</f>
        <v>563.98</v>
      </c>
      <c r="X455" s="25">
        <v>1.238</v>
      </c>
      <c r="Y455" s="42">
        <f t="shared" si="90"/>
        <v>174551.81000000003</v>
      </c>
      <c r="Z455" s="20">
        <v>555.75</v>
      </c>
      <c r="AA455" s="20">
        <f t="shared" si="91"/>
        <v>1119.73</v>
      </c>
      <c r="AB455" s="21">
        <v>74.930000000000021</v>
      </c>
      <c r="AC455" s="21">
        <v>10.83</v>
      </c>
      <c r="AD455" s="8">
        <f t="shared" si="92"/>
        <v>641.5100000000001</v>
      </c>
      <c r="AE455" s="25">
        <v>1.238</v>
      </c>
      <c r="AF455" s="25">
        <f t="shared" si="93"/>
        <v>198547.34500000003</v>
      </c>
      <c r="AG455" s="25">
        <f t="shared" si="94"/>
        <v>373099.15500000003</v>
      </c>
      <c r="AH455" s="1">
        <f t="shared" si="84"/>
        <v>3787.0400000000004</v>
      </c>
      <c r="AI455" s="1">
        <f t="shared" si="85"/>
        <v>3739.7000000000003</v>
      </c>
      <c r="AJ455" s="1">
        <v>4316.6400000000003</v>
      </c>
      <c r="AK455" s="1">
        <f t="shared" si="86"/>
        <v>-529.59999999999991</v>
      </c>
      <c r="AL455" s="29">
        <f t="shared" si="95"/>
        <v>576.94000000000005</v>
      </c>
      <c r="AM455" s="11">
        <f t="shared" si="87"/>
        <v>2934986.8269250002</v>
      </c>
    </row>
    <row r="456" spans="1:39" x14ac:dyDescent="0.3">
      <c r="A456" s="39">
        <v>45905.708333333336</v>
      </c>
      <c r="B456" s="1">
        <v>1455.25</v>
      </c>
      <c r="C456" s="11">
        <v>3.2732000000000001</v>
      </c>
      <c r="D456" s="1">
        <v>715.03</v>
      </c>
      <c r="E456" s="11">
        <v>3.0760000000000001</v>
      </c>
      <c r="F456" s="1">
        <v>521.16</v>
      </c>
      <c r="G456" s="11">
        <v>3.53</v>
      </c>
      <c r="H456" s="1">
        <v>-82.02</v>
      </c>
      <c r="I456" s="11">
        <v>3.5271999999999997</v>
      </c>
      <c r="J456" s="1">
        <v>360.76</v>
      </c>
      <c r="K456" s="11">
        <v>2.871</v>
      </c>
      <c r="L456" s="1">
        <v>0</v>
      </c>
      <c r="M456" s="11">
        <v>6.2</v>
      </c>
      <c r="N456" s="1">
        <v>168.81</v>
      </c>
      <c r="O456" s="11">
        <v>2.8224999999999998</v>
      </c>
      <c r="P456" s="1">
        <f t="shared" si="88"/>
        <v>3138.9899999999993</v>
      </c>
      <c r="Q456" s="1">
        <v>3155.3</v>
      </c>
      <c r="R456" s="16">
        <f t="shared" si="89"/>
        <v>2506339.6552499998</v>
      </c>
      <c r="S456" s="1">
        <v>-409.78</v>
      </c>
      <c r="T456" s="1">
        <v>35.6</v>
      </c>
      <c r="U456" s="1">
        <v>12</v>
      </c>
      <c r="V456" s="1">
        <v>19.13</v>
      </c>
      <c r="W456" s="1" cm="1">
        <f t="array" ref="W456">SUM(ABS(S456:V456))</f>
        <v>476.51</v>
      </c>
      <c r="X456" s="25">
        <v>1.238</v>
      </c>
      <c r="Y456" s="42">
        <f t="shared" si="90"/>
        <v>147479.84499999997</v>
      </c>
      <c r="Z456" s="20">
        <v>571.81999999999994</v>
      </c>
      <c r="AA456" s="20">
        <f t="shared" si="91"/>
        <v>1048.33</v>
      </c>
      <c r="AB456" s="21">
        <v>58.980000000000004</v>
      </c>
      <c r="AC456" s="21">
        <v>11.4</v>
      </c>
      <c r="AD456" s="8">
        <f t="shared" si="92"/>
        <v>642.19999999999993</v>
      </c>
      <c r="AE456" s="25">
        <v>1.238</v>
      </c>
      <c r="AF456" s="25">
        <f t="shared" si="93"/>
        <v>198760.89999999997</v>
      </c>
      <c r="AG456" s="25">
        <f t="shared" si="94"/>
        <v>346240.74499999994</v>
      </c>
      <c r="AH456" s="1">
        <f t="shared" si="84"/>
        <v>3781.1899999999991</v>
      </c>
      <c r="AI456" s="1">
        <f t="shared" si="85"/>
        <v>3797.5</v>
      </c>
      <c r="AJ456" s="1">
        <v>4287.8999999999996</v>
      </c>
      <c r="AK456" s="1">
        <f t="shared" si="86"/>
        <v>-506.71000000000049</v>
      </c>
      <c r="AL456" s="29">
        <f t="shared" si="95"/>
        <v>490.39999999999964</v>
      </c>
      <c r="AM456" s="11">
        <f t="shared" si="87"/>
        <v>2852580.4002499999</v>
      </c>
    </row>
    <row r="457" spans="1:39" x14ac:dyDescent="0.3">
      <c r="A457" s="39">
        <v>45905.71875</v>
      </c>
      <c r="B457" s="1">
        <v>1471.71</v>
      </c>
      <c r="C457" s="11">
        <v>3.2732000000000001</v>
      </c>
      <c r="D457" s="1">
        <v>715.73</v>
      </c>
      <c r="E457" s="11">
        <v>3.0760000000000001</v>
      </c>
      <c r="F457" s="1">
        <v>521.16</v>
      </c>
      <c r="G457" s="11">
        <v>3.53</v>
      </c>
      <c r="H457" s="1">
        <v>-89.19</v>
      </c>
      <c r="I457" s="11">
        <v>3.63992</v>
      </c>
      <c r="J457" s="1">
        <v>328.72</v>
      </c>
      <c r="K457" s="11">
        <v>2.99932</v>
      </c>
      <c r="L457" s="1">
        <v>0</v>
      </c>
      <c r="M457" s="11">
        <v>6.2</v>
      </c>
      <c r="N457" s="1">
        <v>144.37</v>
      </c>
      <c r="O457" s="11">
        <v>2.8224999999999998</v>
      </c>
      <c r="P457" s="1">
        <f t="shared" si="88"/>
        <v>3092.5</v>
      </c>
      <c r="Q457" s="1">
        <v>3228.22</v>
      </c>
      <c r="R457" s="16">
        <f t="shared" si="89"/>
        <v>2481814.4456500001</v>
      </c>
      <c r="S457" s="1">
        <v>-414.78</v>
      </c>
      <c r="T457" s="1">
        <v>35.619999999999997</v>
      </c>
      <c r="U457" s="1">
        <v>12</v>
      </c>
      <c r="V457" s="1">
        <v>20.67</v>
      </c>
      <c r="W457" s="1" cm="1">
        <f t="array" ref="W457">SUM(ABS(S457:V457))</f>
        <v>483.07</v>
      </c>
      <c r="X457" s="25">
        <v>1.238</v>
      </c>
      <c r="Y457" s="42">
        <f t="shared" si="90"/>
        <v>149510.16500000001</v>
      </c>
      <c r="Z457" s="20">
        <v>534.34999999999991</v>
      </c>
      <c r="AA457" s="20">
        <f t="shared" si="91"/>
        <v>1017.4199999999998</v>
      </c>
      <c r="AB457" s="21">
        <v>43.740000000000009</v>
      </c>
      <c r="AC457" s="21">
        <v>12.72</v>
      </c>
      <c r="AD457" s="8">
        <f t="shared" si="92"/>
        <v>590.80999999999995</v>
      </c>
      <c r="AE457" s="25">
        <v>1.238</v>
      </c>
      <c r="AF457" s="25">
        <f t="shared" si="93"/>
        <v>182855.69499999998</v>
      </c>
      <c r="AG457" s="25">
        <f t="shared" si="94"/>
        <v>332365.86</v>
      </c>
      <c r="AH457" s="1">
        <f t="shared" si="84"/>
        <v>3683.31</v>
      </c>
      <c r="AI457" s="1">
        <f t="shared" si="85"/>
        <v>3819.0299999999997</v>
      </c>
      <c r="AJ457" s="1">
        <v>4308.88</v>
      </c>
      <c r="AK457" s="1">
        <f t="shared" si="86"/>
        <v>-625.57000000000016</v>
      </c>
      <c r="AL457" s="29">
        <f t="shared" si="95"/>
        <v>489.85000000000036</v>
      </c>
      <c r="AM457" s="11">
        <f t="shared" si="87"/>
        <v>2814180.30565</v>
      </c>
    </row>
    <row r="458" spans="1:39" x14ac:dyDescent="0.3">
      <c r="A458" s="39">
        <v>45905.729166666664</v>
      </c>
      <c r="B458" s="1">
        <v>1474.25</v>
      </c>
      <c r="C458" s="11">
        <v>3.2732000000000001</v>
      </c>
      <c r="D458" s="1">
        <v>715.73</v>
      </c>
      <c r="E458" s="11">
        <v>3.0760000000000001</v>
      </c>
      <c r="F458" s="1">
        <v>521.16</v>
      </c>
      <c r="G458" s="11">
        <v>3.53</v>
      </c>
      <c r="H458" s="1">
        <v>-98.04</v>
      </c>
      <c r="I458" s="11">
        <v>3.9001700000000001</v>
      </c>
      <c r="J458" s="1">
        <v>251.12</v>
      </c>
      <c r="K458" s="11">
        <v>3.2000300000000004</v>
      </c>
      <c r="L458" s="1">
        <v>0</v>
      </c>
      <c r="M458" s="11">
        <v>6.2</v>
      </c>
      <c r="N458" s="1">
        <v>119.74</v>
      </c>
      <c r="O458" s="11">
        <v>2.8224999999999998</v>
      </c>
      <c r="P458" s="1">
        <f t="shared" si="88"/>
        <v>2983.9599999999996</v>
      </c>
      <c r="Q458" s="1">
        <v>3018.8</v>
      </c>
      <c r="R458" s="16">
        <f t="shared" si="89"/>
        <v>2406495.0992000001</v>
      </c>
      <c r="S458" s="1">
        <v>-616.86</v>
      </c>
      <c r="T458" s="1">
        <v>35.61</v>
      </c>
      <c r="U458" s="1">
        <v>12</v>
      </c>
      <c r="V458" s="1">
        <v>25.32</v>
      </c>
      <c r="W458" s="1" cm="1">
        <f t="array" ref="W458">SUM(ABS(S458:V458))</f>
        <v>689.79000000000008</v>
      </c>
      <c r="X458" s="25">
        <v>1.238</v>
      </c>
      <c r="Y458" s="42">
        <f t="shared" si="90"/>
        <v>213490.00500000003</v>
      </c>
      <c r="Z458" s="20">
        <v>545.67999999999995</v>
      </c>
      <c r="AA458" s="20">
        <f t="shared" si="91"/>
        <v>1235.47</v>
      </c>
      <c r="AB458" s="21">
        <v>30.18</v>
      </c>
      <c r="AC458" s="21">
        <v>13.64</v>
      </c>
      <c r="AD458" s="8">
        <f t="shared" si="92"/>
        <v>589.49999999999989</v>
      </c>
      <c r="AE458" s="25">
        <v>1.238</v>
      </c>
      <c r="AF458" s="25">
        <f t="shared" si="93"/>
        <v>182450.24999999994</v>
      </c>
      <c r="AG458" s="25">
        <f t="shared" si="94"/>
        <v>395940.255</v>
      </c>
      <c r="AH458" s="1">
        <f t="shared" si="84"/>
        <v>3573.4599999999996</v>
      </c>
      <c r="AI458" s="1">
        <f t="shared" si="85"/>
        <v>3608.3</v>
      </c>
      <c r="AJ458" s="1">
        <v>4302.8</v>
      </c>
      <c r="AK458" s="1">
        <f t="shared" si="86"/>
        <v>-729.3400000000006</v>
      </c>
      <c r="AL458" s="29">
        <f t="shared" si="95"/>
        <v>694.5</v>
      </c>
      <c r="AM458" s="11">
        <f t="shared" si="87"/>
        <v>2802435.3541999999</v>
      </c>
    </row>
    <row r="459" spans="1:39" x14ac:dyDescent="0.3">
      <c r="A459" s="39">
        <v>45905.739583333336</v>
      </c>
      <c r="B459" s="1">
        <v>1474.58</v>
      </c>
      <c r="C459" s="11">
        <v>3.2732000000000001</v>
      </c>
      <c r="D459" s="1">
        <v>715.73</v>
      </c>
      <c r="E459" s="11">
        <v>3.0760000000000001</v>
      </c>
      <c r="F459" s="1">
        <v>521.16</v>
      </c>
      <c r="G459" s="11">
        <v>3.53</v>
      </c>
      <c r="H459" s="1">
        <v>-98.71</v>
      </c>
      <c r="I459" s="11">
        <v>4.0400200000000002</v>
      </c>
      <c r="J459" s="1">
        <v>237.36</v>
      </c>
      <c r="K459" s="11">
        <v>3.4992899999999998</v>
      </c>
      <c r="L459" s="1">
        <v>0</v>
      </c>
      <c r="M459" s="11">
        <v>6.2</v>
      </c>
      <c r="N459" s="1">
        <v>97.75</v>
      </c>
      <c r="O459" s="11">
        <v>2.8224999999999998</v>
      </c>
      <c r="P459" s="1">
        <f t="shared" si="88"/>
        <v>2947.87</v>
      </c>
      <c r="Q459" s="1">
        <v>2933.77</v>
      </c>
      <c r="R459" s="16">
        <f t="shared" si="89"/>
        <v>2393894.0027999999</v>
      </c>
      <c r="S459" s="1">
        <v>-681.86</v>
      </c>
      <c r="T459" s="1">
        <v>35.619999999999997</v>
      </c>
      <c r="U459" s="1">
        <v>14.8</v>
      </c>
      <c r="V459" s="1">
        <v>25.3</v>
      </c>
      <c r="W459" s="1" cm="1">
        <f t="array" ref="W459">SUM(ABS(S459:V459))</f>
        <v>757.57999999999993</v>
      </c>
      <c r="X459" s="25">
        <v>1.238</v>
      </c>
      <c r="Y459" s="42">
        <f t="shared" si="90"/>
        <v>234471.00999999998</v>
      </c>
      <c r="Z459" s="20">
        <v>546.68999999999994</v>
      </c>
      <c r="AA459" s="20">
        <f t="shared" si="91"/>
        <v>1304.27</v>
      </c>
      <c r="AB459" s="21">
        <v>18.52</v>
      </c>
      <c r="AC459" s="21">
        <v>14.66</v>
      </c>
      <c r="AD459" s="8">
        <f t="shared" si="92"/>
        <v>579.86999999999989</v>
      </c>
      <c r="AE459" s="25">
        <v>1.238</v>
      </c>
      <c r="AF459" s="25">
        <f t="shared" si="93"/>
        <v>179469.76499999996</v>
      </c>
      <c r="AG459" s="25">
        <f t="shared" si="94"/>
        <v>413940.77499999991</v>
      </c>
      <c r="AH459" s="1">
        <f t="shared" si="84"/>
        <v>3527.74</v>
      </c>
      <c r="AI459" s="1">
        <f t="shared" si="85"/>
        <v>3513.64</v>
      </c>
      <c r="AJ459" s="1">
        <v>4286.49</v>
      </c>
      <c r="AK459" s="1">
        <f t="shared" si="86"/>
        <v>-758.75</v>
      </c>
      <c r="AL459" s="29">
        <f t="shared" si="95"/>
        <v>772.84999999999991</v>
      </c>
      <c r="AM459" s="11">
        <f t="shared" si="87"/>
        <v>2807834.7777999998</v>
      </c>
    </row>
    <row r="460" spans="1:39" x14ac:dyDescent="0.3">
      <c r="A460" s="39">
        <v>45905.75</v>
      </c>
      <c r="B460" s="1">
        <v>1474.6</v>
      </c>
      <c r="C460" s="11">
        <v>3.2732000000000001</v>
      </c>
      <c r="D460" s="1">
        <v>715.73</v>
      </c>
      <c r="E460" s="11">
        <v>3.0760000000000001</v>
      </c>
      <c r="F460" s="1">
        <v>521.16</v>
      </c>
      <c r="G460" s="11">
        <v>3.53</v>
      </c>
      <c r="H460" s="1">
        <v>-53.98</v>
      </c>
      <c r="I460" s="11">
        <v>3.96922</v>
      </c>
      <c r="J460" s="1">
        <v>283</v>
      </c>
      <c r="K460" s="11">
        <v>2.9495999999999998</v>
      </c>
      <c r="L460" s="1">
        <v>14.39</v>
      </c>
      <c r="M460" s="11">
        <v>6.2</v>
      </c>
      <c r="N460" s="1">
        <v>77.94</v>
      </c>
      <c r="O460" s="11">
        <v>2.8224999999999998</v>
      </c>
      <c r="P460" s="1">
        <f t="shared" si="88"/>
        <v>3032.8399999999997</v>
      </c>
      <c r="Q460" s="1">
        <v>3057.68</v>
      </c>
      <c r="R460" s="16">
        <f t="shared" si="89"/>
        <v>2449405.7386000003</v>
      </c>
      <c r="S460" s="1">
        <v>-559.29999999999995</v>
      </c>
      <c r="T460" s="1">
        <v>35.549999999999997</v>
      </c>
      <c r="U460" s="1">
        <v>20.88</v>
      </c>
      <c r="V460" s="1">
        <v>25.29</v>
      </c>
      <c r="W460" s="1" cm="1">
        <f t="array" ref="W460">SUM(ABS(S460:V460))</f>
        <v>641.01999999999987</v>
      </c>
      <c r="X460" s="25">
        <v>1.238</v>
      </c>
      <c r="Y460" s="42">
        <f t="shared" si="90"/>
        <v>198395.68999999994</v>
      </c>
      <c r="Z460" s="20">
        <v>496.46</v>
      </c>
      <c r="AA460" s="20">
        <f t="shared" si="91"/>
        <v>1137.4799999999998</v>
      </c>
      <c r="AB460" s="21">
        <v>9.9099999999999984</v>
      </c>
      <c r="AC460" s="21">
        <v>12.83</v>
      </c>
      <c r="AD460" s="8">
        <f t="shared" si="92"/>
        <v>519.20000000000005</v>
      </c>
      <c r="AE460" s="25">
        <v>1.238</v>
      </c>
      <c r="AF460" s="25">
        <f t="shared" si="93"/>
        <v>160692.40000000002</v>
      </c>
      <c r="AG460" s="25">
        <f t="shared" si="94"/>
        <v>359088.08999999997</v>
      </c>
      <c r="AH460" s="1">
        <f t="shared" si="84"/>
        <v>3552.04</v>
      </c>
      <c r="AI460" s="1">
        <f t="shared" si="85"/>
        <v>3576.88</v>
      </c>
      <c r="AJ460" s="1">
        <v>4264.79</v>
      </c>
      <c r="AK460" s="1">
        <f t="shared" si="86"/>
        <v>-712.75</v>
      </c>
      <c r="AL460" s="29">
        <f t="shared" si="95"/>
        <v>687.90999999999985</v>
      </c>
      <c r="AM460" s="11">
        <f t="shared" si="87"/>
        <v>2808493.8286000001</v>
      </c>
    </row>
    <row r="461" spans="1:39" x14ac:dyDescent="0.3">
      <c r="A461" s="39">
        <v>45905.760416666664</v>
      </c>
      <c r="B461" s="1">
        <v>1474.6</v>
      </c>
      <c r="C461" s="11">
        <v>3.2732000000000001</v>
      </c>
      <c r="D461" s="1">
        <v>715.73</v>
      </c>
      <c r="E461" s="11">
        <v>3.0760000000000001</v>
      </c>
      <c r="F461" s="1">
        <v>521.16</v>
      </c>
      <c r="G461" s="11">
        <v>3.53</v>
      </c>
      <c r="H461" s="1">
        <v>-22.43</v>
      </c>
      <c r="I461" s="11">
        <v>4.1400899999999998</v>
      </c>
      <c r="J461" s="1">
        <v>269.38</v>
      </c>
      <c r="K461" s="11">
        <v>3.79027</v>
      </c>
      <c r="L461" s="1">
        <v>24.3</v>
      </c>
      <c r="M461" s="11">
        <v>6.2</v>
      </c>
      <c r="N461" s="1">
        <v>50.8</v>
      </c>
      <c r="O461" s="11">
        <v>2.8224999999999998</v>
      </c>
      <c r="P461" s="1">
        <f t="shared" si="88"/>
        <v>3033.5400000000004</v>
      </c>
      <c r="Q461" s="1">
        <v>3059.14</v>
      </c>
      <c r="R461" s="16">
        <f t="shared" si="89"/>
        <v>2522536.178475</v>
      </c>
      <c r="S461" s="1">
        <v>-572.67999999999995</v>
      </c>
      <c r="T461" s="1">
        <v>35.57</v>
      </c>
      <c r="U461" s="1">
        <v>20.88</v>
      </c>
      <c r="V461" s="1">
        <v>25.95</v>
      </c>
      <c r="W461" s="1" cm="1">
        <f t="array" ref="W461">SUM(ABS(S461:V461))</f>
        <v>655.08000000000004</v>
      </c>
      <c r="X461" s="25">
        <v>1.238</v>
      </c>
      <c r="Y461" s="42">
        <f t="shared" si="90"/>
        <v>202747.26</v>
      </c>
      <c r="Z461" s="20">
        <v>506.46999999999997</v>
      </c>
      <c r="AA461" s="20">
        <f t="shared" si="91"/>
        <v>1161.55</v>
      </c>
      <c r="AB461" s="21">
        <v>3.9700000000000006</v>
      </c>
      <c r="AC461" s="21">
        <v>12.98</v>
      </c>
      <c r="AD461" s="8">
        <f t="shared" si="92"/>
        <v>523.41999999999996</v>
      </c>
      <c r="AE461" s="25">
        <v>1.238</v>
      </c>
      <c r="AF461" s="25">
        <f t="shared" si="93"/>
        <v>161998.48999999996</v>
      </c>
      <c r="AG461" s="25">
        <f t="shared" si="94"/>
        <v>364745.75</v>
      </c>
      <c r="AH461" s="1">
        <f t="shared" si="84"/>
        <v>3556.9600000000005</v>
      </c>
      <c r="AI461" s="1">
        <f t="shared" si="85"/>
        <v>3582.56</v>
      </c>
      <c r="AJ461" s="1">
        <v>4296.1099999999997</v>
      </c>
      <c r="AK461" s="1">
        <f t="shared" si="86"/>
        <v>-739.14999999999918</v>
      </c>
      <c r="AL461" s="29">
        <f t="shared" si="95"/>
        <v>713.54999999999973</v>
      </c>
      <c r="AM461" s="11">
        <f t="shared" si="87"/>
        <v>2887281.928475</v>
      </c>
    </row>
    <row r="462" spans="1:39" x14ac:dyDescent="0.3">
      <c r="A462" s="39">
        <v>45905.770833333336</v>
      </c>
      <c r="B462" s="1">
        <v>1474.6</v>
      </c>
      <c r="C462" s="11">
        <v>3.2732000000000001</v>
      </c>
      <c r="D462" s="1">
        <v>715.73</v>
      </c>
      <c r="E462" s="11">
        <v>3.0760000000000001</v>
      </c>
      <c r="F462" s="1">
        <v>521.16</v>
      </c>
      <c r="G462" s="11">
        <v>3.53</v>
      </c>
      <c r="H462" s="1">
        <v>-21.55</v>
      </c>
      <c r="I462" s="11">
        <v>4.4339300000000001</v>
      </c>
      <c r="J462" s="1">
        <v>263.31</v>
      </c>
      <c r="K462" s="11">
        <v>4.2508400000000002</v>
      </c>
      <c r="L462" s="1">
        <v>24.14</v>
      </c>
      <c r="M462" s="11">
        <v>6.2</v>
      </c>
      <c r="N462" s="1">
        <v>37.86</v>
      </c>
      <c r="O462" s="11">
        <v>2.8224999999999998</v>
      </c>
      <c r="P462" s="1">
        <f t="shared" si="88"/>
        <v>3015.2499999999995</v>
      </c>
      <c r="Q462" s="1">
        <v>3051.48</v>
      </c>
      <c r="R462" s="16">
        <f t="shared" si="89"/>
        <v>2537051.5847249995</v>
      </c>
      <c r="S462" s="1">
        <v>-616.37</v>
      </c>
      <c r="T462" s="1">
        <v>35.619999999999997</v>
      </c>
      <c r="U462" s="1">
        <v>32.590000000000003</v>
      </c>
      <c r="V462" s="1">
        <v>34.380000000000003</v>
      </c>
      <c r="W462" s="1" cm="1">
        <f t="array" ref="W462">SUM(ABS(S462:V462))</f>
        <v>718.96</v>
      </c>
      <c r="X462" s="25">
        <v>1.238</v>
      </c>
      <c r="Y462" s="42">
        <f t="shared" si="90"/>
        <v>222518.12000000002</v>
      </c>
      <c r="Z462" s="20">
        <v>585.91</v>
      </c>
      <c r="AA462" s="20">
        <f t="shared" si="91"/>
        <v>1304.8699999999999</v>
      </c>
      <c r="AB462" s="21">
        <v>0.75</v>
      </c>
      <c r="AC462" s="21">
        <v>13.55</v>
      </c>
      <c r="AD462" s="8">
        <f t="shared" si="92"/>
        <v>600.20999999999992</v>
      </c>
      <c r="AE462" s="25">
        <v>1.238</v>
      </c>
      <c r="AF462" s="25">
        <f t="shared" si="93"/>
        <v>185764.99499999997</v>
      </c>
      <c r="AG462" s="25">
        <f t="shared" si="94"/>
        <v>408283.11499999999</v>
      </c>
      <c r="AH462" s="1">
        <f t="shared" si="84"/>
        <v>3615.4599999999996</v>
      </c>
      <c r="AI462" s="1">
        <f t="shared" si="85"/>
        <v>3651.69</v>
      </c>
      <c r="AJ462" s="1">
        <v>4433.72</v>
      </c>
      <c r="AK462" s="1">
        <f t="shared" si="86"/>
        <v>-818.26000000000067</v>
      </c>
      <c r="AL462" s="29">
        <f t="shared" si="95"/>
        <v>782.0300000000002</v>
      </c>
      <c r="AM462" s="11">
        <f t="shared" si="87"/>
        <v>2945334.6997249993</v>
      </c>
    </row>
    <row r="463" spans="1:39" x14ac:dyDescent="0.3">
      <c r="A463" s="39">
        <v>45905.78125</v>
      </c>
      <c r="B463" s="1">
        <v>1474.6</v>
      </c>
      <c r="C463" s="11">
        <v>3.2732000000000001</v>
      </c>
      <c r="D463" s="1">
        <v>715.73</v>
      </c>
      <c r="E463" s="11">
        <v>3.0760000000000001</v>
      </c>
      <c r="F463" s="1">
        <v>521.16</v>
      </c>
      <c r="G463" s="11">
        <v>3.53</v>
      </c>
      <c r="H463" s="1">
        <v>74.87</v>
      </c>
      <c r="I463" s="11">
        <v>4.6496700000000004</v>
      </c>
      <c r="J463" s="1">
        <v>263.11</v>
      </c>
      <c r="K463" s="11">
        <v>5.5042299999999997</v>
      </c>
      <c r="L463" s="1">
        <v>23.95</v>
      </c>
      <c r="M463" s="11">
        <v>6.2</v>
      </c>
      <c r="N463" s="1">
        <v>27.5</v>
      </c>
      <c r="O463" s="11">
        <v>2.8224999999999998</v>
      </c>
      <c r="P463" s="1">
        <f t="shared" si="88"/>
        <v>3100.9199999999996</v>
      </c>
      <c r="Q463" s="1">
        <v>3127.4</v>
      </c>
      <c r="R463" s="16">
        <f t="shared" si="89"/>
        <v>2722597.1245499994</v>
      </c>
      <c r="S463" s="1">
        <v>-644.82000000000005</v>
      </c>
      <c r="T463" s="1">
        <v>35.630000000000003</v>
      </c>
      <c r="U463" s="1">
        <v>54.49</v>
      </c>
      <c r="V463" s="1">
        <v>38.020000000000003</v>
      </c>
      <c r="W463" s="1" cm="1">
        <f t="array" ref="W463">SUM(ABS(S463:V463))</f>
        <v>772.96</v>
      </c>
      <c r="X463" s="25">
        <v>1.238</v>
      </c>
      <c r="Y463" s="42">
        <f t="shared" si="90"/>
        <v>239231.12</v>
      </c>
      <c r="Z463" s="20">
        <v>675.37</v>
      </c>
      <c r="AA463" s="20">
        <f t="shared" si="91"/>
        <v>1448.33</v>
      </c>
      <c r="AB463" s="21">
        <v>0.34</v>
      </c>
      <c r="AC463" s="21">
        <v>14.660000000000002</v>
      </c>
      <c r="AD463" s="8">
        <f t="shared" si="92"/>
        <v>690.37</v>
      </c>
      <c r="AE463" s="25">
        <v>1.238</v>
      </c>
      <c r="AF463" s="25">
        <f t="shared" si="93"/>
        <v>213669.51499999998</v>
      </c>
      <c r="AG463" s="25">
        <f t="shared" si="94"/>
        <v>452900.63500000001</v>
      </c>
      <c r="AH463" s="1">
        <f t="shared" si="84"/>
        <v>3791.2899999999995</v>
      </c>
      <c r="AI463" s="1">
        <f t="shared" si="85"/>
        <v>3817.77</v>
      </c>
      <c r="AJ463" s="1">
        <v>4654.93</v>
      </c>
      <c r="AK463" s="1">
        <f t="shared" si="86"/>
        <v>-863.64000000000078</v>
      </c>
      <c r="AL463" s="29">
        <f t="shared" si="95"/>
        <v>837.16000000000031</v>
      </c>
      <c r="AM463" s="11">
        <f t="shared" si="87"/>
        <v>3175497.7595499996</v>
      </c>
    </row>
    <row r="464" spans="1:39" x14ac:dyDescent="0.3">
      <c r="A464" s="39">
        <v>45905.791666666664</v>
      </c>
      <c r="B464" s="1">
        <v>1474.6</v>
      </c>
      <c r="C464" s="11">
        <v>3.2732000000000001</v>
      </c>
      <c r="D464" s="1">
        <v>715.73</v>
      </c>
      <c r="E464" s="11">
        <v>3.0760000000000001</v>
      </c>
      <c r="F464" s="1">
        <v>521.16</v>
      </c>
      <c r="G464" s="11">
        <v>3.53</v>
      </c>
      <c r="H464" s="1">
        <v>-88.8</v>
      </c>
      <c r="I464" s="11">
        <v>7.0691199999999998</v>
      </c>
      <c r="J464" s="1">
        <v>412.93</v>
      </c>
      <c r="K464" s="11">
        <v>10</v>
      </c>
      <c r="L464" s="1">
        <v>1.65</v>
      </c>
      <c r="M464" s="11">
        <v>6.2</v>
      </c>
      <c r="N464" s="1">
        <v>20.07</v>
      </c>
      <c r="O464" s="11">
        <v>2.8224999999999998</v>
      </c>
      <c r="P464" s="1">
        <f t="shared" si="88"/>
        <v>3057.3399999999997</v>
      </c>
      <c r="Q464" s="1">
        <v>3124.87</v>
      </c>
      <c r="R464" s="16">
        <f t="shared" si="89"/>
        <v>3109095.1797499997</v>
      </c>
      <c r="S464" s="1">
        <v>-731.77</v>
      </c>
      <c r="T464" s="1">
        <v>35.659999999999997</v>
      </c>
      <c r="U464" s="1">
        <v>65.760000000000005</v>
      </c>
      <c r="V464" s="1">
        <v>47.29</v>
      </c>
      <c r="W464" s="1" cm="1">
        <f t="array" ref="W464">SUM(ABS(S464:V464))</f>
        <v>880.4799999999999</v>
      </c>
      <c r="X464" s="25">
        <v>1.238</v>
      </c>
      <c r="Y464" s="42">
        <f t="shared" si="90"/>
        <v>272508.56</v>
      </c>
      <c r="Z464" s="20">
        <v>719.03000000000009</v>
      </c>
      <c r="AA464" s="20">
        <f t="shared" si="91"/>
        <v>1599.51</v>
      </c>
      <c r="AB464" s="21">
        <v>0.23</v>
      </c>
      <c r="AC464" s="21">
        <v>15.469999999999999</v>
      </c>
      <c r="AD464" s="8">
        <f t="shared" si="92"/>
        <v>734.73000000000013</v>
      </c>
      <c r="AE464" s="25">
        <v>1.238</v>
      </c>
      <c r="AF464" s="25">
        <f t="shared" si="93"/>
        <v>227398.93500000006</v>
      </c>
      <c r="AG464" s="25">
        <f t="shared" si="94"/>
        <v>499907.49500000005</v>
      </c>
      <c r="AH464" s="1">
        <f t="shared" si="84"/>
        <v>3792.0699999999997</v>
      </c>
      <c r="AI464" s="1">
        <f t="shared" si="85"/>
        <v>3859.6</v>
      </c>
      <c r="AJ464" s="1">
        <v>4798.08</v>
      </c>
      <c r="AK464" s="1">
        <f t="shared" si="86"/>
        <v>-1006.0100000000002</v>
      </c>
      <c r="AL464" s="29">
        <f t="shared" si="95"/>
        <v>938.48</v>
      </c>
      <c r="AM464" s="11">
        <f t="shared" si="87"/>
        <v>3609002.6747499998</v>
      </c>
    </row>
    <row r="465" spans="1:39" x14ac:dyDescent="0.3">
      <c r="A465" s="39">
        <v>45905.802083333336</v>
      </c>
      <c r="B465" s="1">
        <v>1474.6</v>
      </c>
      <c r="C465" s="11">
        <v>3.2732000000000001</v>
      </c>
      <c r="D465" s="1">
        <v>715.73</v>
      </c>
      <c r="E465" s="11">
        <v>3.0760000000000001</v>
      </c>
      <c r="F465" s="1">
        <v>521.16</v>
      </c>
      <c r="G465" s="11">
        <v>3.53</v>
      </c>
      <c r="H465" s="1">
        <v>-101.9</v>
      </c>
      <c r="I465" s="11">
        <v>8.0292700000000004</v>
      </c>
      <c r="J465" s="1">
        <v>382.36</v>
      </c>
      <c r="K465" s="11">
        <v>10</v>
      </c>
      <c r="L465" s="1">
        <v>0</v>
      </c>
      <c r="M465" s="11">
        <v>6.2</v>
      </c>
      <c r="N465" s="1">
        <v>11.96</v>
      </c>
      <c r="O465" s="11">
        <v>2.8224999999999998</v>
      </c>
      <c r="P465" s="1">
        <f t="shared" si="88"/>
        <v>3003.91</v>
      </c>
      <c r="Q465" s="1">
        <v>3106.4</v>
      </c>
      <c r="R465" s="16">
        <f t="shared" si="89"/>
        <v>2976778.8717500004</v>
      </c>
      <c r="S465" s="1">
        <v>-735.46</v>
      </c>
      <c r="T465" s="1">
        <v>35.65</v>
      </c>
      <c r="U465" s="1">
        <v>66.42</v>
      </c>
      <c r="V465" s="1">
        <v>50.65</v>
      </c>
      <c r="W465" s="1" cm="1">
        <f t="array" ref="W465">SUM(ABS(S465:V465))</f>
        <v>888.18</v>
      </c>
      <c r="X465" s="25">
        <v>1.238</v>
      </c>
      <c r="Y465" s="42">
        <f t="shared" si="90"/>
        <v>274891.70999999996</v>
      </c>
      <c r="Z465" s="20">
        <v>728.17</v>
      </c>
      <c r="AA465" s="20">
        <f t="shared" si="91"/>
        <v>1616.35</v>
      </c>
      <c r="AB465" s="21">
        <v>0.2</v>
      </c>
      <c r="AC465" s="21">
        <v>16.23</v>
      </c>
      <c r="AD465" s="8">
        <f t="shared" si="92"/>
        <v>744.6</v>
      </c>
      <c r="AE465" s="25">
        <v>1.238</v>
      </c>
      <c r="AF465" s="25">
        <f t="shared" si="93"/>
        <v>230453.7</v>
      </c>
      <c r="AG465" s="25">
        <f t="shared" si="94"/>
        <v>505345.41</v>
      </c>
      <c r="AH465" s="1">
        <f t="shared" si="84"/>
        <v>3748.5099999999998</v>
      </c>
      <c r="AI465" s="1">
        <f t="shared" si="85"/>
        <v>3851</v>
      </c>
      <c r="AJ465" s="1">
        <v>4801.05</v>
      </c>
      <c r="AK465" s="1">
        <f t="shared" si="86"/>
        <v>-1052.5400000000004</v>
      </c>
      <c r="AL465" s="29">
        <f t="shared" si="95"/>
        <v>950.05000000000018</v>
      </c>
      <c r="AM465" s="11">
        <f t="shared" si="87"/>
        <v>3482124.2817500005</v>
      </c>
    </row>
    <row r="466" spans="1:39" x14ac:dyDescent="0.3">
      <c r="A466" s="39">
        <v>45905.8125</v>
      </c>
      <c r="B466" s="1">
        <v>1474.6</v>
      </c>
      <c r="C466" s="11">
        <v>3.2732000000000001</v>
      </c>
      <c r="D466" s="1">
        <v>715.73</v>
      </c>
      <c r="E466" s="11">
        <v>3.0760000000000001</v>
      </c>
      <c r="F466" s="1">
        <v>521.16</v>
      </c>
      <c r="G466" s="11">
        <v>3.53</v>
      </c>
      <c r="H466" s="1">
        <v>-249.4</v>
      </c>
      <c r="I466" s="11">
        <v>9.9090600000000002</v>
      </c>
      <c r="J466" s="1">
        <v>505.32</v>
      </c>
      <c r="K466" s="11">
        <v>10</v>
      </c>
      <c r="L466" s="1">
        <v>0</v>
      </c>
      <c r="M466" s="11">
        <v>6.2</v>
      </c>
      <c r="N466" s="1">
        <v>11.4</v>
      </c>
      <c r="O466" s="11">
        <v>2.8224999999999998</v>
      </c>
      <c r="P466" s="1">
        <f t="shared" si="88"/>
        <v>2978.81</v>
      </c>
      <c r="Q466" s="1">
        <v>3103.56</v>
      </c>
      <c r="R466" s="16">
        <f t="shared" si="89"/>
        <v>2870499.4839999997</v>
      </c>
      <c r="S466" s="1">
        <v>-735.81</v>
      </c>
      <c r="T466" s="1">
        <v>35.64</v>
      </c>
      <c r="U466" s="1">
        <v>66.41</v>
      </c>
      <c r="V466" s="1">
        <v>50.63</v>
      </c>
      <c r="W466" s="1" cm="1">
        <f t="array" ref="W466">SUM(ABS(S466:V466))</f>
        <v>888.4899999999999</v>
      </c>
      <c r="X466" s="25">
        <v>1.238</v>
      </c>
      <c r="Y466" s="42">
        <f t="shared" si="90"/>
        <v>274987.65499999997</v>
      </c>
      <c r="Z466" s="20">
        <v>728.04000000000008</v>
      </c>
      <c r="AA466" s="20">
        <f t="shared" si="91"/>
        <v>1616.53</v>
      </c>
      <c r="AB466" s="21">
        <v>0.2</v>
      </c>
      <c r="AC466" s="21">
        <v>16.16</v>
      </c>
      <c r="AD466" s="8">
        <f t="shared" si="92"/>
        <v>744.40000000000009</v>
      </c>
      <c r="AE466" s="25">
        <v>1.238</v>
      </c>
      <c r="AF466" s="25">
        <f t="shared" si="93"/>
        <v>230391.80000000002</v>
      </c>
      <c r="AG466" s="25">
        <f t="shared" si="94"/>
        <v>505379.45499999996</v>
      </c>
      <c r="AH466" s="1">
        <f t="shared" si="84"/>
        <v>3723.21</v>
      </c>
      <c r="AI466" s="1">
        <f t="shared" si="85"/>
        <v>3847.96</v>
      </c>
      <c r="AJ466" s="1">
        <v>4796.57</v>
      </c>
      <c r="AK466" s="1">
        <f t="shared" si="86"/>
        <v>-1073.3599999999997</v>
      </c>
      <c r="AL466" s="29">
        <f t="shared" si="95"/>
        <v>948.60999999999967</v>
      </c>
      <c r="AM466" s="11">
        <f t="shared" si="87"/>
        <v>3375878.9389999998</v>
      </c>
    </row>
    <row r="467" spans="1:39" x14ac:dyDescent="0.3">
      <c r="A467" s="39">
        <v>45905.822916666664</v>
      </c>
      <c r="B467" s="1">
        <v>1474.6</v>
      </c>
      <c r="C467" s="11">
        <v>3.2732000000000001</v>
      </c>
      <c r="D467" s="1">
        <v>715.73</v>
      </c>
      <c r="E467" s="11">
        <v>3.0760000000000001</v>
      </c>
      <c r="F467" s="1">
        <v>521.16</v>
      </c>
      <c r="G467" s="11">
        <v>3.53</v>
      </c>
      <c r="H467" s="1">
        <v>-391.84</v>
      </c>
      <c r="I467" s="11">
        <v>10</v>
      </c>
      <c r="J467" s="1">
        <v>542.22</v>
      </c>
      <c r="K467" s="11">
        <v>10</v>
      </c>
      <c r="L467" s="1">
        <v>0</v>
      </c>
      <c r="M467" s="11">
        <v>6.2</v>
      </c>
      <c r="N467" s="1">
        <v>11.96</v>
      </c>
      <c r="O467" s="11">
        <v>2.8224999999999998</v>
      </c>
      <c r="P467" s="1">
        <f t="shared" si="88"/>
        <v>2873.83</v>
      </c>
      <c r="Q467" s="1">
        <v>3108.7</v>
      </c>
      <c r="R467" s="16">
        <f t="shared" si="89"/>
        <v>2601374.5250000004</v>
      </c>
      <c r="S467" s="1">
        <v>-732.95</v>
      </c>
      <c r="T467" s="1">
        <v>35.65</v>
      </c>
      <c r="U467" s="1">
        <v>66.400000000000006</v>
      </c>
      <c r="V467" s="1">
        <v>50.6</v>
      </c>
      <c r="W467" s="1" cm="1">
        <f t="array" ref="W467">SUM(ABS(S467:V467))</f>
        <v>885.6</v>
      </c>
      <c r="X467" s="25">
        <v>1.238</v>
      </c>
      <c r="Y467" s="42">
        <f t="shared" si="90"/>
        <v>274093.2</v>
      </c>
      <c r="Z467" s="20">
        <v>725.69</v>
      </c>
      <c r="AA467" s="20">
        <f t="shared" si="91"/>
        <v>1611.29</v>
      </c>
      <c r="AB467" s="21">
        <v>0.2</v>
      </c>
      <c r="AC467" s="21">
        <v>16.119999999999997</v>
      </c>
      <c r="AD467" s="8">
        <f t="shared" si="92"/>
        <v>742.0100000000001</v>
      </c>
      <c r="AE467" s="25">
        <v>1.238</v>
      </c>
      <c r="AF467" s="25">
        <f t="shared" si="93"/>
        <v>229652.09500000003</v>
      </c>
      <c r="AG467" s="25">
        <f t="shared" si="94"/>
        <v>503745.29500000004</v>
      </c>
      <c r="AH467" s="1">
        <f t="shared" si="84"/>
        <v>3615.84</v>
      </c>
      <c r="AI467" s="1">
        <f t="shared" si="85"/>
        <v>3850.71</v>
      </c>
      <c r="AJ467" s="1">
        <v>4795.8500000000004</v>
      </c>
      <c r="AK467" s="1">
        <f t="shared" si="86"/>
        <v>-1180.0100000000002</v>
      </c>
      <c r="AL467" s="29">
        <f t="shared" si="95"/>
        <v>945.14000000000033</v>
      </c>
      <c r="AM467" s="11">
        <f t="shared" si="87"/>
        <v>3105119.8200000003</v>
      </c>
    </row>
    <row r="468" spans="1:39" x14ac:dyDescent="0.3">
      <c r="A468" s="39">
        <v>45905.833333333336</v>
      </c>
      <c r="B468" s="1">
        <v>1475.21</v>
      </c>
      <c r="C468" s="11">
        <v>3.2732000000000001</v>
      </c>
      <c r="D468" s="1">
        <v>715.73</v>
      </c>
      <c r="E468" s="11">
        <v>3.0760000000000001</v>
      </c>
      <c r="F468" s="1">
        <v>521.16</v>
      </c>
      <c r="G468" s="11">
        <v>3.53</v>
      </c>
      <c r="H468" s="1">
        <v>-385.53</v>
      </c>
      <c r="I468" s="11">
        <v>9.9098799999999994</v>
      </c>
      <c r="J468" s="1">
        <v>906.37</v>
      </c>
      <c r="K468" s="11">
        <v>10</v>
      </c>
      <c r="L468" s="1">
        <v>0</v>
      </c>
      <c r="M468" s="11">
        <v>6.2</v>
      </c>
      <c r="N468" s="1">
        <v>12.28</v>
      </c>
      <c r="O468" s="11">
        <v>2.8224999999999998</v>
      </c>
      <c r="P468" s="1">
        <f t="shared" si="88"/>
        <v>3245.22</v>
      </c>
      <c r="Q468" s="1">
        <v>3184.01</v>
      </c>
      <c r="R468" s="16">
        <f t="shared" si="89"/>
        <v>3536935.4789000005</v>
      </c>
      <c r="S468" s="1">
        <v>-663.79</v>
      </c>
      <c r="T468" s="1">
        <v>35.68</v>
      </c>
      <c r="U468" s="1">
        <v>66.38</v>
      </c>
      <c r="V468" s="1">
        <v>50.59</v>
      </c>
      <c r="W468" s="1" cm="1">
        <f t="array" ref="W468">SUM(ABS(S468:V468))</f>
        <v>816.43999999999994</v>
      </c>
      <c r="X468" s="25">
        <v>1.238</v>
      </c>
      <c r="Y468" s="42">
        <f t="shared" si="90"/>
        <v>252688.18</v>
      </c>
      <c r="Z468" s="20">
        <v>706.35</v>
      </c>
      <c r="AA468" s="20">
        <f t="shared" si="91"/>
        <v>1522.79</v>
      </c>
      <c r="AB468" s="21">
        <v>0.19</v>
      </c>
      <c r="AC468" s="21">
        <v>14.350000000000001</v>
      </c>
      <c r="AD468" s="8">
        <f t="shared" si="92"/>
        <v>720.8900000000001</v>
      </c>
      <c r="AE468" s="25">
        <v>1.238</v>
      </c>
      <c r="AF468" s="25">
        <f t="shared" si="93"/>
        <v>223115.45500000002</v>
      </c>
      <c r="AG468" s="25">
        <f t="shared" si="94"/>
        <v>475803.63500000001</v>
      </c>
      <c r="AH468" s="1">
        <f t="shared" si="84"/>
        <v>3966.1099999999997</v>
      </c>
      <c r="AI468" s="1">
        <f t="shared" si="85"/>
        <v>3904.9000000000005</v>
      </c>
      <c r="AJ468" s="1">
        <v>4782.41</v>
      </c>
      <c r="AK468" s="1">
        <f t="shared" si="86"/>
        <v>-816.30000000000018</v>
      </c>
      <c r="AL468" s="29">
        <f t="shared" si="95"/>
        <v>877.50999999999931</v>
      </c>
      <c r="AM468" s="11">
        <f t="shared" si="87"/>
        <v>4012739.1139000002</v>
      </c>
    </row>
    <row r="469" spans="1:39" x14ac:dyDescent="0.3">
      <c r="A469" s="39">
        <v>45905.84375</v>
      </c>
      <c r="B469" s="1">
        <v>1475.27</v>
      </c>
      <c r="C469" s="11">
        <v>3.2732000000000001</v>
      </c>
      <c r="D469" s="1">
        <v>715.73</v>
      </c>
      <c r="E469" s="11">
        <v>3.0760000000000001</v>
      </c>
      <c r="F469" s="1">
        <v>521.16</v>
      </c>
      <c r="G469" s="11">
        <v>3.53</v>
      </c>
      <c r="H469" s="1">
        <v>-400.67</v>
      </c>
      <c r="I469" s="11">
        <v>9.9992199999999993</v>
      </c>
      <c r="J469" s="1">
        <v>930.12</v>
      </c>
      <c r="K469" s="11">
        <v>10</v>
      </c>
      <c r="L469" s="1">
        <v>0</v>
      </c>
      <c r="M469" s="11">
        <v>6.2</v>
      </c>
      <c r="N469" s="1">
        <v>12.86</v>
      </c>
      <c r="O469" s="11">
        <v>2.8224999999999998</v>
      </c>
      <c r="P469" s="1">
        <f t="shared" si="88"/>
        <v>3254.47</v>
      </c>
      <c r="Q469" s="1">
        <v>3259.03</v>
      </c>
      <c r="R469" s="16">
        <f t="shared" si="89"/>
        <v>3550310.9791500005</v>
      </c>
      <c r="S469" s="1">
        <v>-595.69000000000005</v>
      </c>
      <c r="T469" s="1">
        <v>35.71</v>
      </c>
      <c r="U469" s="1">
        <v>66.36</v>
      </c>
      <c r="V469" s="1">
        <v>50.61</v>
      </c>
      <c r="W469" s="1" cm="1">
        <f t="array" ref="W469">SUM(ABS(S469:V469))</f>
        <v>748.37000000000012</v>
      </c>
      <c r="X469" s="25">
        <v>1.238</v>
      </c>
      <c r="Y469" s="42">
        <f t="shared" si="90"/>
        <v>231620.51500000004</v>
      </c>
      <c r="Z469" s="20">
        <v>707.06000000000006</v>
      </c>
      <c r="AA469" s="20">
        <f t="shared" si="91"/>
        <v>1455.4300000000003</v>
      </c>
      <c r="AB469" s="21">
        <v>0.19</v>
      </c>
      <c r="AC469" s="21">
        <v>12.32</v>
      </c>
      <c r="AD469" s="8">
        <f t="shared" si="92"/>
        <v>719.57000000000016</v>
      </c>
      <c r="AE469" s="25">
        <v>1.238</v>
      </c>
      <c r="AF469" s="25">
        <f t="shared" si="93"/>
        <v>222706.91500000004</v>
      </c>
      <c r="AG469" s="25">
        <f t="shared" si="94"/>
        <v>454327.43000000005</v>
      </c>
      <c r="AH469" s="1">
        <f t="shared" si="84"/>
        <v>3974.04</v>
      </c>
      <c r="AI469" s="1">
        <f t="shared" si="85"/>
        <v>3978.6000000000004</v>
      </c>
      <c r="AJ469" s="1">
        <v>4786.1000000000004</v>
      </c>
      <c r="AK469" s="1">
        <f t="shared" si="86"/>
        <v>-812.0600000000004</v>
      </c>
      <c r="AL469" s="29">
        <f t="shared" si="95"/>
        <v>807.5</v>
      </c>
      <c r="AM469" s="11">
        <f t="shared" si="87"/>
        <v>4004638.4091500007</v>
      </c>
    </row>
    <row r="470" spans="1:39" x14ac:dyDescent="0.3">
      <c r="A470" s="39">
        <v>45905.854166666664</v>
      </c>
      <c r="B470" s="1">
        <v>1475.27</v>
      </c>
      <c r="C470" s="11">
        <v>3.2732000000000001</v>
      </c>
      <c r="D470" s="1">
        <v>722.91</v>
      </c>
      <c r="E470" s="11">
        <v>3.0760000000000001</v>
      </c>
      <c r="F470" s="1">
        <v>521.16</v>
      </c>
      <c r="G470" s="11">
        <v>3.53</v>
      </c>
      <c r="H470" s="1">
        <v>-401.9</v>
      </c>
      <c r="I470" s="11">
        <v>10</v>
      </c>
      <c r="J470" s="1">
        <v>599.70000000000005</v>
      </c>
      <c r="K470" s="11">
        <v>10</v>
      </c>
      <c r="L470" s="1">
        <v>0</v>
      </c>
      <c r="M470" s="11">
        <v>6.2</v>
      </c>
      <c r="N470" s="1">
        <v>12.9</v>
      </c>
      <c r="O470" s="11">
        <v>2.8224999999999998</v>
      </c>
      <c r="P470" s="1">
        <f t="shared" si="88"/>
        <v>2930.0399999999995</v>
      </c>
      <c r="Q470" s="1">
        <v>3109.04</v>
      </c>
      <c r="R470" s="16">
        <f t="shared" si="89"/>
        <v>2726657.4935000003</v>
      </c>
      <c r="S470" s="1">
        <v>-720.1</v>
      </c>
      <c r="T470" s="1">
        <v>35.729999999999997</v>
      </c>
      <c r="U470" s="1">
        <v>66.38</v>
      </c>
      <c r="V470" s="1">
        <v>50.6</v>
      </c>
      <c r="W470" s="1" cm="1">
        <f t="array" ref="W470">SUM(ABS(S470:V470))</f>
        <v>872.81000000000006</v>
      </c>
      <c r="X470" s="25">
        <v>1.238</v>
      </c>
      <c r="Y470" s="42">
        <f t="shared" si="90"/>
        <v>270134.69500000001</v>
      </c>
      <c r="Z470" s="20">
        <v>724.55000000000018</v>
      </c>
      <c r="AA470" s="20">
        <f t="shared" si="91"/>
        <v>1597.3600000000001</v>
      </c>
      <c r="AB470" s="21">
        <v>0.19</v>
      </c>
      <c r="AC470" s="21">
        <v>11.5</v>
      </c>
      <c r="AD470" s="8">
        <f t="shared" si="92"/>
        <v>736.24000000000024</v>
      </c>
      <c r="AE470" s="25">
        <v>1.238</v>
      </c>
      <c r="AF470" s="25">
        <f t="shared" si="93"/>
        <v>227866.28000000009</v>
      </c>
      <c r="AG470" s="25">
        <f t="shared" si="94"/>
        <v>498000.97500000009</v>
      </c>
      <c r="AH470" s="1">
        <f t="shared" si="84"/>
        <v>3666.2799999999997</v>
      </c>
      <c r="AI470" s="1">
        <f t="shared" si="85"/>
        <v>3845.28</v>
      </c>
      <c r="AJ470" s="1">
        <v>4774.71</v>
      </c>
      <c r="AK470" s="1">
        <f t="shared" si="86"/>
        <v>-1108.4300000000003</v>
      </c>
      <c r="AL470" s="29">
        <f t="shared" si="95"/>
        <v>929.42999999999984</v>
      </c>
      <c r="AM470" s="11">
        <f t="shared" si="87"/>
        <v>3224658.4685000004</v>
      </c>
    </row>
    <row r="471" spans="1:39" x14ac:dyDescent="0.3">
      <c r="A471" s="39">
        <v>45905.864583333336</v>
      </c>
      <c r="B471" s="1">
        <v>1475.27</v>
      </c>
      <c r="C471" s="11">
        <v>3.2732000000000001</v>
      </c>
      <c r="D471" s="1">
        <v>729.74</v>
      </c>
      <c r="E471" s="11">
        <v>3.0760000000000001</v>
      </c>
      <c r="F471" s="1">
        <v>521.16</v>
      </c>
      <c r="G471" s="11">
        <v>3.53</v>
      </c>
      <c r="H471" s="1">
        <v>-401.9</v>
      </c>
      <c r="I471" s="11">
        <v>10</v>
      </c>
      <c r="J471" s="1">
        <v>615.57000000000005</v>
      </c>
      <c r="K471" s="11">
        <v>10</v>
      </c>
      <c r="L471" s="1">
        <v>0</v>
      </c>
      <c r="M471" s="11">
        <v>6.2</v>
      </c>
      <c r="N471" s="1">
        <v>13.18</v>
      </c>
      <c r="O471" s="11">
        <v>2.8224999999999998</v>
      </c>
      <c r="P471" s="1">
        <f t="shared" si="88"/>
        <v>2953.02</v>
      </c>
      <c r="Q471" s="1">
        <v>3071.99</v>
      </c>
      <c r="R471" s="16">
        <f t="shared" si="89"/>
        <v>2771782.3385000001</v>
      </c>
      <c r="S471" s="1">
        <v>-735.7</v>
      </c>
      <c r="T471" s="1">
        <v>35.75</v>
      </c>
      <c r="U471" s="1">
        <v>66.38</v>
      </c>
      <c r="V471" s="1">
        <v>50.61</v>
      </c>
      <c r="W471" s="1" cm="1">
        <f t="array" ref="W471">SUM(ABS(S471:V471))</f>
        <v>888.44</v>
      </c>
      <c r="X471" s="25">
        <v>1.238</v>
      </c>
      <c r="Y471" s="42">
        <f t="shared" si="90"/>
        <v>274972.18000000005</v>
      </c>
      <c r="Z471" s="20">
        <v>726.43999999999994</v>
      </c>
      <c r="AA471" s="20">
        <f t="shared" si="91"/>
        <v>1614.88</v>
      </c>
      <c r="AB471" s="21">
        <v>0.19</v>
      </c>
      <c r="AC471" s="21">
        <v>12.64</v>
      </c>
      <c r="AD471" s="8">
        <f t="shared" si="92"/>
        <v>739.27</v>
      </c>
      <c r="AE471" s="25">
        <v>1.238</v>
      </c>
      <c r="AF471" s="25">
        <f t="shared" si="93"/>
        <v>228804.06499999997</v>
      </c>
      <c r="AG471" s="25">
        <f t="shared" si="94"/>
        <v>503776.245</v>
      </c>
      <c r="AH471" s="1">
        <f t="shared" si="84"/>
        <v>3692.29</v>
      </c>
      <c r="AI471" s="1">
        <f t="shared" si="85"/>
        <v>3811.2599999999998</v>
      </c>
      <c r="AJ471" s="1">
        <v>4761.38</v>
      </c>
      <c r="AK471" s="1">
        <f t="shared" si="86"/>
        <v>-1069.0900000000001</v>
      </c>
      <c r="AL471" s="29">
        <f t="shared" si="95"/>
        <v>950.12000000000035</v>
      </c>
      <c r="AM471" s="11">
        <f t="shared" si="87"/>
        <v>3275558.5835000002</v>
      </c>
    </row>
    <row r="472" spans="1:39" x14ac:dyDescent="0.3">
      <c r="A472" s="39">
        <v>45905.875</v>
      </c>
      <c r="B472" s="1">
        <v>1475.27</v>
      </c>
      <c r="C472" s="11">
        <v>3.2732000000000001</v>
      </c>
      <c r="D472" s="1">
        <v>736.5</v>
      </c>
      <c r="E472" s="11">
        <v>3.0760000000000001</v>
      </c>
      <c r="F472" s="1">
        <v>521.16</v>
      </c>
      <c r="G472" s="11">
        <v>3.53</v>
      </c>
      <c r="H472" s="1">
        <v>-401.9</v>
      </c>
      <c r="I472" s="11">
        <v>10</v>
      </c>
      <c r="J472" s="1">
        <v>758.79</v>
      </c>
      <c r="K472" s="11">
        <v>9.9900500000000001</v>
      </c>
      <c r="L472" s="1">
        <v>0</v>
      </c>
      <c r="M472" s="11">
        <v>6.2</v>
      </c>
      <c r="N472" s="1">
        <v>13.2</v>
      </c>
      <c r="O472" s="11">
        <v>2.8224999999999998</v>
      </c>
      <c r="P472" s="1">
        <f t="shared" si="88"/>
        <v>3103.0199999999995</v>
      </c>
      <c r="Q472" s="1">
        <v>3109.8</v>
      </c>
      <c r="R472" s="16">
        <f t="shared" si="89"/>
        <v>3133157.4008749998</v>
      </c>
      <c r="S472" s="1">
        <v>-729.34</v>
      </c>
      <c r="T472" s="1">
        <v>35.76</v>
      </c>
      <c r="U472" s="1">
        <v>66.36</v>
      </c>
      <c r="V472" s="1">
        <v>50.57</v>
      </c>
      <c r="W472" s="1" cm="1">
        <f t="array" ref="W472">SUM(ABS(S472:V472))</f>
        <v>882.03000000000009</v>
      </c>
      <c r="X472" s="25">
        <v>1.238</v>
      </c>
      <c r="Y472" s="42">
        <f t="shared" si="90"/>
        <v>272988.28500000003</v>
      </c>
      <c r="Z472" s="20">
        <v>721.32</v>
      </c>
      <c r="AA472" s="20">
        <f t="shared" si="91"/>
        <v>1603.3500000000001</v>
      </c>
      <c r="AB472" s="21">
        <v>0.19</v>
      </c>
      <c r="AC472" s="21">
        <v>11.930000000000001</v>
      </c>
      <c r="AD472" s="8">
        <f t="shared" si="92"/>
        <v>733.44</v>
      </c>
      <c r="AE472" s="25">
        <v>1.238</v>
      </c>
      <c r="AF472" s="25">
        <f t="shared" si="93"/>
        <v>226999.68000000002</v>
      </c>
      <c r="AG472" s="25">
        <f t="shared" si="94"/>
        <v>499987.96500000008</v>
      </c>
      <c r="AH472" s="1">
        <f t="shared" si="84"/>
        <v>3836.4599999999996</v>
      </c>
      <c r="AI472" s="1">
        <f t="shared" si="85"/>
        <v>3843.2400000000002</v>
      </c>
      <c r="AJ472" s="1">
        <v>4788.84</v>
      </c>
      <c r="AK472" s="1">
        <f t="shared" si="86"/>
        <v>-952.38000000000056</v>
      </c>
      <c r="AL472" s="29">
        <f t="shared" si="95"/>
        <v>945.59999999999991</v>
      </c>
      <c r="AM472" s="11">
        <f t="shared" si="87"/>
        <v>3633145.3658750001</v>
      </c>
    </row>
    <row r="473" spans="1:39" x14ac:dyDescent="0.3">
      <c r="A473" s="39">
        <v>45905.885416666664</v>
      </c>
      <c r="B473" s="1">
        <v>1475.27</v>
      </c>
      <c r="C473" s="11">
        <v>3.2732000000000001</v>
      </c>
      <c r="D473" s="1">
        <v>743.26</v>
      </c>
      <c r="E473" s="11">
        <v>3.0760000000000001</v>
      </c>
      <c r="F473" s="1">
        <v>521.16</v>
      </c>
      <c r="G473" s="11">
        <v>3.53</v>
      </c>
      <c r="H473" s="1">
        <v>-401.9</v>
      </c>
      <c r="I473" s="11">
        <v>10</v>
      </c>
      <c r="J473" s="1">
        <v>813.59</v>
      </c>
      <c r="K473" s="11">
        <v>6.1860400000000002</v>
      </c>
      <c r="L473" s="1">
        <v>0</v>
      </c>
      <c r="M473" s="11">
        <v>6.2</v>
      </c>
      <c r="N473" s="1">
        <v>13.48</v>
      </c>
      <c r="O473" s="11">
        <v>2.8224999999999998</v>
      </c>
      <c r="P473" s="1">
        <f t="shared" si="88"/>
        <v>3164.8599999999997</v>
      </c>
      <c r="Q473" s="1">
        <v>3147.38</v>
      </c>
      <c r="R473" s="16">
        <f t="shared" si="89"/>
        <v>2501690.9769000001</v>
      </c>
      <c r="S473" s="1">
        <v>-733.39</v>
      </c>
      <c r="T473" s="1">
        <v>35.76</v>
      </c>
      <c r="U473" s="1">
        <v>66.37</v>
      </c>
      <c r="V473" s="1">
        <v>50.59</v>
      </c>
      <c r="W473" s="1" cm="1">
        <f t="array" ref="W473">SUM(ABS(S473:V473))</f>
        <v>886.11</v>
      </c>
      <c r="X473" s="25">
        <v>1.238</v>
      </c>
      <c r="Y473" s="42">
        <f t="shared" si="90"/>
        <v>274251.04499999998</v>
      </c>
      <c r="Z473" s="20">
        <v>723.79000000000008</v>
      </c>
      <c r="AA473" s="20">
        <f t="shared" si="91"/>
        <v>1609.9</v>
      </c>
      <c r="AB473" s="21">
        <v>0.19</v>
      </c>
      <c r="AC473" s="21">
        <v>12.809999999999999</v>
      </c>
      <c r="AD473" s="8">
        <f t="shared" si="92"/>
        <v>736.79000000000008</v>
      </c>
      <c r="AE473" s="25">
        <v>1.238</v>
      </c>
      <c r="AF473" s="25">
        <f t="shared" si="93"/>
        <v>228036.50500000003</v>
      </c>
      <c r="AG473" s="25">
        <f t="shared" si="94"/>
        <v>502287.55000000005</v>
      </c>
      <c r="AH473" s="1">
        <f t="shared" si="84"/>
        <v>3901.6499999999996</v>
      </c>
      <c r="AI473" s="1">
        <f t="shared" si="85"/>
        <v>3884.17</v>
      </c>
      <c r="AJ473" s="1">
        <v>4828.47</v>
      </c>
      <c r="AK473" s="1">
        <f t="shared" si="86"/>
        <v>-926.82000000000062</v>
      </c>
      <c r="AL473" s="29">
        <f t="shared" si="95"/>
        <v>944.30000000000018</v>
      </c>
      <c r="AM473" s="11">
        <f t="shared" si="87"/>
        <v>3003978.5268999999</v>
      </c>
    </row>
    <row r="474" spans="1:39" x14ac:dyDescent="0.3">
      <c r="A474" s="39">
        <v>45905.895833333336</v>
      </c>
      <c r="B474" s="1">
        <v>1474.82</v>
      </c>
      <c r="C474" s="11">
        <v>3.2732000000000001</v>
      </c>
      <c r="D474" s="1">
        <v>750.02</v>
      </c>
      <c r="E474" s="11">
        <v>3.0760000000000001</v>
      </c>
      <c r="F474" s="1">
        <v>521.16</v>
      </c>
      <c r="G474" s="11">
        <v>3.53</v>
      </c>
      <c r="H474" s="1">
        <v>-401.9</v>
      </c>
      <c r="I474" s="11">
        <v>10</v>
      </c>
      <c r="J474" s="1">
        <v>754.36</v>
      </c>
      <c r="K474" s="11">
        <v>10</v>
      </c>
      <c r="L474" s="1">
        <v>0</v>
      </c>
      <c r="M474" s="11">
        <v>6.2</v>
      </c>
      <c r="N474" s="1">
        <v>13.78</v>
      </c>
      <c r="O474" s="11">
        <v>2.8224999999999998</v>
      </c>
      <c r="P474" s="1">
        <f t="shared" si="88"/>
        <v>3112.2400000000002</v>
      </c>
      <c r="Q474" s="1">
        <v>3200.68</v>
      </c>
      <c r="R474" s="16">
        <f t="shared" si="89"/>
        <v>3134407.7985000005</v>
      </c>
      <c r="S474" s="1">
        <v>-733.29</v>
      </c>
      <c r="T474" s="1">
        <v>35.770000000000003</v>
      </c>
      <c r="U474" s="1">
        <v>66.37</v>
      </c>
      <c r="V474" s="1">
        <v>50.58</v>
      </c>
      <c r="W474" s="1" cm="1">
        <f t="array" ref="W474">SUM(ABS(S474:V474))</f>
        <v>886.01</v>
      </c>
      <c r="X474" s="25">
        <v>1.238</v>
      </c>
      <c r="Y474" s="42">
        <f t="shared" si="90"/>
        <v>274220.09500000003</v>
      </c>
      <c r="Z474" s="20">
        <v>723.87</v>
      </c>
      <c r="AA474" s="20">
        <f t="shared" si="91"/>
        <v>1609.88</v>
      </c>
      <c r="AB474" s="21">
        <v>0.19</v>
      </c>
      <c r="AC474" s="21">
        <v>13.169999999999998</v>
      </c>
      <c r="AD474" s="8">
        <f t="shared" si="92"/>
        <v>737.23</v>
      </c>
      <c r="AE474" s="25">
        <v>1.238</v>
      </c>
      <c r="AF474" s="25">
        <f t="shared" si="93"/>
        <v>228172.685</v>
      </c>
      <c r="AG474" s="25">
        <f t="shared" si="94"/>
        <v>502392.78</v>
      </c>
      <c r="AH474" s="1">
        <f t="shared" si="84"/>
        <v>3849.4700000000003</v>
      </c>
      <c r="AI474" s="1">
        <f t="shared" si="85"/>
        <v>3937.91</v>
      </c>
      <c r="AJ474" s="1">
        <v>4898.8</v>
      </c>
      <c r="AK474" s="1">
        <f t="shared" si="86"/>
        <v>-1049.33</v>
      </c>
      <c r="AL474" s="29">
        <f t="shared" si="95"/>
        <v>960.89000000000033</v>
      </c>
      <c r="AM474" s="11">
        <f t="shared" si="87"/>
        <v>3636800.5785000008</v>
      </c>
    </row>
    <row r="475" spans="1:39" x14ac:dyDescent="0.3">
      <c r="A475" s="39">
        <v>45905.90625</v>
      </c>
      <c r="B475" s="1">
        <v>1475.07</v>
      </c>
      <c r="C475" s="11">
        <v>3.2732000000000001</v>
      </c>
      <c r="D475" s="1">
        <v>756.78</v>
      </c>
      <c r="E475" s="11">
        <v>3.0760000000000001</v>
      </c>
      <c r="F475" s="1">
        <v>521.16</v>
      </c>
      <c r="G475" s="11">
        <v>3.53</v>
      </c>
      <c r="H475" s="1">
        <v>-401.9</v>
      </c>
      <c r="I475" s="11">
        <v>10</v>
      </c>
      <c r="J475" s="1">
        <v>719.05</v>
      </c>
      <c r="K475" s="11">
        <v>10</v>
      </c>
      <c r="L475" s="1">
        <v>0</v>
      </c>
      <c r="M475" s="11">
        <v>6.2</v>
      </c>
      <c r="N475" s="1">
        <v>14.08</v>
      </c>
      <c r="O475" s="11">
        <v>2.8224999999999998</v>
      </c>
      <c r="P475" s="1">
        <f t="shared" si="88"/>
        <v>3084.24</v>
      </c>
      <c r="Q475" s="1">
        <v>3262.3</v>
      </c>
      <c r="R475" s="16">
        <f t="shared" si="89"/>
        <v>3051747.5009999997</v>
      </c>
      <c r="S475" s="1">
        <v>-734.72</v>
      </c>
      <c r="T475" s="1">
        <v>35.78</v>
      </c>
      <c r="U475" s="1">
        <v>66.349999999999994</v>
      </c>
      <c r="V475" s="1">
        <v>50.59</v>
      </c>
      <c r="W475" s="1" cm="1">
        <f t="array" ref="W475">SUM(ABS(S475:V475))</f>
        <v>887.44</v>
      </c>
      <c r="X475" s="25">
        <v>1.238</v>
      </c>
      <c r="Y475" s="42">
        <f t="shared" si="90"/>
        <v>274662.68000000005</v>
      </c>
      <c r="Z475" s="20">
        <v>725.25</v>
      </c>
      <c r="AA475" s="20">
        <f t="shared" si="91"/>
        <v>1612.69</v>
      </c>
      <c r="AB475" s="21">
        <v>0.19</v>
      </c>
      <c r="AC475" s="21">
        <v>13.65</v>
      </c>
      <c r="AD475" s="8">
        <f t="shared" si="92"/>
        <v>739.09</v>
      </c>
      <c r="AE475" s="25">
        <v>1.238</v>
      </c>
      <c r="AF475" s="25">
        <f t="shared" si="93"/>
        <v>228748.35500000001</v>
      </c>
      <c r="AG475" s="25">
        <f t="shared" si="94"/>
        <v>503411.03500000003</v>
      </c>
      <c r="AH475" s="1">
        <f t="shared" si="84"/>
        <v>3823.33</v>
      </c>
      <c r="AI475" s="1">
        <f t="shared" si="85"/>
        <v>4001.3900000000003</v>
      </c>
      <c r="AJ475" s="1">
        <v>4968.87</v>
      </c>
      <c r="AK475" s="1">
        <f t="shared" si="86"/>
        <v>-1145.54</v>
      </c>
      <c r="AL475" s="29">
        <f t="shared" si="95"/>
        <v>967.47999999999956</v>
      </c>
      <c r="AM475" s="11">
        <f t="shared" si="87"/>
        <v>3555158.5359999998</v>
      </c>
    </row>
    <row r="476" spans="1:39" x14ac:dyDescent="0.3">
      <c r="A476" s="39">
        <v>45905.916666666664</v>
      </c>
      <c r="B476" s="1">
        <v>1476.84</v>
      </c>
      <c r="C476" s="11">
        <v>3.2732000000000001</v>
      </c>
      <c r="D476" s="1">
        <v>757.25</v>
      </c>
      <c r="E476" s="11">
        <v>3.0760000000000001</v>
      </c>
      <c r="F476" s="1">
        <v>521.16</v>
      </c>
      <c r="G476" s="11">
        <v>3.53</v>
      </c>
      <c r="H476" s="1">
        <v>-401.9</v>
      </c>
      <c r="I476" s="11">
        <v>10</v>
      </c>
      <c r="J476" s="1">
        <v>848.51</v>
      </c>
      <c r="K476" s="11">
        <v>10</v>
      </c>
      <c r="L476" s="1">
        <v>0</v>
      </c>
      <c r="M476" s="11">
        <v>6.2</v>
      </c>
      <c r="N476" s="1">
        <v>14.1</v>
      </c>
      <c r="O476" s="11">
        <v>2.8224999999999998</v>
      </c>
      <c r="P476" s="1">
        <f t="shared" si="88"/>
        <v>3215.9599999999996</v>
      </c>
      <c r="Q476" s="1">
        <v>3335.83</v>
      </c>
      <c r="R476" s="16">
        <f t="shared" si="89"/>
        <v>3377221.4345</v>
      </c>
      <c r="S476" s="1">
        <v>-735.02</v>
      </c>
      <c r="T476" s="1">
        <v>35.79</v>
      </c>
      <c r="U476" s="1">
        <v>66.38</v>
      </c>
      <c r="V476" s="1">
        <v>50.63</v>
      </c>
      <c r="W476" s="1" cm="1">
        <f t="array" ref="W476">SUM(ABS(S476:V476))</f>
        <v>887.81999999999994</v>
      </c>
      <c r="X476" s="25">
        <v>1.238</v>
      </c>
      <c r="Y476" s="42">
        <f t="shared" si="90"/>
        <v>274780.28999999998</v>
      </c>
      <c r="Z476" s="20">
        <v>727</v>
      </c>
      <c r="AA476" s="20">
        <f t="shared" si="91"/>
        <v>1614.82</v>
      </c>
      <c r="AB476" s="21">
        <v>0.19</v>
      </c>
      <c r="AC476" s="21">
        <v>14.59</v>
      </c>
      <c r="AD476" s="8">
        <f t="shared" si="92"/>
        <v>741.78000000000009</v>
      </c>
      <c r="AE476" s="25">
        <v>1.238</v>
      </c>
      <c r="AF476" s="25">
        <f t="shared" si="93"/>
        <v>229580.91</v>
      </c>
      <c r="AG476" s="25">
        <f t="shared" si="94"/>
        <v>504361.19999999995</v>
      </c>
      <c r="AH476" s="1">
        <f t="shared" si="84"/>
        <v>3957.74</v>
      </c>
      <c r="AI476" s="1">
        <f t="shared" si="85"/>
        <v>4077.61</v>
      </c>
      <c r="AJ476" s="1">
        <v>5051.87</v>
      </c>
      <c r="AK476" s="1">
        <f t="shared" si="86"/>
        <v>-1094.1300000000001</v>
      </c>
      <c r="AL476" s="29">
        <f t="shared" si="95"/>
        <v>974.25999999999976</v>
      </c>
      <c r="AM476" s="11">
        <f t="shared" si="87"/>
        <v>3881582.6344999997</v>
      </c>
    </row>
    <row r="477" spans="1:39" x14ac:dyDescent="0.3">
      <c r="A477" s="39">
        <v>45905.927083333336</v>
      </c>
      <c r="B477" s="1">
        <v>1477.23</v>
      </c>
      <c r="C477" s="11">
        <v>3.2732000000000001</v>
      </c>
      <c r="D477" s="1">
        <v>757.25</v>
      </c>
      <c r="E477" s="11">
        <v>3.0760000000000001</v>
      </c>
      <c r="F477" s="1">
        <v>521.16</v>
      </c>
      <c r="G477" s="11">
        <v>3.53</v>
      </c>
      <c r="H477" s="1">
        <v>-401.9</v>
      </c>
      <c r="I477" s="11">
        <v>10</v>
      </c>
      <c r="J477" s="1">
        <v>942.82</v>
      </c>
      <c r="K477" s="11">
        <v>10</v>
      </c>
      <c r="L477" s="1">
        <v>0</v>
      </c>
      <c r="M477" s="11">
        <v>6.2</v>
      </c>
      <c r="N477" s="1">
        <v>14.65</v>
      </c>
      <c r="O477" s="11">
        <v>2.8224999999999998</v>
      </c>
      <c r="P477" s="1">
        <f t="shared" si="88"/>
        <v>3311.21</v>
      </c>
      <c r="Q477" s="1">
        <v>3439.59</v>
      </c>
      <c r="R477" s="16">
        <f t="shared" si="89"/>
        <v>3613703.6652500001</v>
      </c>
      <c r="S477" s="1">
        <v>-735.22</v>
      </c>
      <c r="T477" s="1">
        <v>35.81</v>
      </c>
      <c r="U477" s="1">
        <v>66.36</v>
      </c>
      <c r="V477" s="1">
        <v>50.63</v>
      </c>
      <c r="W477" s="1" cm="1">
        <f t="array" ref="W477">SUM(ABS(S477:V477))</f>
        <v>888.02</v>
      </c>
      <c r="X477" s="25">
        <v>1.238</v>
      </c>
      <c r="Y477" s="42">
        <f t="shared" si="90"/>
        <v>274842.19</v>
      </c>
      <c r="Z477" s="20">
        <v>726.56000000000017</v>
      </c>
      <c r="AA477" s="20">
        <f t="shared" si="91"/>
        <v>1614.5800000000002</v>
      </c>
      <c r="AB477" s="21">
        <v>0.22000000000000003</v>
      </c>
      <c r="AC477" s="21">
        <v>14.49</v>
      </c>
      <c r="AD477" s="8">
        <f t="shared" si="92"/>
        <v>741.27000000000021</v>
      </c>
      <c r="AE477" s="25">
        <v>1.238</v>
      </c>
      <c r="AF477" s="25">
        <f t="shared" si="93"/>
        <v>229423.06500000006</v>
      </c>
      <c r="AG477" s="25">
        <f t="shared" si="94"/>
        <v>504265.25500000006</v>
      </c>
      <c r="AH477" s="1">
        <f t="shared" si="84"/>
        <v>4052.4800000000005</v>
      </c>
      <c r="AI477" s="1">
        <f t="shared" si="85"/>
        <v>4180.8600000000006</v>
      </c>
      <c r="AJ477" s="1">
        <v>5155.7</v>
      </c>
      <c r="AK477" s="1">
        <f t="shared" si="86"/>
        <v>-1103.2199999999993</v>
      </c>
      <c r="AL477" s="29">
        <f t="shared" si="95"/>
        <v>974.83999999999924</v>
      </c>
      <c r="AM477" s="11">
        <f t="shared" si="87"/>
        <v>4117968.92025</v>
      </c>
    </row>
    <row r="478" spans="1:39" x14ac:dyDescent="0.3">
      <c r="A478" s="39">
        <v>45905.9375</v>
      </c>
      <c r="B478" s="1">
        <v>1478.32</v>
      </c>
      <c r="C478" s="11">
        <v>3.2732000000000001</v>
      </c>
      <c r="D478" s="1">
        <v>757.25</v>
      </c>
      <c r="E478" s="11">
        <v>3.0760000000000001</v>
      </c>
      <c r="F478" s="1">
        <v>521.16</v>
      </c>
      <c r="G478" s="11">
        <v>3.53</v>
      </c>
      <c r="H478" s="1">
        <v>-401.9</v>
      </c>
      <c r="I478" s="11">
        <v>10</v>
      </c>
      <c r="J478" s="1">
        <v>991.64</v>
      </c>
      <c r="K478" s="11">
        <v>6.0006599999999999</v>
      </c>
      <c r="L478" s="1">
        <v>0</v>
      </c>
      <c r="M478" s="11">
        <v>6.2</v>
      </c>
      <c r="N478" s="1">
        <v>15.24</v>
      </c>
      <c r="O478" s="11">
        <v>2.8224999999999998</v>
      </c>
      <c r="P478" s="1">
        <f t="shared" si="88"/>
        <v>3361.7099999999991</v>
      </c>
      <c r="Q478" s="1">
        <v>3448.01</v>
      </c>
      <c r="R478" s="16">
        <f t="shared" si="89"/>
        <v>2745585.5515999999</v>
      </c>
      <c r="S478" s="1">
        <v>-737.26</v>
      </c>
      <c r="T478" s="1">
        <v>35.82</v>
      </c>
      <c r="U478" s="1">
        <v>66.349999999999994</v>
      </c>
      <c r="V478" s="1">
        <v>50.6</v>
      </c>
      <c r="W478" s="1" cm="1">
        <f t="array" ref="W478">SUM(ABS(S478:V478))</f>
        <v>890.03000000000009</v>
      </c>
      <c r="X478" s="25">
        <v>1.238</v>
      </c>
      <c r="Y478" s="42">
        <f t="shared" si="90"/>
        <v>275464.28500000003</v>
      </c>
      <c r="Z478" s="20">
        <v>727.73</v>
      </c>
      <c r="AA478" s="20">
        <f t="shared" si="91"/>
        <v>1617.7600000000002</v>
      </c>
      <c r="AB478" s="21">
        <v>0.22000000000000003</v>
      </c>
      <c r="AC478" s="21">
        <v>15.129999999999999</v>
      </c>
      <c r="AD478" s="8">
        <f t="shared" si="92"/>
        <v>743.08</v>
      </c>
      <c r="AE478" s="25">
        <v>1.238</v>
      </c>
      <c r="AF478" s="25">
        <f t="shared" si="93"/>
        <v>229983.26</v>
      </c>
      <c r="AG478" s="25">
        <f t="shared" si="94"/>
        <v>505447.54500000004</v>
      </c>
      <c r="AH478" s="1">
        <f t="shared" si="84"/>
        <v>4104.7899999999991</v>
      </c>
      <c r="AI478" s="1">
        <f t="shared" si="85"/>
        <v>4191.09</v>
      </c>
      <c r="AJ478" s="1">
        <v>5164.8</v>
      </c>
      <c r="AK478" s="1">
        <f t="shared" si="86"/>
        <v>-1060.0100000000011</v>
      </c>
      <c r="AL478" s="29">
        <f t="shared" si="95"/>
        <v>973.71</v>
      </c>
      <c r="AM478" s="11">
        <f t="shared" si="87"/>
        <v>3251033.0965999998</v>
      </c>
    </row>
    <row r="479" spans="1:39" x14ac:dyDescent="0.3">
      <c r="A479" s="39">
        <v>45905.947916666664</v>
      </c>
      <c r="B479" s="1">
        <v>1477.58</v>
      </c>
      <c r="C479" s="11">
        <v>3.2732000000000001</v>
      </c>
      <c r="D479" s="1">
        <v>757.25</v>
      </c>
      <c r="E479" s="11">
        <v>3.0760000000000001</v>
      </c>
      <c r="F479" s="1">
        <v>521.16</v>
      </c>
      <c r="G479" s="11">
        <v>3.53</v>
      </c>
      <c r="H479" s="1">
        <v>-401.9</v>
      </c>
      <c r="I479" s="11">
        <v>10</v>
      </c>
      <c r="J479" s="1">
        <v>1010.49</v>
      </c>
      <c r="K479" s="11">
        <v>5.9990699999999997</v>
      </c>
      <c r="L479" s="1">
        <v>0</v>
      </c>
      <c r="M479" s="11">
        <v>6.2</v>
      </c>
      <c r="N479" s="1">
        <v>15.88</v>
      </c>
      <c r="O479" s="11">
        <v>2.8224999999999998</v>
      </c>
      <c r="P479" s="1">
        <f t="shared" si="88"/>
        <v>3380.46</v>
      </c>
      <c r="Q479" s="1">
        <v>3423.5</v>
      </c>
      <c r="R479" s="16">
        <f t="shared" si="89"/>
        <v>2773308.0500749997</v>
      </c>
      <c r="S479" s="1">
        <v>-736.83</v>
      </c>
      <c r="T479" s="1">
        <v>35.86</v>
      </c>
      <c r="U479" s="1">
        <v>66.36</v>
      </c>
      <c r="V479" s="1">
        <v>50.69</v>
      </c>
      <c r="W479" s="1" cm="1">
        <f t="array" ref="W479">SUM(ABS(S479:V479))</f>
        <v>889.74</v>
      </c>
      <c r="X479" s="25">
        <v>1.238</v>
      </c>
      <c r="Y479" s="42">
        <f t="shared" si="90"/>
        <v>275374.52999999997</v>
      </c>
      <c r="Z479" s="20">
        <v>729.71</v>
      </c>
      <c r="AA479" s="20">
        <f t="shared" si="91"/>
        <v>1619.45</v>
      </c>
      <c r="AB479" s="21">
        <v>0.22000000000000003</v>
      </c>
      <c r="AC479" s="21">
        <v>14.45</v>
      </c>
      <c r="AD479" s="8">
        <f t="shared" si="92"/>
        <v>744.38000000000011</v>
      </c>
      <c r="AE479" s="25">
        <v>1.238</v>
      </c>
      <c r="AF479" s="25">
        <f t="shared" si="93"/>
        <v>230385.61000000004</v>
      </c>
      <c r="AG479" s="25">
        <f t="shared" si="94"/>
        <v>505760.14</v>
      </c>
      <c r="AH479" s="1">
        <f t="shared" si="84"/>
        <v>4124.84</v>
      </c>
      <c r="AI479" s="1">
        <f t="shared" si="85"/>
        <v>4167.88</v>
      </c>
      <c r="AJ479" s="1">
        <v>5141.62</v>
      </c>
      <c r="AK479" s="1">
        <f t="shared" si="86"/>
        <v>-1016.7799999999997</v>
      </c>
      <c r="AL479" s="29">
        <f t="shared" si="95"/>
        <v>973.73999999999978</v>
      </c>
      <c r="AM479" s="11">
        <f t="shared" si="87"/>
        <v>3279068.1900749998</v>
      </c>
    </row>
    <row r="480" spans="1:39" x14ac:dyDescent="0.3">
      <c r="A480" s="39">
        <v>45905.958333333336</v>
      </c>
      <c r="B480" s="1">
        <v>1477.46</v>
      </c>
      <c r="C480" s="11">
        <v>3.2732000000000001</v>
      </c>
      <c r="D480" s="1">
        <v>757.25</v>
      </c>
      <c r="E480" s="11">
        <v>3.0760000000000001</v>
      </c>
      <c r="F480" s="1">
        <v>521.16</v>
      </c>
      <c r="G480" s="11">
        <v>3.53</v>
      </c>
      <c r="H480" s="1">
        <v>-401.9</v>
      </c>
      <c r="I480" s="11">
        <v>10</v>
      </c>
      <c r="J480" s="1">
        <v>1009.76</v>
      </c>
      <c r="K480" s="11">
        <v>6.5009600000000001</v>
      </c>
      <c r="L480" s="1">
        <v>0</v>
      </c>
      <c r="M480" s="11">
        <v>6.2</v>
      </c>
      <c r="N480" s="1">
        <v>16.18</v>
      </c>
      <c r="O480" s="11">
        <v>2.8224999999999998</v>
      </c>
      <c r="P480" s="1">
        <f t="shared" si="88"/>
        <v>3379.9099999999994</v>
      </c>
      <c r="Q480" s="1">
        <v>3429.55</v>
      </c>
      <c r="R480" s="16">
        <f t="shared" si="89"/>
        <v>2899023.8229</v>
      </c>
      <c r="S480" s="1">
        <v>-722.61</v>
      </c>
      <c r="T480" s="1">
        <v>35.86</v>
      </c>
      <c r="U480" s="1">
        <v>66.34</v>
      </c>
      <c r="V480" s="1">
        <v>50.65</v>
      </c>
      <c r="W480" s="1" cm="1">
        <f t="array" ref="W480">SUM(ABS(S480:V480))</f>
        <v>875.46</v>
      </c>
      <c r="X480" s="25">
        <v>1.238</v>
      </c>
      <c r="Y480" s="42">
        <f t="shared" si="90"/>
        <v>270954.87000000005</v>
      </c>
      <c r="Z480" s="20">
        <v>725.43000000000006</v>
      </c>
      <c r="AA480" s="20">
        <f t="shared" si="91"/>
        <v>1600.89</v>
      </c>
      <c r="AB480" s="21">
        <v>0.22000000000000003</v>
      </c>
      <c r="AC480" s="21">
        <v>12.79</v>
      </c>
      <c r="AD480" s="8">
        <f t="shared" si="92"/>
        <v>738.44</v>
      </c>
      <c r="AE480" s="25">
        <v>1.238</v>
      </c>
      <c r="AF480" s="25">
        <f t="shared" si="93"/>
        <v>228547.18000000002</v>
      </c>
      <c r="AG480" s="25">
        <f t="shared" si="94"/>
        <v>499502.05000000005</v>
      </c>
      <c r="AH480" s="1">
        <f t="shared" si="84"/>
        <v>4118.3499999999995</v>
      </c>
      <c r="AI480" s="1">
        <f t="shared" si="85"/>
        <v>4167.99</v>
      </c>
      <c r="AJ480" s="1">
        <v>5114.96</v>
      </c>
      <c r="AK480" s="1">
        <f t="shared" si="86"/>
        <v>-996.61000000000058</v>
      </c>
      <c r="AL480" s="29">
        <f t="shared" si="95"/>
        <v>946.97000000000025</v>
      </c>
      <c r="AM480" s="11">
        <f t="shared" si="87"/>
        <v>3398525.8728999998</v>
      </c>
    </row>
    <row r="481" spans="1:40" x14ac:dyDescent="0.3">
      <c r="A481" s="39">
        <v>45905.96875</v>
      </c>
      <c r="B481" s="1">
        <v>1477.46</v>
      </c>
      <c r="C481" s="11">
        <v>3.2732000000000001</v>
      </c>
      <c r="D481" s="1">
        <v>763.53</v>
      </c>
      <c r="E481" s="11">
        <v>3.0760000000000001</v>
      </c>
      <c r="F481" s="1">
        <v>521.16</v>
      </c>
      <c r="G481" s="11">
        <v>3.53</v>
      </c>
      <c r="H481" s="1">
        <v>-401.9</v>
      </c>
      <c r="I481" s="11">
        <v>10</v>
      </c>
      <c r="J481" s="1">
        <v>947.3</v>
      </c>
      <c r="K481" s="11">
        <v>6.0001800000000003</v>
      </c>
      <c r="L481" s="1">
        <v>0</v>
      </c>
      <c r="M481" s="11">
        <v>6.2</v>
      </c>
      <c r="N481" s="1">
        <v>16.48</v>
      </c>
      <c r="O481" s="11">
        <v>2.8224999999999998</v>
      </c>
      <c r="P481" s="1">
        <f t="shared" si="88"/>
        <v>3324.0299999999993</v>
      </c>
      <c r="Q481" s="1">
        <v>3381.44</v>
      </c>
      <c r="R481" s="16">
        <f t="shared" si="89"/>
        <v>2683955.1165000005</v>
      </c>
      <c r="S481" s="1">
        <v>-721.93</v>
      </c>
      <c r="T481" s="1">
        <v>35.869999999999997</v>
      </c>
      <c r="U481" s="1">
        <v>66.349999999999994</v>
      </c>
      <c r="V481" s="1">
        <v>50.64</v>
      </c>
      <c r="W481" s="1" cm="1">
        <f t="array" ref="W481">SUM(ABS(S481:V481))</f>
        <v>874.79</v>
      </c>
      <c r="X481" s="25">
        <v>1.238</v>
      </c>
      <c r="Y481" s="42">
        <f t="shared" si="90"/>
        <v>270747.505</v>
      </c>
      <c r="Z481" s="20">
        <v>726.28000000000009</v>
      </c>
      <c r="AA481" s="20">
        <f t="shared" si="91"/>
        <v>1601.0700000000002</v>
      </c>
      <c r="AB481" s="21">
        <v>0.22000000000000003</v>
      </c>
      <c r="AC481" s="21">
        <v>14.469999999999999</v>
      </c>
      <c r="AD481" s="8">
        <f t="shared" si="92"/>
        <v>740.97000000000014</v>
      </c>
      <c r="AE481" s="25">
        <v>1.238</v>
      </c>
      <c r="AF481" s="25">
        <f t="shared" si="93"/>
        <v>229330.21500000003</v>
      </c>
      <c r="AG481" s="25">
        <f t="shared" si="94"/>
        <v>500077.72000000003</v>
      </c>
      <c r="AH481" s="1">
        <f t="shared" si="84"/>
        <v>4064.9999999999995</v>
      </c>
      <c r="AI481" s="1">
        <f t="shared" si="85"/>
        <v>4122.41</v>
      </c>
      <c r="AJ481" s="1">
        <v>5049.28</v>
      </c>
      <c r="AK481" s="1">
        <f t="shared" si="86"/>
        <v>-984.2800000000002</v>
      </c>
      <c r="AL481" s="29">
        <f t="shared" si="95"/>
        <v>926.86999999999989</v>
      </c>
      <c r="AM481" s="11">
        <f t="shared" si="87"/>
        <v>3184032.8365000007</v>
      </c>
    </row>
    <row r="482" spans="1:40" x14ac:dyDescent="0.3">
      <c r="A482" s="39">
        <v>45905.979166666664</v>
      </c>
      <c r="B482" s="1">
        <v>1477.46</v>
      </c>
      <c r="C482" s="11">
        <v>3.2732000000000001</v>
      </c>
      <c r="D482" s="1">
        <v>770.27</v>
      </c>
      <c r="E482" s="11">
        <v>3.0760000000000001</v>
      </c>
      <c r="F482" s="1">
        <v>521.16</v>
      </c>
      <c r="G482" s="11">
        <v>3.53</v>
      </c>
      <c r="H482" s="1">
        <v>-401.9</v>
      </c>
      <c r="I482" s="11">
        <v>10</v>
      </c>
      <c r="J482" s="1">
        <v>848.82</v>
      </c>
      <c r="K482" s="11">
        <v>10</v>
      </c>
      <c r="L482" s="1">
        <v>0</v>
      </c>
      <c r="M482" s="11">
        <v>6.2</v>
      </c>
      <c r="N482" s="1">
        <v>16.5</v>
      </c>
      <c r="O482" s="11">
        <v>2.8224999999999998</v>
      </c>
      <c r="P482" s="1">
        <f t="shared" si="88"/>
        <v>3232.31</v>
      </c>
      <c r="Q482" s="1">
        <v>3286.5</v>
      </c>
      <c r="R482" s="16">
        <f t="shared" si="89"/>
        <v>3390209.6605000007</v>
      </c>
      <c r="S482" s="1">
        <v>-733.49</v>
      </c>
      <c r="T482" s="1">
        <v>35.86</v>
      </c>
      <c r="U482" s="1">
        <v>66.349999999999994</v>
      </c>
      <c r="V482" s="1">
        <v>50.68</v>
      </c>
      <c r="W482" s="1" cm="1">
        <f t="array" ref="W482">SUM(ABS(S482:V482))</f>
        <v>886.38</v>
      </c>
      <c r="X482" s="25">
        <v>1.238</v>
      </c>
      <c r="Y482" s="42">
        <f t="shared" si="90"/>
        <v>274334.61</v>
      </c>
      <c r="Z482" s="20">
        <v>728.84</v>
      </c>
      <c r="AA482" s="20">
        <f t="shared" si="91"/>
        <v>1615.22</v>
      </c>
      <c r="AB482" s="21">
        <v>0.22000000000000003</v>
      </c>
      <c r="AC482" s="21">
        <v>13.760000000000002</v>
      </c>
      <c r="AD482" s="8">
        <f t="shared" si="92"/>
        <v>742.82</v>
      </c>
      <c r="AE482" s="25">
        <v>1.238</v>
      </c>
      <c r="AF482" s="25">
        <f t="shared" si="93"/>
        <v>229902.79</v>
      </c>
      <c r="AG482" s="25">
        <f t="shared" si="94"/>
        <v>504237.4</v>
      </c>
      <c r="AH482" s="1">
        <f t="shared" si="84"/>
        <v>3975.13</v>
      </c>
      <c r="AI482" s="1">
        <f t="shared" si="85"/>
        <v>4029.32</v>
      </c>
      <c r="AJ482" s="1">
        <v>4967.3999999999996</v>
      </c>
      <c r="AK482" s="1">
        <f t="shared" si="86"/>
        <v>-992.26999999999953</v>
      </c>
      <c r="AL482" s="29">
        <f t="shared" si="95"/>
        <v>938.07999999999947</v>
      </c>
      <c r="AM482" s="11">
        <f t="shared" si="87"/>
        <v>3894447.0605000006</v>
      </c>
    </row>
    <row r="483" spans="1:40" x14ac:dyDescent="0.3">
      <c r="A483" s="39">
        <v>45905.989583333336</v>
      </c>
      <c r="B483" s="1">
        <v>1477.46</v>
      </c>
      <c r="C483" s="11">
        <v>3.2732000000000001</v>
      </c>
      <c r="D483" s="1">
        <v>775.9</v>
      </c>
      <c r="E483" s="11">
        <v>3.0760000000000001</v>
      </c>
      <c r="F483" s="1">
        <v>521.16</v>
      </c>
      <c r="G483" s="11">
        <v>3.53</v>
      </c>
      <c r="H483" s="1">
        <v>-401.9</v>
      </c>
      <c r="I483" s="11">
        <v>10</v>
      </c>
      <c r="J483" s="1">
        <v>764.17</v>
      </c>
      <c r="K483" s="11">
        <v>6.0001499999999997</v>
      </c>
      <c r="L483" s="1">
        <v>0</v>
      </c>
      <c r="M483" s="11">
        <v>6.2</v>
      </c>
      <c r="N483" s="1">
        <v>16.5</v>
      </c>
      <c r="O483" s="11">
        <v>2.8224999999999998</v>
      </c>
      <c r="P483" s="1">
        <f t="shared" si="88"/>
        <v>3153.29</v>
      </c>
      <c r="Q483" s="1">
        <v>3210.24</v>
      </c>
      <c r="R483" s="16">
        <f t="shared" si="89"/>
        <v>2418772.7868749998</v>
      </c>
      <c r="S483" s="1">
        <v>-729.79</v>
      </c>
      <c r="T483" s="1">
        <v>35.840000000000003</v>
      </c>
      <c r="U483" s="1">
        <v>66.34</v>
      </c>
      <c r="V483" s="1">
        <v>50.65</v>
      </c>
      <c r="W483" s="1" cm="1">
        <f t="array" ref="W483">SUM(ABS(S483:V483))</f>
        <v>882.62</v>
      </c>
      <c r="X483" s="25">
        <v>1.238</v>
      </c>
      <c r="Y483" s="42">
        <f t="shared" si="90"/>
        <v>273170.89</v>
      </c>
      <c r="Z483" s="20">
        <v>725.79000000000008</v>
      </c>
      <c r="AA483" s="20">
        <f t="shared" si="91"/>
        <v>1608.41</v>
      </c>
      <c r="AB483" s="21">
        <v>0.22000000000000003</v>
      </c>
      <c r="AC483" s="21">
        <v>12.250000000000002</v>
      </c>
      <c r="AD483" s="8">
        <f t="shared" si="92"/>
        <v>738.2600000000001</v>
      </c>
      <c r="AE483" s="25">
        <v>1.238</v>
      </c>
      <c r="AF483" s="25">
        <f t="shared" si="93"/>
        <v>228491.47000000003</v>
      </c>
      <c r="AG483" s="25">
        <f t="shared" si="94"/>
        <v>501662.36000000004</v>
      </c>
      <c r="AH483" s="1">
        <f t="shared" si="84"/>
        <v>3891.55</v>
      </c>
      <c r="AI483" s="1">
        <f t="shared" si="85"/>
        <v>3948.5</v>
      </c>
      <c r="AJ483" s="1">
        <v>4883.9799999999996</v>
      </c>
      <c r="AK483" s="1">
        <f t="shared" si="86"/>
        <v>-992.42999999999938</v>
      </c>
      <c r="AL483" s="29">
        <f t="shared" si="95"/>
        <v>935.47999999999956</v>
      </c>
      <c r="AM483" s="11">
        <f t="shared" si="87"/>
        <v>2920435.1468749996</v>
      </c>
      <c r="AN483" s="31">
        <f>SUM(AM388:AM483)</f>
        <v>270094237.65347499</v>
      </c>
    </row>
    <row r="484" spans="1:40" x14ac:dyDescent="0.3">
      <c r="A484" s="39">
        <v>45935</v>
      </c>
      <c r="B484" s="1">
        <v>1476.62</v>
      </c>
      <c r="C484" s="11">
        <v>3.2732000000000001</v>
      </c>
      <c r="D484" s="1">
        <v>776.29</v>
      </c>
      <c r="E484" s="11">
        <v>3.0760000000000001</v>
      </c>
      <c r="F484" s="1">
        <v>415.82</v>
      </c>
      <c r="G484" s="11">
        <v>3.53</v>
      </c>
      <c r="H484" s="1">
        <v>-262.39999999999998</v>
      </c>
      <c r="I484" s="11">
        <v>10</v>
      </c>
      <c r="J484" s="1">
        <v>578.39</v>
      </c>
      <c r="K484" s="11">
        <v>8.5008400000000002</v>
      </c>
      <c r="L484" s="1">
        <v>0</v>
      </c>
      <c r="M484" s="11">
        <v>6.2</v>
      </c>
      <c r="N484" s="1">
        <v>10.050000000000001</v>
      </c>
      <c r="O484" s="11">
        <v>2.8224999999999998</v>
      </c>
      <c r="P484" s="1">
        <f t="shared" si="88"/>
        <v>2994.77</v>
      </c>
      <c r="Q484" s="1">
        <v>3092.78</v>
      </c>
      <c r="R484" s="16">
        <f t="shared" si="89"/>
        <v>2752538.0491499999</v>
      </c>
      <c r="S484" s="1">
        <v>-731.32</v>
      </c>
      <c r="T484" s="1">
        <v>35.86</v>
      </c>
      <c r="U484" s="1">
        <v>66.33</v>
      </c>
      <c r="V484" s="1">
        <v>50.68</v>
      </c>
      <c r="W484" s="1" cm="1">
        <f t="array" ref="W484">SUM(ABS(S484:V484))</f>
        <v>884.19</v>
      </c>
      <c r="X484" s="25">
        <v>1.238</v>
      </c>
      <c r="Y484" s="42">
        <f t="shared" si="90"/>
        <v>273656.80499999999</v>
      </c>
      <c r="Z484" s="20">
        <v>727.04999999999984</v>
      </c>
      <c r="AA484" s="20">
        <f t="shared" si="91"/>
        <v>1611.2399999999998</v>
      </c>
      <c r="AB484" s="21">
        <v>0.22999999999999998</v>
      </c>
      <c r="AC484" s="21">
        <v>12.7</v>
      </c>
      <c r="AD484" s="8">
        <f t="shared" si="92"/>
        <v>739.9799999999999</v>
      </c>
      <c r="AE484" s="25">
        <v>1.238</v>
      </c>
      <c r="AF484" s="25">
        <f t="shared" si="93"/>
        <v>229023.80999999997</v>
      </c>
      <c r="AG484" s="25">
        <f t="shared" si="94"/>
        <v>502680.61499999999</v>
      </c>
      <c r="AH484" s="1">
        <f t="shared" si="84"/>
        <v>3734.75</v>
      </c>
      <c r="AI484" s="1">
        <f t="shared" si="85"/>
        <v>3832.76</v>
      </c>
      <c r="AJ484" s="1">
        <v>4770.2299999999996</v>
      </c>
      <c r="AK484" s="1">
        <f t="shared" si="86"/>
        <v>-1035.4799999999996</v>
      </c>
      <c r="AL484" s="29">
        <f t="shared" si="95"/>
        <v>937.46999999999935</v>
      </c>
      <c r="AM484" s="11">
        <f t="shared" si="87"/>
        <v>3255218.6641499996</v>
      </c>
    </row>
    <row r="485" spans="1:40" x14ac:dyDescent="0.3">
      <c r="A485" s="39">
        <v>45935.010416666664</v>
      </c>
      <c r="B485" s="1">
        <v>1476.62</v>
      </c>
      <c r="C485" s="11">
        <v>3.2732000000000001</v>
      </c>
      <c r="D485" s="1">
        <v>776.29</v>
      </c>
      <c r="E485" s="11">
        <v>3.0760000000000001</v>
      </c>
      <c r="F485" s="1">
        <v>407.89</v>
      </c>
      <c r="G485" s="11">
        <v>3.53</v>
      </c>
      <c r="H485" s="1">
        <v>-205.46</v>
      </c>
      <c r="I485" s="11">
        <v>7.5025000000000004</v>
      </c>
      <c r="J485" s="1">
        <v>321.89999999999998</v>
      </c>
      <c r="K485" s="11">
        <v>5.1997099999999996</v>
      </c>
      <c r="L485" s="1">
        <v>0</v>
      </c>
      <c r="M485" s="11">
        <v>6.2</v>
      </c>
      <c r="N485" s="1">
        <v>9.6</v>
      </c>
      <c r="O485" s="11">
        <v>2.8224999999999998</v>
      </c>
      <c r="P485" s="1">
        <f t="shared" si="88"/>
        <v>2786.8399999999997</v>
      </c>
      <c r="Q485" s="1">
        <v>3015.9</v>
      </c>
      <c r="R485" s="16">
        <f t="shared" si="89"/>
        <v>2205102.8307499997</v>
      </c>
      <c r="S485" s="1">
        <v>-729.26</v>
      </c>
      <c r="T485" s="1">
        <v>35.869999999999997</v>
      </c>
      <c r="U485" s="1">
        <v>66.33</v>
      </c>
      <c r="V485" s="1">
        <v>50.69</v>
      </c>
      <c r="W485" s="1" cm="1">
        <f t="array" ref="W485">SUM(ABS(S485:V485))</f>
        <v>882.15000000000009</v>
      </c>
      <c r="X485" s="25">
        <v>1.238</v>
      </c>
      <c r="Y485" s="42">
        <f t="shared" si="90"/>
        <v>273025.42500000005</v>
      </c>
      <c r="Z485" s="20">
        <v>723.21999999999991</v>
      </c>
      <c r="AA485" s="20">
        <f t="shared" si="91"/>
        <v>1605.37</v>
      </c>
      <c r="AB485" s="21">
        <v>0.22999999999999998</v>
      </c>
      <c r="AC485" s="21">
        <v>11.049999999999999</v>
      </c>
      <c r="AD485" s="8">
        <f t="shared" si="92"/>
        <v>734.49999999999989</v>
      </c>
      <c r="AE485" s="25">
        <v>1.238</v>
      </c>
      <c r="AF485" s="25">
        <f t="shared" si="93"/>
        <v>227327.74999999994</v>
      </c>
      <c r="AG485" s="25">
        <f t="shared" si="94"/>
        <v>500353.17499999999</v>
      </c>
      <c r="AH485" s="1">
        <f t="shared" si="84"/>
        <v>3521.3399999999997</v>
      </c>
      <c r="AI485" s="1">
        <f t="shared" si="85"/>
        <v>3750.4</v>
      </c>
      <c r="AJ485" s="1">
        <v>4689.28</v>
      </c>
      <c r="AK485" s="1">
        <f t="shared" si="86"/>
        <v>-1167.94</v>
      </c>
      <c r="AL485" s="29">
        <f t="shared" si="95"/>
        <v>938.87999999999965</v>
      </c>
      <c r="AM485" s="11">
        <f t="shared" si="87"/>
        <v>2705456.0057499995</v>
      </c>
    </row>
    <row r="486" spans="1:40" x14ac:dyDescent="0.3">
      <c r="A486" s="39">
        <v>45935.020833333336</v>
      </c>
      <c r="B486" s="1">
        <v>1476.62</v>
      </c>
      <c r="C486" s="11">
        <v>3.2732000000000001</v>
      </c>
      <c r="D486" s="1">
        <v>776.29</v>
      </c>
      <c r="E486" s="11">
        <v>3.0760000000000001</v>
      </c>
      <c r="F486" s="1">
        <v>407.89</v>
      </c>
      <c r="G486" s="11">
        <v>3.53</v>
      </c>
      <c r="H486" s="1">
        <v>-109.01</v>
      </c>
      <c r="I486" s="11">
        <v>5.0758900000000002</v>
      </c>
      <c r="J486" s="1">
        <v>160.94999999999999</v>
      </c>
      <c r="K486" s="11">
        <v>4.6869100000000001</v>
      </c>
      <c r="L486" s="1">
        <v>0</v>
      </c>
      <c r="M486" s="11">
        <v>6.2</v>
      </c>
      <c r="N486" s="1">
        <v>9.6</v>
      </c>
      <c r="O486" s="11">
        <v>2.8224999999999998</v>
      </c>
      <c r="P486" s="1">
        <f t="shared" si="88"/>
        <v>2722.3399999999992</v>
      </c>
      <c r="Q486" s="1">
        <v>2924.01</v>
      </c>
      <c r="R486" s="16">
        <f t="shared" si="89"/>
        <v>2222280.9298999994</v>
      </c>
      <c r="S486" s="1">
        <v>-731.54</v>
      </c>
      <c r="T486" s="1">
        <v>35.869999999999997</v>
      </c>
      <c r="U486" s="1">
        <v>66.319999999999993</v>
      </c>
      <c r="V486" s="1">
        <v>50.67</v>
      </c>
      <c r="W486" s="1" cm="1">
        <f t="array" ref="W486">SUM(ABS(S486:V486))</f>
        <v>884.4</v>
      </c>
      <c r="X486" s="25">
        <v>1.238</v>
      </c>
      <c r="Y486" s="42">
        <f t="shared" si="90"/>
        <v>273721.8</v>
      </c>
      <c r="Z486" s="20">
        <v>719.96999999999991</v>
      </c>
      <c r="AA486" s="20">
        <f t="shared" si="91"/>
        <v>1604.37</v>
      </c>
      <c r="AB486" s="21">
        <v>0.22999999999999998</v>
      </c>
      <c r="AC486" s="21">
        <v>10.17</v>
      </c>
      <c r="AD486" s="8">
        <f t="shared" si="92"/>
        <v>730.36999999999989</v>
      </c>
      <c r="AE486" s="25">
        <v>1.238</v>
      </c>
      <c r="AF486" s="25">
        <f t="shared" si="93"/>
        <v>226049.51499999996</v>
      </c>
      <c r="AG486" s="25">
        <f t="shared" si="94"/>
        <v>499771.31499999994</v>
      </c>
      <c r="AH486" s="1">
        <f t="shared" si="84"/>
        <v>3452.7099999999991</v>
      </c>
      <c r="AI486" s="1">
        <f t="shared" si="85"/>
        <v>3654.38</v>
      </c>
      <c r="AJ486" s="1">
        <v>4594.7700000000004</v>
      </c>
      <c r="AK486" s="1">
        <f t="shared" si="86"/>
        <v>-1142.0600000000013</v>
      </c>
      <c r="AL486" s="29">
        <f t="shared" si="95"/>
        <v>940.39000000000033</v>
      </c>
      <c r="AM486" s="11">
        <f t="shared" si="87"/>
        <v>2722052.2448999994</v>
      </c>
    </row>
    <row r="487" spans="1:40" x14ac:dyDescent="0.3">
      <c r="A487" s="39">
        <v>45935.03125</v>
      </c>
      <c r="B487" s="1">
        <v>1477.9</v>
      </c>
      <c r="C487" s="11">
        <v>3.2732000000000001</v>
      </c>
      <c r="D487" s="1">
        <v>776.29</v>
      </c>
      <c r="E487" s="11">
        <v>3.0760000000000001</v>
      </c>
      <c r="F487" s="1">
        <v>407.89</v>
      </c>
      <c r="G487" s="11">
        <v>3.53</v>
      </c>
      <c r="H487" s="1">
        <v>-101.9</v>
      </c>
      <c r="I487" s="11">
        <v>4.7910600000000008</v>
      </c>
      <c r="J487" s="1">
        <v>88.19</v>
      </c>
      <c r="K487" s="11">
        <v>4.4500299999999999</v>
      </c>
      <c r="L487" s="1">
        <v>0</v>
      </c>
      <c r="M487" s="11">
        <v>6.2</v>
      </c>
      <c r="N487" s="1">
        <v>9.6</v>
      </c>
      <c r="O487" s="11">
        <v>2.8224999999999998</v>
      </c>
      <c r="P487" s="1">
        <f t="shared" si="88"/>
        <v>2657.97</v>
      </c>
      <c r="Q487" s="1">
        <v>2862.15</v>
      </c>
      <c r="R487" s="16">
        <f t="shared" si="89"/>
        <v>2149129.2879249998</v>
      </c>
      <c r="S487" s="1">
        <v>-733.09</v>
      </c>
      <c r="T487" s="1">
        <v>35.869999999999997</v>
      </c>
      <c r="U487" s="1">
        <v>66.3</v>
      </c>
      <c r="V487" s="1">
        <v>50.65</v>
      </c>
      <c r="W487" s="1" cm="1">
        <f t="array" ref="W487">SUM(ABS(S487:V487))</f>
        <v>885.91</v>
      </c>
      <c r="X487" s="25">
        <v>1.238</v>
      </c>
      <c r="Y487" s="42">
        <f t="shared" si="90"/>
        <v>274189.14500000002</v>
      </c>
      <c r="Z487" s="20">
        <v>705.12000000000012</v>
      </c>
      <c r="AA487" s="20">
        <f t="shared" si="91"/>
        <v>1591.0300000000002</v>
      </c>
      <c r="AB487" s="21">
        <v>0.22999999999999998</v>
      </c>
      <c r="AC487" s="21">
        <v>9.35</v>
      </c>
      <c r="AD487" s="8">
        <f t="shared" si="92"/>
        <v>714.70000000000016</v>
      </c>
      <c r="AE487" s="25">
        <v>1.238</v>
      </c>
      <c r="AF487" s="25">
        <f t="shared" si="93"/>
        <v>221199.65000000005</v>
      </c>
      <c r="AG487" s="25">
        <f t="shared" si="94"/>
        <v>495388.79500000004</v>
      </c>
      <c r="AH487" s="1">
        <f t="shared" si="84"/>
        <v>3372.67</v>
      </c>
      <c r="AI487" s="1">
        <f t="shared" si="85"/>
        <v>3576.8500000000004</v>
      </c>
      <c r="AJ487" s="1">
        <v>4520.59</v>
      </c>
      <c r="AK487" s="1">
        <f t="shared" si="86"/>
        <v>-1147.92</v>
      </c>
      <c r="AL487" s="29">
        <f t="shared" si="95"/>
        <v>943.73999999999978</v>
      </c>
      <c r="AM487" s="11">
        <f t="shared" si="87"/>
        <v>2644518.0829249998</v>
      </c>
    </row>
    <row r="488" spans="1:40" x14ac:dyDescent="0.3">
      <c r="A488" s="39">
        <v>45935.041666666664</v>
      </c>
      <c r="B488" s="1">
        <v>1479.35</v>
      </c>
      <c r="C488" s="11">
        <v>3.2732000000000001</v>
      </c>
      <c r="D488" s="1">
        <v>776.29</v>
      </c>
      <c r="E488" s="11">
        <v>3.0760000000000001</v>
      </c>
      <c r="F488" s="1">
        <v>407.89</v>
      </c>
      <c r="G488" s="11">
        <v>3.53</v>
      </c>
      <c r="H488" s="1">
        <v>-101.9</v>
      </c>
      <c r="I488" s="11">
        <v>4.5916800000000002</v>
      </c>
      <c r="J488" s="1">
        <v>92.1</v>
      </c>
      <c r="K488" s="11">
        <v>4.5005899999999999</v>
      </c>
      <c r="L488" s="1">
        <v>0</v>
      </c>
      <c r="M488" s="11">
        <v>6.2</v>
      </c>
      <c r="N488" s="1">
        <v>9.6</v>
      </c>
      <c r="O488" s="11">
        <v>2.8224999999999998</v>
      </c>
      <c r="P488" s="1">
        <f t="shared" si="88"/>
        <v>2663.3299999999995</v>
      </c>
      <c r="Q488" s="1">
        <v>2799.01</v>
      </c>
      <c r="R488" s="16">
        <f t="shared" si="89"/>
        <v>2160909.0767499995</v>
      </c>
      <c r="S488" s="1">
        <v>-725.58</v>
      </c>
      <c r="T488" s="1">
        <v>35.869999999999997</v>
      </c>
      <c r="U488" s="1">
        <v>66.3</v>
      </c>
      <c r="V488" s="1">
        <v>50.67</v>
      </c>
      <c r="W488" s="1" cm="1">
        <f t="array" ref="W488">SUM(ABS(S488:V488))</f>
        <v>878.42</v>
      </c>
      <c r="X488" s="25">
        <v>1.238</v>
      </c>
      <c r="Y488" s="42">
        <f t="shared" si="90"/>
        <v>271870.99</v>
      </c>
      <c r="Z488" s="20">
        <v>698.73</v>
      </c>
      <c r="AA488" s="20">
        <f t="shared" si="91"/>
        <v>1577.15</v>
      </c>
      <c r="AB488" s="21">
        <v>0.22000000000000003</v>
      </c>
      <c r="AC488" s="21">
        <v>10.239999999999998</v>
      </c>
      <c r="AD488" s="8">
        <f t="shared" si="92"/>
        <v>709.19</v>
      </c>
      <c r="AE488" s="25">
        <v>1.238</v>
      </c>
      <c r="AF488" s="25">
        <f t="shared" si="93"/>
        <v>219494.30500000002</v>
      </c>
      <c r="AG488" s="25">
        <f t="shared" si="94"/>
        <v>491365.29500000004</v>
      </c>
      <c r="AH488" s="1">
        <f t="shared" si="84"/>
        <v>3372.5199999999995</v>
      </c>
      <c r="AI488" s="1">
        <f t="shared" si="85"/>
        <v>3508.2000000000003</v>
      </c>
      <c r="AJ488" s="1">
        <v>4443.3</v>
      </c>
      <c r="AK488" s="1">
        <f t="shared" si="86"/>
        <v>-1070.7800000000007</v>
      </c>
      <c r="AL488" s="29">
        <f t="shared" si="95"/>
        <v>935.09999999999991</v>
      </c>
      <c r="AM488" s="11">
        <f t="shared" si="87"/>
        <v>2652274.3717499995</v>
      </c>
    </row>
    <row r="489" spans="1:40" x14ac:dyDescent="0.3">
      <c r="A489" s="39">
        <v>45935.052083333336</v>
      </c>
      <c r="B489" s="1">
        <v>1480.91</v>
      </c>
      <c r="C489" s="11">
        <v>3.2732000000000001</v>
      </c>
      <c r="D489" s="1">
        <v>776.29</v>
      </c>
      <c r="E489" s="11">
        <v>3.0760000000000001</v>
      </c>
      <c r="F489" s="1">
        <v>407.89</v>
      </c>
      <c r="G489" s="11">
        <v>3.53</v>
      </c>
      <c r="H489" s="1">
        <v>-101.9</v>
      </c>
      <c r="I489" s="11">
        <v>4.4339899999999997</v>
      </c>
      <c r="J489" s="1">
        <v>65.64</v>
      </c>
      <c r="K489" s="11">
        <v>4.2830000000000004</v>
      </c>
      <c r="L489" s="1">
        <v>0</v>
      </c>
      <c r="M489" s="11">
        <v>6.2</v>
      </c>
      <c r="N489" s="1">
        <v>9.6</v>
      </c>
      <c r="O489" s="11">
        <v>2.8224999999999998</v>
      </c>
      <c r="P489" s="1">
        <f t="shared" si="88"/>
        <v>2638.4299999999994</v>
      </c>
      <c r="Q489" s="1">
        <v>2794.6</v>
      </c>
      <c r="R489" s="16">
        <f t="shared" si="89"/>
        <v>2132860.7227499993</v>
      </c>
      <c r="S489" s="1">
        <v>-713.08</v>
      </c>
      <c r="T489" s="1">
        <v>35.89</v>
      </c>
      <c r="U489" s="1">
        <v>55.49</v>
      </c>
      <c r="V489" s="1">
        <v>30.12</v>
      </c>
      <c r="W489" s="1" cm="1">
        <f t="array" ref="W489">SUM(ABS(S489:V489))</f>
        <v>834.58</v>
      </c>
      <c r="X489" s="25">
        <v>1.238</v>
      </c>
      <c r="Y489" s="42">
        <f t="shared" si="90"/>
        <v>258302.50999999998</v>
      </c>
      <c r="Z489" s="20">
        <v>672.66</v>
      </c>
      <c r="AA489" s="20">
        <f t="shared" si="91"/>
        <v>1507.24</v>
      </c>
      <c r="AB489" s="21">
        <v>0.22000000000000003</v>
      </c>
      <c r="AC489" s="21">
        <v>11.09</v>
      </c>
      <c r="AD489" s="8">
        <f t="shared" si="92"/>
        <v>683.97</v>
      </c>
      <c r="AE489" s="25">
        <v>1.238</v>
      </c>
      <c r="AF489" s="25">
        <f t="shared" si="93"/>
        <v>211688.715</v>
      </c>
      <c r="AG489" s="25">
        <f t="shared" si="94"/>
        <v>469991.22499999998</v>
      </c>
      <c r="AH489" s="1">
        <f t="shared" si="84"/>
        <v>3322.3999999999996</v>
      </c>
      <c r="AI489" s="1">
        <f t="shared" si="85"/>
        <v>3478.5699999999997</v>
      </c>
      <c r="AJ489" s="1">
        <v>4371.87</v>
      </c>
      <c r="AK489" s="1">
        <f t="shared" si="86"/>
        <v>-1049.4700000000003</v>
      </c>
      <c r="AL489" s="29">
        <f t="shared" si="95"/>
        <v>893.30000000000018</v>
      </c>
      <c r="AM489" s="11">
        <f t="shared" si="87"/>
        <v>2602851.9477499994</v>
      </c>
    </row>
    <row r="490" spans="1:40" x14ac:dyDescent="0.3">
      <c r="A490" s="39">
        <v>45935.0625</v>
      </c>
      <c r="B490" s="1">
        <v>1480.46</v>
      </c>
      <c r="C490" s="11">
        <v>3.2732000000000001</v>
      </c>
      <c r="D490" s="1">
        <v>776.29</v>
      </c>
      <c r="E490" s="11">
        <v>3.0760000000000001</v>
      </c>
      <c r="F490" s="1">
        <v>407.89</v>
      </c>
      <c r="G490" s="11">
        <v>3.53</v>
      </c>
      <c r="H490" s="1">
        <v>-101.9</v>
      </c>
      <c r="I490" s="11">
        <v>4.4333299999999998</v>
      </c>
      <c r="J490" s="1">
        <v>181.03</v>
      </c>
      <c r="K490" s="11">
        <v>3.73014</v>
      </c>
      <c r="L490" s="1">
        <v>0</v>
      </c>
      <c r="M490" s="11">
        <v>6.2</v>
      </c>
      <c r="N490" s="1">
        <v>9.6</v>
      </c>
      <c r="O490" s="11">
        <v>2.8224999999999998</v>
      </c>
      <c r="P490" s="1">
        <f t="shared" si="88"/>
        <v>2753.37</v>
      </c>
      <c r="Q490" s="1">
        <v>2855.54</v>
      </c>
      <c r="R490" s="16">
        <f t="shared" si="89"/>
        <v>2231042.0822999999</v>
      </c>
      <c r="S490" s="1">
        <v>-726.15</v>
      </c>
      <c r="T490" s="1">
        <v>35.92</v>
      </c>
      <c r="U490" s="1">
        <v>12.69</v>
      </c>
      <c r="V490" s="1">
        <v>25.57</v>
      </c>
      <c r="W490" s="1" cm="1">
        <f t="array" ref="W490">SUM(ABS(S490:V490))</f>
        <v>800.33</v>
      </c>
      <c r="X490" s="25">
        <v>1.238</v>
      </c>
      <c r="Y490" s="42">
        <f t="shared" si="90"/>
        <v>247702.13500000001</v>
      </c>
      <c r="Z490" s="20">
        <v>552.93000000000006</v>
      </c>
      <c r="AA490" s="20">
        <f t="shared" si="91"/>
        <v>1353.2600000000002</v>
      </c>
      <c r="AB490" s="21">
        <v>0.22000000000000003</v>
      </c>
      <c r="AC490" s="21">
        <v>11.06</v>
      </c>
      <c r="AD490" s="8">
        <f t="shared" si="92"/>
        <v>564.21</v>
      </c>
      <c r="AE490" s="25">
        <v>1.238</v>
      </c>
      <c r="AF490" s="25">
        <f t="shared" si="93"/>
        <v>174622.995</v>
      </c>
      <c r="AG490" s="25">
        <f t="shared" si="94"/>
        <v>422325.13</v>
      </c>
      <c r="AH490" s="1">
        <f t="shared" si="84"/>
        <v>3317.58</v>
      </c>
      <c r="AI490" s="1">
        <f t="shared" si="85"/>
        <v>3419.75</v>
      </c>
      <c r="AJ490" s="1">
        <v>4282.97</v>
      </c>
      <c r="AK490" s="1">
        <f t="shared" si="86"/>
        <v>-965.39000000000033</v>
      </c>
      <c r="AL490" s="29">
        <f t="shared" si="95"/>
        <v>863.22000000000025</v>
      </c>
      <c r="AM490" s="11">
        <f t="shared" si="87"/>
        <v>2653367.2122999998</v>
      </c>
    </row>
    <row r="491" spans="1:40" x14ac:dyDescent="0.3">
      <c r="A491" s="39">
        <v>45935.072916666664</v>
      </c>
      <c r="B491" s="1">
        <v>1481.49</v>
      </c>
      <c r="C491" s="11">
        <v>3.2732000000000001</v>
      </c>
      <c r="D491" s="1">
        <v>776.29</v>
      </c>
      <c r="E491" s="11">
        <v>3.0760000000000001</v>
      </c>
      <c r="F491" s="1">
        <v>407.89</v>
      </c>
      <c r="G491" s="11">
        <v>3.53</v>
      </c>
      <c r="H491" s="1">
        <v>-101.9</v>
      </c>
      <c r="I491" s="11">
        <v>4.4091400000000007</v>
      </c>
      <c r="J491" s="1">
        <v>144.22</v>
      </c>
      <c r="K491" s="11">
        <v>3.6406999999999998</v>
      </c>
      <c r="L491" s="1">
        <v>0</v>
      </c>
      <c r="M491" s="11">
        <v>6.2</v>
      </c>
      <c r="N491" s="1">
        <v>9.6</v>
      </c>
      <c r="O491" s="11">
        <v>2.8224999999999998</v>
      </c>
      <c r="P491" s="1">
        <f t="shared" si="88"/>
        <v>2717.5899999999992</v>
      </c>
      <c r="Q491" s="1">
        <v>2860.77</v>
      </c>
      <c r="R491" s="16">
        <f t="shared" si="89"/>
        <v>2194949.7990000001</v>
      </c>
      <c r="S491" s="1">
        <v>-728.67</v>
      </c>
      <c r="T491" s="1">
        <v>35.880000000000003</v>
      </c>
      <c r="U491" s="1">
        <v>12</v>
      </c>
      <c r="V491" s="1">
        <v>25.58</v>
      </c>
      <c r="W491" s="1" cm="1">
        <f t="array" ref="W491">SUM(ABS(S491:V491))</f>
        <v>802.13</v>
      </c>
      <c r="X491" s="25">
        <v>1.238</v>
      </c>
      <c r="Y491" s="42">
        <f t="shared" si="90"/>
        <v>248259.23499999999</v>
      </c>
      <c r="Z491" s="20">
        <v>483.63</v>
      </c>
      <c r="AA491" s="20">
        <f t="shared" si="91"/>
        <v>1285.76</v>
      </c>
      <c r="AB491" s="21">
        <v>0.22000000000000003</v>
      </c>
      <c r="AC491" s="21">
        <v>10.950000000000001</v>
      </c>
      <c r="AD491" s="8">
        <f t="shared" si="92"/>
        <v>494.8</v>
      </c>
      <c r="AE491" s="25">
        <v>1.238</v>
      </c>
      <c r="AF491" s="25">
        <f t="shared" si="93"/>
        <v>153140.6</v>
      </c>
      <c r="AG491" s="25">
        <f t="shared" si="94"/>
        <v>401399.83499999996</v>
      </c>
      <c r="AH491" s="1">
        <f t="shared" si="84"/>
        <v>3212.3899999999994</v>
      </c>
      <c r="AI491" s="1">
        <f t="shared" si="85"/>
        <v>3355.57</v>
      </c>
      <c r="AJ491" s="1">
        <v>4214.95</v>
      </c>
      <c r="AK491" s="1">
        <f t="shared" si="86"/>
        <v>-1002.5600000000004</v>
      </c>
      <c r="AL491" s="29">
        <f t="shared" si="95"/>
        <v>859.37999999999965</v>
      </c>
      <c r="AM491" s="11">
        <f t="shared" si="87"/>
        <v>2596349.6340000001</v>
      </c>
    </row>
    <row r="492" spans="1:40" x14ac:dyDescent="0.3">
      <c r="A492" s="39">
        <v>45935.083333333336</v>
      </c>
      <c r="B492" s="1">
        <v>1481.75</v>
      </c>
      <c r="C492" s="11">
        <v>3.2732000000000001</v>
      </c>
      <c r="D492" s="1">
        <v>776.29</v>
      </c>
      <c r="E492" s="11">
        <v>3.0760000000000001</v>
      </c>
      <c r="F492" s="1">
        <v>399.22</v>
      </c>
      <c r="G492" s="11">
        <v>3.53</v>
      </c>
      <c r="H492" s="1">
        <v>-101.9</v>
      </c>
      <c r="I492" s="11">
        <v>4.2556799999999999</v>
      </c>
      <c r="J492" s="1">
        <v>231.19</v>
      </c>
      <c r="K492" s="11">
        <v>3.9999799999999999</v>
      </c>
      <c r="L492" s="1">
        <v>0</v>
      </c>
      <c r="M492" s="11">
        <v>6.2</v>
      </c>
      <c r="N492" s="1">
        <v>9.6</v>
      </c>
      <c r="O492" s="11">
        <v>2.8224999999999998</v>
      </c>
      <c r="P492" s="1">
        <f t="shared" si="88"/>
        <v>2796.15</v>
      </c>
      <c r="Q492" s="1">
        <v>2923.97</v>
      </c>
      <c r="R492" s="16">
        <f t="shared" si="89"/>
        <v>2291344.0810500006</v>
      </c>
      <c r="S492" s="1">
        <v>-629.77</v>
      </c>
      <c r="T492" s="1">
        <v>35.869999999999997</v>
      </c>
      <c r="U492" s="1">
        <v>12</v>
      </c>
      <c r="V492" s="1">
        <v>25.62</v>
      </c>
      <c r="W492" s="1" cm="1">
        <f t="array" ref="W492">SUM(ABS(S492:V492))</f>
        <v>703.26</v>
      </c>
      <c r="X492" s="25">
        <v>1.238</v>
      </c>
      <c r="Y492" s="42">
        <f t="shared" si="90"/>
        <v>217658.96999999997</v>
      </c>
      <c r="Z492" s="20">
        <v>465.49</v>
      </c>
      <c r="AA492" s="20">
        <f t="shared" si="91"/>
        <v>1168.75</v>
      </c>
      <c r="AB492" s="21">
        <v>0.22999999999999998</v>
      </c>
      <c r="AC492" s="21">
        <v>11.65</v>
      </c>
      <c r="AD492" s="8">
        <f t="shared" si="92"/>
        <v>477.37</v>
      </c>
      <c r="AE492" s="25">
        <v>1.238</v>
      </c>
      <c r="AF492" s="25">
        <f t="shared" si="93"/>
        <v>147746.01500000001</v>
      </c>
      <c r="AG492" s="25">
        <f t="shared" si="94"/>
        <v>365404.98499999999</v>
      </c>
      <c r="AH492" s="1">
        <f t="shared" si="84"/>
        <v>3273.52</v>
      </c>
      <c r="AI492" s="1">
        <f t="shared" si="85"/>
        <v>3401.3399999999997</v>
      </c>
      <c r="AJ492" s="1">
        <v>4163.8100000000004</v>
      </c>
      <c r="AK492" s="1">
        <f t="shared" si="86"/>
        <v>-890.29000000000042</v>
      </c>
      <c r="AL492" s="29">
        <f t="shared" si="95"/>
        <v>762.47000000000071</v>
      </c>
      <c r="AM492" s="11">
        <f t="shared" si="87"/>
        <v>2656749.0660500005</v>
      </c>
    </row>
    <row r="493" spans="1:40" x14ac:dyDescent="0.3">
      <c r="A493" s="39">
        <v>45935.09375</v>
      </c>
      <c r="B493" s="1">
        <v>1482.84</v>
      </c>
      <c r="C493" s="11">
        <v>3.2732000000000001</v>
      </c>
      <c r="D493" s="1">
        <v>776.29</v>
      </c>
      <c r="E493" s="11">
        <v>3.0760000000000001</v>
      </c>
      <c r="F493" s="1">
        <v>398.57</v>
      </c>
      <c r="G493" s="11">
        <v>3.53</v>
      </c>
      <c r="H493" s="1">
        <v>-101.9</v>
      </c>
      <c r="I493" s="11">
        <v>4.2500900000000001</v>
      </c>
      <c r="J493" s="1">
        <v>237.52</v>
      </c>
      <c r="K493" s="11">
        <v>3.9994499999999999</v>
      </c>
      <c r="L493" s="1">
        <v>0</v>
      </c>
      <c r="M493" s="11">
        <v>6.2</v>
      </c>
      <c r="N493" s="1">
        <v>9.6</v>
      </c>
      <c r="O493" s="11">
        <v>2.8224999999999998</v>
      </c>
      <c r="P493" s="1">
        <f t="shared" si="88"/>
        <v>2802.92</v>
      </c>
      <c r="Q493" s="1">
        <v>2856.06</v>
      </c>
      <c r="R493" s="16">
        <f t="shared" si="89"/>
        <v>2298103.3052499997</v>
      </c>
      <c r="S493" s="1">
        <v>-643.20000000000005</v>
      </c>
      <c r="T493" s="1">
        <v>35.83</v>
      </c>
      <c r="U493" s="1">
        <v>12</v>
      </c>
      <c r="V493" s="1">
        <v>25.66</v>
      </c>
      <c r="W493" s="1" cm="1">
        <f t="array" ref="W493">SUM(ABS(S493:V493))</f>
        <v>716.69</v>
      </c>
      <c r="X493" s="25">
        <v>1.238</v>
      </c>
      <c r="Y493" s="42">
        <f t="shared" si="90"/>
        <v>221815.55500000002</v>
      </c>
      <c r="Z493" s="20">
        <v>467.70000000000005</v>
      </c>
      <c r="AA493" s="20">
        <f t="shared" si="91"/>
        <v>1184.3900000000001</v>
      </c>
      <c r="AB493" s="21">
        <v>0.22999999999999998</v>
      </c>
      <c r="AC493" s="21">
        <v>11.9</v>
      </c>
      <c r="AD493" s="8">
        <f t="shared" si="92"/>
        <v>479.83000000000004</v>
      </c>
      <c r="AE493" s="25">
        <v>1.238</v>
      </c>
      <c r="AF493" s="25">
        <f t="shared" si="93"/>
        <v>148507.38500000001</v>
      </c>
      <c r="AG493" s="25">
        <f t="shared" si="94"/>
        <v>370322.94000000006</v>
      </c>
      <c r="AH493" s="1">
        <f t="shared" si="84"/>
        <v>3282.75</v>
      </c>
      <c r="AI493" s="1">
        <f t="shared" si="85"/>
        <v>3335.89</v>
      </c>
      <c r="AJ493" s="1">
        <v>4109.2</v>
      </c>
      <c r="AK493" s="1">
        <f t="shared" si="86"/>
        <v>-826.44999999999982</v>
      </c>
      <c r="AL493" s="29">
        <f t="shared" si="95"/>
        <v>773.31</v>
      </c>
      <c r="AM493" s="11">
        <f t="shared" si="87"/>
        <v>2668426.2452499997</v>
      </c>
    </row>
    <row r="494" spans="1:40" x14ac:dyDescent="0.3">
      <c r="A494" s="39">
        <v>45935.104166666664</v>
      </c>
      <c r="B494" s="1">
        <v>1484.16</v>
      </c>
      <c r="C494" s="11">
        <v>3.2732000000000001</v>
      </c>
      <c r="D494" s="1">
        <v>776.29</v>
      </c>
      <c r="E494" s="11">
        <v>3.0760000000000001</v>
      </c>
      <c r="F494" s="1">
        <v>398.57</v>
      </c>
      <c r="G494" s="11">
        <v>3.53</v>
      </c>
      <c r="H494" s="1">
        <v>-101.9</v>
      </c>
      <c r="I494" s="11">
        <v>4.1001899999999996</v>
      </c>
      <c r="J494" s="1">
        <v>237.52</v>
      </c>
      <c r="K494" s="11">
        <v>3.9942199999999999</v>
      </c>
      <c r="L494" s="1">
        <v>0</v>
      </c>
      <c r="M494" s="11">
        <v>6.2</v>
      </c>
      <c r="N494" s="1">
        <v>23.63</v>
      </c>
      <c r="O494" s="11">
        <v>2.8224999999999998</v>
      </c>
      <c r="P494" s="1">
        <f t="shared" si="88"/>
        <v>2818.27</v>
      </c>
      <c r="Q494" s="1">
        <v>2759.41</v>
      </c>
      <c r="R494" s="16">
        <f t="shared" si="89"/>
        <v>2312591.5251000007</v>
      </c>
      <c r="S494" s="1">
        <v>-686.76</v>
      </c>
      <c r="T494" s="1">
        <v>35.79</v>
      </c>
      <c r="U494" s="1">
        <v>12</v>
      </c>
      <c r="V494" s="1">
        <v>25.76</v>
      </c>
      <c r="W494" s="1" cm="1">
        <f t="array" ref="W494">SUM(ABS(S494:V494))</f>
        <v>760.31</v>
      </c>
      <c r="X494" s="25">
        <v>1.238</v>
      </c>
      <c r="Y494" s="42">
        <f t="shared" si="90"/>
        <v>235315.94499999998</v>
      </c>
      <c r="Z494" s="20">
        <v>466.88</v>
      </c>
      <c r="AA494" s="20">
        <f t="shared" si="91"/>
        <v>1227.19</v>
      </c>
      <c r="AB494" s="21">
        <v>0.22999999999999998</v>
      </c>
      <c r="AC494" s="21">
        <v>11.020000000000001</v>
      </c>
      <c r="AD494" s="8">
        <f t="shared" si="92"/>
        <v>478.13</v>
      </c>
      <c r="AE494" s="25">
        <v>1.238</v>
      </c>
      <c r="AF494" s="25">
        <f t="shared" si="93"/>
        <v>147981.23499999999</v>
      </c>
      <c r="AG494" s="25">
        <f t="shared" si="94"/>
        <v>383297.17999999993</v>
      </c>
      <c r="AH494" s="1">
        <f t="shared" si="84"/>
        <v>3296.4</v>
      </c>
      <c r="AI494" s="1">
        <f t="shared" si="85"/>
        <v>3237.54</v>
      </c>
      <c r="AJ494" s="1">
        <v>4053.3</v>
      </c>
      <c r="AK494" s="1">
        <f t="shared" si="86"/>
        <v>-756.90000000000009</v>
      </c>
      <c r="AL494" s="29">
        <f t="shared" si="95"/>
        <v>815.76000000000022</v>
      </c>
      <c r="AM494" s="11">
        <f t="shared" si="87"/>
        <v>2695888.7051000008</v>
      </c>
    </row>
    <row r="495" spans="1:40" x14ac:dyDescent="0.3">
      <c r="A495" s="39">
        <v>45935.114583333336</v>
      </c>
      <c r="B495" s="1">
        <v>1484.43</v>
      </c>
      <c r="C495" s="11">
        <v>3.2732000000000001</v>
      </c>
      <c r="D495" s="1">
        <v>776.29</v>
      </c>
      <c r="E495" s="11">
        <v>3.0760000000000001</v>
      </c>
      <c r="F495" s="1">
        <v>398.57</v>
      </c>
      <c r="G495" s="11">
        <v>3.53</v>
      </c>
      <c r="H495" s="1">
        <v>-101.9</v>
      </c>
      <c r="I495" s="11">
        <v>4.00054</v>
      </c>
      <c r="J495" s="1">
        <v>192.37</v>
      </c>
      <c r="K495" s="11">
        <v>3.8801999999999999</v>
      </c>
      <c r="L495" s="1">
        <v>0</v>
      </c>
      <c r="M495" s="11">
        <v>6.2</v>
      </c>
      <c r="N495" s="1">
        <v>23.76</v>
      </c>
      <c r="O495" s="11">
        <v>2.8224999999999998</v>
      </c>
      <c r="P495" s="1">
        <f t="shared" si="88"/>
        <v>2773.5200000000004</v>
      </c>
      <c r="Q495" s="1">
        <v>2750.13</v>
      </c>
      <c r="R495" s="16">
        <f t="shared" si="89"/>
        <v>2264874.5159999998</v>
      </c>
      <c r="S495" s="1">
        <v>-686.98</v>
      </c>
      <c r="T495" s="1">
        <v>35.76</v>
      </c>
      <c r="U495" s="1">
        <v>12</v>
      </c>
      <c r="V495" s="1">
        <v>25.78</v>
      </c>
      <c r="W495" s="1" cm="1">
        <f t="array" ref="W495">SUM(ABS(S495:V495))</f>
        <v>760.52</v>
      </c>
      <c r="X495" s="25">
        <v>1.238</v>
      </c>
      <c r="Y495" s="42">
        <f t="shared" si="90"/>
        <v>235380.93999999997</v>
      </c>
      <c r="Z495" s="20">
        <v>450.34999999999997</v>
      </c>
      <c r="AA495" s="20">
        <f t="shared" si="91"/>
        <v>1210.8699999999999</v>
      </c>
      <c r="AB495" s="21">
        <v>0.22999999999999998</v>
      </c>
      <c r="AC495" s="21">
        <v>10.32</v>
      </c>
      <c r="AD495" s="8">
        <f t="shared" si="92"/>
        <v>460.9</v>
      </c>
      <c r="AE495" s="25">
        <v>1.238</v>
      </c>
      <c r="AF495" s="25">
        <f t="shared" si="93"/>
        <v>142648.54999999999</v>
      </c>
      <c r="AG495" s="25">
        <f t="shared" si="94"/>
        <v>378029.49</v>
      </c>
      <c r="AH495" s="1">
        <f t="shared" si="84"/>
        <v>3234.4200000000005</v>
      </c>
      <c r="AI495" s="1">
        <f t="shared" si="85"/>
        <v>3211.03</v>
      </c>
      <c r="AJ495" s="1">
        <v>4013.17</v>
      </c>
      <c r="AK495" s="1">
        <f t="shared" si="86"/>
        <v>-778.74999999999955</v>
      </c>
      <c r="AL495" s="29">
        <f t="shared" si="95"/>
        <v>802.13999999999987</v>
      </c>
      <c r="AM495" s="11">
        <f t="shared" si="87"/>
        <v>2642904.0060000001</v>
      </c>
    </row>
    <row r="496" spans="1:40" x14ac:dyDescent="0.3">
      <c r="A496" s="39">
        <v>45935.125</v>
      </c>
      <c r="B496" s="1">
        <v>1485.51</v>
      </c>
      <c r="C496" s="11">
        <v>3.2732000000000001</v>
      </c>
      <c r="D496" s="1">
        <v>1146.52</v>
      </c>
      <c r="E496" s="11">
        <v>3.0760000000000001</v>
      </c>
      <c r="F496" s="1">
        <v>28.34</v>
      </c>
      <c r="G496" s="11">
        <v>3.53</v>
      </c>
      <c r="H496" s="1">
        <v>-101.9</v>
      </c>
      <c r="I496" s="11">
        <v>4.1001700000000003</v>
      </c>
      <c r="J496" s="1">
        <v>189.26</v>
      </c>
      <c r="K496" s="11">
        <v>2.80044</v>
      </c>
      <c r="L496" s="1">
        <v>0</v>
      </c>
      <c r="M496" s="11">
        <v>6.2</v>
      </c>
      <c r="N496" s="1">
        <v>23.14</v>
      </c>
      <c r="O496" s="11">
        <v>2.8224999999999998</v>
      </c>
      <c r="P496" s="1">
        <f t="shared" si="88"/>
        <v>2770.8699999999994</v>
      </c>
      <c r="Q496" s="1">
        <v>2742.78</v>
      </c>
      <c r="R496" s="16">
        <f t="shared" si="89"/>
        <v>2166655.91335</v>
      </c>
      <c r="S496" s="1">
        <v>-697.56</v>
      </c>
      <c r="T496" s="1">
        <v>35.76</v>
      </c>
      <c r="U496" s="1">
        <v>12</v>
      </c>
      <c r="V496" s="1">
        <v>25.82</v>
      </c>
      <c r="W496" s="1" cm="1">
        <f t="array" ref="W496">SUM(ABS(S496:V496))</f>
        <v>771.14</v>
      </c>
      <c r="X496" s="25">
        <v>1.238</v>
      </c>
      <c r="Y496" s="42">
        <f t="shared" si="90"/>
        <v>238667.83</v>
      </c>
      <c r="Z496" s="20">
        <v>445.22</v>
      </c>
      <c r="AA496" s="20">
        <f t="shared" si="91"/>
        <v>1216.3600000000001</v>
      </c>
      <c r="AB496" s="21">
        <v>0.22999999999999998</v>
      </c>
      <c r="AC496" s="21">
        <v>8.42</v>
      </c>
      <c r="AD496" s="8">
        <f t="shared" si="92"/>
        <v>453.87000000000006</v>
      </c>
      <c r="AE496" s="25">
        <v>1.238</v>
      </c>
      <c r="AF496" s="25">
        <f t="shared" si="93"/>
        <v>140472.76500000001</v>
      </c>
      <c r="AG496" s="25">
        <f t="shared" si="94"/>
        <v>379140.59499999997</v>
      </c>
      <c r="AH496" s="1">
        <f t="shared" si="84"/>
        <v>3224.7399999999993</v>
      </c>
      <c r="AI496" s="1">
        <f t="shared" si="85"/>
        <v>3196.65</v>
      </c>
      <c r="AJ496" s="1">
        <v>3978.47</v>
      </c>
      <c r="AK496" s="1">
        <f t="shared" si="86"/>
        <v>-753.73000000000047</v>
      </c>
      <c r="AL496" s="29">
        <f t="shared" si="95"/>
        <v>781.81999999999971</v>
      </c>
      <c r="AM496" s="11">
        <f t="shared" si="87"/>
        <v>2545796.5083499998</v>
      </c>
    </row>
    <row r="497" spans="1:39" x14ac:dyDescent="0.3">
      <c r="A497" s="39">
        <v>45935.135416666664</v>
      </c>
      <c r="B497" s="1">
        <v>1485.77</v>
      </c>
      <c r="C497" s="11">
        <v>3.2732000000000001</v>
      </c>
      <c r="D497" s="1">
        <v>1174.8599999999999</v>
      </c>
      <c r="E497" s="11">
        <v>3.0760000000000001</v>
      </c>
      <c r="F497" s="1">
        <v>0</v>
      </c>
      <c r="G497" s="11">
        <v>3.53</v>
      </c>
      <c r="H497" s="1">
        <v>-101.9</v>
      </c>
      <c r="I497" s="11">
        <v>3.9496100000000003</v>
      </c>
      <c r="J497" s="1">
        <v>135.07</v>
      </c>
      <c r="K497" s="11">
        <v>2.8003499999999999</v>
      </c>
      <c r="L497" s="1">
        <v>0</v>
      </c>
      <c r="M497" s="11">
        <v>6.2</v>
      </c>
      <c r="N497" s="1">
        <v>22.26</v>
      </c>
      <c r="O497" s="11">
        <v>2.8224999999999998</v>
      </c>
      <c r="P497" s="1">
        <f t="shared" si="88"/>
        <v>2716.0600000000004</v>
      </c>
      <c r="Q497" s="1">
        <v>2685.48</v>
      </c>
      <c r="R497" s="16">
        <f t="shared" si="89"/>
        <v>2128924.6473750002</v>
      </c>
      <c r="S497" s="1">
        <v>-698.24</v>
      </c>
      <c r="T497" s="1">
        <v>35.71</v>
      </c>
      <c r="U497" s="1">
        <v>12</v>
      </c>
      <c r="V497" s="1">
        <v>25.85</v>
      </c>
      <c r="W497" s="1" cm="1">
        <f t="array" ref="W497">SUM(ABS(S497:V497))</f>
        <v>771.80000000000007</v>
      </c>
      <c r="X497" s="25">
        <v>1.238</v>
      </c>
      <c r="Y497" s="42">
        <f t="shared" si="90"/>
        <v>238872.1</v>
      </c>
      <c r="Z497" s="20">
        <v>443.40000000000003</v>
      </c>
      <c r="AA497" s="20">
        <f t="shared" si="91"/>
        <v>1215.2</v>
      </c>
      <c r="AB497" s="21">
        <v>0.22999999999999998</v>
      </c>
      <c r="AC497" s="21">
        <v>6.38</v>
      </c>
      <c r="AD497" s="8">
        <f t="shared" si="92"/>
        <v>450.01000000000005</v>
      </c>
      <c r="AE497" s="25">
        <v>1.238</v>
      </c>
      <c r="AF497" s="25">
        <f t="shared" si="93"/>
        <v>139278.095</v>
      </c>
      <c r="AG497" s="25">
        <f t="shared" si="94"/>
        <v>378150.19500000001</v>
      </c>
      <c r="AH497" s="1">
        <f t="shared" si="84"/>
        <v>3166.0700000000006</v>
      </c>
      <c r="AI497" s="1">
        <f t="shared" si="85"/>
        <v>3135.4900000000002</v>
      </c>
      <c r="AJ497" s="1">
        <v>3919.65</v>
      </c>
      <c r="AK497" s="1">
        <f t="shared" si="86"/>
        <v>-753.57999999999947</v>
      </c>
      <c r="AL497" s="29">
        <f t="shared" si="95"/>
        <v>784.15999999999985</v>
      </c>
      <c r="AM497" s="11">
        <f t="shared" si="87"/>
        <v>2507074.842375</v>
      </c>
    </row>
    <row r="498" spans="1:39" x14ac:dyDescent="0.3">
      <c r="A498" s="39">
        <v>45935.145833333336</v>
      </c>
      <c r="B498" s="1">
        <v>1485.78</v>
      </c>
      <c r="C498" s="11">
        <v>3.2732000000000001</v>
      </c>
      <c r="D498" s="1">
        <v>1174.8599999999999</v>
      </c>
      <c r="E498" s="11">
        <v>3.0760000000000001</v>
      </c>
      <c r="F498" s="1">
        <v>0</v>
      </c>
      <c r="G498" s="11">
        <v>3.53</v>
      </c>
      <c r="H498" s="1">
        <v>-101.9</v>
      </c>
      <c r="I498" s="11">
        <v>3.8008800000000003</v>
      </c>
      <c r="J498" s="1">
        <v>95.26</v>
      </c>
      <c r="K498" s="11">
        <v>3.6107</v>
      </c>
      <c r="L498" s="1">
        <v>0</v>
      </c>
      <c r="M498" s="11">
        <v>6.2</v>
      </c>
      <c r="N498" s="1">
        <v>16.87</v>
      </c>
      <c r="O498" s="11">
        <v>2.8224999999999998</v>
      </c>
      <c r="P498" s="1">
        <f t="shared" si="88"/>
        <v>2670.87</v>
      </c>
      <c r="Q498" s="1">
        <v>2669.43</v>
      </c>
      <c r="R498" s="16">
        <f t="shared" si="89"/>
        <v>2120346.4102499997</v>
      </c>
      <c r="S498" s="1">
        <v>-679.06</v>
      </c>
      <c r="T498" s="1">
        <v>35.67</v>
      </c>
      <c r="U498" s="1">
        <v>12</v>
      </c>
      <c r="V498" s="1">
        <v>24.36</v>
      </c>
      <c r="W498" s="1" cm="1">
        <f t="array" ref="W498">SUM(ABS(S498:V498))</f>
        <v>751.08999999999992</v>
      </c>
      <c r="X498" s="25">
        <v>1.238</v>
      </c>
      <c r="Y498" s="42">
        <f t="shared" si="90"/>
        <v>232462.35499999998</v>
      </c>
      <c r="Z498" s="20">
        <v>459.03</v>
      </c>
      <c r="AA498" s="20">
        <f t="shared" si="91"/>
        <v>1210.1199999999999</v>
      </c>
      <c r="AB498" s="21">
        <v>0.22999999999999998</v>
      </c>
      <c r="AC498" s="21">
        <v>5.07</v>
      </c>
      <c r="AD498" s="8">
        <f t="shared" si="92"/>
        <v>464.33</v>
      </c>
      <c r="AE498" s="25">
        <v>1.238</v>
      </c>
      <c r="AF498" s="25">
        <f t="shared" si="93"/>
        <v>143710.13499999998</v>
      </c>
      <c r="AG498" s="25">
        <f t="shared" si="94"/>
        <v>376172.49</v>
      </c>
      <c r="AH498" s="1">
        <f t="shared" si="84"/>
        <v>3135.2</v>
      </c>
      <c r="AI498" s="1">
        <f t="shared" si="85"/>
        <v>3133.7599999999998</v>
      </c>
      <c r="AJ498" s="1">
        <v>3892.46</v>
      </c>
      <c r="AK498" s="1">
        <f t="shared" si="86"/>
        <v>-757.26000000000022</v>
      </c>
      <c r="AL498" s="29">
        <f t="shared" si="95"/>
        <v>758.70000000000027</v>
      </c>
      <c r="AM498" s="11">
        <f t="shared" si="87"/>
        <v>2496518.9002499999</v>
      </c>
    </row>
    <row r="499" spans="1:39" x14ac:dyDescent="0.3">
      <c r="A499" s="39">
        <v>45935.15625</v>
      </c>
      <c r="B499" s="1">
        <v>1485.78</v>
      </c>
      <c r="C499" s="11">
        <v>3.2732000000000001</v>
      </c>
      <c r="D499" s="1">
        <v>1174.8599999999999</v>
      </c>
      <c r="E499" s="11">
        <v>3.0760000000000001</v>
      </c>
      <c r="F499" s="1">
        <v>0</v>
      </c>
      <c r="G499" s="11">
        <v>3.53</v>
      </c>
      <c r="H499" s="1">
        <v>-101.9</v>
      </c>
      <c r="I499" s="11">
        <v>3.6103100000000001</v>
      </c>
      <c r="J499" s="1">
        <v>47.57</v>
      </c>
      <c r="K499" s="11">
        <v>3.7500399999999998</v>
      </c>
      <c r="L499" s="1">
        <v>0</v>
      </c>
      <c r="M499" s="11">
        <v>6.2</v>
      </c>
      <c r="N499" s="1">
        <v>15.94</v>
      </c>
      <c r="O499" s="11">
        <v>2.8224999999999998</v>
      </c>
      <c r="P499" s="1">
        <f t="shared" si="88"/>
        <v>2622.25</v>
      </c>
      <c r="Q499" s="1">
        <v>2623.93</v>
      </c>
      <c r="R499" s="16">
        <f t="shared" si="89"/>
        <v>2083153.4799500001</v>
      </c>
      <c r="S499" s="1">
        <v>-702.81</v>
      </c>
      <c r="T499" s="1">
        <v>35.659999999999997</v>
      </c>
      <c r="U499" s="1">
        <v>12</v>
      </c>
      <c r="V499" s="1">
        <v>25.22</v>
      </c>
      <c r="W499" s="1" cm="1">
        <f t="array" ref="W499">SUM(ABS(S499:V499))</f>
        <v>775.68999999999994</v>
      </c>
      <c r="X499" s="25">
        <v>1.238</v>
      </c>
      <c r="Y499" s="42">
        <f t="shared" si="90"/>
        <v>240076.05499999996</v>
      </c>
      <c r="Z499" s="20">
        <v>455.40999999999997</v>
      </c>
      <c r="AA499" s="20">
        <f t="shared" si="91"/>
        <v>1231.0999999999999</v>
      </c>
      <c r="AB499" s="21">
        <v>0.22999999999999998</v>
      </c>
      <c r="AC499" s="21">
        <v>4.3600000000000003</v>
      </c>
      <c r="AD499" s="8">
        <f t="shared" si="92"/>
        <v>460</v>
      </c>
      <c r="AE499" s="25">
        <v>1.238</v>
      </c>
      <c r="AF499" s="25">
        <f t="shared" si="93"/>
        <v>142370</v>
      </c>
      <c r="AG499" s="25">
        <f t="shared" si="94"/>
        <v>382446.05499999993</v>
      </c>
      <c r="AH499" s="1">
        <f t="shared" si="84"/>
        <v>3082.25</v>
      </c>
      <c r="AI499" s="1">
        <f t="shared" si="85"/>
        <v>3083.93</v>
      </c>
      <c r="AJ499" s="1">
        <v>3867.16</v>
      </c>
      <c r="AK499" s="1">
        <f t="shared" si="86"/>
        <v>-784.90999999999985</v>
      </c>
      <c r="AL499" s="29">
        <f t="shared" si="95"/>
        <v>783.23</v>
      </c>
      <c r="AM499" s="11">
        <f t="shared" si="87"/>
        <v>2465599.5349500002</v>
      </c>
    </row>
    <row r="500" spans="1:39" x14ac:dyDescent="0.3">
      <c r="A500" s="39">
        <v>45935.166666666664</v>
      </c>
      <c r="B500" s="1">
        <v>1487.07</v>
      </c>
      <c r="C500" s="11">
        <v>3.2732000000000001</v>
      </c>
      <c r="D500" s="1">
        <v>1174.8599999999999</v>
      </c>
      <c r="E500" s="11">
        <v>3.0760000000000001</v>
      </c>
      <c r="F500" s="1">
        <v>0</v>
      </c>
      <c r="G500" s="11">
        <v>3.53</v>
      </c>
      <c r="H500" s="1">
        <v>-101.9</v>
      </c>
      <c r="I500" s="11">
        <v>3.9490599999999998</v>
      </c>
      <c r="J500" s="1">
        <v>44.46</v>
      </c>
      <c r="K500" s="11">
        <v>3.76959</v>
      </c>
      <c r="L500" s="1">
        <v>0</v>
      </c>
      <c r="M500" s="11">
        <v>6.2</v>
      </c>
      <c r="N500" s="1">
        <v>15.06</v>
      </c>
      <c r="O500" s="11">
        <v>2.8224999999999998</v>
      </c>
      <c r="P500" s="1">
        <f t="shared" si="88"/>
        <v>2619.5499999999997</v>
      </c>
      <c r="Q500" s="1">
        <v>2602.16</v>
      </c>
      <c r="R500" s="16">
        <f t="shared" si="89"/>
        <v>2072260.1228499992</v>
      </c>
      <c r="S500" s="1">
        <v>-697.35</v>
      </c>
      <c r="T500" s="1">
        <v>35.700000000000003</v>
      </c>
      <c r="U500" s="1">
        <v>12</v>
      </c>
      <c r="V500" s="1">
        <v>22.45</v>
      </c>
      <c r="W500" s="1" cm="1">
        <f t="array" ref="W500">SUM(ABS(S500:V500))</f>
        <v>767.50000000000011</v>
      </c>
      <c r="X500" s="25">
        <v>1.238</v>
      </c>
      <c r="Y500" s="42">
        <f t="shared" si="90"/>
        <v>237541.25000000003</v>
      </c>
      <c r="Z500" s="20">
        <v>444.25</v>
      </c>
      <c r="AA500" s="20">
        <f t="shared" si="91"/>
        <v>1211.75</v>
      </c>
      <c r="AB500" s="21">
        <v>0.24</v>
      </c>
      <c r="AC500" s="21">
        <v>3.1</v>
      </c>
      <c r="AD500" s="8">
        <f t="shared" si="92"/>
        <v>447.59000000000003</v>
      </c>
      <c r="AE500" s="25">
        <v>1.238</v>
      </c>
      <c r="AF500" s="25">
        <f t="shared" si="93"/>
        <v>138529.10500000001</v>
      </c>
      <c r="AG500" s="25">
        <f t="shared" si="94"/>
        <v>376070.35500000004</v>
      </c>
      <c r="AH500" s="1">
        <f t="shared" si="84"/>
        <v>3067.14</v>
      </c>
      <c r="AI500" s="1">
        <f t="shared" si="85"/>
        <v>3049.75</v>
      </c>
      <c r="AJ500" s="1">
        <v>3828.12</v>
      </c>
      <c r="AK500" s="1">
        <f t="shared" si="86"/>
        <v>-760.98</v>
      </c>
      <c r="AL500" s="29">
        <f t="shared" si="95"/>
        <v>778.36999999999989</v>
      </c>
      <c r="AM500" s="11">
        <f t="shared" si="87"/>
        <v>2448330.4778499994</v>
      </c>
    </row>
    <row r="501" spans="1:39" x14ac:dyDescent="0.3">
      <c r="A501" s="39">
        <v>45935.177083333336</v>
      </c>
      <c r="B501" s="1">
        <v>1488.73</v>
      </c>
      <c r="C501" s="11">
        <v>3.2732000000000001</v>
      </c>
      <c r="D501" s="1">
        <v>1174.8599999999999</v>
      </c>
      <c r="E501" s="11">
        <v>3.0760000000000001</v>
      </c>
      <c r="F501" s="1">
        <v>0</v>
      </c>
      <c r="G501" s="11">
        <v>3.53</v>
      </c>
      <c r="H501" s="1">
        <v>-101.9</v>
      </c>
      <c r="I501" s="11">
        <v>3.80057</v>
      </c>
      <c r="J501" s="1">
        <v>44.46</v>
      </c>
      <c r="K501" s="11">
        <v>3.8792900000000001</v>
      </c>
      <c r="L501" s="1">
        <v>0</v>
      </c>
      <c r="M501" s="11">
        <v>6.2</v>
      </c>
      <c r="N501" s="1">
        <v>14.44</v>
      </c>
      <c r="O501" s="11">
        <v>2.8224999999999998</v>
      </c>
      <c r="P501" s="1">
        <f t="shared" si="88"/>
        <v>2620.59</v>
      </c>
      <c r="Q501" s="1">
        <v>2623.91</v>
      </c>
      <c r="R501" s="16">
        <f t="shared" si="89"/>
        <v>2078183.1115999999</v>
      </c>
      <c r="S501" s="1">
        <v>-686</v>
      </c>
      <c r="T501" s="1">
        <v>35.72</v>
      </c>
      <c r="U501" s="1">
        <v>12</v>
      </c>
      <c r="V501" s="1">
        <v>0.01</v>
      </c>
      <c r="W501" s="1" cm="1">
        <f t="array" ref="W501">SUM(ABS(S501:V501))</f>
        <v>733.73</v>
      </c>
      <c r="X501" s="25">
        <v>1.238</v>
      </c>
      <c r="Y501" s="42">
        <f t="shared" si="90"/>
        <v>227089.435</v>
      </c>
      <c r="Z501" s="20">
        <v>444.22999999999996</v>
      </c>
      <c r="AA501" s="20">
        <f t="shared" si="91"/>
        <v>1177.96</v>
      </c>
      <c r="AB501" s="21">
        <v>0.22999999999999998</v>
      </c>
      <c r="AC501" s="21">
        <v>1.67</v>
      </c>
      <c r="AD501" s="8">
        <f t="shared" si="92"/>
        <v>446.13</v>
      </c>
      <c r="AE501" s="25">
        <v>1.238</v>
      </c>
      <c r="AF501" s="25">
        <f t="shared" si="93"/>
        <v>138077.23500000002</v>
      </c>
      <c r="AG501" s="25">
        <f t="shared" si="94"/>
        <v>365166.67000000004</v>
      </c>
      <c r="AH501" s="1">
        <f t="shared" si="84"/>
        <v>3066.7200000000003</v>
      </c>
      <c r="AI501" s="1">
        <f t="shared" si="85"/>
        <v>3070.04</v>
      </c>
      <c r="AJ501" s="1">
        <v>3811.02</v>
      </c>
      <c r="AK501" s="1">
        <f t="shared" si="86"/>
        <v>-744.29999999999973</v>
      </c>
      <c r="AL501" s="29">
        <f t="shared" si="95"/>
        <v>740.98</v>
      </c>
      <c r="AM501" s="11">
        <f t="shared" si="87"/>
        <v>2443349.7815999999</v>
      </c>
    </row>
    <row r="502" spans="1:39" x14ac:dyDescent="0.3">
      <c r="A502" s="39">
        <v>45935.1875</v>
      </c>
      <c r="B502" s="1">
        <v>1490.41</v>
      </c>
      <c r="C502" s="11">
        <v>3.2732000000000001</v>
      </c>
      <c r="D502" s="1">
        <v>1174.8599999999999</v>
      </c>
      <c r="E502" s="11">
        <v>3.0760000000000001</v>
      </c>
      <c r="F502" s="1">
        <v>0</v>
      </c>
      <c r="G502" s="11">
        <v>3.53</v>
      </c>
      <c r="H502" s="1">
        <v>-101.9</v>
      </c>
      <c r="I502" s="11">
        <v>4.0295300000000003</v>
      </c>
      <c r="J502" s="1">
        <v>44.46</v>
      </c>
      <c r="K502" s="11">
        <v>3.7504899999999997</v>
      </c>
      <c r="L502" s="1">
        <v>0</v>
      </c>
      <c r="M502" s="11">
        <v>6.2</v>
      </c>
      <c r="N502" s="1">
        <v>13.56</v>
      </c>
      <c r="O502" s="11">
        <v>2.8224999999999998</v>
      </c>
      <c r="P502" s="1">
        <f t="shared" si="88"/>
        <v>2621.39</v>
      </c>
      <c r="Q502" s="1">
        <v>2598.7199999999998</v>
      </c>
      <c r="R502" s="16">
        <f t="shared" si="89"/>
        <v>2071672.5376000004</v>
      </c>
      <c r="S502" s="1">
        <v>-685.99</v>
      </c>
      <c r="T502" s="1">
        <v>35.74</v>
      </c>
      <c r="U502" s="1">
        <v>12</v>
      </c>
      <c r="V502" s="1">
        <v>0</v>
      </c>
      <c r="W502" s="1" cm="1">
        <f t="array" ref="W502">SUM(ABS(S502:V502))</f>
        <v>733.73</v>
      </c>
      <c r="X502" s="25">
        <v>1.238</v>
      </c>
      <c r="Y502" s="42">
        <f t="shared" si="90"/>
        <v>227089.435</v>
      </c>
      <c r="Z502" s="20">
        <v>444.37999999999994</v>
      </c>
      <c r="AA502" s="20">
        <f t="shared" si="91"/>
        <v>1178.1099999999999</v>
      </c>
      <c r="AB502" s="21">
        <v>0.22999999999999998</v>
      </c>
      <c r="AC502" s="21">
        <v>1.43</v>
      </c>
      <c r="AD502" s="8">
        <f t="shared" si="92"/>
        <v>446.03999999999996</v>
      </c>
      <c r="AE502" s="25">
        <v>1.238</v>
      </c>
      <c r="AF502" s="25">
        <f t="shared" si="93"/>
        <v>138049.37999999998</v>
      </c>
      <c r="AG502" s="25">
        <f t="shared" si="94"/>
        <v>365138.81499999994</v>
      </c>
      <c r="AH502" s="1">
        <f t="shared" si="84"/>
        <v>3067.43</v>
      </c>
      <c r="AI502" s="1">
        <f t="shared" si="85"/>
        <v>3044.7599999999998</v>
      </c>
      <c r="AJ502" s="1">
        <v>3788.3</v>
      </c>
      <c r="AK502" s="1">
        <f t="shared" si="86"/>
        <v>-720.87000000000035</v>
      </c>
      <c r="AL502" s="29">
        <f t="shared" si="95"/>
        <v>743.54000000000042</v>
      </c>
      <c r="AM502" s="11">
        <f t="shared" si="87"/>
        <v>2436811.3526000003</v>
      </c>
    </row>
    <row r="503" spans="1:39" x14ac:dyDescent="0.3">
      <c r="A503" s="39">
        <v>45935.197916666664</v>
      </c>
      <c r="B503" s="1">
        <v>1491.63</v>
      </c>
      <c r="C503" s="11">
        <v>3.2732000000000001</v>
      </c>
      <c r="D503" s="1">
        <v>1174.8599999999999</v>
      </c>
      <c r="E503" s="11">
        <v>3.0760000000000001</v>
      </c>
      <c r="F503" s="1">
        <v>0</v>
      </c>
      <c r="G503" s="11">
        <v>3.53</v>
      </c>
      <c r="H503" s="1">
        <v>-101.9</v>
      </c>
      <c r="I503" s="11">
        <v>4.1002700000000001</v>
      </c>
      <c r="J503" s="1">
        <v>44.46</v>
      </c>
      <c r="K503" s="11">
        <v>3.7714499999999997</v>
      </c>
      <c r="L503" s="1">
        <v>0</v>
      </c>
      <c r="M503" s="11">
        <v>6.2</v>
      </c>
      <c r="N503" s="1">
        <v>11.54</v>
      </c>
      <c r="O503" s="11">
        <v>2.8224999999999998</v>
      </c>
      <c r="P503" s="1">
        <f t="shared" si="88"/>
        <v>2620.5899999999997</v>
      </c>
      <c r="Q503" s="1">
        <v>2595.5</v>
      </c>
      <c r="R503" s="16">
        <f t="shared" si="89"/>
        <v>2069676.37</v>
      </c>
      <c r="S503" s="1">
        <v>-686.86</v>
      </c>
      <c r="T503" s="1">
        <v>35.74</v>
      </c>
      <c r="U503" s="1">
        <v>12</v>
      </c>
      <c r="V503" s="1">
        <v>0</v>
      </c>
      <c r="W503" s="1" cm="1">
        <f t="array" ref="W503">SUM(ABS(S503:V503))</f>
        <v>734.6</v>
      </c>
      <c r="X503" s="25">
        <v>1.238</v>
      </c>
      <c r="Y503" s="42">
        <f t="shared" si="90"/>
        <v>227358.7</v>
      </c>
      <c r="Z503" s="20">
        <v>444.29</v>
      </c>
      <c r="AA503" s="20">
        <f t="shared" si="91"/>
        <v>1178.8900000000001</v>
      </c>
      <c r="AB503" s="21">
        <v>0.24</v>
      </c>
      <c r="AC503" s="21">
        <v>0.87000000000000011</v>
      </c>
      <c r="AD503" s="8">
        <f t="shared" si="92"/>
        <v>445.40000000000003</v>
      </c>
      <c r="AE503" s="25">
        <v>1.238</v>
      </c>
      <c r="AF503" s="25">
        <f t="shared" si="93"/>
        <v>137851.30000000002</v>
      </c>
      <c r="AG503" s="25">
        <f t="shared" si="94"/>
        <v>365210</v>
      </c>
      <c r="AH503" s="1">
        <f t="shared" si="84"/>
        <v>3065.99</v>
      </c>
      <c r="AI503" s="1">
        <f t="shared" si="85"/>
        <v>3040.9</v>
      </c>
      <c r="AJ503" s="1">
        <v>3785.84</v>
      </c>
      <c r="AK503" s="1">
        <f t="shared" si="86"/>
        <v>-719.85000000000036</v>
      </c>
      <c r="AL503" s="29">
        <f t="shared" si="95"/>
        <v>744.94</v>
      </c>
      <c r="AM503" s="11">
        <f t="shared" si="87"/>
        <v>2434886.37</v>
      </c>
    </row>
    <row r="504" spans="1:39" x14ac:dyDescent="0.3">
      <c r="A504" s="39">
        <v>45935.208333333336</v>
      </c>
      <c r="B504" s="1">
        <v>1491.8</v>
      </c>
      <c r="C504" s="11">
        <v>3.2732000000000001</v>
      </c>
      <c r="D504" s="1">
        <v>1174.8599999999999</v>
      </c>
      <c r="E504" s="11">
        <v>3.0760000000000001</v>
      </c>
      <c r="F504" s="1">
        <v>0</v>
      </c>
      <c r="G504" s="11">
        <v>3.53</v>
      </c>
      <c r="H504" s="1">
        <v>-101.9</v>
      </c>
      <c r="I504" s="11">
        <v>3.64907</v>
      </c>
      <c r="J504" s="1">
        <v>44.46</v>
      </c>
      <c r="K504" s="11">
        <v>3.1053600000000001</v>
      </c>
      <c r="L504" s="1">
        <v>0</v>
      </c>
      <c r="M504" s="11">
        <v>6.2</v>
      </c>
      <c r="N504" s="1">
        <v>11.4</v>
      </c>
      <c r="O504" s="11">
        <v>2.8224999999999998</v>
      </c>
      <c r="P504" s="1">
        <f t="shared" si="88"/>
        <v>2620.62</v>
      </c>
      <c r="Q504" s="1">
        <v>2576.89</v>
      </c>
      <c r="R504" s="16">
        <f t="shared" si="89"/>
        <v>2073807.4231499995</v>
      </c>
      <c r="S504" s="1">
        <v>-692.18</v>
      </c>
      <c r="T504" s="1">
        <v>35.76</v>
      </c>
      <c r="U504" s="1">
        <v>12</v>
      </c>
      <c r="V504" s="1">
        <v>0</v>
      </c>
      <c r="W504" s="1" cm="1">
        <f t="array" ref="W504">SUM(ABS(S504:V504))</f>
        <v>739.93999999999994</v>
      </c>
      <c r="X504" s="25">
        <v>1.238</v>
      </c>
      <c r="Y504" s="42">
        <f t="shared" si="90"/>
        <v>229011.43</v>
      </c>
      <c r="Z504" s="20">
        <v>445.13</v>
      </c>
      <c r="AA504" s="20">
        <f t="shared" si="91"/>
        <v>1185.07</v>
      </c>
      <c r="AB504" s="21">
        <v>0.24</v>
      </c>
      <c r="AC504" s="21">
        <v>0.45999999999999996</v>
      </c>
      <c r="AD504" s="8">
        <f t="shared" si="92"/>
        <v>445.83</v>
      </c>
      <c r="AE504" s="25">
        <v>1.238</v>
      </c>
      <c r="AF504" s="25">
        <f t="shared" si="93"/>
        <v>137984.38500000001</v>
      </c>
      <c r="AG504" s="25">
        <f t="shared" si="94"/>
        <v>366995.815</v>
      </c>
      <c r="AH504" s="1">
        <f t="shared" si="84"/>
        <v>3066.45</v>
      </c>
      <c r="AI504" s="1">
        <f t="shared" si="85"/>
        <v>3022.72</v>
      </c>
      <c r="AJ504" s="1">
        <v>3771.95</v>
      </c>
      <c r="AK504" s="1">
        <f t="shared" si="86"/>
        <v>-705.5</v>
      </c>
      <c r="AL504" s="29">
        <f t="shared" si="95"/>
        <v>749.23</v>
      </c>
      <c r="AM504" s="11">
        <f t="shared" si="87"/>
        <v>2440803.2381499996</v>
      </c>
    </row>
    <row r="505" spans="1:39" x14ac:dyDescent="0.3">
      <c r="A505" s="39">
        <v>45935.21875</v>
      </c>
      <c r="B505" s="1">
        <v>1491.81</v>
      </c>
      <c r="C505" s="11">
        <v>3.2732000000000001</v>
      </c>
      <c r="D505" s="1">
        <v>1174.8599999999999</v>
      </c>
      <c r="E505" s="11">
        <v>3.0760000000000001</v>
      </c>
      <c r="F505" s="1">
        <v>0</v>
      </c>
      <c r="G505" s="11">
        <v>3.53</v>
      </c>
      <c r="H505" s="1">
        <v>-101.9</v>
      </c>
      <c r="I505" s="11">
        <v>4.1005099999999999</v>
      </c>
      <c r="J505" s="1">
        <v>44.46</v>
      </c>
      <c r="K505" s="11">
        <v>3.3608099999999999</v>
      </c>
      <c r="L505" s="1">
        <v>0</v>
      </c>
      <c r="M505" s="11">
        <v>6.2</v>
      </c>
      <c r="N505" s="1">
        <v>11.4</v>
      </c>
      <c r="O505" s="11">
        <v>2.8224999999999998</v>
      </c>
      <c r="P505" s="1">
        <f t="shared" si="88"/>
        <v>2620.63</v>
      </c>
      <c r="Q505" s="1">
        <v>2565.3000000000002</v>
      </c>
      <c r="R505" s="16">
        <f t="shared" si="89"/>
        <v>2065154.4989</v>
      </c>
      <c r="S505" s="1">
        <v>-701.63</v>
      </c>
      <c r="T505" s="1">
        <v>35.78</v>
      </c>
      <c r="U505" s="1">
        <v>12</v>
      </c>
      <c r="V505" s="1">
        <v>0</v>
      </c>
      <c r="W505" s="1" cm="1">
        <f t="array" ref="W505">SUM(ABS(S505:V505))</f>
        <v>749.41</v>
      </c>
      <c r="X505" s="25">
        <v>1.238</v>
      </c>
      <c r="Y505" s="42">
        <f t="shared" si="90"/>
        <v>231942.39499999999</v>
      </c>
      <c r="Z505" s="20">
        <v>445.88</v>
      </c>
      <c r="AA505" s="20">
        <f t="shared" si="91"/>
        <v>1195.29</v>
      </c>
      <c r="AB505" s="21">
        <v>0.24</v>
      </c>
      <c r="AC505" s="21">
        <v>0.44999999999999996</v>
      </c>
      <c r="AD505" s="8">
        <f t="shared" si="92"/>
        <v>446.57</v>
      </c>
      <c r="AE505" s="25">
        <v>1.238</v>
      </c>
      <c r="AF505" s="25">
        <f t="shared" si="93"/>
        <v>138213.41500000001</v>
      </c>
      <c r="AG505" s="25">
        <f t="shared" si="94"/>
        <v>370155.81</v>
      </c>
      <c r="AH505" s="1">
        <f t="shared" si="84"/>
        <v>3067.2000000000003</v>
      </c>
      <c r="AI505" s="1">
        <f t="shared" si="85"/>
        <v>3011.8700000000003</v>
      </c>
      <c r="AJ505" s="1">
        <v>3775.7</v>
      </c>
      <c r="AK505" s="1">
        <f t="shared" si="86"/>
        <v>-708.49999999999955</v>
      </c>
      <c r="AL505" s="29">
        <f t="shared" si="95"/>
        <v>763.82999999999947</v>
      </c>
      <c r="AM505" s="11">
        <f t="shared" si="87"/>
        <v>2435310.3089000001</v>
      </c>
    </row>
    <row r="506" spans="1:39" x14ac:dyDescent="0.3">
      <c r="A506" s="39">
        <v>45935.229166666664</v>
      </c>
      <c r="B506" s="1">
        <v>1491.81</v>
      </c>
      <c r="C506" s="11">
        <v>3.2732000000000001</v>
      </c>
      <c r="D506" s="1">
        <v>1174.8599999999999</v>
      </c>
      <c r="E506" s="11">
        <v>3.0760000000000001</v>
      </c>
      <c r="F506" s="1">
        <v>0</v>
      </c>
      <c r="G506" s="11">
        <v>3.53</v>
      </c>
      <c r="H506" s="1">
        <v>-101.9</v>
      </c>
      <c r="I506" s="11">
        <v>4.26</v>
      </c>
      <c r="J506" s="1">
        <v>129.99</v>
      </c>
      <c r="K506" s="11">
        <v>3.56297</v>
      </c>
      <c r="L506" s="1">
        <v>0</v>
      </c>
      <c r="M506" s="11">
        <v>6.2</v>
      </c>
      <c r="N506" s="1">
        <v>11.4</v>
      </c>
      <c r="O506" s="11">
        <v>2.8224999999999998</v>
      </c>
      <c r="P506" s="1">
        <f t="shared" si="88"/>
        <v>2706.1600000000003</v>
      </c>
      <c r="Q506" s="1">
        <v>2638.08</v>
      </c>
      <c r="R506" s="16">
        <f t="shared" si="89"/>
        <v>2139523.705575</v>
      </c>
      <c r="S506" s="1">
        <v>-695.11</v>
      </c>
      <c r="T506" s="1">
        <v>35.79</v>
      </c>
      <c r="U506" s="1">
        <v>12</v>
      </c>
      <c r="V506" s="1">
        <v>0</v>
      </c>
      <c r="W506" s="1" cm="1">
        <f t="array" ref="W506">SUM(ABS(S506:V506))</f>
        <v>742.9</v>
      </c>
      <c r="X506" s="25">
        <v>1.238</v>
      </c>
      <c r="Y506" s="42">
        <f t="shared" si="90"/>
        <v>229927.55</v>
      </c>
      <c r="Z506" s="20">
        <v>385.86999999999995</v>
      </c>
      <c r="AA506" s="20">
        <f t="shared" si="91"/>
        <v>1128.77</v>
      </c>
      <c r="AB506" s="21">
        <v>0.23</v>
      </c>
      <c r="AC506" s="21">
        <v>0.28000000000000003</v>
      </c>
      <c r="AD506" s="8">
        <f t="shared" si="92"/>
        <v>386.37999999999994</v>
      </c>
      <c r="AE506" s="25">
        <v>1.238</v>
      </c>
      <c r="AF506" s="25">
        <f t="shared" si="93"/>
        <v>119584.60999999999</v>
      </c>
      <c r="AG506" s="25">
        <f t="shared" si="94"/>
        <v>349512.16</v>
      </c>
      <c r="AH506" s="1">
        <f t="shared" si="84"/>
        <v>3092.5400000000004</v>
      </c>
      <c r="AI506" s="1">
        <f t="shared" si="85"/>
        <v>3024.46</v>
      </c>
      <c r="AJ506" s="1">
        <v>3781.13</v>
      </c>
      <c r="AK506" s="1">
        <f t="shared" si="86"/>
        <v>-688.58999999999969</v>
      </c>
      <c r="AL506" s="29">
        <f t="shared" si="95"/>
        <v>756.67000000000007</v>
      </c>
      <c r="AM506" s="11">
        <f t="shared" si="87"/>
        <v>2489035.8655750002</v>
      </c>
    </row>
    <row r="507" spans="1:39" x14ac:dyDescent="0.3">
      <c r="A507" s="39">
        <v>45935.239583333336</v>
      </c>
      <c r="B507" s="1">
        <v>1493.65</v>
      </c>
      <c r="C507" s="11">
        <v>3.2732000000000001</v>
      </c>
      <c r="D507" s="1">
        <v>1174.8599999999999</v>
      </c>
      <c r="E507" s="11">
        <v>3.0760000000000001</v>
      </c>
      <c r="F507" s="1">
        <v>0</v>
      </c>
      <c r="G507" s="11">
        <v>3.53</v>
      </c>
      <c r="H507" s="1">
        <v>-101.9</v>
      </c>
      <c r="I507" s="11">
        <v>4.2504600000000003</v>
      </c>
      <c r="J507" s="1">
        <v>189.16</v>
      </c>
      <c r="K507" s="11">
        <v>3.8051900000000001</v>
      </c>
      <c r="L507" s="1">
        <v>0</v>
      </c>
      <c r="M507" s="11">
        <v>6.2</v>
      </c>
      <c r="N507" s="1">
        <v>22.45</v>
      </c>
      <c r="O507" s="11">
        <v>2.8224999999999998</v>
      </c>
      <c r="P507" s="1">
        <f t="shared" si="88"/>
        <v>2778.22</v>
      </c>
      <c r="Q507" s="1">
        <v>2670.71</v>
      </c>
      <c r="R507" s="16">
        <f t="shared" si="89"/>
        <v>2213229.3828499997</v>
      </c>
      <c r="S507" s="1">
        <v>-682.8</v>
      </c>
      <c r="T507" s="1">
        <v>35.75</v>
      </c>
      <c r="U507" s="1">
        <v>12</v>
      </c>
      <c r="V507" s="1">
        <v>0</v>
      </c>
      <c r="W507" s="1" cm="1">
        <f t="array" ref="W507">SUM(ABS(S507:V507))</f>
        <v>730.55</v>
      </c>
      <c r="X507" s="25">
        <v>1.238</v>
      </c>
      <c r="Y507" s="42">
        <f t="shared" si="90"/>
        <v>226105.22499999998</v>
      </c>
      <c r="Z507" s="20">
        <v>357.39</v>
      </c>
      <c r="AA507" s="20">
        <f t="shared" si="91"/>
        <v>1087.94</v>
      </c>
      <c r="AB507" s="21">
        <v>0.23</v>
      </c>
      <c r="AC507" s="21">
        <v>0.13</v>
      </c>
      <c r="AD507" s="8">
        <f t="shared" si="92"/>
        <v>357.75</v>
      </c>
      <c r="AE507" s="25">
        <v>1.238</v>
      </c>
      <c r="AF507" s="25">
        <f t="shared" si="93"/>
        <v>110723.625</v>
      </c>
      <c r="AG507" s="25">
        <f t="shared" si="94"/>
        <v>336828.85</v>
      </c>
      <c r="AH507" s="1">
        <f t="shared" si="84"/>
        <v>3135.97</v>
      </c>
      <c r="AI507" s="1">
        <f t="shared" si="85"/>
        <v>3028.46</v>
      </c>
      <c r="AJ507" s="1">
        <v>3767.54</v>
      </c>
      <c r="AK507" s="1">
        <f t="shared" si="86"/>
        <v>-631.57000000000016</v>
      </c>
      <c r="AL507" s="29">
        <f t="shared" si="95"/>
        <v>739.07999999999993</v>
      </c>
      <c r="AM507" s="11">
        <f t="shared" si="87"/>
        <v>2550058.2328499998</v>
      </c>
    </row>
    <row r="508" spans="1:39" x14ac:dyDescent="0.3">
      <c r="A508" s="39">
        <v>45935.25</v>
      </c>
      <c r="B508" s="1">
        <v>1494.07</v>
      </c>
      <c r="C508" s="11">
        <v>3.2732000000000001</v>
      </c>
      <c r="D508" s="1">
        <v>804.19</v>
      </c>
      <c r="E508" s="11">
        <v>3.0760000000000001</v>
      </c>
      <c r="F508" s="1">
        <v>370.67</v>
      </c>
      <c r="G508" s="11">
        <v>3.53</v>
      </c>
      <c r="H508" s="1">
        <v>-99.74</v>
      </c>
      <c r="I508" s="11">
        <v>4.2890699999999997</v>
      </c>
      <c r="J508" s="1">
        <v>54.01</v>
      </c>
      <c r="K508" s="11">
        <v>4.0526799999999996</v>
      </c>
      <c r="L508" s="1">
        <v>0</v>
      </c>
      <c r="M508" s="11">
        <v>6.2</v>
      </c>
      <c r="N508" s="1">
        <v>25.7</v>
      </c>
      <c r="O508" s="11">
        <v>2.8224999999999998</v>
      </c>
      <c r="P508" s="1">
        <f t="shared" si="88"/>
        <v>2648.9000000000005</v>
      </c>
      <c r="Q508" s="1">
        <v>2666.99</v>
      </c>
      <c r="R508" s="16">
        <f t="shared" si="89"/>
        <v>2134043.7797500002</v>
      </c>
      <c r="S508" s="1">
        <v>-617.54</v>
      </c>
      <c r="T508" s="1">
        <v>35.729999999999997</v>
      </c>
      <c r="U508" s="1">
        <v>12</v>
      </c>
      <c r="V508" s="1">
        <v>0</v>
      </c>
      <c r="W508" s="1" cm="1">
        <f t="array" ref="W508">SUM(ABS(S508:V508))</f>
        <v>665.27</v>
      </c>
      <c r="X508" s="25">
        <v>1.238</v>
      </c>
      <c r="Y508" s="42">
        <f t="shared" si="90"/>
        <v>205901.065</v>
      </c>
      <c r="Z508" s="20">
        <v>439.30000000000007</v>
      </c>
      <c r="AA508" s="20">
        <f t="shared" si="91"/>
        <v>1104.5700000000002</v>
      </c>
      <c r="AB508" s="21">
        <v>0.64</v>
      </c>
      <c r="AC508" s="21">
        <v>0.34</v>
      </c>
      <c r="AD508" s="8">
        <f t="shared" si="92"/>
        <v>440.28000000000003</v>
      </c>
      <c r="AE508" s="25">
        <v>1.238</v>
      </c>
      <c r="AF508" s="25">
        <f t="shared" si="93"/>
        <v>136266.66</v>
      </c>
      <c r="AG508" s="25">
        <f t="shared" si="94"/>
        <v>342167.72499999998</v>
      </c>
      <c r="AH508" s="1">
        <f t="shared" si="84"/>
        <v>3089.1800000000007</v>
      </c>
      <c r="AI508" s="1">
        <f t="shared" si="85"/>
        <v>3107.27</v>
      </c>
      <c r="AJ508" s="1">
        <v>3780.31</v>
      </c>
      <c r="AK508" s="1">
        <f t="shared" si="86"/>
        <v>-691.1299999999992</v>
      </c>
      <c r="AL508" s="29">
        <f t="shared" si="95"/>
        <v>673.04</v>
      </c>
      <c r="AM508" s="11">
        <f t="shared" si="87"/>
        <v>2476211.5047500003</v>
      </c>
    </row>
    <row r="509" spans="1:39" x14ac:dyDescent="0.3">
      <c r="A509" s="39">
        <v>45935.260416666664</v>
      </c>
      <c r="B509" s="1">
        <v>1494.09</v>
      </c>
      <c r="C509" s="11">
        <v>3.2732000000000001</v>
      </c>
      <c r="D509" s="1">
        <v>776.29</v>
      </c>
      <c r="E509" s="11">
        <v>3.0760000000000001</v>
      </c>
      <c r="F509" s="1">
        <v>398.57</v>
      </c>
      <c r="G509" s="11">
        <v>3.53</v>
      </c>
      <c r="H509" s="1">
        <v>-99.58</v>
      </c>
      <c r="I509" s="11">
        <v>4.1995500000000003</v>
      </c>
      <c r="J509" s="1">
        <v>44.36</v>
      </c>
      <c r="K509" s="11">
        <v>4.3917299999999999</v>
      </c>
      <c r="L509" s="1">
        <v>0</v>
      </c>
      <c r="M509" s="11">
        <v>6.2</v>
      </c>
      <c r="N509" s="1">
        <v>30.6</v>
      </c>
      <c r="O509" s="11">
        <v>2.8224999999999998</v>
      </c>
      <c r="P509" s="1">
        <f t="shared" si="88"/>
        <v>2644.3300000000004</v>
      </c>
      <c r="Q509" s="1">
        <v>2645.15</v>
      </c>
      <c r="R509" s="16">
        <f t="shared" si="89"/>
        <v>2137067.4954500003</v>
      </c>
      <c r="S509" s="1">
        <v>-610.73</v>
      </c>
      <c r="T509" s="1">
        <v>35.71</v>
      </c>
      <c r="U509" s="1">
        <v>12</v>
      </c>
      <c r="V509" s="1">
        <v>0</v>
      </c>
      <c r="W509" s="1" cm="1">
        <f t="array" ref="W509">SUM(ABS(S509:V509))</f>
        <v>658.44</v>
      </c>
      <c r="X509" s="25">
        <v>1.238</v>
      </c>
      <c r="Y509" s="42">
        <f t="shared" si="90"/>
        <v>203787.18</v>
      </c>
      <c r="Z509" s="20">
        <v>439.13</v>
      </c>
      <c r="AA509" s="20">
        <f t="shared" si="91"/>
        <v>1097.5700000000002</v>
      </c>
      <c r="AB509" s="21">
        <v>3.5499999999999994</v>
      </c>
      <c r="AC509" s="21">
        <v>0.51</v>
      </c>
      <c r="AD509" s="8">
        <f t="shared" si="92"/>
        <v>443.19</v>
      </c>
      <c r="AE509" s="25">
        <v>1.238</v>
      </c>
      <c r="AF509" s="25">
        <f t="shared" si="93"/>
        <v>137167.30499999999</v>
      </c>
      <c r="AG509" s="25">
        <f t="shared" si="94"/>
        <v>340954.48499999999</v>
      </c>
      <c r="AH509" s="1">
        <f t="shared" si="84"/>
        <v>3087.5200000000004</v>
      </c>
      <c r="AI509" s="1">
        <f t="shared" si="85"/>
        <v>3088.34</v>
      </c>
      <c r="AJ509" s="1">
        <v>3757.28</v>
      </c>
      <c r="AK509" s="1">
        <f t="shared" si="86"/>
        <v>-669.75999999999976</v>
      </c>
      <c r="AL509" s="29">
        <f t="shared" si="95"/>
        <v>668.94</v>
      </c>
      <c r="AM509" s="11">
        <f t="shared" si="87"/>
        <v>2478021.9804500001</v>
      </c>
    </row>
    <row r="510" spans="1:39" x14ac:dyDescent="0.3">
      <c r="A510" s="39">
        <v>45935.270833333336</v>
      </c>
      <c r="B510" s="1">
        <v>1494.09</v>
      </c>
      <c r="C510" s="11">
        <v>3.2732000000000001</v>
      </c>
      <c r="D510" s="1">
        <v>755.93</v>
      </c>
      <c r="E510" s="11">
        <v>3.0760000000000001</v>
      </c>
      <c r="F510" s="1">
        <v>398.57</v>
      </c>
      <c r="G510" s="11">
        <v>3.53</v>
      </c>
      <c r="H510" s="1">
        <v>-99.58</v>
      </c>
      <c r="I510" s="11">
        <v>3.8778899999999998</v>
      </c>
      <c r="J510" s="1">
        <v>74.650000000000006</v>
      </c>
      <c r="K510" s="11">
        <v>3.7836799999999999</v>
      </c>
      <c r="L510" s="1">
        <v>0</v>
      </c>
      <c r="M510" s="11">
        <v>6.2</v>
      </c>
      <c r="N510" s="1">
        <v>42.02</v>
      </c>
      <c r="O510" s="11">
        <v>2.8224999999999998</v>
      </c>
      <c r="P510" s="1">
        <f t="shared" si="88"/>
        <v>2665.6800000000003</v>
      </c>
      <c r="Q510" s="1">
        <v>2628.22</v>
      </c>
      <c r="R510" s="16">
        <f t="shared" si="89"/>
        <v>2159385.26095</v>
      </c>
      <c r="S510" s="1">
        <v>-617.29</v>
      </c>
      <c r="T510" s="1">
        <v>35.71</v>
      </c>
      <c r="U510" s="1">
        <v>12</v>
      </c>
      <c r="V510" s="1">
        <v>0</v>
      </c>
      <c r="W510" s="1" cm="1">
        <f t="array" ref="W510">SUM(ABS(S510:V510))</f>
        <v>665</v>
      </c>
      <c r="X510" s="25">
        <v>1.238</v>
      </c>
      <c r="Y510" s="42">
        <f t="shared" si="90"/>
        <v>205817.5</v>
      </c>
      <c r="Z510" s="20">
        <v>424.47</v>
      </c>
      <c r="AA510" s="20">
        <f t="shared" si="91"/>
        <v>1089.47</v>
      </c>
      <c r="AB510" s="21">
        <v>9.11</v>
      </c>
      <c r="AC510" s="21">
        <v>0.52</v>
      </c>
      <c r="AD510" s="8">
        <f t="shared" si="92"/>
        <v>434.1</v>
      </c>
      <c r="AE510" s="25">
        <v>1.238</v>
      </c>
      <c r="AF510" s="25">
        <f t="shared" si="93"/>
        <v>134353.95000000001</v>
      </c>
      <c r="AG510" s="25">
        <f t="shared" si="94"/>
        <v>340171.45</v>
      </c>
      <c r="AH510" s="1">
        <f t="shared" si="84"/>
        <v>3099.78</v>
      </c>
      <c r="AI510" s="1">
        <f t="shared" si="85"/>
        <v>3062.3199999999997</v>
      </c>
      <c r="AJ510" s="1">
        <v>3736.36</v>
      </c>
      <c r="AK510" s="1">
        <f t="shared" si="86"/>
        <v>-636.57999999999993</v>
      </c>
      <c r="AL510" s="29">
        <f t="shared" si="95"/>
        <v>674.04000000000042</v>
      </c>
      <c r="AM510" s="11">
        <f t="shared" si="87"/>
        <v>2499556.7109500002</v>
      </c>
    </row>
    <row r="511" spans="1:39" x14ac:dyDescent="0.3">
      <c r="A511" s="39">
        <v>45935.28125</v>
      </c>
      <c r="B511" s="1">
        <v>1494.09</v>
      </c>
      <c r="C511" s="11">
        <v>3.2732000000000001</v>
      </c>
      <c r="D511" s="1">
        <v>754.37</v>
      </c>
      <c r="E511" s="11">
        <v>3.0760000000000001</v>
      </c>
      <c r="F511" s="1">
        <v>398.57</v>
      </c>
      <c r="G511" s="11">
        <v>3.53</v>
      </c>
      <c r="H511" s="1">
        <v>-85.94</v>
      </c>
      <c r="I511" s="11">
        <v>3.5651299999999999</v>
      </c>
      <c r="J511" s="1">
        <v>7.26</v>
      </c>
      <c r="K511" s="11">
        <v>3.5433499999999998</v>
      </c>
      <c r="L511" s="1">
        <v>0</v>
      </c>
      <c r="M511" s="11">
        <v>6.2</v>
      </c>
      <c r="N511" s="1">
        <v>54.71</v>
      </c>
      <c r="O511" s="11">
        <v>2.8224999999999998</v>
      </c>
      <c r="P511" s="1">
        <f t="shared" si="88"/>
        <v>2623.0600000000004</v>
      </c>
      <c r="Q511" s="1">
        <v>2584.4</v>
      </c>
      <c r="R511" s="16">
        <f t="shared" si="89"/>
        <v>2122901.5079500005</v>
      </c>
      <c r="S511" s="1">
        <v>-630.25</v>
      </c>
      <c r="T511" s="1">
        <v>35.74</v>
      </c>
      <c r="U511" s="1">
        <v>12</v>
      </c>
      <c r="V511" s="1">
        <v>0</v>
      </c>
      <c r="W511" s="1" cm="1">
        <f t="array" ref="W511">SUM(ABS(S511:V511))</f>
        <v>677.99</v>
      </c>
      <c r="X511" s="25">
        <v>1.238</v>
      </c>
      <c r="Y511" s="42">
        <f t="shared" si="90"/>
        <v>209837.905</v>
      </c>
      <c r="Z511" s="20">
        <v>406.70000000000005</v>
      </c>
      <c r="AA511" s="20">
        <f t="shared" si="91"/>
        <v>1084.69</v>
      </c>
      <c r="AB511" s="21">
        <v>17.619999999999997</v>
      </c>
      <c r="AC511" s="21">
        <v>0.87</v>
      </c>
      <c r="AD511" s="8">
        <f t="shared" si="92"/>
        <v>425.19000000000005</v>
      </c>
      <c r="AE511" s="25">
        <v>1.238</v>
      </c>
      <c r="AF511" s="25">
        <f t="shared" si="93"/>
        <v>131596.30500000002</v>
      </c>
      <c r="AG511" s="25">
        <f t="shared" si="94"/>
        <v>341434.21</v>
      </c>
      <c r="AH511" s="1">
        <f t="shared" si="84"/>
        <v>3048.2500000000005</v>
      </c>
      <c r="AI511" s="1">
        <f t="shared" si="85"/>
        <v>3009.59</v>
      </c>
      <c r="AJ511" s="1">
        <v>3696.44</v>
      </c>
      <c r="AK511" s="1">
        <f t="shared" si="86"/>
        <v>-648.1899999999996</v>
      </c>
      <c r="AL511" s="29">
        <f t="shared" si="95"/>
        <v>686.84999999999991</v>
      </c>
      <c r="AM511" s="11">
        <f t="shared" si="87"/>
        <v>2464335.7179500004</v>
      </c>
    </row>
    <row r="512" spans="1:39" x14ac:dyDescent="0.3">
      <c r="A512" s="39">
        <v>45935.291666666664</v>
      </c>
      <c r="B512" s="1">
        <v>1492.68</v>
      </c>
      <c r="C512" s="11">
        <v>3.2732000000000001</v>
      </c>
      <c r="D512" s="1">
        <v>754.37</v>
      </c>
      <c r="E512" s="11">
        <v>3.0760000000000001</v>
      </c>
      <c r="F512" s="1">
        <v>398.57</v>
      </c>
      <c r="G512" s="11">
        <v>3.53</v>
      </c>
      <c r="H512" s="1">
        <v>-41.37</v>
      </c>
      <c r="I512" s="11">
        <v>3.4295999999999998</v>
      </c>
      <c r="J512" s="1">
        <v>26.47</v>
      </c>
      <c r="K512" s="11">
        <v>3.20506</v>
      </c>
      <c r="L512" s="1">
        <v>0</v>
      </c>
      <c r="M512" s="11">
        <v>6.2</v>
      </c>
      <c r="N512" s="1">
        <v>71.83</v>
      </c>
      <c r="O512" s="11">
        <v>2.8224999999999998</v>
      </c>
      <c r="P512" s="1">
        <f t="shared" si="88"/>
        <v>2702.55</v>
      </c>
      <c r="Q512" s="1">
        <v>2603.73</v>
      </c>
      <c r="R512" s="16">
        <f t="shared" si="89"/>
        <v>2189732.4893000009</v>
      </c>
      <c r="S512" s="1">
        <v>-552.29</v>
      </c>
      <c r="T512" s="1">
        <v>35.74</v>
      </c>
      <c r="U512" s="1">
        <v>12</v>
      </c>
      <c r="V512" s="1">
        <v>0</v>
      </c>
      <c r="W512" s="1" cm="1">
        <f t="array" ref="W512">SUM(ABS(S512:V512))</f>
        <v>600.03</v>
      </c>
      <c r="X512" s="25">
        <v>1.238</v>
      </c>
      <c r="Y512" s="42">
        <f t="shared" si="90"/>
        <v>185709.285</v>
      </c>
      <c r="Z512" s="20">
        <v>408.63</v>
      </c>
      <c r="AA512" s="20">
        <f t="shared" si="91"/>
        <v>1008.66</v>
      </c>
      <c r="AB512" s="21">
        <v>28.55</v>
      </c>
      <c r="AC512" s="21">
        <v>1.23</v>
      </c>
      <c r="AD512" s="8">
        <f t="shared" si="92"/>
        <v>438.41</v>
      </c>
      <c r="AE512" s="25">
        <v>1.238</v>
      </c>
      <c r="AF512" s="25">
        <f t="shared" si="93"/>
        <v>135687.89499999999</v>
      </c>
      <c r="AG512" s="25">
        <f t="shared" si="94"/>
        <v>321397.18</v>
      </c>
      <c r="AH512" s="1">
        <f t="shared" si="84"/>
        <v>3140.96</v>
      </c>
      <c r="AI512" s="1">
        <f t="shared" si="85"/>
        <v>3042.14</v>
      </c>
      <c r="AJ512" s="1">
        <v>3655.68</v>
      </c>
      <c r="AK512" s="1">
        <f t="shared" si="86"/>
        <v>-514.7199999999998</v>
      </c>
      <c r="AL512" s="29">
        <f t="shared" si="95"/>
        <v>613.54</v>
      </c>
      <c r="AM512" s="11">
        <f t="shared" si="87"/>
        <v>2511129.6693000011</v>
      </c>
    </row>
    <row r="513" spans="1:39" x14ac:dyDescent="0.3">
      <c r="A513" s="39">
        <v>45935.302083333336</v>
      </c>
      <c r="B513" s="1">
        <v>1492.58</v>
      </c>
      <c r="C513" s="11">
        <v>3.2732000000000001</v>
      </c>
      <c r="D513" s="1">
        <v>754.37</v>
      </c>
      <c r="E513" s="11">
        <v>3.0760000000000001</v>
      </c>
      <c r="F513" s="1">
        <v>398.57</v>
      </c>
      <c r="G513" s="11">
        <v>3.53</v>
      </c>
      <c r="H513" s="1">
        <v>-36.21</v>
      </c>
      <c r="I513" s="11">
        <v>3.1905799999999997</v>
      </c>
      <c r="J513" s="1">
        <v>28.15</v>
      </c>
      <c r="K513" s="11">
        <v>3.1814899999999997</v>
      </c>
      <c r="L513" s="1">
        <v>0</v>
      </c>
      <c r="M513" s="11">
        <v>6.2</v>
      </c>
      <c r="N513" s="1">
        <v>92.5</v>
      </c>
      <c r="O513" s="11">
        <v>2.8224999999999998</v>
      </c>
      <c r="P513" s="1">
        <f t="shared" si="88"/>
        <v>2729.96</v>
      </c>
      <c r="Q513" s="1">
        <v>2639.68</v>
      </c>
      <c r="R513" s="16">
        <f t="shared" si="89"/>
        <v>2212004.0919249998</v>
      </c>
      <c r="S513" s="1">
        <v>-500.54</v>
      </c>
      <c r="T513" s="1">
        <v>35.74</v>
      </c>
      <c r="U513" s="1">
        <v>12</v>
      </c>
      <c r="V513" s="1">
        <v>0</v>
      </c>
      <c r="W513" s="1" cm="1">
        <f t="array" ref="W513">SUM(ABS(S513:V513))</f>
        <v>548.28</v>
      </c>
      <c r="X513" s="25">
        <v>1.238</v>
      </c>
      <c r="Y513" s="42">
        <f t="shared" si="90"/>
        <v>169692.66</v>
      </c>
      <c r="Z513" s="20">
        <v>408.55999999999995</v>
      </c>
      <c r="AA513" s="20">
        <f t="shared" si="91"/>
        <v>956.83999999999992</v>
      </c>
      <c r="AB513" s="21">
        <v>41.250000000000007</v>
      </c>
      <c r="AC513" s="21">
        <v>0.88000000000000012</v>
      </c>
      <c r="AD513" s="8">
        <f t="shared" si="92"/>
        <v>450.68999999999994</v>
      </c>
      <c r="AE513" s="25">
        <v>1.238</v>
      </c>
      <c r="AF513" s="25">
        <f t="shared" si="93"/>
        <v>139488.55499999999</v>
      </c>
      <c r="AG513" s="25">
        <f t="shared" si="94"/>
        <v>309181.21499999997</v>
      </c>
      <c r="AH513" s="1">
        <f t="shared" si="84"/>
        <v>3180.65</v>
      </c>
      <c r="AI513" s="1">
        <f t="shared" si="85"/>
        <v>3090.37</v>
      </c>
      <c r="AJ513" s="1">
        <v>3648.33</v>
      </c>
      <c r="AK513" s="1">
        <f t="shared" si="86"/>
        <v>-467.67999999999984</v>
      </c>
      <c r="AL513" s="29">
        <f t="shared" si="95"/>
        <v>557.96</v>
      </c>
      <c r="AM513" s="11">
        <f t="shared" si="87"/>
        <v>2521185.3069249997</v>
      </c>
    </row>
    <row r="514" spans="1:39" x14ac:dyDescent="0.3">
      <c r="A514" s="39">
        <v>45935.3125</v>
      </c>
      <c r="B514" s="1">
        <v>1492.58</v>
      </c>
      <c r="C514" s="11">
        <v>3.2732000000000001</v>
      </c>
      <c r="D514" s="1">
        <v>754.37</v>
      </c>
      <c r="E514" s="11">
        <v>3.0760000000000001</v>
      </c>
      <c r="F514" s="1">
        <v>398.57</v>
      </c>
      <c r="G514" s="11">
        <v>3.53</v>
      </c>
      <c r="H514" s="1">
        <v>53.95</v>
      </c>
      <c r="I514" s="11">
        <v>2.9024000000000001</v>
      </c>
      <c r="J514" s="1">
        <v>244.09</v>
      </c>
      <c r="K514" s="11">
        <v>2.5451100000000002</v>
      </c>
      <c r="L514" s="1">
        <v>0</v>
      </c>
      <c r="M514" s="11">
        <v>6.2</v>
      </c>
      <c r="N514" s="1">
        <v>118.93</v>
      </c>
      <c r="O514" s="11">
        <v>2.8224999999999998</v>
      </c>
      <c r="P514" s="1">
        <f t="shared" si="88"/>
        <v>3062.49</v>
      </c>
      <c r="Q514" s="1">
        <v>2785.85</v>
      </c>
      <c r="R514" s="16">
        <f t="shared" si="89"/>
        <v>2431601.8452250003</v>
      </c>
      <c r="S514" s="1">
        <v>-342.53</v>
      </c>
      <c r="T514" s="1">
        <v>35.729999999999997</v>
      </c>
      <c r="U514" s="1">
        <v>12</v>
      </c>
      <c r="V514" s="1">
        <v>0</v>
      </c>
      <c r="W514" s="1" cm="1">
        <f t="array" ref="W514">SUM(ABS(S514:V514))</f>
        <v>390.26</v>
      </c>
      <c r="X514" s="25">
        <v>1.238</v>
      </c>
      <c r="Y514" s="42">
        <f t="shared" si="90"/>
        <v>120785.46999999999</v>
      </c>
      <c r="Z514" s="20">
        <v>339.49</v>
      </c>
      <c r="AA514" s="20">
        <f t="shared" si="91"/>
        <v>729.75</v>
      </c>
      <c r="AB514" s="21">
        <v>54.310000000000009</v>
      </c>
      <c r="AC514" s="21">
        <v>0.8</v>
      </c>
      <c r="AD514" s="8">
        <f t="shared" si="92"/>
        <v>394.6</v>
      </c>
      <c r="AE514" s="25">
        <v>1.238</v>
      </c>
      <c r="AF514" s="25">
        <f t="shared" si="93"/>
        <v>122128.70000000001</v>
      </c>
      <c r="AG514" s="25">
        <f t="shared" si="94"/>
        <v>242914.16999999998</v>
      </c>
      <c r="AH514" s="1">
        <f t="shared" si="84"/>
        <v>3457.0899999999997</v>
      </c>
      <c r="AI514" s="1">
        <f t="shared" si="85"/>
        <v>3180.45</v>
      </c>
      <c r="AJ514" s="1">
        <v>3592.26</v>
      </c>
      <c r="AK514" s="1">
        <f t="shared" si="86"/>
        <v>-135.17000000000053</v>
      </c>
      <c r="AL514" s="29">
        <f t="shared" si="95"/>
        <v>411.8100000000004</v>
      </c>
      <c r="AM514" s="11">
        <f t="shared" si="87"/>
        <v>2674516.0152250002</v>
      </c>
    </row>
    <row r="515" spans="1:39" x14ac:dyDescent="0.3">
      <c r="A515" s="39">
        <v>45935.322916666664</v>
      </c>
      <c r="B515" s="1">
        <v>1492.58</v>
      </c>
      <c r="C515" s="11">
        <v>3.2732000000000001</v>
      </c>
      <c r="D515" s="1">
        <v>754.37</v>
      </c>
      <c r="E515" s="11">
        <v>3.0760000000000001</v>
      </c>
      <c r="F515" s="1">
        <v>398.57</v>
      </c>
      <c r="G515" s="11">
        <v>3.53</v>
      </c>
      <c r="H515" s="1">
        <v>62.73</v>
      </c>
      <c r="I515" s="11">
        <v>2.7503099999999998</v>
      </c>
      <c r="J515" s="1">
        <v>123.78</v>
      </c>
      <c r="K515" s="11">
        <v>2.3498999999999999</v>
      </c>
      <c r="L515" s="1">
        <v>0</v>
      </c>
      <c r="M515" s="11">
        <v>6.2</v>
      </c>
      <c r="N515" s="1">
        <v>143.33000000000001</v>
      </c>
      <c r="O515" s="11">
        <v>2.8224999999999998</v>
      </c>
      <c r="P515" s="1">
        <f t="shared" si="88"/>
        <v>2975.36</v>
      </c>
      <c r="Q515" s="1">
        <v>2933.17</v>
      </c>
      <c r="R515" s="16">
        <f t="shared" si="89"/>
        <v>2370213.3923250004</v>
      </c>
      <c r="S515" s="1">
        <v>-176.75</v>
      </c>
      <c r="T515" s="1">
        <v>35.659999999999997</v>
      </c>
      <c r="U515" s="1">
        <v>12</v>
      </c>
      <c r="V515" s="1">
        <v>0</v>
      </c>
      <c r="W515" s="1" cm="1">
        <f t="array" ref="W515">SUM(ABS(S515:V515))</f>
        <v>224.41</v>
      </c>
      <c r="X515" s="25">
        <v>1.238</v>
      </c>
      <c r="Y515" s="42">
        <f t="shared" si="90"/>
        <v>69454.89499999999</v>
      </c>
      <c r="Z515" s="20">
        <v>303.62</v>
      </c>
      <c r="AA515" s="20">
        <f t="shared" si="91"/>
        <v>528.03</v>
      </c>
      <c r="AB515" s="21">
        <v>65.36</v>
      </c>
      <c r="AC515" s="21">
        <v>0.92</v>
      </c>
      <c r="AD515" s="8">
        <f t="shared" si="92"/>
        <v>369.90000000000003</v>
      </c>
      <c r="AE515" s="25">
        <v>1.238</v>
      </c>
      <c r="AF515" s="25">
        <f t="shared" si="93"/>
        <v>114484.05000000002</v>
      </c>
      <c r="AG515" s="25">
        <f t="shared" si="94"/>
        <v>183938.94500000001</v>
      </c>
      <c r="AH515" s="1">
        <f t="shared" si="84"/>
        <v>3345.26</v>
      </c>
      <c r="AI515" s="1">
        <f t="shared" si="85"/>
        <v>3303.07</v>
      </c>
      <c r="AJ515" s="1">
        <v>3532.35</v>
      </c>
      <c r="AK515" s="1">
        <f t="shared" si="86"/>
        <v>-187.08999999999969</v>
      </c>
      <c r="AL515" s="29">
        <f t="shared" si="95"/>
        <v>229.27999999999975</v>
      </c>
      <c r="AM515" s="11">
        <f t="shared" si="87"/>
        <v>2554152.3373250002</v>
      </c>
    </row>
    <row r="516" spans="1:39" x14ac:dyDescent="0.3">
      <c r="A516" s="39">
        <v>45935.333333333336</v>
      </c>
      <c r="B516" s="1">
        <v>1404.58</v>
      </c>
      <c r="C516" s="11">
        <v>3.2732000000000001</v>
      </c>
      <c r="D516" s="1">
        <v>754.37</v>
      </c>
      <c r="E516" s="11">
        <v>3.0760000000000001</v>
      </c>
      <c r="F516" s="1">
        <v>398.57</v>
      </c>
      <c r="G516" s="11">
        <v>3.53</v>
      </c>
      <c r="H516" s="1">
        <v>93.63</v>
      </c>
      <c r="I516" s="11">
        <v>1.9995799999999999</v>
      </c>
      <c r="J516" s="1">
        <v>43.06</v>
      </c>
      <c r="K516" s="11">
        <v>2.0756000000000001</v>
      </c>
      <c r="L516" s="1">
        <v>1.78</v>
      </c>
      <c r="M516" s="11">
        <v>6.2</v>
      </c>
      <c r="N516" s="1">
        <v>173.56</v>
      </c>
      <c r="O516" s="11">
        <v>2.8224999999999998</v>
      </c>
      <c r="P516" s="1">
        <f t="shared" si="88"/>
        <v>2869.55</v>
      </c>
      <c r="Q516" s="1">
        <v>2823.5</v>
      </c>
      <c r="R516" s="16">
        <f t="shared" si="89"/>
        <v>2275592.6468500001</v>
      </c>
      <c r="S516" s="1">
        <v>-253.32</v>
      </c>
      <c r="T516" s="1">
        <v>35.6</v>
      </c>
      <c r="U516" s="1">
        <v>12</v>
      </c>
      <c r="V516" s="1">
        <v>0</v>
      </c>
      <c r="W516" s="1" cm="1">
        <f t="array" ref="W516">SUM(ABS(S516:V516))</f>
        <v>300.92</v>
      </c>
      <c r="X516" s="25">
        <v>1.238</v>
      </c>
      <c r="Y516" s="42">
        <f t="shared" si="90"/>
        <v>93134.74</v>
      </c>
      <c r="Z516" s="20">
        <v>308.20999999999998</v>
      </c>
      <c r="AA516" s="20">
        <f t="shared" si="91"/>
        <v>609.13</v>
      </c>
      <c r="AB516" s="21">
        <v>86.48</v>
      </c>
      <c r="AC516" s="21">
        <v>1.03</v>
      </c>
      <c r="AD516" s="8">
        <f t="shared" si="92"/>
        <v>395.71999999999997</v>
      </c>
      <c r="AE516" s="25">
        <v>1.238</v>
      </c>
      <c r="AF516" s="25">
        <f t="shared" si="93"/>
        <v>122475.33999999998</v>
      </c>
      <c r="AG516" s="25">
        <f t="shared" si="94"/>
        <v>215610.08</v>
      </c>
      <c r="AH516" s="1">
        <f t="shared" ref="AH516:AH579" si="96">B516+D516+F516+H516+J516+L516+N516+AD516</f>
        <v>3265.27</v>
      </c>
      <c r="AI516" s="1">
        <f t="shared" ref="AI516:AI579" si="97">Q516+AD516</f>
        <v>3219.22</v>
      </c>
      <c r="AJ516" s="1">
        <v>3526.77</v>
      </c>
      <c r="AK516" s="1">
        <f t="shared" ref="AK516:AK579" si="98">AH516-AJ516</f>
        <v>-261.5</v>
      </c>
      <c r="AL516" s="29">
        <f t="shared" si="95"/>
        <v>307.55000000000018</v>
      </c>
      <c r="AM516" s="11">
        <f t="shared" ref="AM516:AM579" si="99">(R516+AG516)</f>
        <v>2491202.7268500002</v>
      </c>
    </row>
    <row r="517" spans="1:39" x14ac:dyDescent="0.3">
      <c r="A517" s="39">
        <v>45935.34375</v>
      </c>
      <c r="B517" s="1">
        <v>1397.39</v>
      </c>
      <c r="C517" s="11">
        <v>3.2732000000000001</v>
      </c>
      <c r="D517" s="1">
        <v>754.37</v>
      </c>
      <c r="E517" s="11">
        <v>3.0760000000000001</v>
      </c>
      <c r="F517" s="1">
        <v>398.57</v>
      </c>
      <c r="G517" s="11">
        <v>3.53</v>
      </c>
      <c r="H517" s="1">
        <v>95.89</v>
      </c>
      <c r="I517" s="11">
        <v>1.99926</v>
      </c>
      <c r="J517" s="1">
        <v>32.35</v>
      </c>
      <c r="K517" s="11">
        <v>2.6604800000000002</v>
      </c>
      <c r="L517" s="1">
        <v>1.93</v>
      </c>
      <c r="M517" s="11">
        <v>6.2</v>
      </c>
      <c r="N517" s="1">
        <v>208.7</v>
      </c>
      <c r="O517" s="11">
        <v>2.8224999999999998</v>
      </c>
      <c r="P517" s="1">
        <f t="shared" ref="P517:P580" si="100">(B517+D517+F517+H517+J517+L517+N517)</f>
        <v>2889.2</v>
      </c>
      <c r="Q517" s="1">
        <v>2828.07</v>
      </c>
      <c r="R517" s="16">
        <f t="shared" ref="R517:R580" si="101">(((B517*C517)+(D517*E517)+(F517*G517)+(H517*I517)+(J517*K517)+(L517*M517)+(N517*O517))*(1000/4))</f>
        <v>2295032.1218499998</v>
      </c>
      <c r="S517" s="1">
        <v>-199.35</v>
      </c>
      <c r="T517" s="1">
        <v>35.56</v>
      </c>
      <c r="U517" s="1">
        <v>12</v>
      </c>
      <c r="V517" s="1">
        <v>0</v>
      </c>
      <c r="W517" s="1" cm="1">
        <f t="array" ref="W517">SUM(ABS(S517:V517))</f>
        <v>246.91</v>
      </c>
      <c r="X517" s="25">
        <v>1.238</v>
      </c>
      <c r="Y517" s="42">
        <f t="shared" ref="Y517:Y580" si="102">((W517*X517)*1000)/4</f>
        <v>76418.645000000004</v>
      </c>
      <c r="Z517" s="20">
        <v>307.95</v>
      </c>
      <c r="AA517" s="20">
        <f t="shared" ref="AA517:AA580" si="103">W517+Z517</f>
        <v>554.86</v>
      </c>
      <c r="AB517" s="21">
        <v>101.35</v>
      </c>
      <c r="AC517" s="21">
        <v>1.28</v>
      </c>
      <c r="AD517" s="8">
        <f t="shared" ref="AD517:AD580" si="104">Z517+AB517+AC517</f>
        <v>410.57999999999993</v>
      </c>
      <c r="AE517" s="25">
        <v>1.238</v>
      </c>
      <c r="AF517" s="25">
        <f t="shared" ref="AF517:AF580" si="105">((AD517*AE517*1000)/4)</f>
        <v>127074.50999999998</v>
      </c>
      <c r="AG517" s="25">
        <f t="shared" ref="AG517:AG580" si="106">Y517+AF517</f>
        <v>203493.15499999997</v>
      </c>
      <c r="AH517" s="1">
        <f t="shared" si="96"/>
        <v>3299.7799999999997</v>
      </c>
      <c r="AI517" s="1">
        <f t="shared" si="97"/>
        <v>3238.65</v>
      </c>
      <c r="AJ517" s="1">
        <v>3499.06</v>
      </c>
      <c r="AK517" s="1">
        <f t="shared" si="98"/>
        <v>-199.2800000000002</v>
      </c>
      <c r="AL517" s="29">
        <f t="shared" ref="AL517:AL580" si="107">AJ517-AI517</f>
        <v>260.40999999999985</v>
      </c>
      <c r="AM517" s="11">
        <f t="shared" si="99"/>
        <v>2498525.2768499996</v>
      </c>
    </row>
    <row r="518" spans="1:39" x14ac:dyDescent="0.3">
      <c r="A518" s="39">
        <v>45935.354166666664</v>
      </c>
      <c r="B518" s="1">
        <v>1380.2</v>
      </c>
      <c r="C518" s="11">
        <v>3.2732000000000001</v>
      </c>
      <c r="D518" s="1">
        <v>754.37</v>
      </c>
      <c r="E518" s="11">
        <v>3.0760000000000001</v>
      </c>
      <c r="F518" s="1">
        <v>398.57</v>
      </c>
      <c r="G518" s="11">
        <v>3.53</v>
      </c>
      <c r="H518" s="1">
        <v>93.02</v>
      </c>
      <c r="I518" s="11">
        <v>1.99922</v>
      </c>
      <c r="J518" s="1">
        <v>30.58</v>
      </c>
      <c r="K518" s="11">
        <v>2.7993899999999998</v>
      </c>
      <c r="L518" s="1">
        <v>5.67</v>
      </c>
      <c r="M518" s="11">
        <v>6.2</v>
      </c>
      <c r="N518" s="1">
        <v>242.34</v>
      </c>
      <c r="O518" s="11">
        <v>2.8224999999999998</v>
      </c>
      <c r="P518" s="1">
        <f t="shared" si="100"/>
        <v>2904.7500000000005</v>
      </c>
      <c r="Q518" s="1">
        <v>2847.01</v>
      </c>
      <c r="R518" s="16">
        <f t="shared" si="101"/>
        <v>2308949.0751500004</v>
      </c>
      <c r="S518" s="1">
        <v>-160.71</v>
      </c>
      <c r="T518" s="1">
        <v>35.5</v>
      </c>
      <c r="U518" s="1">
        <v>12</v>
      </c>
      <c r="V518" s="1">
        <v>0</v>
      </c>
      <c r="W518" s="1" cm="1">
        <f t="array" ref="W518">SUM(ABS(S518:V518))</f>
        <v>208.21</v>
      </c>
      <c r="X518" s="25">
        <v>1.238</v>
      </c>
      <c r="Y518" s="42">
        <f t="shared" si="102"/>
        <v>64440.995000000003</v>
      </c>
      <c r="Z518" s="20">
        <v>307.89</v>
      </c>
      <c r="AA518" s="20">
        <f t="shared" si="103"/>
        <v>516.1</v>
      </c>
      <c r="AB518" s="21">
        <v>115.78</v>
      </c>
      <c r="AC518" s="21">
        <v>1.7999999999999998</v>
      </c>
      <c r="AD518" s="8">
        <f t="shared" si="104"/>
        <v>425.46999999999997</v>
      </c>
      <c r="AE518" s="25">
        <v>1.238</v>
      </c>
      <c r="AF518" s="25">
        <f t="shared" si="105"/>
        <v>131682.965</v>
      </c>
      <c r="AG518" s="25">
        <f t="shared" si="106"/>
        <v>196123.96</v>
      </c>
      <c r="AH518" s="1">
        <f t="shared" si="96"/>
        <v>3330.2200000000003</v>
      </c>
      <c r="AI518" s="1">
        <f t="shared" si="97"/>
        <v>3272.48</v>
      </c>
      <c r="AJ518" s="1">
        <v>3489.06</v>
      </c>
      <c r="AK518" s="1">
        <f t="shared" si="98"/>
        <v>-158.83999999999969</v>
      </c>
      <c r="AL518" s="29">
        <f t="shared" si="107"/>
        <v>216.57999999999993</v>
      </c>
      <c r="AM518" s="11">
        <f t="shared" si="99"/>
        <v>2505073.0351500004</v>
      </c>
    </row>
    <row r="519" spans="1:39" x14ac:dyDescent="0.3">
      <c r="A519" s="39">
        <v>45935.364583333336</v>
      </c>
      <c r="B519" s="1">
        <v>1378.77</v>
      </c>
      <c r="C519" s="11">
        <v>3.2732000000000001</v>
      </c>
      <c r="D519" s="1">
        <v>754.37</v>
      </c>
      <c r="E519" s="11">
        <v>3.0760000000000001</v>
      </c>
      <c r="F519" s="1">
        <v>398.57</v>
      </c>
      <c r="G519" s="11">
        <v>3.53</v>
      </c>
      <c r="H519" s="1">
        <v>72.510000000000005</v>
      </c>
      <c r="I519" s="11">
        <v>1.9480999999999999</v>
      </c>
      <c r="J519" s="1">
        <v>30.65</v>
      </c>
      <c r="K519" s="11">
        <v>2.5448300000000001</v>
      </c>
      <c r="L519" s="1">
        <v>32.450000000000003</v>
      </c>
      <c r="M519" s="11">
        <v>6.2</v>
      </c>
      <c r="N519" s="1">
        <v>277.76</v>
      </c>
      <c r="O519" s="11">
        <v>2.8224999999999998</v>
      </c>
      <c r="P519" s="1">
        <f t="shared" si="100"/>
        <v>2945.08</v>
      </c>
      <c r="Q519" s="1">
        <v>2892.29</v>
      </c>
      <c r="R519" s="16">
        <f t="shared" si="101"/>
        <v>2361201.8886250001</v>
      </c>
      <c r="S519" s="1">
        <v>-153.02000000000001</v>
      </c>
      <c r="T519" s="1">
        <v>35.42</v>
      </c>
      <c r="U519" s="1">
        <v>12</v>
      </c>
      <c r="V519" s="1">
        <v>0</v>
      </c>
      <c r="W519" s="1" cm="1">
        <f t="array" ref="W519">SUM(ABS(S519:V519))</f>
        <v>200.44</v>
      </c>
      <c r="X519" s="25">
        <v>1.238</v>
      </c>
      <c r="Y519" s="42">
        <f t="shared" si="102"/>
        <v>62036.18</v>
      </c>
      <c r="Z519" s="20">
        <v>254.97999999999996</v>
      </c>
      <c r="AA519" s="20">
        <f t="shared" si="103"/>
        <v>455.41999999999996</v>
      </c>
      <c r="AB519" s="21">
        <v>126.49</v>
      </c>
      <c r="AC519" s="21">
        <v>2.2999999999999998</v>
      </c>
      <c r="AD519" s="8">
        <f t="shared" si="104"/>
        <v>383.77</v>
      </c>
      <c r="AE519" s="25">
        <v>1.238</v>
      </c>
      <c r="AF519" s="25">
        <f t="shared" si="105"/>
        <v>118776.815</v>
      </c>
      <c r="AG519" s="25">
        <f t="shared" si="106"/>
        <v>180812.995</v>
      </c>
      <c r="AH519" s="1">
        <f t="shared" si="96"/>
        <v>3328.85</v>
      </c>
      <c r="AI519" s="1">
        <f t="shared" si="97"/>
        <v>3276.06</v>
      </c>
      <c r="AJ519" s="1">
        <v>3489.75</v>
      </c>
      <c r="AK519" s="1">
        <f t="shared" si="98"/>
        <v>-160.90000000000009</v>
      </c>
      <c r="AL519" s="29">
        <f t="shared" si="107"/>
        <v>213.69000000000005</v>
      </c>
      <c r="AM519" s="11">
        <f t="shared" si="99"/>
        <v>2542014.8836250002</v>
      </c>
    </row>
    <row r="520" spans="1:39" x14ac:dyDescent="0.3">
      <c r="A520" s="39">
        <v>45935.375</v>
      </c>
      <c r="B520" s="1">
        <v>1145.8599999999999</v>
      </c>
      <c r="C520" s="11">
        <v>3.2732000000000001</v>
      </c>
      <c r="D520" s="1">
        <v>754.37</v>
      </c>
      <c r="E520" s="11">
        <v>3.0760000000000001</v>
      </c>
      <c r="F520" s="1">
        <v>398.57</v>
      </c>
      <c r="G520" s="11">
        <v>3.53</v>
      </c>
      <c r="H520" s="1">
        <v>48.99</v>
      </c>
      <c r="I520" s="11">
        <v>1.8516400000000002</v>
      </c>
      <c r="J520" s="1">
        <v>117.75</v>
      </c>
      <c r="K520" s="11">
        <v>2.7997299999999998</v>
      </c>
      <c r="L520" s="1">
        <v>58.19</v>
      </c>
      <c r="M520" s="11">
        <v>6.2</v>
      </c>
      <c r="N520" s="1">
        <v>306.45999999999998</v>
      </c>
      <c r="O520" s="11">
        <v>2.8224999999999998</v>
      </c>
      <c r="P520" s="1">
        <f t="shared" si="100"/>
        <v>2830.19</v>
      </c>
      <c r="Q520" s="1">
        <v>2955.88</v>
      </c>
      <c r="R520" s="16">
        <f t="shared" si="101"/>
        <v>2281041.1432749997</v>
      </c>
      <c r="S520" s="1">
        <v>-153.04</v>
      </c>
      <c r="T520" s="1">
        <v>35.299999999999997</v>
      </c>
      <c r="U520" s="1">
        <v>12</v>
      </c>
      <c r="V520" s="1">
        <v>0</v>
      </c>
      <c r="W520" s="1" cm="1">
        <f t="array" ref="W520">SUM(ABS(S520:V520))</f>
        <v>200.33999999999997</v>
      </c>
      <c r="X520" s="25">
        <v>1.238</v>
      </c>
      <c r="Y520" s="42">
        <f t="shared" si="102"/>
        <v>62005.229999999989</v>
      </c>
      <c r="Z520" s="20">
        <v>241.8</v>
      </c>
      <c r="AA520" s="20">
        <f t="shared" si="103"/>
        <v>442.14</v>
      </c>
      <c r="AB520" s="21">
        <v>119.00999999999999</v>
      </c>
      <c r="AC520" s="21">
        <v>3.39</v>
      </c>
      <c r="AD520" s="8">
        <f t="shared" si="104"/>
        <v>364.2</v>
      </c>
      <c r="AE520" s="25">
        <v>1.238</v>
      </c>
      <c r="AF520" s="25">
        <f t="shared" si="105"/>
        <v>112719.9</v>
      </c>
      <c r="AG520" s="25">
        <f t="shared" si="106"/>
        <v>174725.12999999998</v>
      </c>
      <c r="AH520" s="1">
        <f t="shared" si="96"/>
        <v>3194.39</v>
      </c>
      <c r="AI520" s="1">
        <f t="shared" si="97"/>
        <v>3320.08</v>
      </c>
      <c r="AJ520" s="1">
        <v>3525.5</v>
      </c>
      <c r="AK520" s="1">
        <f t="shared" si="98"/>
        <v>-331.11000000000013</v>
      </c>
      <c r="AL520" s="29">
        <f t="shared" si="107"/>
        <v>205.42000000000007</v>
      </c>
      <c r="AM520" s="11">
        <f t="shared" si="99"/>
        <v>2455766.2732749996</v>
      </c>
    </row>
    <row r="521" spans="1:39" x14ac:dyDescent="0.3">
      <c r="A521" s="39">
        <v>45935.385416666664</v>
      </c>
      <c r="B521" s="1">
        <v>1043.47</v>
      </c>
      <c r="C521" s="11">
        <v>3.2732000000000001</v>
      </c>
      <c r="D521" s="1">
        <v>754.37</v>
      </c>
      <c r="E521" s="11">
        <v>3.0760000000000001</v>
      </c>
      <c r="F521" s="1">
        <v>398.57</v>
      </c>
      <c r="G521" s="11">
        <v>3.53</v>
      </c>
      <c r="H521" s="1">
        <v>47.33</v>
      </c>
      <c r="I521" s="11">
        <v>1.88968</v>
      </c>
      <c r="J521" s="1">
        <v>124.87</v>
      </c>
      <c r="K521" s="11">
        <v>2.7993999999999999</v>
      </c>
      <c r="L521" s="1">
        <v>60.05</v>
      </c>
      <c r="M521" s="11">
        <v>6.2</v>
      </c>
      <c r="N521" s="1">
        <v>334.68</v>
      </c>
      <c r="O521" s="11">
        <v>2.8224999999999998</v>
      </c>
      <c r="P521" s="1">
        <f t="shared" si="100"/>
        <v>2763.34</v>
      </c>
      <c r="Q521" s="1">
        <v>2853.25</v>
      </c>
      <c r="R521" s="16">
        <f t="shared" si="101"/>
        <v>2224706.0391000002</v>
      </c>
      <c r="S521" s="1">
        <v>-281.57</v>
      </c>
      <c r="T521" s="1">
        <v>35.229999999999997</v>
      </c>
      <c r="U521" s="1">
        <v>12</v>
      </c>
      <c r="V521" s="1">
        <v>0</v>
      </c>
      <c r="W521" s="1" cm="1">
        <f t="array" ref="W521">SUM(ABS(S521:V521))</f>
        <v>328.8</v>
      </c>
      <c r="X521" s="25">
        <v>1.238</v>
      </c>
      <c r="Y521" s="42">
        <f t="shared" si="102"/>
        <v>101763.59999999999</v>
      </c>
      <c r="Z521" s="20">
        <v>274.21999999999997</v>
      </c>
      <c r="AA521" s="20">
        <f t="shared" si="103"/>
        <v>603.02</v>
      </c>
      <c r="AB521" s="21">
        <v>97.500000000000014</v>
      </c>
      <c r="AC521" s="21">
        <v>4.92</v>
      </c>
      <c r="AD521" s="8">
        <f t="shared" si="104"/>
        <v>376.64</v>
      </c>
      <c r="AE521" s="25">
        <v>1.238</v>
      </c>
      <c r="AF521" s="25">
        <f t="shared" si="105"/>
        <v>116570.07999999999</v>
      </c>
      <c r="AG521" s="25">
        <f t="shared" si="106"/>
        <v>218333.68</v>
      </c>
      <c r="AH521" s="1">
        <f t="shared" si="96"/>
        <v>3139.98</v>
      </c>
      <c r="AI521" s="1">
        <f t="shared" si="97"/>
        <v>3229.89</v>
      </c>
      <c r="AJ521" s="1">
        <v>3558.6</v>
      </c>
      <c r="AK521" s="1">
        <f t="shared" si="98"/>
        <v>-418.61999999999989</v>
      </c>
      <c r="AL521" s="29">
        <f t="shared" si="107"/>
        <v>328.71000000000004</v>
      </c>
      <c r="AM521" s="11">
        <f t="shared" si="99"/>
        <v>2443039.7191000003</v>
      </c>
    </row>
    <row r="522" spans="1:39" x14ac:dyDescent="0.3">
      <c r="A522" s="39">
        <v>45935.395833333336</v>
      </c>
      <c r="B522" s="1">
        <v>1028.1099999999999</v>
      </c>
      <c r="C522" s="11">
        <v>3.2732000000000001</v>
      </c>
      <c r="D522" s="1">
        <v>754.37</v>
      </c>
      <c r="E522" s="11">
        <v>3.0760000000000001</v>
      </c>
      <c r="F522" s="1">
        <v>398.57</v>
      </c>
      <c r="G522" s="11">
        <v>3.53</v>
      </c>
      <c r="H522" s="1">
        <v>47.33</v>
      </c>
      <c r="I522" s="11">
        <v>1.85355</v>
      </c>
      <c r="J522" s="1">
        <v>127.03</v>
      </c>
      <c r="K522" s="11">
        <v>2.5442399999999998</v>
      </c>
      <c r="L522" s="1">
        <v>60.31</v>
      </c>
      <c r="M522" s="11">
        <v>6.2</v>
      </c>
      <c r="N522" s="1">
        <v>360.56</v>
      </c>
      <c r="O522" s="11">
        <v>2.8224999999999998</v>
      </c>
      <c r="P522" s="1">
        <f t="shared" si="100"/>
        <v>2776.28</v>
      </c>
      <c r="Q522" s="1">
        <v>2822.13</v>
      </c>
      <c r="R522" s="16">
        <f t="shared" si="101"/>
        <v>2223782.4501749999</v>
      </c>
      <c r="S522" s="1">
        <v>-260.64</v>
      </c>
      <c r="T522" s="1">
        <v>35.18</v>
      </c>
      <c r="U522" s="1">
        <v>12</v>
      </c>
      <c r="V522" s="1">
        <v>0</v>
      </c>
      <c r="W522" s="1" cm="1">
        <f t="array" ref="W522">SUM(ABS(S522:V522))</f>
        <v>307.82</v>
      </c>
      <c r="X522" s="25">
        <v>1.238</v>
      </c>
      <c r="Y522" s="42">
        <f t="shared" si="102"/>
        <v>95270.290000000008</v>
      </c>
      <c r="Z522" s="20">
        <v>275.64999999999998</v>
      </c>
      <c r="AA522" s="20">
        <f t="shared" si="103"/>
        <v>583.47</v>
      </c>
      <c r="AB522" s="21">
        <v>152.97999999999999</v>
      </c>
      <c r="AC522" s="21">
        <v>5.2</v>
      </c>
      <c r="AD522" s="8">
        <f t="shared" si="104"/>
        <v>433.83</v>
      </c>
      <c r="AE522" s="25">
        <v>1.238</v>
      </c>
      <c r="AF522" s="25">
        <f t="shared" si="105"/>
        <v>134270.38500000001</v>
      </c>
      <c r="AG522" s="25">
        <f t="shared" si="106"/>
        <v>229540.67500000002</v>
      </c>
      <c r="AH522" s="1">
        <f t="shared" si="96"/>
        <v>3210.11</v>
      </c>
      <c r="AI522" s="1">
        <f t="shared" si="97"/>
        <v>3255.96</v>
      </c>
      <c r="AJ522" s="1">
        <v>3571.56</v>
      </c>
      <c r="AK522" s="1">
        <f t="shared" si="98"/>
        <v>-361.44999999999982</v>
      </c>
      <c r="AL522" s="29">
        <f t="shared" si="107"/>
        <v>315.59999999999991</v>
      </c>
      <c r="AM522" s="11">
        <f t="shared" si="99"/>
        <v>2453323.1251749997</v>
      </c>
    </row>
    <row r="523" spans="1:39" x14ac:dyDescent="0.3">
      <c r="A523" s="39">
        <v>45935.40625</v>
      </c>
      <c r="B523" s="1">
        <v>1028.79</v>
      </c>
      <c r="C523" s="11">
        <v>3.2732000000000001</v>
      </c>
      <c r="D523" s="1">
        <v>754.37</v>
      </c>
      <c r="E523" s="11">
        <v>3.0760000000000001</v>
      </c>
      <c r="F523" s="1">
        <v>398.57</v>
      </c>
      <c r="G523" s="11">
        <v>3.53</v>
      </c>
      <c r="H523" s="1">
        <v>47.33</v>
      </c>
      <c r="I523" s="11">
        <v>1.86999</v>
      </c>
      <c r="J523" s="1">
        <v>127.19</v>
      </c>
      <c r="K523" s="11">
        <v>2.5440999999999998</v>
      </c>
      <c r="L523" s="1">
        <v>60.33</v>
      </c>
      <c r="M523" s="11">
        <v>6.2</v>
      </c>
      <c r="N523" s="1">
        <v>382.95</v>
      </c>
      <c r="O523" s="11">
        <v>2.8224999999999998</v>
      </c>
      <c r="P523" s="1">
        <f t="shared" si="100"/>
        <v>2799.5299999999997</v>
      </c>
      <c r="Q523" s="1">
        <v>2913.14</v>
      </c>
      <c r="R523" s="16">
        <f t="shared" si="101"/>
        <v>2240460.6821750002</v>
      </c>
      <c r="S523" s="1">
        <v>-215.37</v>
      </c>
      <c r="T523" s="1">
        <v>35.07</v>
      </c>
      <c r="U523" s="1">
        <v>12</v>
      </c>
      <c r="V523" s="1">
        <v>0</v>
      </c>
      <c r="W523" s="1" cm="1">
        <f t="array" ref="W523">SUM(ABS(S523:V523))</f>
        <v>262.44</v>
      </c>
      <c r="X523" s="25">
        <v>1.238</v>
      </c>
      <c r="Y523" s="42">
        <f t="shared" si="102"/>
        <v>81225.179999999993</v>
      </c>
      <c r="Z523" s="20">
        <v>273.29000000000002</v>
      </c>
      <c r="AA523" s="20">
        <f t="shared" si="103"/>
        <v>535.73</v>
      </c>
      <c r="AB523" s="21">
        <v>155.16999999999999</v>
      </c>
      <c r="AC523" s="21">
        <v>5.41</v>
      </c>
      <c r="AD523" s="8">
        <f t="shared" si="104"/>
        <v>433.87000000000006</v>
      </c>
      <c r="AE523" s="25">
        <v>1.238</v>
      </c>
      <c r="AF523" s="25">
        <f t="shared" si="105"/>
        <v>134282.76500000001</v>
      </c>
      <c r="AG523" s="25">
        <f t="shared" si="106"/>
        <v>215507.94500000001</v>
      </c>
      <c r="AH523" s="1">
        <f t="shared" si="96"/>
        <v>3233.3999999999996</v>
      </c>
      <c r="AI523" s="1">
        <f t="shared" si="97"/>
        <v>3347.0099999999998</v>
      </c>
      <c r="AJ523" s="1">
        <v>3619.22</v>
      </c>
      <c r="AK523" s="1">
        <f t="shared" si="98"/>
        <v>-385.82000000000016</v>
      </c>
      <c r="AL523" s="29">
        <f t="shared" si="107"/>
        <v>272.21000000000004</v>
      </c>
      <c r="AM523" s="11">
        <f t="shared" si="99"/>
        <v>2455968.627175</v>
      </c>
    </row>
    <row r="524" spans="1:39" x14ac:dyDescent="0.3">
      <c r="A524" s="39">
        <v>45935.416666666664</v>
      </c>
      <c r="B524" s="1">
        <v>1029.7</v>
      </c>
      <c r="C524" s="11">
        <v>3.2732000000000001</v>
      </c>
      <c r="D524" s="1">
        <v>754.37</v>
      </c>
      <c r="E524" s="11">
        <v>3.0760000000000001</v>
      </c>
      <c r="F524" s="1">
        <v>398.57</v>
      </c>
      <c r="G524" s="11">
        <v>3.53</v>
      </c>
      <c r="H524" s="1">
        <v>20.59</v>
      </c>
      <c r="I524" s="11">
        <v>1.7997000000000001</v>
      </c>
      <c r="J524" s="1">
        <v>125.47</v>
      </c>
      <c r="K524" s="11">
        <v>2.0005899999999999</v>
      </c>
      <c r="L524" s="1">
        <v>87.06</v>
      </c>
      <c r="M524" s="11">
        <v>6.2</v>
      </c>
      <c r="N524" s="1">
        <v>404.6</v>
      </c>
      <c r="O524" s="11">
        <v>2.8224999999999998</v>
      </c>
      <c r="P524" s="1">
        <f t="shared" si="100"/>
        <v>2820.36</v>
      </c>
      <c r="Q524" s="1">
        <v>2909.18</v>
      </c>
      <c r="R524" s="16">
        <f t="shared" si="101"/>
        <v>2266908.4025749997</v>
      </c>
      <c r="S524" s="1">
        <v>-187.42</v>
      </c>
      <c r="T524" s="1">
        <v>35.020000000000003</v>
      </c>
      <c r="U524" s="1">
        <v>12</v>
      </c>
      <c r="V524" s="1">
        <v>0</v>
      </c>
      <c r="W524" s="1" cm="1">
        <f t="array" ref="W524">SUM(ABS(S524:V524))</f>
        <v>234.44</v>
      </c>
      <c r="X524" s="25">
        <v>1.238</v>
      </c>
      <c r="Y524" s="42">
        <f t="shared" si="102"/>
        <v>72559.179999999993</v>
      </c>
      <c r="Z524" s="20">
        <v>275.28000000000003</v>
      </c>
      <c r="AA524" s="20">
        <f t="shared" si="103"/>
        <v>509.72</v>
      </c>
      <c r="AB524" s="21">
        <v>168.38000000000002</v>
      </c>
      <c r="AC524" s="21">
        <v>5.8100000000000005</v>
      </c>
      <c r="AD524" s="8">
        <f t="shared" si="104"/>
        <v>449.47000000000008</v>
      </c>
      <c r="AE524" s="25">
        <v>1.238</v>
      </c>
      <c r="AF524" s="25">
        <f t="shared" si="105"/>
        <v>139110.96500000003</v>
      </c>
      <c r="AG524" s="25">
        <f t="shared" si="106"/>
        <v>211670.14500000002</v>
      </c>
      <c r="AH524" s="1">
        <f t="shared" si="96"/>
        <v>3269.8300000000004</v>
      </c>
      <c r="AI524" s="1">
        <f t="shared" si="97"/>
        <v>3358.65</v>
      </c>
      <c r="AJ524" s="1">
        <v>3599.61</v>
      </c>
      <c r="AK524" s="1">
        <f t="shared" si="98"/>
        <v>-329.77999999999975</v>
      </c>
      <c r="AL524" s="29">
        <f t="shared" si="107"/>
        <v>240.96000000000004</v>
      </c>
      <c r="AM524" s="11">
        <f t="shared" si="99"/>
        <v>2478578.5475749997</v>
      </c>
    </row>
    <row r="525" spans="1:39" x14ac:dyDescent="0.3">
      <c r="A525" s="39">
        <v>45935.427083333336</v>
      </c>
      <c r="B525" s="1">
        <v>1031.0899999999999</v>
      </c>
      <c r="C525" s="11">
        <v>3.2732000000000001</v>
      </c>
      <c r="D525" s="1">
        <v>754.37</v>
      </c>
      <c r="E525" s="11">
        <v>3.0760000000000001</v>
      </c>
      <c r="F525" s="1">
        <v>398.57</v>
      </c>
      <c r="G525" s="11">
        <v>3.53</v>
      </c>
      <c r="H525" s="1">
        <v>18.47</v>
      </c>
      <c r="I525" s="11">
        <v>1.8479000000000001</v>
      </c>
      <c r="J525" s="1">
        <v>123.57</v>
      </c>
      <c r="K525" s="11">
        <v>1.78596</v>
      </c>
      <c r="L525" s="1">
        <v>88.73</v>
      </c>
      <c r="M525" s="11">
        <v>6.2</v>
      </c>
      <c r="N525" s="1">
        <v>418.95</v>
      </c>
      <c r="O525" s="11">
        <v>2.8224999999999998</v>
      </c>
      <c r="P525" s="1">
        <f t="shared" si="100"/>
        <v>2833.75</v>
      </c>
      <c r="Q525" s="1">
        <v>2862.64</v>
      </c>
      <c r="R525" s="16">
        <f t="shared" si="101"/>
        <v>2272448.0433000005</v>
      </c>
      <c r="S525" s="1">
        <v>-244.19</v>
      </c>
      <c r="T525" s="1">
        <v>34.96</v>
      </c>
      <c r="U525" s="1">
        <v>12</v>
      </c>
      <c r="V525" s="1">
        <v>0</v>
      </c>
      <c r="W525" s="1" cm="1">
        <f t="array" ref="W525">SUM(ABS(S525:V525))</f>
        <v>291.14999999999998</v>
      </c>
      <c r="X525" s="25">
        <v>1.238</v>
      </c>
      <c r="Y525" s="42">
        <f t="shared" si="102"/>
        <v>90110.924999999988</v>
      </c>
      <c r="Z525" s="20">
        <v>277.5</v>
      </c>
      <c r="AA525" s="20">
        <f t="shared" si="103"/>
        <v>568.65</v>
      </c>
      <c r="AB525" s="21">
        <v>180.36999999999998</v>
      </c>
      <c r="AC525" s="21">
        <v>5.97</v>
      </c>
      <c r="AD525" s="8">
        <f t="shared" si="104"/>
        <v>463.84000000000003</v>
      </c>
      <c r="AE525" s="25">
        <v>1.238</v>
      </c>
      <c r="AF525" s="25">
        <f t="shared" si="105"/>
        <v>143558.48000000001</v>
      </c>
      <c r="AG525" s="25">
        <f t="shared" si="106"/>
        <v>233669.405</v>
      </c>
      <c r="AH525" s="1">
        <f t="shared" si="96"/>
        <v>3297.59</v>
      </c>
      <c r="AI525" s="1">
        <f t="shared" si="97"/>
        <v>3326.48</v>
      </c>
      <c r="AJ525" s="1">
        <v>3621.03</v>
      </c>
      <c r="AK525" s="1">
        <f t="shared" si="98"/>
        <v>-323.44000000000005</v>
      </c>
      <c r="AL525" s="29">
        <f t="shared" si="107"/>
        <v>294.55000000000018</v>
      </c>
      <c r="AM525" s="11">
        <f t="shared" si="99"/>
        <v>2506117.4483000003</v>
      </c>
    </row>
    <row r="526" spans="1:39" x14ac:dyDescent="0.3">
      <c r="A526" s="39">
        <v>45935.4375</v>
      </c>
      <c r="B526" s="1">
        <v>1031.8599999999999</v>
      </c>
      <c r="C526" s="11">
        <v>3.2732000000000001</v>
      </c>
      <c r="D526" s="1">
        <v>754.37</v>
      </c>
      <c r="E526" s="11">
        <v>3.0760000000000001</v>
      </c>
      <c r="F526" s="1">
        <v>398.57</v>
      </c>
      <c r="G526" s="11">
        <v>3.53</v>
      </c>
      <c r="H526" s="1">
        <v>18.47</v>
      </c>
      <c r="I526" s="11">
        <v>1.99918</v>
      </c>
      <c r="J526" s="1">
        <v>122.53</v>
      </c>
      <c r="K526" s="11">
        <v>2.54433</v>
      </c>
      <c r="L526" s="1">
        <v>88.71</v>
      </c>
      <c r="M526" s="11">
        <v>6.2</v>
      </c>
      <c r="N526" s="1">
        <v>426.16</v>
      </c>
      <c r="O526" s="11">
        <v>2.8224999999999998</v>
      </c>
      <c r="P526" s="1">
        <f t="shared" si="100"/>
        <v>2840.67</v>
      </c>
      <c r="Q526" s="1">
        <v>2873.47</v>
      </c>
      <c r="R526" s="16">
        <f t="shared" si="101"/>
        <v>2301599.6453750003</v>
      </c>
      <c r="S526" s="1">
        <v>-187.47</v>
      </c>
      <c r="T526" s="1">
        <v>34.93</v>
      </c>
      <c r="U526" s="1">
        <v>12</v>
      </c>
      <c r="V526" s="1">
        <v>0</v>
      </c>
      <c r="W526" s="1" cm="1">
        <f t="array" ref="W526">SUM(ABS(S526:V526))</f>
        <v>234.4</v>
      </c>
      <c r="X526" s="25">
        <v>1.238</v>
      </c>
      <c r="Y526" s="42">
        <f t="shared" si="102"/>
        <v>72546.8</v>
      </c>
      <c r="Z526" s="20">
        <v>301.05</v>
      </c>
      <c r="AA526" s="20">
        <f t="shared" si="103"/>
        <v>535.45000000000005</v>
      </c>
      <c r="AB526" s="21">
        <v>180.85</v>
      </c>
      <c r="AC526" s="21">
        <v>5.3</v>
      </c>
      <c r="AD526" s="8">
        <f t="shared" si="104"/>
        <v>487.2</v>
      </c>
      <c r="AE526" s="25">
        <v>1.238</v>
      </c>
      <c r="AF526" s="25">
        <f t="shared" si="105"/>
        <v>150788.4</v>
      </c>
      <c r="AG526" s="25">
        <f t="shared" si="106"/>
        <v>223335.2</v>
      </c>
      <c r="AH526" s="1">
        <f t="shared" si="96"/>
        <v>3327.87</v>
      </c>
      <c r="AI526" s="1">
        <f t="shared" si="97"/>
        <v>3360.6699999999996</v>
      </c>
      <c r="AJ526" s="1">
        <v>3602.71</v>
      </c>
      <c r="AK526" s="1">
        <f t="shared" si="98"/>
        <v>-274.84000000000015</v>
      </c>
      <c r="AL526" s="29">
        <f t="shared" si="107"/>
        <v>242.04000000000042</v>
      </c>
      <c r="AM526" s="11">
        <f t="shared" si="99"/>
        <v>2524934.8453750005</v>
      </c>
    </row>
    <row r="527" spans="1:39" x14ac:dyDescent="0.3">
      <c r="A527" s="39">
        <v>45935.447916666664</v>
      </c>
      <c r="B527" s="1">
        <v>1034.3699999999999</v>
      </c>
      <c r="C527" s="11">
        <v>3.2732000000000001</v>
      </c>
      <c r="D527" s="1">
        <v>754.37</v>
      </c>
      <c r="E527" s="11">
        <v>3.0760000000000001</v>
      </c>
      <c r="F527" s="1">
        <v>398.57</v>
      </c>
      <c r="G527" s="11">
        <v>3.53</v>
      </c>
      <c r="H527" s="1">
        <v>18.47</v>
      </c>
      <c r="I527" s="11">
        <v>1.9993599999999998</v>
      </c>
      <c r="J527" s="1">
        <v>122.46</v>
      </c>
      <c r="K527" s="11">
        <v>2.5443000000000002</v>
      </c>
      <c r="L527" s="1">
        <v>88.27</v>
      </c>
      <c r="M527" s="11">
        <v>6.2</v>
      </c>
      <c r="N527" s="1">
        <v>436.31</v>
      </c>
      <c r="O527" s="11">
        <v>2.8224999999999998</v>
      </c>
      <c r="P527" s="1">
        <f t="shared" si="100"/>
        <v>2852.8199999999997</v>
      </c>
      <c r="Q527" s="1">
        <v>2906.45</v>
      </c>
      <c r="R527" s="16">
        <f t="shared" si="101"/>
        <v>2310089.0590499998</v>
      </c>
      <c r="S527" s="1">
        <v>-168.94</v>
      </c>
      <c r="T527" s="1">
        <v>34.9</v>
      </c>
      <c r="U527" s="1">
        <v>12</v>
      </c>
      <c r="V527" s="1">
        <v>0</v>
      </c>
      <c r="W527" s="1" cm="1">
        <f t="array" ref="W527">SUM(ABS(S527:V527))</f>
        <v>215.84</v>
      </c>
      <c r="X527" s="25">
        <v>1.238</v>
      </c>
      <c r="Y527" s="42">
        <f t="shared" si="102"/>
        <v>66802.48</v>
      </c>
      <c r="Z527" s="20">
        <v>303.02000000000004</v>
      </c>
      <c r="AA527" s="20">
        <f t="shared" si="103"/>
        <v>518.86</v>
      </c>
      <c r="AB527" s="21">
        <v>167.39000000000001</v>
      </c>
      <c r="AC527" s="21">
        <v>5.82</v>
      </c>
      <c r="AD527" s="8">
        <f t="shared" si="104"/>
        <v>476.23000000000008</v>
      </c>
      <c r="AE527" s="25">
        <v>1.238</v>
      </c>
      <c r="AF527" s="25">
        <f t="shared" si="105"/>
        <v>147393.18500000003</v>
      </c>
      <c r="AG527" s="25">
        <f t="shared" si="106"/>
        <v>214195.66500000004</v>
      </c>
      <c r="AH527" s="1">
        <f t="shared" si="96"/>
        <v>3329.0499999999997</v>
      </c>
      <c r="AI527" s="1">
        <f t="shared" si="97"/>
        <v>3382.68</v>
      </c>
      <c r="AJ527" s="1">
        <v>3603.52</v>
      </c>
      <c r="AK527" s="1">
        <f t="shared" si="98"/>
        <v>-274.47000000000025</v>
      </c>
      <c r="AL527" s="29">
        <f t="shared" si="107"/>
        <v>220.84000000000015</v>
      </c>
      <c r="AM527" s="11">
        <f t="shared" si="99"/>
        <v>2524284.7240499998</v>
      </c>
    </row>
    <row r="528" spans="1:39" x14ac:dyDescent="0.3">
      <c r="A528" s="39">
        <v>45935.458333333336</v>
      </c>
      <c r="B528" s="1">
        <v>1034.6099999999999</v>
      </c>
      <c r="C528" s="11">
        <v>3.2732000000000001</v>
      </c>
      <c r="D528" s="1">
        <v>754.37</v>
      </c>
      <c r="E528" s="11">
        <v>3.0760000000000001</v>
      </c>
      <c r="F528" s="1">
        <v>398.57</v>
      </c>
      <c r="G528" s="11">
        <v>3.53</v>
      </c>
      <c r="H528" s="1">
        <v>18.47</v>
      </c>
      <c r="I528" s="11">
        <v>1.9995699999999998</v>
      </c>
      <c r="J528" s="1">
        <v>118.52</v>
      </c>
      <c r="K528" s="11">
        <v>2.9713000000000003</v>
      </c>
      <c r="L528" s="1">
        <v>88.77</v>
      </c>
      <c r="M528" s="11">
        <v>6.2</v>
      </c>
      <c r="N528" s="1">
        <v>442.7</v>
      </c>
      <c r="O528" s="11">
        <v>2.8224999999999998</v>
      </c>
      <c r="P528" s="1">
        <f t="shared" si="100"/>
        <v>2856.0099999999998</v>
      </c>
      <c r="Q528" s="1">
        <v>2888.9</v>
      </c>
      <c r="R528" s="16">
        <f t="shared" si="101"/>
        <v>2325716.2389750001</v>
      </c>
      <c r="S528" s="1">
        <v>-167.68</v>
      </c>
      <c r="T528" s="1">
        <v>34.85</v>
      </c>
      <c r="U528" s="1">
        <v>12</v>
      </c>
      <c r="V528" s="1">
        <v>0</v>
      </c>
      <c r="W528" s="1" cm="1">
        <f t="array" ref="W528">SUM(ABS(S528:V528))</f>
        <v>214.53</v>
      </c>
      <c r="X528" s="25">
        <v>1.238</v>
      </c>
      <c r="Y528" s="42">
        <f t="shared" si="102"/>
        <v>66397.035000000003</v>
      </c>
      <c r="Z528" s="20">
        <v>303.06</v>
      </c>
      <c r="AA528" s="20">
        <f t="shared" si="103"/>
        <v>517.59</v>
      </c>
      <c r="AB528" s="21">
        <v>182.32999999999998</v>
      </c>
      <c r="AC528" s="21">
        <v>6.15</v>
      </c>
      <c r="AD528" s="8">
        <f t="shared" si="104"/>
        <v>491.53999999999996</v>
      </c>
      <c r="AE528" s="25">
        <v>1.238</v>
      </c>
      <c r="AF528" s="25">
        <f t="shared" si="105"/>
        <v>152131.63</v>
      </c>
      <c r="AG528" s="25">
        <f t="shared" si="106"/>
        <v>218528.66500000001</v>
      </c>
      <c r="AH528" s="1">
        <f t="shared" si="96"/>
        <v>3347.5499999999997</v>
      </c>
      <c r="AI528" s="1">
        <f t="shared" si="97"/>
        <v>3380.44</v>
      </c>
      <c r="AJ528" s="1">
        <v>3596.66</v>
      </c>
      <c r="AK528" s="1">
        <f t="shared" si="98"/>
        <v>-249.11000000000013</v>
      </c>
      <c r="AL528" s="29">
        <f t="shared" si="107"/>
        <v>216.2199999999998</v>
      </c>
      <c r="AM528" s="11">
        <f t="shared" si="99"/>
        <v>2544244.9039750001</v>
      </c>
    </row>
    <row r="529" spans="1:39" x14ac:dyDescent="0.3">
      <c r="A529" s="39">
        <v>45935.46875</v>
      </c>
      <c r="B529" s="1">
        <v>1034.6099999999999</v>
      </c>
      <c r="C529" s="11">
        <v>3.2732000000000001</v>
      </c>
      <c r="D529" s="1">
        <v>754.37</v>
      </c>
      <c r="E529" s="11">
        <v>3.0760000000000001</v>
      </c>
      <c r="F529" s="1">
        <v>398.57</v>
      </c>
      <c r="G529" s="11">
        <v>3.53</v>
      </c>
      <c r="H529" s="1">
        <v>18.47</v>
      </c>
      <c r="I529" s="11">
        <v>1.9996800000000001</v>
      </c>
      <c r="J529" s="1">
        <v>120.89</v>
      </c>
      <c r="K529" s="11">
        <v>2.92042</v>
      </c>
      <c r="L529" s="1">
        <v>88.81</v>
      </c>
      <c r="M529" s="11">
        <v>6.2</v>
      </c>
      <c r="N529" s="1">
        <v>448.97</v>
      </c>
      <c r="O529" s="11">
        <v>2.8224999999999998</v>
      </c>
      <c r="P529" s="1">
        <f t="shared" si="100"/>
        <v>2864.6899999999996</v>
      </c>
      <c r="Q529" s="1">
        <v>2836.73</v>
      </c>
      <c r="R529" s="16">
        <f t="shared" si="101"/>
        <v>2330425.7901000003</v>
      </c>
      <c r="S529" s="1">
        <v>-175.03</v>
      </c>
      <c r="T529" s="1">
        <v>34.799999999999997</v>
      </c>
      <c r="U529" s="1">
        <v>12</v>
      </c>
      <c r="V529" s="1">
        <v>0</v>
      </c>
      <c r="W529" s="1" cm="1">
        <f t="array" ref="W529">SUM(ABS(S529:V529))</f>
        <v>221.82999999999998</v>
      </c>
      <c r="X529" s="25">
        <v>1.238</v>
      </c>
      <c r="Y529" s="42">
        <f t="shared" si="102"/>
        <v>68656.384999999995</v>
      </c>
      <c r="Z529" s="20">
        <v>320.31</v>
      </c>
      <c r="AA529" s="20">
        <f t="shared" si="103"/>
        <v>542.14</v>
      </c>
      <c r="AB529" s="21">
        <v>192.88</v>
      </c>
      <c r="AC529" s="21">
        <v>7.31</v>
      </c>
      <c r="AD529" s="8">
        <f t="shared" si="104"/>
        <v>520.5</v>
      </c>
      <c r="AE529" s="25">
        <v>1.238</v>
      </c>
      <c r="AF529" s="25">
        <f t="shared" si="105"/>
        <v>161094.75</v>
      </c>
      <c r="AG529" s="25">
        <f t="shared" si="106"/>
        <v>229751.13500000001</v>
      </c>
      <c r="AH529" s="1">
        <f t="shared" si="96"/>
        <v>3385.1899999999996</v>
      </c>
      <c r="AI529" s="1">
        <f t="shared" si="97"/>
        <v>3357.23</v>
      </c>
      <c r="AJ529" s="1">
        <v>3584.03</v>
      </c>
      <c r="AK529" s="1">
        <f t="shared" si="98"/>
        <v>-198.8400000000006</v>
      </c>
      <c r="AL529" s="29">
        <f t="shared" si="107"/>
        <v>226.80000000000018</v>
      </c>
      <c r="AM529" s="11">
        <f t="shared" si="99"/>
        <v>2560176.9251000006</v>
      </c>
    </row>
    <row r="530" spans="1:39" x14ac:dyDescent="0.3">
      <c r="A530" s="39">
        <v>45935.479166666664</v>
      </c>
      <c r="B530" s="1">
        <v>1034.6099999999999</v>
      </c>
      <c r="C530" s="11">
        <v>3.2732000000000001</v>
      </c>
      <c r="D530" s="1">
        <v>754.37</v>
      </c>
      <c r="E530" s="11">
        <v>3.0760000000000001</v>
      </c>
      <c r="F530" s="1">
        <v>398.57</v>
      </c>
      <c r="G530" s="11">
        <v>3.53</v>
      </c>
      <c r="H530" s="1">
        <v>18.47</v>
      </c>
      <c r="I530" s="11">
        <v>1.9997100000000001</v>
      </c>
      <c r="J530" s="1">
        <v>122.01</v>
      </c>
      <c r="K530" s="11">
        <v>2.7735300000000001</v>
      </c>
      <c r="L530" s="1">
        <v>88.89</v>
      </c>
      <c r="M530" s="11">
        <v>6.2</v>
      </c>
      <c r="N530" s="1">
        <v>456.76</v>
      </c>
      <c r="O530" s="11">
        <v>2.8224999999999998</v>
      </c>
      <c r="P530" s="1">
        <f t="shared" si="100"/>
        <v>2873.6800000000003</v>
      </c>
      <c r="Q530" s="1">
        <v>2851.02</v>
      </c>
      <c r="R530" s="16">
        <f t="shared" si="101"/>
        <v>2332383.9527500002</v>
      </c>
      <c r="S530" s="1">
        <v>-140.07</v>
      </c>
      <c r="T530" s="1">
        <v>34.770000000000003</v>
      </c>
      <c r="U530" s="1">
        <v>12</v>
      </c>
      <c r="V530" s="1">
        <v>0</v>
      </c>
      <c r="W530" s="1" cm="1">
        <f t="array" ref="W530">SUM(ABS(S530:V530))</f>
        <v>186.84</v>
      </c>
      <c r="X530" s="25">
        <v>1.238</v>
      </c>
      <c r="Y530" s="42">
        <f t="shared" si="102"/>
        <v>57826.979999999996</v>
      </c>
      <c r="Z530" s="20">
        <v>323.62</v>
      </c>
      <c r="AA530" s="20">
        <f t="shared" si="103"/>
        <v>510.46000000000004</v>
      </c>
      <c r="AB530" s="21">
        <v>193.45</v>
      </c>
      <c r="AC530" s="21">
        <v>8.51</v>
      </c>
      <c r="AD530" s="8">
        <f t="shared" si="104"/>
        <v>525.57999999999993</v>
      </c>
      <c r="AE530" s="25">
        <v>1.238</v>
      </c>
      <c r="AF530" s="25">
        <f t="shared" si="105"/>
        <v>162667.00999999998</v>
      </c>
      <c r="AG530" s="25">
        <f t="shared" si="106"/>
        <v>220493.99</v>
      </c>
      <c r="AH530" s="1">
        <f t="shared" si="96"/>
        <v>3399.26</v>
      </c>
      <c r="AI530" s="1">
        <f t="shared" si="97"/>
        <v>3376.6</v>
      </c>
      <c r="AJ530" s="1">
        <v>3583.65</v>
      </c>
      <c r="AK530" s="1">
        <f t="shared" si="98"/>
        <v>-184.38999999999987</v>
      </c>
      <c r="AL530" s="29">
        <f t="shared" si="107"/>
        <v>207.05000000000018</v>
      </c>
      <c r="AM530" s="11">
        <f t="shared" si="99"/>
        <v>2552877.9427500004</v>
      </c>
    </row>
    <row r="531" spans="1:39" x14ac:dyDescent="0.3">
      <c r="A531" s="39">
        <v>45935.489583333336</v>
      </c>
      <c r="B531" s="1">
        <v>1034.6099999999999</v>
      </c>
      <c r="C531" s="11">
        <v>3.2732000000000001</v>
      </c>
      <c r="D531" s="1">
        <v>754.37</v>
      </c>
      <c r="E531" s="11">
        <v>3.0760000000000001</v>
      </c>
      <c r="F531" s="1">
        <v>398.57</v>
      </c>
      <c r="G531" s="11">
        <v>3.53</v>
      </c>
      <c r="H531" s="1">
        <v>18.47</v>
      </c>
      <c r="I531" s="11">
        <v>1.9997100000000001</v>
      </c>
      <c r="J531" s="1">
        <v>122.07</v>
      </c>
      <c r="K531" s="11">
        <v>2.7736999999999998</v>
      </c>
      <c r="L531" s="1">
        <v>89.08</v>
      </c>
      <c r="M531" s="11">
        <v>6.2</v>
      </c>
      <c r="N531" s="1">
        <v>459.47</v>
      </c>
      <c r="O531" s="11">
        <v>2.8224999999999998</v>
      </c>
      <c r="P531" s="1">
        <f t="shared" si="100"/>
        <v>2876.6400000000003</v>
      </c>
      <c r="Q531" s="1">
        <v>2877.4</v>
      </c>
      <c r="R531" s="16">
        <f t="shared" si="101"/>
        <v>2334637.4874250004</v>
      </c>
      <c r="S531" s="1">
        <v>-123.85</v>
      </c>
      <c r="T531" s="1">
        <v>34.729999999999997</v>
      </c>
      <c r="U531" s="1">
        <v>12</v>
      </c>
      <c r="V531" s="1">
        <v>0</v>
      </c>
      <c r="W531" s="1" cm="1">
        <f t="array" ref="W531">SUM(ABS(S531:V531))</f>
        <v>170.57999999999998</v>
      </c>
      <c r="X531" s="25">
        <v>1.238</v>
      </c>
      <c r="Y531" s="42">
        <f t="shared" si="102"/>
        <v>52794.509999999995</v>
      </c>
      <c r="Z531" s="20">
        <v>323.37</v>
      </c>
      <c r="AA531" s="20">
        <f t="shared" si="103"/>
        <v>493.95</v>
      </c>
      <c r="AB531" s="21">
        <v>188.93</v>
      </c>
      <c r="AC531" s="21">
        <v>9.2100000000000009</v>
      </c>
      <c r="AD531" s="8">
        <f t="shared" si="104"/>
        <v>521.51</v>
      </c>
      <c r="AE531" s="25">
        <v>1.238</v>
      </c>
      <c r="AF531" s="25">
        <f t="shared" si="105"/>
        <v>161407.345</v>
      </c>
      <c r="AG531" s="25">
        <f t="shared" si="106"/>
        <v>214201.85499999998</v>
      </c>
      <c r="AH531" s="1">
        <f t="shared" si="96"/>
        <v>3398.1500000000005</v>
      </c>
      <c r="AI531" s="1">
        <f t="shared" si="97"/>
        <v>3398.91</v>
      </c>
      <c r="AJ531" s="1">
        <v>3585.63</v>
      </c>
      <c r="AK531" s="1">
        <f t="shared" si="98"/>
        <v>-187.47999999999956</v>
      </c>
      <c r="AL531" s="29">
        <f t="shared" si="107"/>
        <v>186.72000000000025</v>
      </c>
      <c r="AM531" s="11">
        <f t="shared" si="99"/>
        <v>2548839.3424250004</v>
      </c>
    </row>
    <row r="532" spans="1:39" x14ac:dyDescent="0.3">
      <c r="A532" s="39">
        <v>45935.5</v>
      </c>
      <c r="B532" s="1">
        <v>1035.8800000000001</v>
      </c>
      <c r="C532" s="11">
        <v>3.2732000000000001</v>
      </c>
      <c r="D532" s="1">
        <v>754.37</v>
      </c>
      <c r="E532" s="11">
        <v>3.0760000000000001</v>
      </c>
      <c r="F532" s="1">
        <v>398.57</v>
      </c>
      <c r="G532" s="11">
        <v>3.53</v>
      </c>
      <c r="H532" s="1">
        <v>19.82</v>
      </c>
      <c r="I532" s="11">
        <v>1.99983</v>
      </c>
      <c r="J532" s="1">
        <v>43.49</v>
      </c>
      <c r="K532" s="11">
        <v>2.9997399999999996</v>
      </c>
      <c r="L532" s="1">
        <v>87.11</v>
      </c>
      <c r="M532" s="11">
        <v>6.2</v>
      </c>
      <c r="N532" s="1">
        <v>457.81</v>
      </c>
      <c r="O532" s="11">
        <v>2.8224999999999998</v>
      </c>
      <c r="P532" s="1">
        <f t="shared" si="100"/>
        <v>2797.05</v>
      </c>
      <c r="Q532" s="1">
        <v>2865.22</v>
      </c>
      <c r="R532" s="16">
        <f t="shared" si="101"/>
        <v>2280095.6710500005</v>
      </c>
      <c r="S532" s="1">
        <v>-130.85</v>
      </c>
      <c r="T532" s="1">
        <v>34.69</v>
      </c>
      <c r="U532" s="1">
        <v>12</v>
      </c>
      <c r="V532" s="1">
        <v>0</v>
      </c>
      <c r="W532" s="1" cm="1">
        <f t="array" ref="W532">SUM(ABS(S532:V532))</f>
        <v>177.54</v>
      </c>
      <c r="X532" s="25">
        <v>1.238</v>
      </c>
      <c r="Y532" s="42">
        <f t="shared" si="102"/>
        <v>54948.63</v>
      </c>
      <c r="Z532" s="20">
        <v>322.46999999999997</v>
      </c>
      <c r="AA532" s="20">
        <f t="shared" si="103"/>
        <v>500.01</v>
      </c>
      <c r="AB532" s="21">
        <v>198.79</v>
      </c>
      <c r="AC532" s="21">
        <v>9</v>
      </c>
      <c r="AD532" s="8">
        <f t="shared" si="104"/>
        <v>530.26</v>
      </c>
      <c r="AE532" s="25">
        <v>1.238</v>
      </c>
      <c r="AF532" s="25">
        <f t="shared" si="105"/>
        <v>164115.47</v>
      </c>
      <c r="AG532" s="25">
        <f t="shared" si="106"/>
        <v>219064.1</v>
      </c>
      <c r="AH532" s="1">
        <f t="shared" si="96"/>
        <v>3327.3100000000004</v>
      </c>
      <c r="AI532" s="1">
        <f t="shared" si="97"/>
        <v>3395.4799999999996</v>
      </c>
      <c r="AJ532" s="1">
        <v>3587.06</v>
      </c>
      <c r="AK532" s="1">
        <f t="shared" si="98"/>
        <v>-259.74999999999955</v>
      </c>
      <c r="AL532" s="29">
        <f t="shared" si="107"/>
        <v>191.58000000000038</v>
      </c>
      <c r="AM532" s="11">
        <f t="shared" si="99"/>
        <v>2499159.7710500006</v>
      </c>
    </row>
    <row r="533" spans="1:39" x14ac:dyDescent="0.3">
      <c r="A533" s="39">
        <v>45935.510416666664</v>
      </c>
      <c r="B533" s="1">
        <v>1035.97</v>
      </c>
      <c r="C533" s="11">
        <v>3.2732000000000001</v>
      </c>
      <c r="D533" s="1">
        <v>754.37</v>
      </c>
      <c r="E533" s="11">
        <v>3.0760000000000001</v>
      </c>
      <c r="F533" s="1">
        <v>398.57</v>
      </c>
      <c r="G533" s="11">
        <v>3.53</v>
      </c>
      <c r="H533" s="1">
        <v>19.920000000000002</v>
      </c>
      <c r="I533" s="11">
        <v>1.9998699999999998</v>
      </c>
      <c r="J533" s="1">
        <v>26.49</v>
      </c>
      <c r="K533" s="11">
        <v>3.1007600000000002</v>
      </c>
      <c r="L533" s="1">
        <v>85.81</v>
      </c>
      <c r="M533" s="11">
        <v>6.2</v>
      </c>
      <c r="N533" s="1">
        <v>458.29</v>
      </c>
      <c r="O533" s="11">
        <v>2.8224999999999998</v>
      </c>
      <c r="P533" s="1">
        <f t="shared" si="100"/>
        <v>2779.42</v>
      </c>
      <c r="Q533" s="1">
        <v>2830.52</v>
      </c>
      <c r="R533" s="16">
        <f t="shared" si="101"/>
        <v>2266463.3229500004</v>
      </c>
      <c r="S533" s="1">
        <v>-140.53</v>
      </c>
      <c r="T533" s="1">
        <v>34.67</v>
      </c>
      <c r="U533" s="1">
        <v>12</v>
      </c>
      <c r="V533" s="1">
        <v>0</v>
      </c>
      <c r="W533" s="1" cm="1">
        <f t="array" ref="W533">SUM(ABS(S533:V533))</f>
        <v>187.2</v>
      </c>
      <c r="X533" s="25">
        <v>1.238</v>
      </c>
      <c r="Y533" s="42">
        <f t="shared" si="102"/>
        <v>57938.399999999994</v>
      </c>
      <c r="Z533" s="20">
        <v>331.82</v>
      </c>
      <c r="AA533" s="20">
        <f t="shared" si="103"/>
        <v>519.02</v>
      </c>
      <c r="AB533" s="21">
        <v>203.57</v>
      </c>
      <c r="AC533" s="21">
        <v>10.29</v>
      </c>
      <c r="AD533" s="8">
        <f t="shared" si="104"/>
        <v>545.67999999999995</v>
      </c>
      <c r="AE533" s="25">
        <v>1.238</v>
      </c>
      <c r="AF533" s="25">
        <f t="shared" si="105"/>
        <v>168887.96</v>
      </c>
      <c r="AG533" s="25">
        <f t="shared" si="106"/>
        <v>226826.36</v>
      </c>
      <c r="AH533" s="1">
        <f t="shared" si="96"/>
        <v>3325.1</v>
      </c>
      <c r="AI533" s="1">
        <f t="shared" si="97"/>
        <v>3376.2</v>
      </c>
      <c r="AJ533" s="1">
        <v>3578.92</v>
      </c>
      <c r="AK533" s="1">
        <f t="shared" si="98"/>
        <v>-253.82000000000016</v>
      </c>
      <c r="AL533" s="29">
        <f t="shared" si="107"/>
        <v>202.72000000000025</v>
      </c>
      <c r="AM533" s="11">
        <f t="shared" si="99"/>
        <v>2493289.6829500003</v>
      </c>
    </row>
    <row r="534" spans="1:39" x14ac:dyDescent="0.3">
      <c r="A534" s="39">
        <v>45935.520833333336</v>
      </c>
      <c r="B534" s="1">
        <v>1035.3699999999999</v>
      </c>
      <c r="C534" s="11">
        <v>3.2732000000000001</v>
      </c>
      <c r="D534" s="1">
        <v>754.37</v>
      </c>
      <c r="E534" s="11">
        <v>3.0760000000000001</v>
      </c>
      <c r="F534" s="1">
        <v>398.57</v>
      </c>
      <c r="G534" s="11">
        <v>3.53</v>
      </c>
      <c r="H534" s="1">
        <v>19.920000000000002</v>
      </c>
      <c r="I534" s="11">
        <v>1.99996</v>
      </c>
      <c r="J534" s="1">
        <v>30.02</v>
      </c>
      <c r="K534" s="11">
        <v>3.0150799999999998</v>
      </c>
      <c r="L534" s="1">
        <v>85.81</v>
      </c>
      <c r="M534" s="11">
        <v>6.2</v>
      </c>
      <c r="N534" s="1">
        <v>456.52</v>
      </c>
      <c r="O534" s="11">
        <v>2.8224999999999998</v>
      </c>
      <c r="P534" s="1">
        <f t="shared" si="100"/>
        <v>2780.58</v>
      </c>
      <c r="Q534" s="1">
        <v>2796.56</v>
      </c>
      <c r="R534" s="16">
        <f t="shared" si="101"/>
        <v>2266817.2271999996</v>
      </c>
      <c r="S534" s="1">
        <v>-178.56</v>
      </c>
      <c r="T534" s="1">
        <v>34.630000000000003</v>
      </c>
      <c r="U534" s="1">
        <v>12</v>
      </c>
      <c r="V534" s="1">
        <v>0</v>
      </c>
      <c r="W534" s="1" cm="1">
        <f t="array" ref="W534">SUM(ABS(S534:V534))</f>
        <v>225.19</v>
      </c>
      <c r="X534" s="25">
        <v>1.238</v>
      </c>
      <c r="Y534" s="42">
        <f t="shared" si="102"/>
        <v>69696.304999999993</v>
      </c>
      <c r="Z534" s="20">
        <v>339.45</v>
      </c>
      <c r="AA534" s="20">
        <f t="shared" si="103"/>
        <v>564.64</v>
      </c>
      <c r="AB534" s="21">
        <v>203.02</v>
      </c>
      <c r="AC534" s="21">
        <v>10.75</v>
      </c>
      <c r="AD534" s="8">
        <f t="shared" si="104"/>
        <v>553.22</v>
      </c>
      <c r="AE534" s="25">
        <v>1.238</v>
      </c>
      <c r="AF534" s="25">
        <f t="shared" si="105"/>
        <v>171221.59000000003</v>
      </c>
      <c r="AG534" s="25">
        <f t="shared" si="106"/>
        <v>240917.89500000002</v>
      </c>
      <c r="AH534" s="1">
        <f t="shared" si="96"/>
        <v>3333.8</v>
      </c>
      <c r="AI534" s="1">
        <f t="shared" si="97"/>
        <v>3349.7799999999997</v>
      </c>
      <c r="AJ534" s="1">
        <v>3591.08</v>
      </c>
      <c r="AK534" s="1">
        <f t="shared" si="98"/>
        <v>-257.27999999999975</v>
      </c>
      <c r="AL534" s="29">
        <f t="shared" si="107"/>
        <v>241.30000000000018</v>
      </c>
      <c r="AM534" s="11">
        <f t="shared" si="99"/>
        <v>2507735.1221999996</v>
      </c>
    </row>
    <row r="535" spans="1:39" x14ac:dyDescent="0.3">
      <c r="A535" s="39">
        <v>45935.53125</v>
      </c>
      <c r="B535" s="1">
        <v>1035.32</v>
      </c>
      <c r="C535" s="11">
        <v>3.2732000000000001</v>
      </c>
      <c r="D535" s="1">
        <v>754.37</v>
      </c>
      <c r="E535" s="11">
        <v>3.0760000000000001</v>
      </c>
      <c r="F535" s="1">
        <v>398.57</v>
      </c>
      <c r="G535" s="11">
        <v>3.53</v>
      </c>
      <c r="H535" s="1">
        <v>19.920000000000002</v>
      </c>
      <c r="I535" s="11">
        <v>1.9998099999999999</v>
      </c>
      <c r="J535" s="1">
        <v>30.37</v>
      </c>
      <c r="K535" s="11">
        <v>2.95913</v>
      </c>
      <c r="L535" s="1">
        <v>82.92</v>
      </c>
      <c r="M535" s="11">
        <v>6.2</v>
      </c>
      <c r="N535" s="1">
        <v>458.71</v>
      </c>
      <c r="O535" s="11">
        <v>2.8224999999999998</v>
      </c>
      <c r="P535" s="1">
        <f t="shared" si="100"/>
        <v>2780.1800000000003</v>
      </c>
      <c r="Q535" s="1">
        <v>2787.76</v>
      </c>
      <c r="R535" s="16">
        <f t="shared" si="101"/>
        <v>2263680.4030750003</v>
      </c>
      <c r="S535" s="1">
        <v>-184.01</v>
      </c>
      <c r="T535" s="1">
        <v>34.6</v>
      </c>
      <c r="U535" s="1">
        <v>12</v>
      </c>
      <c r="V535" s="1">
        <v>0</v>
      </c>
      <c r="W535" s="1" cm="1">
        <f t="array" ref="W535">SUM(ABS(S535:V535))</f>
        <v>230.60999999999999</v>
      </c>
      <c r="X535" s="25">
        <v>1.238</v>
      </c>
      <c r="Y535" s="42">
        <f t="shared" si="102"/>
        <v>71373.794999999998</v>
      </c>
      <c r="Z535" s="20">
        <v>339.13</v>
      </c>
      <c r="AA535" s="20">
        <f t="shared" si="103"/>
        <v>569.74</v>
      </c>
      <c r="AB535" s="21">
        <v>204.32</v>
      </c>
      <c r="AC535" s="21">
        <v>11.329999999999998</v>
      </c>
      <c r="AD535" s="8">
        <f t="shared" si="104"/>
        <v>554.78000000000009</v>
      </c>
      <c r="AE535" s="25">
        <v>1.238</v>
      </c>
      <c r="AF535" s="25">
        <f t="shared" si="105"/>
        <v>171704.41000000003</v>
      </c>
      <c r="AG535" s="25">
        <f t="shared" si="106"/>
        <v>243078.20500000002</v>
      </c>
      <c r="AH535" s="1">
        <f t="shared" si="96"/>
        <v>3334.9600000000005</v>
      </c>
      <c r="AI535" s="1">
        <f t="shared" si="97"/>
        <v>3342.5400000000004</v>
      </c>
      <c r="AJ535" s="1">
        <v>3594.3</v>
      </c>
      <c r="AK535" s="1">
        <f t="shared" si="98"/>
        <v>-259.33999999999969</v>
      </c>
      <c r="AL535" s="29">
        <f t="shared" si="107"/>
        <v>251.75999999999976</v>
      </c>
      <c r="AM535" s="11">
        <f t="shared" si="99"/>
        <v>2506758.6080750003</v>
      </c>
    </row>
    <row r="536" spans="1:39" x14ac:dyDescent="0.3">
      <c r="A536" s="39">
        <v>45935.541666666664</v>
      </c>
      <c r="B536" s="1">
        <v>1035.32</v>
      </c>
      <c r="C536" s="11">
        <v>3.2732000000000001</v>
      </c>
      <c r="D536" s="1">
        <v>754.37</v>
      </c>
      <c r="E536" s="11">
        <v>3.0760000000000001</v>
      </c>
      <c r="F536" s="1">
        <v>398.57</v>
      </c>
      <c r="G536" s="11">
        <v>3.53</v>
      </c>
      <c r="H536" s="1">
        <v>18.75</v>
      </c>
      <c r="I536" s="11">
        <v>1.9997499999999999</v>
      </c>
      <c r="J536" s="1">
        <v>30.37</v>
      </c>
      <c r="K536" s="11">
        <v>2.8807</v>
      </c>
      <c r="L536" s="1">
        <v>84.61</v>
      </c>
      <c r="M536" s="11">
        <v>6.2</v>
      </c>
      <c r="N536" s="1">
        <v>456.48</v>
      </c>
      <c r="O536" s="11">
        <v>2.8224999999999998</v>
      </c>
      <c r="P536" s="1">
        <f t="shared" si="100"/>
        <v>2778.4700000000003</v>
      </c>
      <c r="Q536" s="1">
        <v>2740.92</v>
      </c>
      <c r="R536" s="16">
        <f t="shared" si="101"/>
        <v>2263545.6538750003</v>
      </c>
      <c r="S536" s="1">
        <v>-171.86</v>
      </c>
      <c r="T536" s="1">
        <v>30</v>
      </c>
      <c r="U536" s="1">
        <v>12</v>
      </c>
      <c r="V536" s="1">
        <v>0</v>
      </c>
      <c r="W536" s="1" cm="1">
        <f t="array" ref="W536">SUM(ABS(S536:V536))</f>
        <v>213.86</v>
      </c>
      <c r="X536" s="25">
        <v>1.238</v>
      </c>
      <c r="Y536" s="42">
        <f t="shared" si="102"/>
        <v>66189.670000000013</v>
      </c>
      <c r="Z536" s="20">
        <v>336.57000000000005</v>
      </c>
      <c r="AA536" s="20">
        <f t="shared" si="103"/>
        <v>550.43000000000006</v>
      </c>
      <c r="AB536" s="21">
        <v>201.86</v>
      </c>
      <c r="AC536" s="21">
        <v>10.88</v>
      </c>
      <c r="AD536" s="8">
        <f t="shared" si="104"/>
        <v>549.31000000000006</v>
      </c>
      <c r="AE536" s="25">
        <v>1.238</v>
      </c>
      <c r="AF536" s="25">
        <f t="shared" si="105"/>
        <v>170011.44500000001</v>
      </c>
      <c r="AG536" s="25">
        <f t="shared" si="106"/>
        <v>236201.11500000002</v>
      </c>
      <c r="AH536" s="1">
        <f t="shared" si="96"/>
        <v>3327.78</v>
      </c>
      <c r="AI536" s="1">
        <f t="shared" si="97"/>
        <v>3290.23</v>
      </c>
      <c r="AJ536" s="1">
        <v>3524.88</v>
      </c>
      <c r="AK536" s="1">
        <f t="shared" si="98"/>
        <v>-197.09999999999991</v>
      </c>
      <c r="AL536" s="29">
        <f t="shared" si="107"/>
        <v>234.65000000000009</v>
      </c>
      <c r="AM536" s="11">
        <f t="shared" si="99"/>
        <v>2499746.7688750005</v>
      </c>
    </row>
    <row r="537" spans="1:39" x14ac:dyDescent="0.3">
      <c r="A537" s="39">
        <v>45935.552083333336</v>
      </c>
      <c r="B537" s="1">
        <v>1032.43</v>
      </c>
      <c r="C537" s="11">
        <v>3.2732000000000001</v>
      </c>
      <c r="D537" s="1">
        <v>754.37</v>
      </c>
      <c r="E537" s="11">
        <v>3.0760000000000001</v>
      </c>
      <c r="F537" s="1">
        <v>398.57</v>
      </c>
      <c r="G537" s="11">
        <v>3.53</v>
      </c>
      <c r="H537" s="1">
        <v>18.66</v>
      </c>
      <c r="I537" s="11">
        <v>1.9999</v>
      </c>
      <c r="J537" s="1">
        <v>30.37</v>
      </c>
      <c r="K537" s="11">
        <v>2.92055</v>
      </c>
      <c r="L537" s="1">
        <v>83.86</v>
      </c>
      <c r="M537" s="11">
        <v>6.2</v>
      </c>
      <c r="N537" s="1">
        <v>450.47</v>
      </c>
      <c r="O537" s="11">
        <v>2.8224999999999998</v>
      </c>
      <c r="P537" s="1">
        <f t="shared" si="100"/>
        <v>2768.7300000000005</v>
      </c>
      <c r="Q537" s="1">
        <v>2749.89</v>
      </c>
      <c r="R537" s="16">
        <f t="shared" si="101"/>
        <v>2256035.7271250002</v>
      </c>
      <c r="S537" s="1">
        <v>-179.13</v>
      </c>
      <c r="T537" s="1">
        <v>24.57</v>
      </c>
      <c r="U537" s="1">
        <v>12</v>
      </c>
      <c r="V537" s="1">
        <v>0</v>
      </c>
      <c r="W537" s="1" cm="1">
        <f t="array" ref="W537">SUM(ABS(S537:V537))</f>
        <v>215.7</v>
      </c>
      <c r="X537" s="25">
        <v>1.238</v>
      </c>
      <c r="Y537" s="42">
        <f t="shared" si="102"/>
        <v>66759.149999999994</v>
      </c>
      <c r="Z537" s="20">
        <v>339.15</v>
      </c>
      <c r="AA537" s="20">
        <f t="shared" si="103"/>
        <v>554.84999999999991</v>
      </c>
      <c r="AB537" s="21">
        <v>201.73999999999998</v>
      </c>
      <c r="AC537" s="21">
        <v>12.49</v>
      </c>
      <c r="AD537" s="8">
        <f t="shared" si="104"/>
        <v>553.38</v>
      </c>
      <c r="AE537" s="25">
        <v>1.238</v>
      </c>
      <c r="AF537" s="25">
        <f t="shared" si="105"/>
        <v>171271.11</v>
      </c>
      <c r="AG537" s="25">
        <f t="shared" si="106"/>
        <v>238030.25999999998</v>
      </c>
      <c r="AH537" s="1">
        <f t="shared" si="96"/>
        <v>3322.1100000000006</v>
      </c>
      <c r="AI537" s="1">
        <f t="shared" si="97"/>
        <v>3303.27</v>
      </c>
      <c r="AJ537" s="1">
        <v>3539.69</v>
      </c>
      <c r="AK537" s="1">
        <f t="shared" si="98"/>
        <v>-217.57999999999947</v>
      </c>
      <c r="AL537" s="29">
        <f t="shared" si="107"/>
        <v>236.42000000000007</v>
      </c>
      <c r="AM537" s="11">
        <f t="shared" si="99"/>
        <v>2494065.987125</v>
      </c>
    </row>
    <row r="538" spans="1:39" x14ac:dyDescent="0.3">
      <c r="A538" s="39">
        <v>45935.5625</v>
      </c>
      <c r="B538" s="1">
        <v>1032.19</v>
      </c>
      <c r="C538" s="11">
        <v>3.2732000000000001</v>
      </c>
      <c r="D538" s="1">
        <v>754.37</v>
      </c>
      <c r="E538" s="11">
        <v>3.0760000000000001</v>
      </c>
      <c r="F538" s="1">
        <v>398.57</v>
      </c>
      <c r="G538" s="11">
        <v>3.53</v>
      </c>
      <c r="H538" s="1">
        <v>18.66</v>
      </c>
      <c r="I538" s="11">
        <v>2.0005299999999999</v>
      </c>
      <c r="J538" s="1">
        <v>29.92</v>
      </c>
      <c r="K538" s="11">
        <v>2.8803200000000002</v>
      </c>
      <c r="L538" s="1">
        <v>82.53</v>
      </c>
      <c r="M538" s="11">
        <v>6.2</v>
      </c>
      <c r="N538" s="1">
        <v>442.43</v>
      </c>
      <c r="O538" s="11">
        <v>2.8224999999999998</v>
      </c>
      <c r="P538" s="1">
        <f t="shared" si="100"/>
        <v>2758.67</v>
      </c>
      <c r="Q538" s="1">
        <v>2772.95</v>
      </c>
      <c r="R538" s="16">
        <f t="shared" si="101"/>
        <v>2247478.0668000001</v>
      </c>
      <c r="S538" s="1">
        <v>-190.64</v>
      </c>
      <c r="T538" s="1">
        <v>24.59</v>
      </c>
      <c r="U538" s="1">
        <v>12</v>
      </c>
      <c r="V538" s="1">
        <v>0</v>
      </c>
      <c r="W538" s="1" cm="1">
        <f t="array" ref="W538">SUM(ABS(S538:V538))</f>
        <v>227.23</v>
      </c>
      <c r="X538" s="25">
        <v>1.238</v>
      </c>
      <c r="Y538" s="42">
        <f t="shared" si="102"/>
        <v>70327.684999999998</v>
      </c>
      <c r="Z538" s="20">
        <v>339.71999999999997</v>
      </c>
      <c r="AA538" s="20">
        <f t="shared" si="103"/>
        <v>566.94999999999993</v>
      </c>
      <c r="AB538" s="21">
        <v>198.03000000000003</v>
      </c>
      <c r="AC538" s="21">
        <v>12.01</v>
      </c>
      <c r="AD538" s="8">
        <f t="shared" si="104"/>
        <v>549.76</v>
      </c>
      <c r="AE538" s="25">
        <v>1.238</v>
      </c>
      <c r="AF538" s="25">
        <f t="shared" si="105"/>
        <v>170150.72</v>
      </c>
      <c r="AG538" s="25">
        <f t="shared" si="106"/>
        <v>240478.405</v>
      </c>
      <c r="AH538" s="1">
        <f t="shared" si="96"/>
        <v>3308.4300000000003</v>
      </c>
      <c r="AI538" s="1">
        <f t="shared" si="97"/>
        <v>3322.71</v>
      </c>
      <c r="AJ538" s="1">
        <v>3568.06</v>
      </c>
      <c r="AK538" s="1">
        <f t="shared" si="98"/>
        <v>-259.62999999999965</v>
      </c>
      <c r="AL538" s="29">
        <f t="shared" si="107"/>
        <v>245.34999999999991</v>
      </c>
      <c r="AM538" s="11">
        <f t="shared" si="99"/>
        <v>2487956.4717999999</v>
      </c>
    </row>
    <row r="539" spans="1:39" x14ac:dyDescent="0.3">
      <c r="A539" s="39">
        <v>45935.572916666664</v>
      </c>
      <c r="B539" s="1">
        <v>1032.19</v>
      </c>
      <c r="C539" s="11">
        <v>3.2732000000000001</v>
      </c>
      <c r="D539" s="1">
        <v>754.37</v>
      </c>
      <c r="E539" s="11">
        <v>3.0760000000000001</v>
      </c>
      <c r="F539" s="1">
        <v>398.57</v>
      </c>
      <c r="G539" s="11">
        <v>3.53</v>
      </c>
      <c r="H539" s="1">
        <v>18.66</v>
      </c>
      <c r="I539" s="11">
        <v>2.2408399999999999</v>
      </c>
      <c r="J539" s="1">
        <v>27.21</v>
      </c>
      <c r="K539" s="11">
        <v>3.0150199999999998</v>
      </c>
      <c r="L539" s="1">
        <v>82.44</v>
      </c>
      <c r="M539" s="11">
        <v>6.2</v>
      </c>
      <c r="N539" s="1">
        <v>445.93</v>
      </c>
      <c r="O539" s="11">
        <v>2.8224999999999998</v>
      </c>
      <c r="P539" s="1">
        <f t="shared" si="100"/>
        <v>2759.37</v>
      </c>
      <c r="Q539" s="1">
        <v>2794.25</v>
      </c>
      <c r="R539" s="16">
        <f t="shared" si="101"/>
        <v>2249894.1804</v>
      </c>
      <c r="S539" s="1">
        <v>-238.37</v>
      </c>
      <c r="T539" s="1">
        <v>24.69</v>
      </c>
      <c r="U539" s="1">
        <v>12</v>
      </c>
      <c r="V539" s="1">
        <v>0</v>
      </c>
      <c r="W539" s="1" cm="1">
        <f t="array" ref="W539">SUM(ABS(S539:V539))</f>
        <v>275.06</v>
      </c>
      <c r="X539" s="25">
        <v>1.238</v>
      </c>
      <c r="Y539" s="42">
        <f t="shared" si="102"/>
        <v>85131.069999999992</v>
      </c>
      <c r="Z539" s="20">
        <v>339.81</v>
      </c>
      <c r="AA539" s="20">
        <f t="shared" si="103"/>
        <v>614.87</v>
      </c>
      <c r="AB539" s="21">
        <v>195.78000000000006</v>
      </c>
      <c r="AC539" s="21">
        <v>12.509999999999998</v>
      </c>
      <c r="AD539" s="8">
        <f t="shared" si="104"/>
        <v>548.1</v>
      </c>
      <c r="AE539" s="25">
        <v>1.238</v>
      </c>
      <c r="AF539" s="25">
        <f t="shared" si="105"/>
        <v>169636.95</v>
      </c>
      <c r="AG539" s="25">
        <f t="shared" si="106"/>
        <v>254768.02000000002</v>
      </c>
      <c r="AH539" s="1">
        <f t="shared" si="96"/>
        <v>3307.47</v>
      </c>
      <c r="AI539" s="1">
        <f t="shared" si="97"/>
        <v>3342.35</v>
      </c>
      <c r="AJ539" s="1">
        <v>3631.73</v>
      </c>
      <c r="AK539" s="1">
        <f t="shared" si="98"/>
        <v>-324.26000000000022</v>
      </c>
      <c r="AL539" s="29">
        <f t="shared" si="107"/>
        <v>289.38000000000011</v>
      </c>
      <c r="AM539" s="11">
        <f t="shared" si="99"/>
        <v>2504662.2004</v>
      </c>
    </row>
    <row r="540" spans="1:39" x14ac:dyDescent="0.3">
      <c r="A540" s="39">
        <v>45935.583333333336</v>
      </c>
      <c r="B540" s="1">
        <v>1034.26</v>
      </c>
      <c r="C540" s="11">
        <v>3.2732000000000001</v>
      </c>
      <c r="D540" s="1">
        <v>754.37</v>
      </c>
      <c r="E540" s="11">
        <v>3.0760000000000001</v>
      </c>
      <c r="F540" s="1">
        <v>398.57</v>
      </c>
      <c r="G540" s="11">
        <v>3.53</v>
      </c>
      <c r="H540" s="1">
        <v>45.77</v>
      </c>
      <c r="I540" s="11">
        <v>2.4003299999999999</v>
      </c>
      <c r="J540" s="1">
        <v>118.2</v>
      </c>
      <c r="K540" s="11">
        <v>3.1967600000000003</v>
      </c>
      <c r="L540" s="1">
        <v>49.47</v>
      </c>
      <c r="M540" s="11">
        <v>6.2</v>
      </c>
      <c r="N540" s="1">
        <v>436.88</v>
      </c>
      <c r="O540" s="11">
        <v>2.8224999999999998</v>
      </c>
      <c r="P540" s="1">
        <f t="shared" si="100"/>
        <v>2837.52</v>
      </c>
      <c r="Q540" s="1">
        <v>2873.46</v>
      </c>
      <c r="R540" s="16">
        <f t="shared" si="101"/>
        <v>2285065.4970249999</v>
      </c>
      <c r="S540" s="1">
        <v>-261.99</v>
      </c>
      <c r="T540" s="1">
        <v>24.72</v>
      </c>
      <c r="U540" s="1">
        <v>12</v>
      </c>
      <c r="V540" s="1">
        <v>0</v>
      </c>
      <c r="W540" s="1" cm="1">
        <f t="array" ref="W540">SUM(ABS(S540:V540))</f>
        <v>298.71000000000004</v>
      </c>
      <c r="X540" s="25">
        <v>1.238</v>
      </c>
      <c r="Y540" s="42">
        <f t="shared" si="102"/>
        <v>92450.74500000001</v>
      </c>
      <c r="Z540" s="20">
        <v>338.7</v>
      </c>
      <c r="AA540" s="20">
        <f t="shared" si="103"/>
        <v>637.41000000000008</v>
      </c>
      <c r="AB540" s="21">
        <v>191.1</v>
      </c>
      <c r="AC540" s="21">
        <v>10.370000000000001</v>
      </c>
      <c r="AD540" s="8">
        <f t="shared" si="104"/>
        <v>540.16999999999996</v>
      </c>
      <c r="AE540" s="25">
        <v>1.238</v>
      </c>
      <c r="AF540" s="25">
        <f t="shared" si="105"/>
        <v>167182.61499999999</v>
      </c>
      <c r="AG540" s="25">
        <f t="shared" si="106"/>
        <v>259633.36</v>
      </c>
      <c r="AH540" s="1">
        <f t="shared" si="96"/>
        <v>3377.69</v>
      </c>
      <c r="AI540" s="1">
        <f t="shared" si="97"/>
        <v>3413.63</v>
      </c>
      <c r="AJ540" s="1">
        <v>3730.09</v>
      </c>
      <c r="AK540" s="1">
        <f t="shared" si="98"/>
        <v>-352.40000000000009</v>
      </c>
      <c r="AL540" s="29">
        <f t="shared" si="107"/>
        <v>316.46000000000004</v>
      </c>
      <c r="AM540" s="11">
        <f t="shared" si="99"/>
        <v>2544698.8570249998</v>
      </c>
    </row>
    <row r="541" spans="1:39" x14ac:dyDescent="0.3">
      <c r="A541" s="39">
        <v>45935.59375</v>
      </c>
      <c r="B541" s="1">
        <v>1034.4000000000001</v>
      </c>
      <c r="C541" s="11">
        <v>3.2732000000000001</v>
      </c>
      <c r="D541" s="1">
        <v>754.37</v>
      </c>
      <c r="E541" s="11">
        <v>3.0760000000000001</v>
      </c>
      <c r="F541" s="1">
        <v>398.57</v>
      </c>
      <c r="G541" s="11">
        <v>3.53</v>
      </c>
      <c r="H541" s="1">
        <v>47.81</v>
      </c>
      <c r="I541" s="11">
        <v>2.4900700000000002</v>
      </c>
      <c r="J541" s="1">
        <v>205.66</v>
      </c>
      <c r="K541" s="11">
        <v>3.38171</v>
      </c>
      <c r="L541" s="1">
        <v>47.2</v>
      </c>
      <c r="M541" s="11">
        <v>6.2</v>
      </c>
      <c r="N541" s="1">
        <v>412.28</v>
      </c>
      <c r="O541" s="11">
        <v>2.8224999999999998</v>
      </c>
      <c r="P541" s="1">
        <f t="shared" si="100"/>
        <v>2900.29</v>
      </c>
      <c r="Q541" s="1">
        <v>2935.61</v>
      </c>
      <c r="R541" s="16">
        <f t="shared" si="101"/>
        <v>2346006.3313249997</v>
      </c>
      <c r="S541" s="1">
        <v>-283.52</v>
      </c>
      <c r="T541" s="1">
        <v>24.75</v>
      </c>
      <c r="U541" s="1">
        <v>12</v>
      </c>
      <c r="V541" s="1">
        <v>0</v>
      </c>
      <c r="W541" s="1" cm="1">
        <f t="array" ref="W541">SUM(ABS(S541:V541))</f>
        <v>320.27</v>
      </c>
      <c r="X541" s="25">
        <v>1.238</v>
      </c>
      <c r="Y541" s="42">
        <f t="shared" si="102"/>
        <v>99123.565000000002</v>
      </c>
      <c r="Z541" s="20">
        <v>338.26</v>
      </c>
      <c r="AA541" s="20">
        <f t="shared" si="103"/>
        <v>658.53</v>
      </c>
      <c r="AB541" s="21">
        <v>193.07999999999996</v>
      </c>
      <c r="AC541" s="21">
        <v>11.780000000000001</v>
      </c>
      <c r="AD541" s="8">
        <f t="shared" si="104"/>
        <v>543.11999999999989</v>
      </c>
      <c r="AE541" s="25">
        <v>1.238</v>
      </c>
      <c r="AF541" s="25">
        <f t="shared" si="105"/>
        <v>168095.63999999998</v>
      </c>
      <c r="AG541" s="25">
        <f t="shared" si="106"/>
        <v>267219.20499999996</v>
      </c>
      <c r="AH541" s="1">
        <f t="shared" si="96"/>
        <v>3443.41</v>
      </c>
      <c r="AI541" s="1">
        <f t="shared" si="97"/>
        <v>3478.73</v>
      </c>
      <c r="AJ541" s="1">
        <v>3816.5</v>
      </c>
      <c r="AK541" s="1">
        <f t="shared" si="98"/>
        <v>-373.09000000000015</v>
      </c>
      <c r="AL541" s="29">
        <f t="shared" si="107"/>
        <v>337.77</v>
      </c>
      <c r="AM541" s="11">
        <f t="shared" si="99"/>
        <v>2613225.5363249998</v>
      </c>
    </row>
    <row r="542" spans="1:39" x14ac:dyDescent="0.3">
      <c r="A542" s="39">
        <v>45935.604166666664</v>
      </c>
      <c r="B542" s="1">
        <v>1289.43</v>
      </c>
      <c r="C542" s="11">
        <v>3.2732000000000001</v>
      </c>
      <c r="D542" s="1">
        <v>754.37</v>
      </c>
      <c r="E542" s="11">
        <v>3.0760000000000001</v>
      </c>
      <c r="F542" s="1">
        <v>398.57</v>
      </c>
      <c r="G542" s="11">
        <v>3.53</v>
      </c>
      <c r="H542" s="1">
        <v>47.81</v>
      </c>
      <c r="I542" s="11">
        <v>2.78085</v>
      </c>
      <c r="J542" s="1">
        <v>33.630000000000003</v>
      </c>
      <c r="K542" s="11">
        <v>3.3598400000000002</v>
      </c>
      <c r="L542" s="1">
        <v>47.29</v>
      </c>
      <c r="M542" s="11">
        <v>6.2</v>
      </c>
      <c r="N542" s="1">
        <v>382.9</v>
      </c>
      <c r="O542" s="11">
        <v>2.8224999999999998</v>
      </c>
      <c r="P542" s="1">
        <f t="shared" si="100"/>
        <v>2954.0000000000005</v>
      </c>
      <c r="Q542" s="1">
        <v>3027.08</v>
      </c>
      <c r="R542" s="16">
        <f t="shared" si="101"/>
        <v>2391958.4009250002</v>
      </c>
      <c r="S542" s="1">
        <v>-329.03</v>
      </c>
      <c r="T542" s="1">
        <v>24.8</v>
      </c>
      <c r="U542" s="1">
        <v>12</v>
      </c>
      <c r="V542" s="1">
        <v>0</v>
      </c>
      <c r="W542" s="1" cm="1">
        <f t="array" ref="W542">SUM(ABS(S542:V542))</f>
        <v>365.83</v>
      </c>
      <c r="X542" s="25">
        <v>1.238</v>
      </c>
      <c r="Y542" s="42">
        <f t="shared" si="102"/>
        <v>113224.38499999999</v>
      </c>
      <c r="Z542" s="20">
        <v>317.90999999999997</v>
      </c>
      <c r="AA542" s="20">
        <f t="shared" si="103"/>
        <v>683.74</v>
      </c>
      <c r="AB542" s="21">
        <v>191.37</v>
      </c>
      <c r="AC542" s="21">
        <v>12.05</v>
      </c>
      <c r="AD542" s="8">
        <f t="shared" si="104"/>
        <v>521.32999999999993</v>
      </c>
      <c r="AE542" s="25">
        <v>1.238</v>
      </c>
      <c r="AF542" s="25">
        <f t="shared" si="105"/>
        <v>161351.63499999998</v>
      </c>
      <c r="AG542" s="25">
        <f t="shared" si="106"/>
        <v>274576.01999999996</v>
      </c>
      <c r="AH542" s="1">
        <f t="shared" si="96"/>
        <v>3475.3300000000004</v>
      </c>
      <c r="AI542" s="1">
        <f t="shared" si="97"/>
        <v>3548.41</v>
      </c>
      <c r="AJ542" s="1">
        <v>3927.9</v>
      </c>
      <c r="AK542" s="1">
        <f t="shared" si="98"/>
        <v>-452.56999999999971</v>
      </c>
      <c r="AL542" s="29">
        <f t="shared" si="107"/>
        <v>379.49000000000024</v>
      </c>
      <c r="AM542" s="11">
        <f t="shared" si="99"/>
        <v>2666534.4209250002</v>
      </c>
    </row>
    <row r="543" spans="1:39" x14ac:dyDescent="0.3">
      <c r="A543" s="39">
        <v>45935.614583333336</v>
      </c>
      <c r="B543" s="1">
        <v>1398.12</v>
      </c>
      <c r="C543" s="11">
        <v>3.2732000000000001</v>
      </c>
      <c r="D543" s="1">
        <v>754.37</v>
      </c>
      <c r="E543" s="11">
        <v>3.0760000000000001</v>
      </c>
      <c r="F543" s="1">
        <v>398.57</v>
      </c>
      <c r="G543" s="11">
        <v>3.53</v>
      </c>
      <c r="H543" s="1">
        <v>47.81</v>
      </c>
      <c r="I543" s="11">
        <v>2.9024000000000001</v>
      </c>
      <c r="J543" s="1">
        <v>21.39</v>
      </c>
      <c r="K543" s="11">
        <v>3.3817300000000001</v>
      </c>
      <c r="L543" s="1">
        <v>50.73</v>
      </c>
      <c r="M543" s="11">
        <v>6.2</v>
      </c>
      <c r="N543" s="1">
        <v>407.87</v>
      </c>
      <c r="O543" s="11">
        <v>2.8224999999999998</v>
      </c>
      <c r="P543" s="1">
        <f t="shared" si="100"/>
        <v>3078.8599999999997</v>
      </c>
      <c r="Q543" s="1">
        <v>3105.16</v>
      </c>
      <c r="R543" s="16">
        <f t="shared" si="101"/>
        <v>2495139.6569250003</v>
      </c>
      <c r="S543" s="1">
        <v>-350.27</v>
      </c>
      <c r="T543" s="1">
        <v>24.81</v>
      </c>
      <c r="U543" s="1">
        <v>12</v>
      </c>
      <c r="V543" s="1">
        <v>0</v>
      </c>
      <c r="W543" s="1" cm="1">
        <f t="array" ref="W543">SUM(ABS(S543:V543))</f>
        <v>387.08</v>
      </c>
      <c r="X543" s="25">
        <v>1.238</v>
      </c>
      <c r="Y543" s="42">
        <f t="shared" si="102"/>
        <v>119801.26</v>
      </c>
      <c r="Z543" s="20">
        <v>307.38</v>
      </c>
      <c r="AA543" s="20">
        <f t="shared" si="103"/>
        <v>694.46</v>
      </c>
      <c r="AB543" s="21">
        <v>181.94</v>
      </c>
      <c r="AC543" s="21">
        <v>11.34</v>
      </c>
      <c r="AD543" s="8">
        <f t="shared" si="104"/>
        <v>500.65999999999997</v>
      </c>
      <c r="AE543" s="25">
        <v>1.238</v>
      </c>
      <c r="AF543" s="25">
        <f t="shared" si="105"/>
        <v>154954.26999999999</v>
      </c>
      <c r="AG543" s="25">
        <f t="shared" si="106"/>
        <v>274755.52999999997</v>
      </c>
      <c r="AH543" s="1">
        <f t="shared" si="96"/>
        <v>3579.5199999999995</v>
      </c>
      <c r="AI543" s="1">
        <f t="shared" si="97"/>
        <v>3605.8199999999997</v>
      </c>
      <c r="AJ543" s="1">
        <v>4006.52</v>
      </c>
      <c r="AK543" s="1">
        <f t="shared" si="98"/>
        <v>-427.00000000000045</v>
      </c>
      <c r="AL543" s="29">
        <f t="shared" si="107"/>
        <v>400.70000000000027</v>
      </c>
      <c r="AM543" s="11">
        <f t="shared" si="99"/>
        <v>2769895.186925</v>
      </c>
    </row>
    <row r="544" spans="1:39" x14ac:dyDescent="0.3">
      <c r="A544" s="39">
        <v>45935.625</v>
      </c>
      <c r="B544" s="1">
        <v>1404.4</v>
      </c>
      <c r="C544" s="11">
        <v>3.2732000000000001</v>
      </c>
      <c r="D544" s="1">
        <v>754.37</v>
      </c>
      <c r="E544" s="11">
        <v>3.0760000000000001</v>
      </c>
      <c r="F544" s="1">
        <v>398.57</v>
      </c>
      <c r="G544" s="11">
        <v>3.53</v>
      </c>
      <c r="H544" s="1">
        <v>39.29</v>
      </c>
      <c r="I544" s="11">
        <v>2.9222600000000001</v>
      </c>
      <c r="J544" s="1">
        <v>66.44</v>
      </c>
      <c r="K544" s="11">
        <v>3.3086700000000002</v>
      </c>
      <c r="L544" s="1">
        <v>31.84</v>
      </c>
      <c r="M544" s="11">
        <v>6.2</v>
      </c>
      <c r="N544" s="1">
        <v>408.2</v>
      </c>
      <c r="O544" s="11">
        <v>2.8224999999999998</v>
      </c>
      <c r="P544" s="1">
        <f t="shared" si="100"/>
        <v>3103.11</v>
      </c>
      <c r="Q544" s="1">
        <v>3141.7</v>
      </c>
      <c r="R544" s="16">
        <f t="shared" si="101"/>
        <v>2502118.1075500003</v>
      </c>
      <c r="S544" s="1">
        <v>-342.86</v>
      </c>
      <c r="T544" s="1">
        <v>24.79</v>
      </c>
      <c r="U544" s="1">
        <v>12</v>
      </c>
      <c r="V544" s="1">
        <v>0</v>
      </c>
      <c r="W544" s="1" cm="1">
        <f t="array" ref="W544">SUM(ABS(S544:V544))</f>
        <v>379.65000000000003</v>
      </c>
      <c r="X544" s="25">
        <v>1.238</v>
      </c>
      <c r="Y544" s="42">
        <f t="shared" si="102"/>
        <v>117501.675</v>
      </c>
      <c r="Z544" s="20">
        <v>349.62999999999994</v>
      </c>
      <c r="AA544" s="20">
        <f t="shared" si="103"/>
        <v>729.28</v>
      </c>
      <c r="AB544" s="21">
        <v>172.92000000000002</v>
      </c>
      <c r="AC544" s="21">
        <v>10.68</v>
      </c>
      <c r="AD544" s="8">
        <f t="shared" si="104"/>
        <v>533.2299999999999</v>
      </c>
      <c r="AE544" s="25">
        <v>1.238</v>
      </c>
      <c r="AF544" s="25">
        <f t="shared" si="105"/>
        <v>165034.68499999997</v>
      </c>
      <c r="AG544" s="25">
        <f t="shared" si="106"/>
        <v>282536.36</v>
      </c>
      <c r="AH544" s="1">
        <f t="shared" si="96"/>
        <v>3636.34</v>
      </c>
      <c r="AI544" s="1">
        <f t="shared" si="97"/>
        <v>3674.93</v>
      </c>
      <c r="AJ544" s="1">
        <v>4069.68</v>
      </c>
      <c r="AK544" s="1">
        <f t="shared" si="98"/>
        <v>-433.33999999999969</v>
      </c>
      <c r="AL544" s="29">
        <f t="shared" si="107"/>
        <v>394.75</v>
      </c>
      <c r="AM544" s="11">
        <f t="shared" si="99"/>
        <v>2784654.4675500002</v>
      </c>
    </row>
    <row r="545" spans="1:39" x14ac:dyDescent="0.3">
      <c r="A545" s="39">
        <v>45935.635416666664</v>
      </c>
      <c r="B545" s="1">
        <v>1404.4</v>
      </c>
      <c r="C545" s="11">
        <v>3.2732000000000001</v>
      </c>
      <c r="D545" s="1">
        <v>754.37</v>
      </c>
      <c r="E545" s="11">
        <v>3.0760000000000001</v>
      </c>
      <c r="F545" s="1">
        <v>398.57</v>
      </c>
      <c r="G545" s="11">
        <v>3.53</v>
      </c>
      <c r="H545" s="1">
        <v>52.78</v>
      </c>
      <c r="I545" s="11">
        <v>2.9711999999999996</v>
      </c>
      <c r="J545" s="1">
        <v>75.599999999999994</v>
      </c>
      <c r="K545" s="11">
        <v>3.3819299999999997</v>
      </c>
      <c r="L545" s="1">
        <v>10.49</v>
      </c>
      <c r="M545" s="11">
        <v>6.2</v>
      </c>
      <c r="N545" s="1">
        <v>391.52</v>
      </c>
      <c r="O545" s="11">
        <v>2.8224999999999998</v>
      </c>
      <c r="P545" s="1">
        <f t="shared" si="100"/>
        <v>3087.73</v>
      </c>
      <c r="Q545" s="1">
        <v>3167.92</v>
      </c>
      <c r="R545" s="16">
        <f t="shared" si="101"/>
        <v>2476718.3360000006</v>
      </c>
      <c r="S545" s="1">
        <v>-354.23</v>
      </c>
      <c r="T545" s="1">
        <v>25</v>
      </c>
      <c r="U545" s="1">
        <v>12</v>
      </c>
      <c r="V545" s="1">
        <v>0</v>
      </c>
      <c r="W545" s="1" cm="1">
        <f t="array" ref="W545">SUM(ABS(S545:V545))</f>
        <v>391.23</v>
      </c>
      <c r="X545" s="25">
        <v>1.238</v>
      </c>
      <c r="Y545" s="42">
        <f t="shared" si="102"/>
        <v>121085.685</v>
      </c>
      <c r="Z545" s="20">
        <v>363.68</v>
      </c>
      <c r="AA545" s="20">
        <f t="shared" si="103"/>
        <v>754.91000000000008</v>
      </c>
      <c r="AB545" s="21">
        <v>162.24</v>
      </c>
      <c r="AC545" s="21">
        <v>11.110000000000001</v>
      </c>
      <c r="AD545" s="8">
        <f t="shared" si="104"/>
        <v>537.03000000000009</v>
      </c>
      <c r="AE545" s="25">
        <v>1.238</v>
      </c>
      <c r="AF545" s="25">
        <f t="shared" si="105"/>
        <v>166210.785</v>
      </c>
      <c r="AG545" s="25">
        <f t="shared" si="106"/>
        <v>287296.46999999997</v>
      </c>
      <c r="AH545" s="1">
        <f t="shared" si="96"/>
        <v>3624.76</v>
      </c>
      <c r="AI545" s="1">
        <f t="shared" si="97"/>
        <v>3704.9500000000003</v>
      </c>
      <c r="AJ545" s="1">
        <v>4110.3</v>
      </c>
      <c r="AK545" s="1">
        <f t="shared" si="98"/>
        <v>-485.53999999999996</v>
      </c>
      <c r="AL545" s="29">
        <f t="shared" si="107"/>
        <v>405.34999999999991</v>
      </c>
      <c r="AM545" s="11">
        <f t="shared" si="99"/>
        <v>2764014.8060000008</v>
      </c>
    </row>
    <row r="546" spans="1:39" x14ac:dyDescent="0.3">
      <c r="A546" s="39">
        <v>45935.645833333336</v>
      </c>
      <c r="B546" s="1">
        <v>1493.46</v>
      </c>
      <c r="C546" s="11">
        <v>3.2732000000000001</v>
      </c>
      <c r="D546" s="1">
        <v>754.37</v>
      </c>
      <c r="E546" s="11">
        <v>3.0760000000000001</v>
      </c>
      <c r="F546" s="1">
        <v>398.57</v>
      </c>
      <c r="G546" s="11">
        <v>3.53</v>
      </c>
      <c r="H546" s="1">
        <v>58.75</v>
      </c>
      <c r="I546" s="11">
        <v>2.9717699999999998</v>
      </c>
      <c r="J546" s="1">
        <v>69.62</v>
      </c>
      <c r="K546" s="11">
        <v>3.4993300000000001</v>
      </c>
      <c r="L546" s="1">
        <v>4.9000000000000004</v>
      </c>
      <c r="M546" s="11">
        <v>6.2</v>
      </c>
      <c r="N546" s="1">
        <v>368.75</v>
      </c>
      <c r="O546" s="11">
        <v>2.8224999999999998</v>
      </c>
      <c r="P546" s="1">
        <f t="shared" si="100"/>
        <v>3148.42</v>
      </c>
      <c r="Q546" s="1">
        <v>3205.28</v>
      </c>
      <c r="R546" s="16">
        <f t="shared" si="101"/>
        <v>2526294.8022750001</v>
      </c>
      <c r="S546" s="1">
        <v>-350.53</v>
      </c>
      <c r="T546" s="1">
        <v>35.130000000000003</v>
      </c>
      <c r="U546" s="1">
        <v>12</v>
      </c>
      <c r="V546" s="1">
        <v>0</v>
      </c>
      <c r="W546" s="1" cm="1">
        <f t="array" ref="W546">SUM(ABS(S546:V546))</f>
        <v>397.65999999999997</v>
      </c>
      <c r="X546" s="25">
        <v>1.238</v>
      </c>
      <c r="Y546" s="42">
        <f t="shared" si="102"/>
        <v>123075.76999999999</v>
      </c>
      <c r="Z546" s="20">
        <v>401.41</v>
      </c>
      <c r="AA546" s="20">
        <f t="shared" si="103"/>
        <v>799.06999999999994</v>
      </c>
      <c r="AB546" s="21">
        <v>149.47</v>
      </c>
      <c r="AC546" s="21">
        <v>10.52</v>
      </c>
      <c r="AD546" s="8">
        <f t="shared" si="104"/>
        <v>561.4</v>
      </c>
      <c r="AE546" s="25">
        <v>1.238</v>
      </c>
      <c r="AF546" s="25">
        <f t="shared" si="105"/>
        <v>173753.3</v>
      </c>
      <c r="AG546" s="25">
        <f t="shared" si="106"/>
        <v>296829.06999999995</v>
      </c>
      <c r="AH546" s="1">
        <f t="shared" si="96"/>
        <v>3709.82</v>
      </c>
      <c r="AI546" s="1">
        <f t="shared" si="97"/>
        <v>3766.6800000000003</v>
      </c>
      <c r="AJ546" s="1">
        <v>4179.99</v>
      </c>
      <c r="AK546" s="1">
        <f t="shared" si="98"/>
        <v>-470.16999999999962</v>
      </c>
      <c r="AL546" s="29">
        <f t="shared" si="107"/>
        <v>413.30999999999949</v>
      </c>
      <c r="AM546" s="11">
        <f t="shared" si="99"/>
        <v>2823123.872275</v>
      </c>
    </row>
    <row r="547" spans="1:39" x14ac:dyDescent="0.3">
      <c r="A547" s="39">
        <v>45935.65625</v>
      </c>
      <c r="B547" s="1">
        <v>1499.59</v>
      </c>
      <c r="C547" s="11">
        <v>3.2732000000000001</v>
      </c>
      <c r="D547" s="1">
        <v>754.37</v>
      </c>
      <c r="E547" s="11">
        <v>3.0760000000000001</v>
      </c>
      <c r="F547" s="1">
        <v>398.57</v>
      </c>
      <c r="G547" s="11">
        <v>3.53</v>
      </c>
      <c r="H547" s="1">
        <v>59.46</v>
      </c>
      <c r="I547" s="11">
        <v>2.9718599999999999</v>
      </c>
      <c r="J547" s="1">
        <v>13</v>
      </c>
      <c r="K547" s="11">
        <v>3.5712700000000002</v>
      </c>
      <c r="L547" s="1">
        <v>4.63</v>
      </c>
      <c r="M547" s="11">
        <v>6.2</v>
      </c>
      <c r="N547" s="1">
        <v>339.55</v>
      </c>
      <c r="O547" s="11">
        <v>2.8224999999999998</v>
      </c>
      <c r="P547" s="1">
        <f t="shared" si="100"/>
        <v>3069.1700000000005</v>
      </c>
      <c r="Q547" s="1">
        <v>3205.18</v>
      </c>
      <c r="R547" s="16">
        <f t="shared" si="101"/>
        <v>2461517.8471499998</v>
      </c>
      <c r="S547" s="1">
        <v>-364.8</v>
      </c>
      <c r="T547" s="1">
        <v>35.18</v>
      </c>
      <c r="U547" s="1">
        <v>12</v>
      </c>
      <c r="V547" s="1">
        <v>0</v>
      </c>
      <c r="W547" s="1" cm="1">
        <f t="array" ref="W547">SUM(ABS(S547:V547))</f>
        <v>411.98</v>
      </c>
      <c r="X547" s="25">
        <v>1.238</v>
      </c>
      <c r="Y547" s="42">
        <f t="shared" si="102"/>
        <v>127507.81000000001</v>
      </c>
      <c r="Z547" s="20">
        <v>451.00000000000006</v>
      </c>
      <c r="AA547" s="20">
        <f t="shared" si="103"/>
        <v>862.98</v>
      </c>
      <c r="AB547" s="21">
        <v>136.99999999999997</v>
      </c>
      <c r="AC547" s="21">
        <v>10.559999999999999</v>
      </c>
      <c r="AD547" s="8">
        <f t="shared" si="104"/>
        <v>598.55999999999995</v>
      </c>
      <c r="AE547" s="25">
        <v>1.238</v>
      </c>
      <c r="AF547" s="25">
        <f t="shared" si="105"/>
        <v>185254.31999999998</v>
      </c>
      <c r="AG547" s="25">
        <f t="shared" si="106"/>
        <v>312762.13</v>
      </c>
      <c r="AH547" s="1">
        <f t="shared" si="96"/>
        <v>3667.7300000000005</v>
      </c>
      <c r="AI547" s="1">
        <f t="shared" si="97"/>
        <v>3803.74</v>
      </c>
      <c r="AJ547" s="1">
        <v>4225.03</v>
      </c>
      <c r="AK547" s="1">
        <f t="shared" si="98"/>
        <v>-557.29999999999927</v>
      </c>
      <c r="AL547" s="29">
        <f t="shared" si="107"/>
        <v>421.28999999999996</v>
      </c>
      <c r="AM547" s="11">
        <f t="shared" si="99"/>
        <v>2774279.9771499997</v>
      </c>
    </row>
    <row r="548" spans="1:39" x14ac:dyDescent="0.3">
      <c r="A548" s="39">
        <v>45935.666666666664</v>
      </c>
      <c r="B548" s="1">
        <v>1499.59</v>
      </c>
      <c r="C548" s="11">
        <v>3.2732000000000001</v>
      </c>
      <c r="D548" s="1">
        <v>754.37</v>
      </c>
      <c r="E548" s="11">
        <v>3.0760000000000001</v>
      </c>
      <c r="F548" s="1">
        <v>694.82</v>
      </c>
      <c r="G548" s="11">
        <v>3.53</v>
      </c>
      <c r="H548" s="1">
        <v>-34.94</v>
      </c>
      <c r="I548" s="11">
        <v>3.0701900000000002</v>
      </c>
      <c r="J548" s="1">
        <v>-3.05</v>
      </c>
      <c r="K548" s="11">
        <v>3.7109000000000001</v>
      </c>
      <c r="L548" s="1">
        <v>0.3</v>
      </c>
      <c r="M548" s="11">
        <v>6.2</v>
      </c>
      <c r="N548" s="1">
        <v>308.06</v>
      </c>
      <c r="O548" s="11">
        <v>2.8224999999999998</v>
      </c>
      <c r="P548" s="1">
        <f t="shared" si="100"/>
        <v>3219.15</v>
      </c>
      <c r="Q548" s="1">
        <v>3262.51</v>
      </c>
      <c r="R548" s="16">
        <f t="shared" si="101"/>
        <v>2608595.8436000003</v>
      </c>
      <c r="S548" s="1">
        <v>-286.77999999999997</v>
      </c>
      <c r="T548" s="1">
        <v>35.130000000000003</v>
      </c>
      <c r="U548" s="1">
        <v>12</v>
      </c>
      <c r="V548" s="1">
        <v>0</v>
      </c>
      <c r="W548" s="1" cm="1">
        <f t="array" ref="W548">SUM(ABS(S548:V548))</f>
        <v>333.90999999999997</v>
      </c>
      <c r="X548" s="25">
        <v>1.238</v>
      </c>
      <c r="Y548" s="42">
        <f t="shared" si="102"/>
        <v>103345.14499999999</v>
      </c>
      <c r="Z548" s="20">
        <v>468.41</v>
      </c>
      <c r="AA548" s="20">
        <f t="shared" si="103"/>
        <v>802.31999999999994</v>
      </c>
      <c r="AB548" s="21">
        <v>122.53</v>
      </c>
      <c r="AC548" s="21">
        <v>11.4</v>
      </c>
      <c r="AD548" s="8">
        <f t="shared" si="104"/>
        <v>602.34</v>
      </c>
      <c r="AE548" s="25">
        <v>1.238</v>
      </c>
      <c r="AF548" s="25">
        <f t="shared" si="105"/>
        <v>186424.22999999998</v>
      </c>
      <c r="AG548" s="25">
        <f t="shared" si="106"/>
        <v>289769.375</v>
      </c>
      <c r="AH548" s="1">
        <f t="shared" si="96"/>
        <v>3821.4900000000002</v>
      </c>
      <c r="AI548" s="1">
        <f t="shared" si="97"/>
        <v>3864.8500000000004</v>
      </c>
      <c r="AJ548" s="1">
        <v>4210.6400000000003</v>
      </c>
      <c r="AK548" s="1">
        <f t="shared" si="98"/>
        <v>-389.15000000000009</v>
      </c>
      <c r="AL548" s="29">
        <f t="shared" si="107"/>
        <v>345.78999999999996</v>
      </c>
      <c r="AM548" s="11">
        <f t="shared" si="99"/>
        <v>2898365.2186000003</v>
      </c>
    </row>
    <row r="549" spans="1:39" x14ac:dyDescent="0.3">
      <c r="A549" s="39">
        <v>45935.677083333336</v>
      </c>
      <c r="B549" s="1">
        <v>1499.59</v>
      </c>
      <c r="C549" s="11">
        <v>3.2732000000000001</v>
      </c>
      <c r="D549" s="1">
        <v>754.37</v>
      </c>
      <c r="E549" s="11">
        <v>3.0760000000000001</v>
      </c>
      <c r="F549" s="1">
        <v>717.12</v>
      </c>
      <c r="G549" s="11">
        <v>3.53</v>
      </c>
      <c r="H549" s="1">
        <v>-42.23</v>
      </c>
      <c r="I549" s="11">
        <v>3.39994</v>
      </c>
      <c r="J549" s="1">
        <v>-3.9</v>
      </c>
      <c r="K549" s="11">
        <v>3.81298</v>
      </c>
      <c r="L549" s="1">
        <v>0</v>
      </c>
      <c r="M549" s="11">
        <v>6.2</v>
      </c>
      <c r="N549" s="1">
        <v>283.75</v>
      </c>
      <c r="O549" s="11">
        <v>2.8224999999999998</v>
      </c>
      <c r="P549" s="1">
        <f t="shared" si="100"/>
        <v>3208.7</v>
      </c>
      <c r="Q549" s="1">
        <v>3283.12</v>
      </c>
      <c r="R549" s="16">
        <f t="shared" si="101"/>
        <v>2600691.9986999999</v>
      </c>
      <c r="S549" s="1">
        <v>-290.08999999999997</v>
      </c>
      <c r="T549" s="1">
        <v>35.130000000000003</v>
      </c>
      <c r="U549" s="1">
        <v>12</v>
      </c>
      <c r="V549" s="1">
        <v>0</v>
      </c>
      <c r="W549" s="1" cm="1">
        <f t="array" ref="W549">SUM(ABS(S549:V549))</f>
        <v>337.21999999999997</v>
      </c>
      <c r="X549" s="25">
        <v>1.238</v>
      </c>
      <c r="Y549" s="42">
        <f t="shared" si="102"/>
        <v>104369.58999999998</v>
      </c>
      <c r="Z549" s="20">
        <v>468.77000000000004</v>
      </c>
      <c r="AA549" s="20">
        <f t="shared" si="103"/>
        <v>805.99</v>
      </c>
      <c r="AB549" s="21">
        <v>108.02</v>
      </c>
      <c r="AC549" s="21">
        <v>12.64</v>
      </c>
      <c r="AD549" s="8">
        <f t="shared" si="104"/>
        <v>589.43000000000006</v>
      </c>
      <c r="AE549" s="25">
        <v>1.238</v>
      </c>
      <c r="AF549" s="25">
        <f t="shared" si="105"/>
        <v>182428.58500000002</v>
      </c>
      <c r="AG549" s="25">
        <f t="shared" si="106"/>
        <v>286798.17499999999</v>
      </c>
      <c r="AH549" s="1">
        <f t="shared" si="96"/>
        <v>3798.13</v>
      </c>
      <c r="AI549" s="1">
        <f t="shared" si="97"/>
        <v>3872.55</v>
      </c>
      <c r="AJ549" s="1">
        <v>4221.96</v>
      </c>
      <c r="AK549" s="1">
        <f t="shared" si="98"/>
        <v>-423.82999999999993</v>
      </c>
      <c r="AL549" s="29">
        <f t="shared" si="107"/>
        <v>349.40999999999985</v>
      </c>
      <c r="AM549" s="11">
        <f t="shared" si="99"/>
        <v>2887490.1736999997</v>
      </c>
    </row>
    <row r="550" spans="1:39" x14ac:dyDescent="0.3">
      <c r="A550" s="39">
        <v>45935.6875</v>
      </c>
      <c r="B550" s="1">
        <v>1499.59</v>
      </c>
      <c r="C550" s="11">
        <v>3.2732000000000001</v>
      </c>
      <c r="D550" s="1">
        <v>754.37</v>
      </c>
      <c r="E550" s="11">
        <v>3.0760000000000001</v>
      </c>
      <c r="F550" s="1">
        <v>717.12</v>
      </c>
      <c r="G550" s="11">
        <v>3.53</v>
      </c>
      <c r="H550" s="1">
        <v>-42.16</v>
      </c>
      <c r="I550" s="11">
        <v>3.4166799999999999</v>
      </c>
      <c r="J550" s="1">
        <v>-3.9</v>
      </c>
      <c r="K550" s="11">
        <v>4.1452399999999994</v>
      </c>
      <c r="L550" s="1">
        <v>0</v>
      </c>
      <c r="M550" s="11">
        <v>6.2</v>
      </c>
      <c r="N550" s="1">
        <v>250.36</v>
      </c>
      <c r="O550" s="11">
        <v>2.8224999999999998</v>
      </c>
      <c r="P550" s="1">
        <f t="shared" si="100"/>
        <v>3175.38</v>
      </c>
      <c r="Q550" s="1">
        <v>3356.11</v>
      </c>
      <c r="R550" s="16">
        <f t="shared" si="101"/>
        <v>2576690.2858000002</v>
      </c>
      <c r="S550" s="1">
        <v>-273.02999999999997</v>
      </c>
      <c r="T550" s="1">
        <v>35.049999999999997</v>
      </c>
      <c r="U550" s="1">
        <v>12</v>
      </c>
      <c r="V550" s="1">
        <v>0</v>
      </c>
      <c r="W550" s="1" cm="1">
        <f t="array" ref="W550">SUM(ABS(S550:V550))</f>
        <v>320.08</v>
      </c>
      <c r="X550" s="25">
        <v>1.238</v>
      </c>
      <c r="Y550" s="42">
        <f t="shared" si="102"/>
        <v>99064.76</v>
      </c>
      <c r="Z550" s="20">
        <v>461.42999999999995</v>
      </c>
      <c r="AA550" s="20">
        <f t="shared" si="103"/>
        <v>781.51</v>
      </c>
      <c r="AB550" s="21">
        <v>91.39</v>
      </c>
      <c r="AC550" s="21">
        <v>12.33</v>
      </c>
      <c r="AD550" s="8">
        <f t="shared" si="104"/>
        <v>565.15</v>
      </c>
      <c r="AE550" s="25">
        <v>1.238</v>
      </c>
      <c r="AF550" s="25">
        <f t="shared" si="105"/>
        <v>174913.92499999999</v>
      </c>
      <c r="AG550" s="25">
        <f t="shared" si="106"/>
        <v>273978.685</v>
      </c>
      <c r="AH550" s="1">
        <f t="shared" si="96"/>
        <v>3740.53</v>
      </c>
      <c r="AI550" s="1">
        <f t="shared" si="97"/>
        <v>3921.26</v>
      </c>
      <c r="AJ550" s="1">
        <v>4247.16</v>
      </c>
      <c r="AK550" s="1">
        <f t="shared" si="98"/>
        <v>-506.62999999999965</v>
      </c>
      <c r="AL550" s="29">
        <f t="shared" si="107"/>
        <v>325.89999999999964</v>
      </c>
      <c r="AM550" s="11">
        <f t="shared" si="99"/>
        <v>2850668.9708000002</v>
      </c>
    </row>
    <row r="551" spans="1:39" x14ac:dyDescent="0.3">
      <c r="A551" s="39">
        <v>45935.697916666664</v>
      </c>
      <c r="B551" s="1">
        <v>1499.59</v>
      </c>
      <c r="C551" s="11">
        <v>3.2732000000000001</v>
      </c>
      <c r="D551" s="1">
        <v>754.37</v>
      </c>
      <c r="E551" s="11">
        <v>3.0760000000000001</v>
      </c>
      <c r="F551" s="1">
        <v>717.12</v>
      </c>
      <c r="G551" s="11">
        <v>3.53</v>
      </c>
      <c r="H551" s="1">
        <v>-41.97</v>
      </c>
      <c r="I551" s="11">
        <v>3.45106</v>
      </c>
      <c r="J551" s="1">
        <v>-3.9</v>
      </c>
      <c r="K551" s="11">
        <v>4.1213999999999995</v>
      </c>
      <c r="L551" s="1">
        <v>0</v>
      </c>
      <c r="M551" s="11">
        <v>6.2</v>
      </c>
      <c r="N551" s="1">
        <v>217.29</v>
      </c>
      <c r="O551" s="11">
        <v>2.8224999999999998</v>
      </c>
      <c r="P551" s="1">
        <f t="shared" si="100"/>
        <v>3142.5</v>
      </c>
      <c r="Q551" s="1">
        <v>3318.79</v>
      </c>
      <c r="R551" s="16">
        <f t="shared" si="101"/>
        <v>2553180.0712000006</v>
      </c>
      <c r="S551" s="1">
        <v>-360.03</v>
      </c>
      <c r="T551" s="1">
        <v>35.01</v>
      </c>
      <c r="U551" s="1">
        <v>12</v>
      </c>
      <c r="V551" s="1">
        <v>0</v>
      </c>
      <c r="W551" s="1" cm="1">
        <f t="array" ref="W551">SUM(ABS(S551:V551))</f>
        <v>407.03999999999996</v>
      </c>
      <c r="X551" s="25">
        <v>1.238</v>
      </c>
      <c r="Y551" s="42">
        <f t="shared" si="102"/>
        <v>125978.87999999999</v>
      </c>
      <c r="Z551" s="20">
        <v>445.23</v>
      </c>
      <c r="AA551" s="20">
        <f t="shared" si="103"/>
        <v>852.27</v>
      </c>
      <c r="AB551" s="21">
        <v>76.34</v>
      </c>
      <c r="AC551" s="21">
        <v>10.89</v>
      </c>
      <c r="AD551" s="8">
        <f t="shared" si="104"/>
        <v>532.46</v>
      </c>
      <c r="AE551" s="25">
        <v>1.238</v>
      </c>
      <c r="AF551" s="25">
        <f t="shared" si="105"/>
        <v>164796.37</v>
      </c>
      <c r="AG551" s="25">
        <f t="shared" si="106"/>
        <v>290775.25</v>
      </c>
      <c r="AH551" s="1">
        <f t="shared" si="96"/>
        <v>3674.96</v>
      </c>
      <c r="AI551" s="1">
        <f t="shared" si="97"/>
        <v>3851.25</v>
      </c>
      <c r="AJ551" s="1">
        <v>4259.33</v>
      </c>
      <c r="AK551" s="1">
        <f t="shared" si="98"/>
        <v>-584.36999999999989</v>
      </c>
      <c r="AL551" s="29">
        <f t="shared" si="107"/>
        <v>408.07999999999993</v>
      </c>
      <c r="AM551" s="11">
        <f t="shared" si="99"/>
        <v>2843955.3212000006</v>
      </c>
    </row>
    <row r="552" spans="1:39" x14ac:dyDescent="0.3">
      <c r="A552" s="39">
        <v>45935.708333333336</v>
      </c>
      <c r="B552" s="1">
        <v>1497.92</v>
      </c>
      <c r="C552" s="11">
        <v>3.2732000000000001</v>
      </c>
      <c r="D552" s="1">
        <v>742.02</v>
      </c>
      <c r="E552" s="11">
        <v>3.0760000000000001</v>
      </c>
      <c r="F552" s="1">
        <v>717.12</v>
      </c>
      <c r="G552" s="11">
        <v>3.53</v>
      </c>
      <c r="H552" s="1">
        <v>-63.47</v>
      </c>
      <c r="I552" s="11">
        <v>3.5000900000000001</v>
      </c>
      <c r="J552" s="1">
        <v>19.579999999999998</v>
      </c>
      <c r="K552" s="11">
        <v>3.4992800000000002</v>
      </c>
      <c r="L552" s="1">
        <v>0</v>
      </c>
      <c r="M552" s="11">
        <v>6.2</v>
      </c>
      <c r="N552" s="1">
        <v>157.29</v>
      </c>
      <c r="O552" s="11">
        <v>2.8224999999999998</v>
      </c>
      <c r="P552" s="1">
        <f t="shared" si="100"/>
        <v>3070.46</v>
      </c>
      <c r="Q552" s="1">
        <v>3315.12</v>
      </c>
      <c r="R552" s="16">
        <f t="shared" si="101"/>
        <v>2501798.7697750004</v>
      </c>
      <c r="S552" s="1">
        <v>-345.41</v>
      </c>
      <c r="T552" s="1">
        <v>34.979999999999997</v>
      </c>
      <c r="U552" s="1">
        <v>12</v>
      </c>
      <c r="V552" s="1">
        <v>0</v>
      </c>
      <c r="W552" s="1" cm="1">
        <f t="array" ref="W552">SUM(ABS(S552:V552))</f>
        <v>392.39000000000004</v>
      </c>
      <c r="X552" s="25">
        <v>1.238</v>
      </c>
      <c r="Y552" s="42">
        <f t="shared" si="102"/>
        <v>121444.70500000002</v>
      </c>
      <c r="Z552" s="20">
        <v>450.08000000000004</v>
      </c>
      <c r="AA552" s="20">
        <f t="shared" si="103"/>
        <v>842.47</v>
      </c>
      <c r="AB552" s="21">
        <v>55.48</v>
      </c>
      <c r="AC552" s="21">
        <v>9.91</v>
      </c>
      <c r="AD552" s="8">
        <f t="shared" si="104"/>
        <v>515.47</v>
      </c>
      <c r="AE552" s="25">
        <v>1.238</v>
      </c>
      <c r="AF552" s="25">
        <f t="shared" si="105"/>
        <v>159537.96500000003</v>
      </c>
      <c r="AG552" s="25">
        <f t="shared" si="106"/>
        <v>280982.67000000004</v>
      </c>
      <c r="AH552" s="1">
        <f t="shared" si="96"/>
        <v>3585.9300000000003</v>
      </c>
      <c r="AI552" s="1">
        <f t="shared" si="97"/>
        <v>3830.59</v>
      </c>
      <c r="AJ552" s="1">
        <v>4231.92</v>
      </c>
      <c r="AK552" s="1">
        <f t="shared" si="98"/>
        <v>-645.98999999999978</v>
      </c>
      <c r="AL552" s="29">
        <f t="shared" si="107"/>
        <v>401.32999999999993</v>
      </c>
      <c r="AM552" s="11">
        <f t="shared" si="99"/>
        <v>2782781.4397750003</v>
      </c>
    </row>
    <row r="553" spans="1:39" x14ac:dyDescent="0.3">
      <c r="A553" s="39">
        <v>45935.71875</v>
      </c>
      <c r="B553" s="1">
        <v>1497.81</v>
      </c>
      <c r="C553" s="11">
        <v>3.2732000000000001</v>
      </c>
      <c r="D553" s="1">
        <v>741.09</v>
      </c>
      <c r="E553" s="11">
        <v>3.0760000000000001</v>
      </c>
      <c r="F553" s="1">
        <v>717.12</v>
      </c>
      <c r="G553" s="11">
        <v>3.53</v>
      </c>
      <c r="H553" s="1">
        <v>-87.8</v>
      </c>
      <c r="I553" s="11">
        <v>3.6390599999999997</v>
      </c>
      <c r="J553" s="1">
        <v>9.02</v>
      </c>
      <c r="K553" s="11">
        <v>3.64988</v>
      </c>
      <c r="L553" s="1">
        <v>0</v>
      </c>
      <c r="M553" s="11">
        <v>6.2</v>
      </c>
      <c r="N553" s="1">
        <v>124.69</v>
      </c>
      <c r="O553" s="11">
        <v>2.8224999999999998</v>
      </c>
      <c r="P553" s="1">
        <f t="shared" si="100"/>
        <v>3001.93</v>
      </c>
      <c r="Q553" s="1">
        <v>3106.08</v>
      </c>
      <c r="R553" s="16">
        <f t="shared" si="101"/>
        <v>2444752.0266499999</v>
      </c>
      <c r="S553" s="1">
        <v>-512.36</v>
      </c>
      <c r="T553" s="1">
        <v>34.979999999999997</v>
      </c>
      <c r="U553" s="1">
        <v>12</v>
      </c>
      <c r="V553" s="1">
        <v>0</v>
      </c>
      <c r="W553" s="1" cm="1">
        <f t="array" ref="W553">SUM(ABS(S553:V553))</f>
        <v>559.34</v>
      </c>
      <c r="X553" s="25">
        <v>1.238</v>
      </c>
      <c r="Y553" s="42">
        <f t="shared" si="102"/>
        <v>173115.73</v>
      </c>
      <c r="Z553" s="20">
        <v>495.88000000000005</v>
      </c>
      <c r="AA553" s="20">
        <f t="shared" si="103"/>
        <v>1055.22</v>
      </c>
      <c r="AB553" s="21">
        <v>40.119999999999997</v>
      </c>
      <c r="AC553" s="21">
        <v>11.85</v>
      </c>
      <c r="AD553" s="8">
        <f t="shared" si="104"/>
        <v>547.85</v>
      </c>
      <c r="AE553" s="25">
        <v>1.238</v>
      </c>
      <c r="AF553" s="25">
        <f t="shared" si="105"/>
        <v>169559.57499999998</v>
      </c>
      <c r="AG553" s="25">
        <f t="shared" si="106"/>
        <v>342675.30499999999</v>
      </c>
      <c r="AH553" s="1">
        <f t="shared" si="96"/>
        <v>3549.7799999999997</v>
      </c>
      <c r="AI553" s="1">
        <f t="shared" si="97"/>
        <v>3653.93</v>
      </c>
      <c r="AJ553" s="1">
        <v>4212.6499999999996</v>
      </c>
      <c r="AK553" s="1">
        <f t="shared" si="98"/>
        <v>-662.86999999999989</v>
      </c>
      <c r="AL553" s="29">
        <f t="shared" si="107"/>
        <v>558.7199999999998</v>
      </c>
      <c r="AM553" s="11">
        <f t="shared" si="99"/>
        <v>2787427.3316500001</v>
      </c>
    </row>
    <row r="554" spans="1:39" x14ac:dyDescent="0.3">
      <c r="A554" s="39">
        <v>45935.729166666664</v>
      </c>
      <c r="B554" s="1">
        <v>1497.81</v>
      </c>
      <c r="C554" s="11">
        <v>3.2732000000000001</v>
      </c>
      <c r="D554" s="1">
        <v>741.09</v>
      </c>
      <c r="E554" s="11">
        <v>3.0760000000000001</v>
      </c>
      <c r="F554" s="1">
        <v>717.12</v>
      </c>
      <c r="G554" s="11">
        <v>3.53</v>
      </c>
      <c r="H554" s="1">
        <v>-96.27</v>
      </c>
      <c r="I554" s="11">
        <v>3.8773400000000002</v>
      </c>
      <c r="J554" s="1">
        <v>67.61</v>
      </c>
      <c r="K554" s="11">
        <v>3.036</v>
      </c>
      <c r="L554" s="1">
        <v>0</v>
      </c>
      <c r="M554" s="11">
        <v>6.2</v>
      </c>
      <c r="N554" s="1">
        <v>99.75</v>
      </c>
      <c r="O554" s="11">
        <v>2.8224999999999998</v>
      </c>
      <c r="P554" s="1">
        <f t="shared" si="100"/>
        <v>3027.11</v>
      </c>
      <c r="Q554" s="1">
        <v>3016.15</v>
      </c>
      <c r="R554" s="16">
        <f t="shared" si="101"/>
        <v>2456798.7363</v>
      </c>
      <c r="S554" s="1">
        <v>-570.66</v>
      </c>
      <c r="T554" s="1">
        <v>35</v>
      </c>
      <c r="U554" s="1">
        <v>12</v>
      </c>
      <c r="V554" s="1">
        <v>0.17</v>
      </c>
      <c r="W554" s="1" cm="1">
        <f t="array" ref="W554">SUM(ABS(S554:V554))</f>
        <v>617.82999999999993</v>
      </c>
      <c r="X554" s="25">
        <v>1.238</v>
      </c>
      <c r="Y554" s="42">
        <f t="shared" si="102"/>
        <v>191218.38499999998</v>
      </c>
      <c r="Z554" s="20">
        <v>503.40999999999997</v>
      </c>
      <c r="AA554" s="20">
        <f t="shared" si="103"/>
        <v>1121.2399999999998</v>
      </c>
      <c r="AB554" s="21">
        <v>28.05</v>
      </c>
      <c r="AC554" s="21">
        <v>12.61</v>
      </c>
      <c r="AD554" s="8">
        <f t="shared" si="104"/>
        <v>544.06999999999994</v>
      </c>
      <c r="AE554" s="25">
        <v>1.238</v>
      </c>
      <c r="AF554" s="25">
        <f t="shared" si="105"/>
        <v>168389.66499999998</v>
      </c>
      <c r="AG554" s="25">
        <f t="shared" si="106"/>
        <v>359608.04999999993</v>
      </c>
      <c r="AH554" s="1">
        <f t="shared" si="96"/>
        <v>3571.1800000000003</v>
      </c>
      <c r="AI554" s="1">
        <f t="shared" si="97"/>
        <v>3560.2200000000003</v>
      </c>
      <c r="AJ554" s="1">
        <v>4191.97</v>
      </c>
      <c r="AK554" s="1">
        <f t="shared" si="98"/>
        <v>-620.79</v>
      </c>
      <c r="AL554" s="29">
        <f t="shared" si="107"/>
        <v>631.75</v>
      </c>
      <c r="AM554" s="11">
        <f t="shared" si="99"/>
        <v>2816406.7862999998</v>
      </c>
    </row>
    <row r="555" spans="1:39" x14ac:dyDescent="0.3">
      <c r="A555" s="39">
        <v>45935.739583333336</v>
      </c>
      <c r="B555" s="1">
        <v>1497.81</v>
      </c>
      <c r="C555" s="11">
        <v>3.2732000000000001</v>
      </c>
      <c r="D555" s="1">
        <v>741.09</v>
      </c>
      <c r="E555" s="11">
        <v>3.0760000000000001</v>
      </c>
      <c r="F555" s="1">
        <v>717.12</v>
      </c>
      <c r="G555" s="11">
        <v>3.53</v>
      </c>
      <c r="H555" s="1">
        <v>-96.78</v>
      </c>
      <c r="I555" s="11">
        <v>3.9790900000000002</v>
      </c>
      <c r="J555" s="1">
        <v>71.78</v>
      </c>
      <c r="K555" s="11">
        <v>3.0154899999999998</v>
      </c>
      <c r="L555" s="1">
        <v>0</v>
      </c>
      <c r="M555" s="11">
        <v>6.2</v>
      </c>
      <c r="N555" s="1">
        <v>77.83</v>
      </c>
      <c r="O555" s="11">
        <v>2.8224999999999998</v>
      </c>
      <c r="P555" s="1">
        <f t="shared" si="100"/>
        <v>3008.85</v>
      </c>
      <c r="Q555" s="1">
        <v>3047.2</v>
      </c>
      <c r="R555" s="16">
        <f t="shared" si="101"/>
        <v>2441172.2122499999</v>
      </c>
      <c r="S555" s="1">
        <v>-545.79</v>
      </c>
      <c r="T555" s="1">
        <v>35.01</v>
      </c>
      <c r="U555" s="1">
        <v>12</v>
      </c>
      <c r="V555" s="1">
        <v>11.44</v>
      </c>
      <c r="W555" s="1" cm="1">
        <f t="array" ref="W555">SUM(ABS(S555:V555))</f>
        <v>604.24</v>
      </c>
      <c r="X555" s="25">
        <v>1.238</v>
      </c>
      <c r="Y555" s="42">
        <f t="shared" si="102"/>
        <v>187012.28</v>
      </c>
      <c r="Z555" s="20">
        <v>502.74000000000007</v>
      </c>
      <c r="AA555" s="20">
        <f t="shared" si="103"/>
        <v>1106.98</v>
      </c>
      <c r="AB555" s="21">
        <v>18.429999999999996</v>
      </c>
      <c r="AC555" s="21">
        <v>11.09</v>
      </c>
      <c r="AD555" s="8">
        <f t="shared" si="104"/>
        <v>532.2600000000001</v>
      </c>
      <c r="AE555" s="25">
        <v>1.238</v>
      </c>
      <c r="AF555" s="25">
        <f t="shared" si="105"/>
        <v>164734.47000000003</v>
      </c>
      <c r="AG555" s="25">
        <f t="shared" si="106"/>
        <v>351746.75</v>
      </c>
      <c r="AH555" s="1">
        <f t="shared" si="96"/>
        <v>3541.11</v>
      </c>
      <c r="AI555" s="1">
        <f t="shared" si="97"/>
        <v>3579.46</v>
      </c>
      <c r="AJ555" s="1">
        <v>4192.01</v>
      </c>
      <c r="AK555" s="1">
        <f t="shared" si="98"/>
        <v>-650.90000000000009</v>
      </c>
      <c r="AL555" s="29">
        <f t="shared" si="107"/>
        <v>612.55000000000018</v>
      </c>
      <c r="AM555" s="11">
        <f t="shared" si="99"/>
        <v>2792918.9622499999</v>
      </c>
    </row>
    <row r="556" spans="1:39" x14ac:dyDescent="0.3">
      <c r="A556" s="39">
        <v>45935.75</v>
      </c>
      <c r="B556" s="1">
        <v>1497.81</v>
      </c>
      <c r="C556" s="11">
        <v>3.2732000000000001</v>
      </c>
      <c r="D556" s="1">
        <v>741.09</v>
      </c>
      <c r="E556" s="11">
        <v>3.0760000000000001</v>
      </c>
      <c r="F556" s="1">
        <v>717.12</v>
      </c>
      <c r="G556" s="11">
        <v>3.53</v>
      </c>
      <c r="H556" s="1">
        <v>-25.86</v>
      </c>
      <c r="I556" s="11">
        <v>3.93066</v>
      </c>
      <c r="J556" s="1">
        <v>165.86</v>
      </c>
      <c r="K556" s="11">
        <v>1.91093</v>
      </c>
      <c r="L556" s="1">
        <v>24.72</v>
      </c>
      <c r="M556" s="11">
        <v>6.2</v>
      </c>
      <c r="N556" s="1">
        <v>61.54</v>
      </c>
      <c r="O556" s="11">
        <v>2.8224999999999998</v>
      </c>
      <c r="P556" s="1">
        <f t="shared" si="100"/>
        <v>3182.2799999999997</v>
      </c>
      <c r="Q556" s="1">
        <v>3201.04</v>
      </c>
      <c r="R556" s="16">
        <f t="shared" si="101"/>
        <v>2563979.69105</v>
      </c>
      <c r="S556" s="1">
        <v>-333.24</v>
      </c>
      <c r="T556" s="1">
        <v>34.99</v>
      </c>
      <c r="U556" s="1">
        <v>12</v>
      </c>
      <c r="V556" s="1">
        <v>12.71</v>
      </c>
      <c r="W556" s="1" cm="1">
        <f t="array" ref="W556">SUM(ABS(S556:V556))</f>
        <v>392.94</v>
      </c>
      <c r="X556" s="25">
        <v>1.238</v>
      </c>
      <c r="Y556" s="42">
        <f t="shared" si="102"/>
        <v>121614.93000000001</v>
      </c>
      <c r="Z556" s="20">
        <v>497.14</v>
      </c>
      <c r="AA556" s="20">
        <f t="shared" si="103"/>
        <v>890.07999999999993</v>
      </c>
      <c r="AB556" s="21">
        <v>10.069999999999999</v>
      </c>
      <c r="AC556" s="21">
        <v>10.33</v>
      </c>
      <c r="AD556" s="8">
        <f t="shared" si="104"/>
        <v>517.54</v>
      </c>
      <c r="AE556" s="25">
        <v>1.238</v>
      </c>
      <c r="AF556" s="25">
        <f t="shared" si="105"/>
        <v>160178.63</v>
      </c>
      <c r="AG556" s="25">
        <f t="shared" si="106"/>
        <v>281793.56</v>
      </c>
      <c r="AH556" s="1">
        <f t="shared" si="96"/>
        <v>3699.8199999999997</v>
      </c>
      <c r="AI556" s="1">
        <f t="shared" si="97"/>
        <v>3718.58</v>
      </c>
      <c r="AJ556" s="1">
        <v>4159.8100000000004</v>
      </c>
      <c r="AK556" s="1">
        <f t="shared" si="98"/>
        <v>-459.99000000000069</v>
      </c>
      <c r="AL556" s="29">
        <f t="shared" si="107"/>
        <v>441.23000000000047</v>
      </c>
      <c r="AM556" s="11">
        <f t="shared" si="99"/>
        <v>2845773.2510500001</v>
      </c>
    </row>
    <row r="557" spans="1:39" x14ac:dyDescent="0.3">
      <c r="A557" s="39">
        <v>45935.760416666664</v>
      </c>
      <c r="B557" s="1">
        <v>1497.81</v>
      </c>
      <c r="C557" s="11">
        <v>3.2732000000000001</v>
      </c>
      <c r="D557" s="1">
        <v>741.09</v>
      </c>
      <c r="E557" s="11">
        <v>3.0760000000000001</v>
      </c>
      <c r="F557" s="1">
        <v>717.12</v>
      </c>
      <c r="G557" s="11">
        <v>3.53</v>
      </c>
      <c r="H557" s="1">
        <v>71.739999999999995</v>
      </c>
      <c r="I557" s="11">
        <v>4.0004</v>
      </c>
      <c r="J557" s="1">
        <v>81.36</v>
      </c>
      <c r="K557" s="11">
        <v>3.59063</v>
      </c>
      <c r="L557" s="1">
        <v>26.81</v>
      </c>
      <c r="M557" s="11">
        <v>6.2</v>
      </c>
      <c r="N557" s="1">
        <v>46.99</v>
      </c>
      <c r="O557" s="11">
        <v>2.8224999999999998</v>
      </c>
      <c r="P557" s="1">
        <f t="shared" si="100"/>
        <v>3182.9199999999996</v>
      </c>
      <c r="Q557" s="1">
        <v>3236.27</v>
      </c>
      <c r="R557" s="16">
        <f t="shared" si="101"/>
        <v>2647907.93995</v>
      </c>
      <c r="S557" s="1">
        <v>-227.77</v>
      </c>
      <c r="T557" s="1">
        <v>35.04</v>
      </c>
      <c r="U557" s="1">
        <v>22</v>
      </c>
      <c r="V557" s="1">
        <v>18.05</v>
      </c>
      <c r="W557" s="1" cm="1">
        <f t="array" ref="W557">SUM(ABS(S557:V557))</f>
        <v>302.86</v>
      </c>
      <c r="X557" s="25">
        <v>1.238</v>
      </c>
      <c r="Y557" s="42">
        <f t="shared" si="102"/>
        <v>93735.17</v>
      </c>
      <c r="Z557" s="20">
        <v>574.33999999999992</v>
      </c>
      <c r="AA557" s="20">
        <f t="shared" si="103"/>
        <v>877.19999999999993</v>
      </c>
      <c r="AB557" s="21">
        <v>4.3699999999999992</v>
      </c>
      <c r="AC557" s="21">
        <v>9.5299999999999994</v>
      </c>
      <c r="AD557" s="8">
        <f t="shared" si="104"/>
        <v>588.2399999999999</v>
      </c>
      <c r="AE557" s="25">
        <v>1.238</v>
      </c>
      <c r="AF557" s="25">
        <f t="shared" si="105"/>
        <v>182060.27999999997</v>
      </c>
      <c r="AG557" s="25">
        <f t="shared" si="106"/>
        <v>275795.44999999995</v>
      </c>
      <c r="AH557" s="1">
        <f t="shared" si="96"/>
        <v>3771.1599999999994</v>
      </c>
      <c r="AI557" s="1">
        <f t="shared" si="97"/>
        <v>3824.5099999999998</v>
      </c>
      <c r="AJ557" s="1">
        <v>4186.9399999999996</v>
      </c>
      <c r="AK557" s="1">
        <f t="shared" si="98"/>
        <v>-415.7800000000002</v>
      </c>
      <c r="AL557" s="29">
        <f t="shared" si="107"/>
        <v>362.42999999999984</v>
      </c>
      <c r="AM557" s="11">
        <f t="shared" si="99"/>
        <v>2923703.3899499997</v>
      </c>
    </row>
    <row r="558" spans="1:39" x14ac:dyDescent="0.3">
      <c r="A558" s="39">
        <v>45935.770833333336</v>
      </c>
      <c r="B558" s="1">
        <v>1497.81</v>
      </c>
      <c r="C558" s="11">
        <v>3.2732000000000001</v>
      </c>
      <c r="D558" s="1">
        <v>741.09</v>
      </c>
      <c r="E558" s="11">
        <v>3.0760000000000001</v>
      </c>
      <c r="F558" s="1">
        <v>717.12</v>
      </c>
      <c r="G558" s="11">
        <v>3.53</v>
      </c>
      <c r="H558" s="1">
        <v>-13.28</v>
      </c>
      <c r="I558" s="11">
        <v>4.25054</v>
      </c>
      <c r="J558" s="1">
        <v>26.71</v>
      </c>
      <c r="K558" s="11">
        <v>4.7527799999999996</v>
      </c>
      <c r="L558" s="1">
        <v>26.65</v>
      </c>
      <c r="M558" s="11">
        <v>6.2</v>
      </c>
      <c r="N558" s="1">
        <v>33.57</v>
      </c>
      <c r="O558" s="11">
        <v>2.8224999999999998</v>
      </c>
      <c r="P558" s="1">
        <f t="shared" si="100"/>
        <v>3029.67</v>
      </c>
      <c r="Q558" s="1">
        <v>3052.32</v>
      </c>
      <c r="R558" s="16">
        <f t="shared" si="101"/>
        <v>2511034.7598999999</v>
      </c>
      <c r="S558" s="1">
        <v>-453.27</v>
      </c>
      <c r="T558" s="1">
        <v>35.06</v>
      </c>
      <c r="U558" s="1">
        <v>48.57</v>
      </c>
      <c r="V558" s="1">
        <v>19.600000000000001</v>
      </c>
      <c r="W558" s="1" cm="1">
        <f t="array" ref="W558">SUM(ABS(S558:V558))</f>
        <v>556.5</v>
      </c>
      <c r="X558" s="25">
        <v>1.238</v>
      </c>
      <c r="Y558" s="42">
        <f t="shared" si="102"/>
        <v>172236.75</v>
      </c>
      <c r="Z558" s="20">
        <v>643.28000000000009</v>
      </c>
      <c r="AA558" s="20">
        <f t="shared" si="103"/>
        <v>1199.7800000000002</v>
      </c>
      <c r="AB558" s="21">
        <v>0.85000000000000009</v>
      </c>
      <c r="AC558" s="21">
        <v>10.26</v>
      </c>
      <c r="AD558" s="8">
        <f t="shared" si="104"/>
        <v>654.3900000000001</v>
      </c>
      <c r="AE558" s="25">
        <v>1.238</v>
      </c>
      <c r="AF558" s="25">
        <f t="shared" si="105"/>
        <v>202533.70500000002</v>
      </c>
      <c r="AG558" s="25">
        <f t="shared" si="106"/>
        <v>374770.45500000002</v>
      </c>
      <c r="AH558" s="1">
        <f t="shared" si="96"/>
        <v>3684.0600000000004</v>
      </c>
      <c r="AI558" s="1">
        <f t="shared" si="97"/>
        <v>3706.71</v>
      </c>
      <c r="AJ558" s="1">
        <v>4321.84</v>
      </c>
      <c r="AK558" s="1">
        <f t="shared" si="98"/>
        <v>-637.77999999999975</v>
      </c>
      <c r="AL558" s="29">
        <f t="shared" si="107"/>
        <v>615.13000000000011</v>
      </c>
      <c r="AM558" s="11">
        <f t="shared" si="99"/>
        <v>2885805.2149</v>
      </c>
    </row>
    <row r="559" spans="1:39" x14ac:dyDescent="0.3">
      <c r="A559" s="39">
        <v>45935.78125</v>
      </c>
      <c r="B559" s="1">
        <v>1497.81</v>
      </c>
      <c r="C559" s="11">
        <v>3.2732000000000001</v>
      </c>
      <c r="D559" s="1">
        <v>741.09</v>
      </c>
      <c r="E559" s="11">
        <v>3.0760000000000001</v>
      </c>
      <c r="F559" s="1">
        <v>717.12</v>
      </c>
      <c r="G559" s="11">
        <v>3.53</v>
      </c>
      <c r="H559" s="1">
        <v>76.14</v>
      </c>
      <c r="I559" s="11">
        <v>4.4331000000000005</v>
      </c>
      <c r="J559" s="1">
        <v>47.67</v>
      </c>
      <c r="K559" s="11">
        <v>5.0756899999999998</v>
      </c>
      <c r="L559" s="1">
        <v>26.46</v>
      </c>
      <c r="M559" s="11">
        <v>6.2</v>
      </c>
      <c r="N559" s="1">
        <v>12.28</v>
      </c>
      <c r="O559" s="11">
        <v>2.8224999999999998</v>
      </c>
      <c r="P559" s="1">
        <f t="shared" si="100"/>
        <v>3118.57</v>
      </c>
      <c r="Q559" s="1">
        <v>3141.92</v>
      </c>
      <c r="R559" s="16">
        <f t="shared" si="101"/>
        <v>2622966.2020749999</v>
      </c>
      <c r="S559" s="1">
        <v>-521.37</v>
      </c>
      <c r="T559" s="1">
        <v>35.08</v>
      </c>
      <c r="U559" s="1">
        <v>50.18</v>
      </c>
      <c r="V559" s="1">
        <v>32.020000000000003</v>
      </c>
      <c r="W559" s="1" cm="1">
        <f t="array" ref="W559">SUM(ABS(S559:V559))</f>
        <v>638.65</v>
      </c>
      <c r="X559" s="25">
        <v>1.238</v>
      </c>
      <c r="Y559" s="42">
        <f t="shared" si="102"/>
        <v>197662.17499999999</v>
      </c>
      <c r="Z559" s="20">
        <v>710.41000000000008</v>
      </c>
      <c r="AA559" s="20">
        <f t="shared" si="103"/>
        <v>1349.06</v>
      </c>
      <c r="AB559" s="21">
        <v>0.33999999999999997</v>
      </c>
      <c r="AC559" s="21">
        <v>11.29</v>
      </c>
      <c r="AD559" s="8">
        <f t="shared" si="104"/>
        <v>722.04000000000008</v>
      </c>
      <c r="AE559" s="25">
        <v>1.238</v>
      </c>
      <c r="AF559" s="25">
        <f t="shared" si="105"/>
        <v>223471.38</v>
      </c>
      <c r="AG559" s="25">
        <f t="shared" si="106"/>
        <v>421133.55499999999</v>
      </c>
      <c r="AH559" s="1">
        <f t="shared" si="96"/>
        <v>3840.61</v>
      </c>
      <c r="AI559" s="1">
        <f t="shared" si="97"/>
        <v>3863.96</v>
      </c>
      <c r="AJ559" s="1">
        <v>4567.76</v>
      </c>
      <c r="AK559" s="1">
        <f t="shared" si="98"/>
        <v>-727.15000000000009</v>
      </c>
      <c r="AL559" s="29">
        <f t="shared" si="107"/>
        <v>703.80000000000018</v>
      </c>
      <c r="AM559" s="11">
        <f t="shared" si="99"/>
        <v>3044099.7570750001</v>
      </c>
    </row>
    <row r="560" spans="1:39" x14ac:dyDescent="0.3">
      <c r="A560" s="39">
        <v>45935.791666666664</v>
      </c>
      <c r="B560" s="1">
        <v>1497.81</v>
      </c>
      <c r="C560" s="11">
        <v>3.2732000000000001</v>
      </c>
      <c r="D560" s="1">
        <v>741.09</v>
      </c>
      <c r="E560" s="11">
        <v>3.0760000000000001</v>
      </c>
      <c r="F560" s="1">
        <v>717.12</v>
      </c>
      <c r="G560" s="11">
        <v>3.53</v>
      </c>
      <c r="H560" s="1">
        <v>44.12</v>
      </c>
      <c r="I560" s="11">
        <v>5.9994100000000001</v>
      </c>
      <c r="J560" s="1">
        <v>118.09</v>
      </c>
      <c r="K560" s="11">
        <v>10</v>
      </c>
      <c r="L560" s="1">
        <v>1.73</v>
      </c>
      <c r="M560" s="11">
        <v>6.2</v>
      </c>
      <c r="N560" s="1">
        <v>3.97</v>
      </c>
      <c r="O560" s="11">
        <v>2.8224999999999998</v>
      </c>
      <c r="P560" s="1">
        <f t="shared" si="100"/>
        <v>3123.93</v>
      </c>
      <c r="Q560" s="1">
        <v>3115.69</v>
      </c>
      <c r="R560" s="16">
        <f t="shared" si="101"/>
        <v>2795295.8565500001</v>
      </c>
      <c r="S560" s="1">
        <v>-640.09</v>
      </c>
      <c r="T560" s="1">
        <v>35.11</v>
      </c>
      <c r="U560" s="1">
        <v>66.319999999999993</v>
      </c>
      <c r="V560" s="1">
        <v>38.01</v>
      </c>
      <c r="W560" s="1" cm="1">
        <f t="array" ref="W560">SUM(ABS(S560:V560))</f>
        <v>779.53</v>
      </c>
      <c r="X560" s="25">
        <v>1.238</v>
      </c>
      <c r="Y560" s="42">
        <f t="shared" si="102"/>
        <v>241264.535</v>
      </c>
      <c r="Z560" s="20">
        <v>724.09</v>
      </c>
      <c r="AA560" s="20">
        <f t="shared" si="103"/>
        <v>1503.62</v>
      </c>
      <c r="AB560" s="21">
        <v>0.23</v>
      </c>
      <c r="AC560" s="21">
        <v>11.67</v>
      </c>
      <c r="AD560" s="8">
        <f t="shared" si="104"/>
        <v>735.99</v>
      </c>
      <c r="AE560" s="25">
        <v>1.238</v>
      </c>
      <c r="AF560" s="25">
        <f t="shared" si="105"/>
        <v>227788.905</v>
      </c>
      <c r="AG560" s="25">
        <f t="shared" si="106"/>
        <v>469053.44</v>
      </c>
      <c r="AH560" s="1">
        <f t="shared" si="96"/>
        <v>3859.92</v>
      </c>
      <c r="AI560" s="1">
        <f t="shared" si="97"/>
        <v>3851.6800000000003</v>
      </c>
      <c r="AJ560" s="1">
        <v>4686.78</v>
      </c>
      <c r="AK560" s="1">
        <f t="shared" si="98"/>
        <v>-826.85999999999967</v>
      </c>
      <c r="AL560" s="29">
        <f t="shared" si="107"/>
        <v>835.09999999999945</v>
      </c>
      <c r="AM560" s="11">
        <f t="shared" si="99"/>
        <v>3264349.2965500001</v>
      </c>
    </row>
    <row r="561" spans="1:39" x14ac:dyDescent="0.3">
      <c r="A561" s="39">
        <v>45935.802083333336</v>
      </c>
      <c r="B561" s="1">
        <v>1497.81</v>
      </c>
      <c r="C561" s="11">
        <v>3.2732000000000001</v>
      </c>
      <c r="D561" s="1">
        <v>741.09</v>
      </c>
      <c r="E561" s="11">
        <v>3.0760000000000001</v>
      </c>
      <c r="F561" s="1">
        <v>717.12</v>
      </c>
      <c r="G561" s="11">
        <v>3.53</v>
      </c>
      <c r="H561" s="1">
        <v>-37.950000000000003</v>
      </c>
      <c r="I561" s="11">
        <v>9.0092800000000004</v>
      </c>
      <c r="J561" s="1">
        <v>102.39</v>
      </c>
      <c r="K561" s="11">
        <v>10</v>
      </c>
      <c r="L561" s="1">
        <v>0</v>
      </c>
      <c r="M561" s="11">
        <v>6.2</v>
      </c>
      <c r="N561" s="1">
        <v>0.51</v>
      </c>
      <c r="O561" s="11">
        <v>2.8224999999999998</v>
      </c>
      <c r="P561" s="1">
        <f t="shared" si="100"/>
        <v>3020.9700000000003</v>
      </c>
      <c r="Q561" s="1">
        <v>3021.4</v>
      </c>
      <c r="R561" s="16">
        <f t="shared" si="101"/>
        <v>2599273.85775</v>
      </c>
      <c r="S561" s="1">
        <v>-731.73</v>
      </c>
      <c r="T561" s="1">
        <v>35.119999999999997</v>
      </c>
      <c r="U561" s="1">
        <v>66.31</v>
      </c>
      <c r="V561" s="1">
        <v>38.049999999999997</v>
      </c>
      <c r="W561" s="1" cm="1">
        <f t="array" ref="W561">SUM(ABS(S561:V561))</f>
        <v>871.21</v>
      </c>
      <c r="X561" s="25">
        <v>1.238</v>
      </c>
      <c r="Y561" s="42">
        <f t="shared" si="102"/>
        <v>269639.495</v>
      </c>
      <c r="Z561" s="20">
        <v>728.12</v>
      </c>
      <c r="AA561" s="20">
        <f t="shared" si="103"/>
        <v>1599.33</v>
      </c>
      <c r="AB561" s="21">
        <v>0.22000000000000003</v>
      </c>
      <c r="AC561" s="21">
        <v>12.66</v>
      </c>
      <c r="AD561" s="8">
        <f t="shared" si="104"/>
        <v>741</v>
      </c>
      <c r="AE561" s="25">
        <v>1.238</v>
      </c>
      <c r="AF561" s="25">
        <f t="shared" si="105"/>
        <v>229339.5</v>
      </c>
      <c r="AG561" s="25">
        <f t="shared" si="106"/>
        <v>498978.995</v>
      </c>
      <c r="AH561" s="1">
        <f t="shared" si="96"/>
        <v>3761.9700000000003</v>
      </c>
      <c r="AI561" s="1">
        <f t="shared" si="97"/>
        <v>3762.4</v>
      </c>
      <c r="AJ561" s="1">
        <v>4692.57</v>
      </c>
      <c r="AK561" s="1">
        <f t="shared" si="98"/>
        <v>-930.59999999999945</v>
      </c>
      <c r="AL561" s="29">
        <f t="shared" si="107"/>
        <v>930.16999999999962</v>
      </c>
      <c r="AM561" s="11">
        <f t="shared" si="99"/>
        <v>3098252.8527500001</v>
      </c>
    </row>
    <row r="562" spans="1:39" x14ac:dyDescent="0.3">
      <c r="A562" s="39">
        <v>45935.8125</v>
      </c>
      <c r="B562" s="1">
        <v>1497.81</v>
      </c>
      <c r="C562" s="11">
        <v>3.2732000000000001</v>
      </c>
      <c r="D562" s="1">
        <v>741.09</v>
      </c>
      <c r="E562" s="11">
        <v>3.0760000000000001</v>
      </c>
      <c r="F562" s="1">
        <v>717.12</v>
      </c>
      <c r="G562" s="11">
        <v>3.53</v>
      </c>
      <c r="H562" s="1">
        <v>-281.97000000000003</v>
      </c>
      <c r="I562" s="11">
        <v>9.9097399999999993</v>
      </c>
      <c r="J562" s="1">
        <v>249.54</v>
      </c>
      <c r="K562" s="11">
        <v>10</v>
      </c>
      <c r="L562" s="1">
        <v>0</v>
      </c>
      <c r="M562" s="11">
        <v>6.2</v>
      </c>
      <c r="N562" s="1">
        <v>26.73</v>
      </c>
      <c r="O562" s="11">
        <v>2.8224999999999998</v>
      </c>
      <c r="P562" s="1">
        <f t="shared" si="100"/>
        <v>2950.32</v>
      </c>
      <c r="Q562" s="1">
        <v>2975.84</v>
      </c>
      <c r="R562" s="16">
        <f t="shared" si="101"/>
        <v>2372563.5422999999</v>
      </c>
      <c r="S562" s="1">
        <v>-734.61</v>
      </c>
      <c r="T562" s="1">
        <v>35.130000000000003</v>
      </c>
      <c r="U562" s="1">
        <v>66.290000000000006</v>
      </c>
      <c r="V562" s="1">
        <v>38.049999999999997</v>
      </c>
      <c r="W562" s="1" cm="1">
        <f t="array" ref="W562">SUM(ABS(S562:V562))</f>
        <v>874.07999999999993</v>
      </c>
      <c r="X562" s="25">
        <v>1.238</v>
      </c>
      <c r="Y562" s="42">
        <f t="shared" si="102"/>
        <v>270527.76</v>
      </c>
      <c r="Z562" s="20">
        <v>726.33</v>
      </c>
      <c r="AA562" s="20">
        <f t="shared" si="103"/>
        <v>1600.4099999999999</v>
      </c>
      <c r="AB562" s="21">
        <v>0.22000000000000003</v>
      </c>
      <c r="AC562" s="21">
        <v>13.669999999999998</v>
      </c>
      <c r="AD562" s="8">
        <f t="shared" si="104"/>
        <v>740.22</v>
      </c>
      <c r="AE562" s="25">
        <v>1.238</v>
      </c>
      <c r="AF562" s="25">
        <f t="shared" si="105"/>
        <v>229098.09000000003</v>
      </c>
      <c r="AG562" s="25">
        <f t="shared" si="106"/>
        <v>499625.85000000003</v>
      </c>
      <c r="AH562" s="1">
        <f t="shared" si="96"/>
        <v>3690.54</v>
      </c>
      <c r="AI562" s="1">
        <f t="shared" si="97"/>
        <v>3716.0600000000004</v>
      </c>
      <c r="AJ562" s="1">
        <v>4653.67</v>
      </c>
      <c r="AK562" s="1">
        <f t="shared" si="98"/>
        <v>-963.13000000000011</v>
      </c>
      <c r="AL562" s="29">
        <f t="shared" si="107"/>
        <v>937.60999999999967</v>
      </c>
      <c r="AM562" s="11">
        <f t="shared" si="99"/>
        <v>2872189.3922999999</v>
      </c>
    </row>
    <row r="563" spans="1:39" x14ac:dyDescent="0.3">
      <c r="A563" s="39">
        <v>45935.822916666664</v>
      </c>
      <c r="B563" s="1">
        <v>1497.81</v>
      </c>
      <c r="C563" s="11">
        <v>3.2732000000000001</v>
      </c>
      <c r="D563" s="1">
        <v>741.09</v>
      </c>
      <c r="E563" s="11">
        <v>3.0760000000000001</v>
      </c>
      <c r="F563" s="1">
        <v>717.12</v>
      </c>
      <c r="G563" s="11">
        <v>3.53</v>
      </c>
      <c r="H563" s="1">
        <v>-348.28</v>
      </c>
      <c r="I563" s="11">
        <v>10</v>
      </c>
      <c r="J563" s="1">
        <v>311.29000000000002</v>
      </c>
      <c r="K563" s="11">
        <v>10</v>
      </c>
      <c r="L563" s="1">
        <v>0</v>
      </c>
      <c r="M563" s="11">
        <v>6.2</v>
      </c>
      <c r="N563" s="1">
        <v>27.38</v>
      </c>
      <c r="O563" s="11">
        <v>2.8224999999999998</v>
      </c>
      <c r="P563" s="1">
        <f t="shared" si="100"/>
        <v>2946.41</v>
      </c>
      <c r="Q563" s="1">
        <v>2980.6</v>
      </c>
      <c r="R563" s="16">
        <f t="shared" si="101"/>
        <v>2355259.5455</v>
      </c>
      <c r="S563" s="1">
        <v>-733.72</v>
      </c>
      <c r="T563" s="1">
        <v>35.119999999999997</v>
      </c>
      <c r="U563" s="1">
        <v>66.290000000000006</v>
      </c>
      <c r="V563" s="1">
        <v>38</v>
      </c>
      <c r="W563" s="1" cm="1">
        <f t="array" ref="W563">SUM(ABS(S563:V563))</f>
        <v>873.13</v>
      </c>
      <c r="X563" s="25">
        <v>1.238</v>
      </c>
      <c r="Y563" s="42">
        <f t="shared" si="102"/>
        <v>270233.73500000004</v>
      </c>
      <c r="Z563" s="20">
        <v>724.81000000000006</v>
      </c>
      <c r="AA563" s="20">
        <f t="shared" si="103"/>
        <v>1597.94</v>
      </c>
      <c r="AB563" s="21">
        <v>0.22999999999999998</v>
      </c>
      <c r="AC563" s="21">
        <v>12.870000000000001</v>
      </c>
      <c r="AD563" s="8">
        <f t="shared" si="104"/>
        <v>737.91000000000008</v>
      </c>
      <c r="AE563" s="25">
        <v>1.238</v>
      </c>
      <c r="AF563" s="25">
        <f t="shared" si="105"/>
        <v>228383.14500000002</v>
      </c>
      <c r="AG563" s="25">
        <f t="shared" si="106"/>
        <v>498616.88000000006</v>
      </c>
      <c r="AH563" s="1">
        <f t="shared" si="96"/>
        <v>3684.3199999999997</v>
      </c>
      <c r="AI563" s="1">
        <f t="shared" si="97"/>
        <v>3718.51</v>
      </c>
      <c r="AJ563" s="1">
        <v>4654.43</v>
      </c>
      <c r="AK563" s="1">
        <f t="shared" si="98"/>
        <v>-970.11000000000058</v>
      </c>
      <c r="AL563" s="29">
        <f t="shared" si="107"/>
        <v>935.92000000000007</v>
      </c>
      <c r="AM563" s="11">
        <f t="shared" si="99"/>
        <v>2853876.4254999999</v>
      </c>
    </row>
    <row r="564" spans="1:39" x14ac:dyDescent="0.3">
      <c r="A564" s="39">
        <v>45935.833333333336</v>
      </c>
      <c r="B564" s="1">
        <v>1497.81</v>
      </c>
      <c r="C564" s="11">
        <v>3.2732000000000001</v>
      </c>
      <c r="D564" s="1">
        <v>741.09</v>
      </c>
      <c r="E564" s="11">
        <v>3.0760000000000001</v>
      </c>
      <c r="F564" s="1">
        <v>717.12</v>
      </c>
      <c r="G564" s="11">
        <v>3.53</v>
      </c>
      <c r="H564" s="1">
        <v>-254.92</v>
      </c>
      <c r="I564" s="11">
        <v>9.9094800000000003</v>
      </c>
      <c r="J564" s="1">
        <v>239.44</v>
      </c>
      <c r="K564" s="11">
        <v>10</v>
      </c>
      <c r="L564" s="1">
        <v>0</v>
      </c>
      <c r="M564" s="11">
        <v>6.2</v>
      </c>
      <c r="N564" s="1">
        <v>26.46</v>
      </c>
      <c r="O564" s="11">
        <v>2.8224999999999998</v>
      </c>
      <c r="P564" s="1">
        <f t="shared" si="100"/>
        <v>2967</v>
      </c>
      <c r="Q564" s="1">
        <v>2972.83</v>
      </c>
      <c r="R564" s="16">
        <f t="shared" si="101"/>
        <v>2414154.2100999998</v>
      </c>
      <c r="S564" s="1">
        <v>-730.37</v>
      </c>
      <c r="T564" s="1">
        <v>35.119999999999997</v>
      </c>
      <c r="U564" s="1">
        <v>66.27</v>
      </c>
      <c r="V564" s="1">
        <v>37.97</v>
      </c>
      <c r="W564" s="1" cm="1">
        <f t="array" ref="W564">SUM(ABS(S564:V564))</f>
        <v>869.73</v>
      </c>
      <c r="X564" s="25">
        <v>1.238</v>
      </c>
      <c r="Y564" s="42">
        <f t="shared" si="102"/>
        <v>269181.435</v>
      </c>
      <c r="Z564" s="20">
        <v>722.08</v>
      </c>
      <c r="AA564" s="20">
        <f t="shared" si="103"/>
        <v>1591.81</v>
      </c>
      <c r="AB564" s="21">
        <v>0.21999999999999997</v>
      </c>
      <c r="AC564" s="21">
        <v>11.99</v>
      </c>
      <c r="AD564" s="8">
        <f t="shared" si="104"/>
        <v>734.29000000000008</v>
      </c>
      <c r="AE564" s="25">
        <v>1.238</v>
      </c>
      <c r="AF564" s="25">
        <f t="shared" si="105"/>
        <v>227262.75500000003</v>
      </c>
      <c r="AG564" s="25">
        <f t="shared" si="106"/>
        <v>496444.19000000006</v>
      </c>
      <c r="AH564" s="1">
        <f t="shared" si="96"/>
        <v>3701.29</v>
      </c>
      <c r="AI564" s="1">
        <f t="shared" si="97"/>
        <v>3707.12</v>
      </c>
      <c r="AJ564" s="1">
        <v>4640.4399999999996</v>
      </c>
      <c r="AK564" s="1">
        <f t="shared" si="98"/>
        <v>-939.14999999999964</v>
      </c>
      <c r="AL564" s="29">
        <f t="shared" si="107"/>
        <v>933.31999999999971</v>
      </c>
      <c r="AM564" s="11">
        <f t="shared" si="99"/>
        <v>2910598.4000999997</v>
      </c>
    </row>
    <row r="565" spans="1:39" x14ac:dyDescent="0.3">
      <c r="A565" s="39">
        <v>45935.84375</v>
      </c>
      <c r="B565" s="1">
        <v>1497.81</v>
      </c>
      <c r="C565" s="11">
        <v>3.2732000000000001</v>
      </c>
      <c r="D565" s="1">
        <v>741.09</v>
      </c>
      <c r="E565" s="11">
        <v>3.0760000000000001</v>
      </c>
      <c r="F565" s="1">
        <v>717.12</v>
      </c>
      <c r="G565" s="11">
        <v>3.53</v>
      </c>
      <c r="H565" s="1">
        <v>-319.67</v>
      </c>
      <c r="I565" s="11">
        <v>9.9098700000000015</v>
      </c>
      <c r="J565" s="1">
        <v>281.5</v>
      </c>
      <c r="K565" s="11">
        <v>10</v>
      </c>
      <c r="L565" s="1">
        <v>0</v>
      </c>
      <c r="M565" s="11">
        <v>6.2</v>
      </c>
      <c r="N565" s="1">
        <v>26.4</v>
      </c>
      <c r="O565" s="11">
        <v>2.8224999999999998</v>
      </c>
      <c r="P565" s="1">
        <f t="shared" si="100"/>
        <v>2944.25</v>
      </c>
      <c r="Q565" s="1">
        <v>2970.56</v>
      </c>
      <c r="R565" s="16">
        <f t="shared" si="101"/>
        <v>2358820.9972749995</v>
      </c>
      <c r="S565" s="1">
        <v>-731.64</v>
      </c>
      <c r="T565" s="1">
        <v>35.119999999999997</v>
      </c>
      <c r="U565" s="1">
        <v>66.260000000000005</v>
      </c>
      <c r="V565" s="1">
        <v>37.979999999999997</v>
      </c>
      <c r="W565" s="1" cm="1">
        <f t="array" ref="W565">SUM(ABS(S565:V565))</f>
        <v>871</v>
      </c>
      <c r="X565" s="25">
        <v>1.238</v>
      </c>
      <c r="Y565" s="42">
        <f t="shared" si="102"/>
        <v>269574.5</v>
      </c>
      <c r="Z565" s="20">
        <v>722.79000000000008</v>
      </c>
      <c r="AA565" s="20">
        <f t="shared" si="103"/>
        <v>1593.79</v>
      </c>
      <c r="AB565" s="21">
        <v>0.21999999999999997</v>
      </c>
      <c r="AC565" s="21">
        <v>11.219999999999999</v>
      </c>
      <c r="AD565" s="8">
        <f t="shared" si="104"/>
        <v>734.23000000000013</v>
      </c>
      <c r="AE565" s="25">
        <v>1.238</v>
      </c>
      <c r="AF565" s="25">
        <f t="shared" si="105"/>
        <v>227244.18500000006</v>
      </c>
      <c r="AG565" s="25">
        <f t="shared" si="106"/>
        <v>496818.68500000006</v>
      </c>
      <c r="AH565" s="1">
        <f t="shared" si="96"/>
        <v>3678.48</v>
      </c>
      <c r="AI565" s="1">
        <f t="shared" si="97"/>
        <v>3704.79</v>
      </c>
      <c r="AJ565" s="1">
        <v>4636.92</v>
      </c>
      <c r="AK565" s="1">
        <f t="shared" si="98"/>
        <v>-958.44</v>
      </c>
      <c r="AL565" s="29">
        <f t="shared" si="107"/>
        <v>932.13000000000011</v>
      </c>
      <c r="AM565" s="11">
        <f t="shared" si="99"/>
        <v>2855639.6822749996</v>
      </c>
    </row>
    <row r="566" spans="1:39" x14ac:dyDescent="0.3">
      <c r="A566" s="39">
        <v>45935.854166666664</v>
      </c>
      <c r="B566" s="1">
        <v>1497.81</v>
      </c>
      <c r="C566" s="11">
        <v>3.2732000000000001</v>
      </c>
      <c r="D566" s="1">
        <v>741.09</v>
      </c>
      <c r="E566" s="11">
        <v>3.0760000000000001</v>
      </c>
      <c r="F566" s="1">
        <v>717.12</v>
      </c>
      <c r="G566" s="11">
        <v>3.53</v>
      </c>
      <c r="H566" s="1">
        <v>-350.03</v>
      </c>
      <c r="I566" s="11">
        <v>10</v>
      </c>
      <c r="J566" s="1">
        <v>380.47</v>
      </c>
      <c r="K566" s="11">
        <v>10</v>
      </c>
      <c r="L566" s="1">
        <v>0</v>
      </c>
      <c r="M566" s="11">
        <v>6.2</v>
      </c>
      <c r="N566" s="1">
        <v>26.12</v>
      </c>
      <c r="O566" s="11">
        <v>2.8224999999999998</v>
      </c>
      <c r="P566" s="1">
        <f t="shared" si="100"/>
        <v>3012.58</v>
      </c>
      <c r="Q566" s="1">
        <v>2953.31</v>
      </c>
      <c r="R566" s="16">
        <f t="shared" si="101"/>
        <v>2522945.4580000006</v>
      </c>
      <c r="S566" s="1">
        <v>-735.88</v>
      </c>
      <c r="T566" s="1">
        <v>35.15</v>
      </c>
      <c r="U566" s="1">
        <v>65.19</v>
      </c>
      <c r="V566" s="1">
        <v>37.979999999999997</v>
      </c>
      <c r="W566" s="1" cm="1">
        <f t="array" ref="W566">SUM(ABS(S566:V566))</f>
        <v>874.2</v>
      </c>
      <c r="X566" s="25">
        <v>1.238</v>
      </c>
      <c r="Y566" s="42">
        <f t="shared" si="102"/>
        <v>270564.90000000002</v>
      </c>
      <c r="Z566" s="20">
        <v>720.63</v>
      </c>
      <c r="AA566" s="20">
        <f t="shared" si="103"/>
        <v>1594.83</v>
      </c>
      <c r="AB566" s="21">
        <v>0.21999999999999997</v>
      </c>
      <c r="AC566" s="21">
        <v>10.82</v>
      </c>
      <c r="AD566" s="8">
        <f t="shared" si="104"/>
        <v>731.67000000000007</v>
      </c>
      <c r="AE566" s="25">
        <v>1.238</v>
      </c>
      <c r="AF566" s="25">
        <f t="shared" si="105"/>
        <v>226451.86500000002</v>
      </c>
      <c r="AG566" s="25">
        <f t="shared" si="106"/>
        <v>497016.76500000001</v>
      </c>
      <c r="AH566" s="1">
        <f t="shared" si="96"/>
        <v>3744.25</v>
      </c>
      <c r="AI566" s="1">
        <f t="shared" si="97"/>
        <v>3684.98</v>
      </c>
      <c r="AJ566" s="1">
        <v>4623.7299999999996</v>
      </c>
      <c r="AK566" s="1">
        <f t="shared" si="98"/>
        <v>-879.47999999999956</v>
      </c>
      <c r="AL566" s="29">
        <f t="shared" si="107"/>
        <v>938.74999999999955</v>
      </c>
      <c r="AM566" s="11">
        <f t="shared" si="99"/>
        <v>3019962.2230000007</v>
      </c>
    </row>
    <row r="567" spans="1:39" x14ac:dyDescent="0.3">
      <c r="A567" s="39">
        <v>45935.864583333336</v>
      </c>
      <c r="B567" s="1">
        <v>1497.81</v>
      </c>
      <c r="C567" s="11">
        <v>3.2732000000000001</v>
      </c>
      <c r="D567" s="1">
        <v>741.09</v>
      </c>
      <c r="E567" s="11">
        <v>3.0760000000000001</v>
      </c>
      <c r="F567" s="1">
        <v>717.12</v>
      </c>
      <c r="G567" s="11">
        <v>3.53</v>
      </c>
      <c r="H567" s="1">
        <v>-351.9</v>
      </c>
      <c r="I567" s="11">
        <v>10</v>
      </c>
      <c r="J567" s="1">
        <v>384.83</v>
      </c>
      <c r="K567" s="11">
        <v>10</v>
      </c>
      <c r="L567" s="1">
        <v>0</v>
      </c>
      <c r="M567" s="11">
        <v>6.2</v>
      </c>
      <c r="N567" s="1">
        <v>25.54</v>
      </c>
      <c r="O567" s="11">
        <v>2.8224999999999998</v>
      </c>
      <c r="P567" s="1">
        <f t="shared" si="100"/>
        <v>3014.49</v>
      </c>
      <c r="Q567" s="1">
        <v>3011.72</v>
      </c>
      <c r="R567" s="16">
        <f t="shared" si="101"/>
        <v>2528761.1954999999</v>
      </c>
      <c r="S567" s="1">
        <v>-714.94</v>
      </c>
      <c r="T567" s="1">
        <v>35.159999999999997</v>
      </c>
      <c r="U567" s="1">
        <v>51.06</v>
      </c>
      <c r="V567" s="1">
        <v>38.049999999999997</v>
      </c>
      <c r="W567" s="1" cm="1">
        <f t="array" ref="W567">SUM(ABS(S567:V567))</f>
        <v>839.21</v>
      </c>
      <c r="X567" s="25">
        <v>1.238</v>
      </c>
      <c r="Y567" s="42">
        <f t="shared" si="102"/>
        <v>259735.49500000002</v>
      </c>
      <c r="Z567" s="20">
        <v>693.05</v>
      </c>
      <c r="AA567" s="20">
        <f t="shared" si="103"/>
        <v>1532.26</v>
      </c>
      <c r="AB567" s="21">
        <v>0.21999999999999997</v>
      </c>
      <c r="AC567" s="21">
        <v>10.58</v>
      </c>
      <c r="AD567" s="8">
        <f t="shared" si="104"/>
        <v>703.85</v>
      </c>
      <c r="AE567" s="25">
        <v>1.238</v>
      </c>
      <c r="AF567" s="25">
        <f t="shared" si="105"/>
        <v>217841.57500000001</v>
      </c>
      <c r="AG567" s="25">
        <f t="shared" si="106"/>
        <v>477577.07000000007</v>
      </c>
      <c r="AH567" s="1">
        <f t="shared" si="96"/>
        <v>3718.3399999999997</v>
      </c>
      <c r="AI567" s="1">
        <f t="shared" si="97"/>
        <v>3715.5699999999997</v>
      </c>
      <c r="AJ567" s="1">
        <v>4618.6499999999996</v>
      </c>
      <c r="AK567" s="1">
        <f t="shared" si="98"/>
        <v>-900.31</v>
      </c>
      <c r="AL567" s="29">
        <f t="shared" si="107"/>
        <v>903.07999999999993</v>
      </c>
      <c r="AM567" s="11">
        <f t="shared" si="99"/>
        <v>3006338.2654999997</v>
      </c>
    </row>
    <row r="568" spans="1:39" x14ac:dyDescent="0.3">
      <c r="A568" s="39">
        <v>45935.875</v>
      </c>
      <c r="B568" s="1">
        <v>1497.81</v>
      </c>
      <c r="C568" s="11">
        <v>3.2732000000000001</v>
      </c>
      <c r="D568" s="1">
        <v>741.09</v>
      </c>
      <c r="E568" s="11">
        <v>3.0760000000000001</v>
      </c>
      <c r="F568" s="1">
        <v>717.12</v>
      </c>
      <c r="G568" s="11">
        <v>3.53</v>
      </c>
      <c r="H568" s="1">
        <v>-258.89999999999998</v>
      </c>
      <c r="I568" s="11">
        <v>10</v>
      </c>
      <c r="J568" s="1">
        <v>293</v>
      </c>
      <c r="K568" s="11">
        <v>10</v>
      </c>
      <c r="L568" s="1">
        <v>0</v>
      </c>
      <c r="M568" s="11">
        <v>6.2</v>
      </c>
      <c r="N568" s="1">
        <v>36.32</v>
      </c>
      <c r="O568" s="11">
        <v>2.8224999999999998</v>
      </c>
      <c r="P568" s="1">
        <f t="shared" si="100"/>
        <v>3026.44</v>
      </c>
      <c r="Q568" s="1">
        <v>3020.34</v>
      </c>
      <c r="R568" s="16">
        <f t="shared" si="101"/>
        <v>2539292.8330000001</v>
      </c>
      <c r="S568" s="1">
        <v>-729.05</v>
      </c>
      <c r="T568" s="1">
        <v>35.15</v>
      </c>
      <c r="U568" s="1">
        <v>48.61</v>
      </c>
      <c r="V568" s="1">
        <v>38.01</v>
      </c>
      <c r="W568" s="1" cm="1">
        <f t="array" ref="W568">SUM(ABS(S568:V568))</f>
        <v>850.81999999999994</v>
      </c>
      <c r="X568" s="25">
        <v>1.238</v>
      </c>
      <c r="Y568" s="42">
        <f t="shared" si="102"/>
        <v>263328.78999999998</v>
      </c>
      <c r="Z568" s="20">
        <v>698.45</v>
      </c>
      <c r="AA568" s="20">
        <f t="shared" si="103"/>
        <v>1549.27</v>
      </c>
      <c r="AB568" s="21">
        <v>0.21999999999999997</v>
      </c>
      <c r="AC568" s="21">
        <v>12.08</v>
      </c>
      <c r="AD568" s="8">
        <f t="shared" si="104"/>
        <v>710.75000000000011</v>
      </c>
      <c r="AE568" s="25">
        <v>1.238</v>
      </c>
      <c r="AF568" s="25">
        <f t="shared" si="105"/>
        <v>219977.12500000003</v>
      </c>
      <c r="AG568" s="25">
        <f t="shared" si="106"/>
        <v>483305.91500000004</v>
      </c>
      <c r="AH568" s="1">
        <f t="shared" si="96"/>
        <v>3737.19</v>
      </c>
      <c r="AI568" s="1">
        <f t="shared" si="97"/>
        <v>3731.09</v>
      </c>
      <c r="AJ568" s="1">
        <v>4641.38</v>
      </c>
      <c r="AK568" s="1">
        <f t="shared" si="98"/>
        <v>-904.19</v>
      </c>
      <c r="AL568" s="29">
        <f t="shared" si="107"/>
        <v>910.29</v>
      </c>
      <c r="AM568" s="11">
        <f t="shared" si="99"/>
        <v>3022598.7480000001</v>
      </c>
    </row>
    <row r="569" spans="1:39" x14ac:dyDescent="0.3">
      <c r="A569" s="39">
        <v>45935.885416666664</v>
      </c>
      <c r="B569" s="1">
        <v>1497.81</v>
      </c>
      <c r="C569" s="11">
        <v>3.2732000000000001</v>
      </c>
      <c r="D569" s="1">
        <v>741.09</v>
      </c>
      <c r="E569" s="11">
        <v>3.0760000000000001</v>
      </c>
      <c r="F569" s="1">
        <v>717.12</v>
      </c>
      <c r="G569" s="11">
        <v>3.53</v>
      </c>
      <c r="H569" s="1">
        <v>-251.9</v>
      </c>
      <c r="I569" s="11">
        <v>10</v>
      </c>
      <c r="J569" s="1">
        <v>348.89</v>
      </c>
      <c r="K569" s="11">
        <v>9.9996700000000001</v>
      </c>
      <c r="L569" s="1">
        <v>0</v>
      </c>
      <c r="M569" s="11">
        <v>6.2</v>
      </c>
      <c r="N569" s="1">
        <v>38.32</v>
      </c>
      <c r="O569" s="11">
        <v>2.8224999999999998</v>
      </c>
      <c r="P569" s="1">
        <f t="shared" si="100"/>
        <v>3091.33</v>
      </c>
      <c r="Q569" s="1">
        <v>3097.04</v>
      </c>
      <c r="R569" s="16">
        <f t="shared" si="101"/>
        <v>2697900.2995750001</v>
      </c>
      <c r="S569" s="1">
        <v>-658.62</v>
      </c>
      <c r="T569" s="1">
        <v>35.18</v>
      </c>
      <c r="U569" s="1">
        <v>48.61</v>
      </c>
      <c r="V569" s="1">
        <v>38.020000000000003</v>
      </c>
      <c r="W569" s="1" cm="1">
        <f t="array" ref="W569">SUM(ABS(S569:V569))</f>
        <v>780.43</v>
      </c>
      <c r="X569" s="25">
        <v>1.238</v>
      </c>
      <c r="Y569" s="42">
        <f t="shared" si="102"/>
        <v>241543.08499999999</v>
      </c>
      <c r="Z569" s="20">
        <v>710.94999999999993</v>
      </c>
      <c r="AA569" s="20">
        <f t="shared" si="103"/>
        <v>1491.3799999999999</v>
      </c>
      <c r="AB569" s="21">
        <v>0.22999999999999998</v>
      </c>
      <c r="AC569" s="21">
        <v>12.28</v>
      </c>
      <c r="AD569" s="8">
        <f t="shared" si="104"/>
        <v>723.45999999999992</v>
      </c>
      <c r="AE569" s="25">
        <v>1.238</v>
      </c>
      <c r="AF569" s="25">
        <f t="shared" si="105"/>
        <v>223910.86999999997</v>
      </c>
      <c r="AG569" s="25">
        <f t="shared" si="106"/>
        <v>465453.95499999996</v>
      </c>
      <c r="AH569" s="1">
        <f t="shared" si="96"/>
        <v>3814.79</v>
      </c>
      <c r="AI569" s="1">
        <f t="shared" si="97"/>
        <v>3820.5</v>
      </c>
      <c r="AJ569" s="1">
        <v>4666.6899999999996</v>
      </c>
      <c r="AK569" s="1">
        <f t="shared" si="98"/>
        <v>-851.89999999999964</v>
      </c>
      <c r="AL569" s="29">
        <f t="shared" si="107"/>
        <v>846.1899999999996</v>
      </c>
      <c r="AM569" s="11">
        <f t="shared" si="99"/>
        <v>3163354.2545750001</v>
      </c>
    </row>
    <row r="570" spans="1:39" x14ac:dyDescent="0.3">
      <c r="A570" s="39">
        <v>45935.895833333336</v>
      </c>
      <c r="B570" s="1">
        <v>1494.52</v>
      </c>
      <c r="C570" s="11">
        <v>3.2732000000000001</v>
      </c>
      <c r="D570" s="1">
        <v>741.09</v>
      </c>
      <c r="E570" s="11">
        <v>3.0760000000000001</v>
      </c>
      <c r="F570" s="1">
        <v>717.12</v>
      </c>
      <c r="G570" s="11">
        <v>3.53</v>
      </c>
      <c r="H570" s="1">
        <v>-251.9</v>
      </c>
      <c r="I570" s="11">
        <v>10</v>
      </c>
      <c r="J570" s="1">
        <v>335.42</v>
      </c>
      <c r="K570" s="11">
        <v>7.9994499999999995</v>
      </c>
      <c r="L570" s="1">
        <v>0</v>
      </c>
      <c r="M570" s="11">
        <v>6.2</v>
      </c>
      <c r="N570" s="1">
        <v>38.950000000000003</v>
      </c>
      <c r="O570" s="11">
        <v>2.8224999999999998</v>
      </c>
      <c r="P570" s="1">
        <f t="shared" si="100"/>
        <v>3075.2</v>
      </c>
      <c r="Q570" s="1">
        <v>3117.97</v>
      </c>
      <c r="R570" s="16">
        <f t="shared" si="101"/>
        <v>2494250.2995000002</v>
      </c>
      <c r="S570" s="1">
        <v>-717.31</v>
      </c>
      <c r="T570" s="1">
        <v>35.200000000000003</v>
      </c>
      <c r="U570" s="1">
        <v>48.6</v>
      </c>
      <c r="V570" s="1">
        <v>38.020000000000003</v>
      </c>
      <c r="W570" s="1" cm="1">
        <f t="array" ref="W570">SUM(ABS(S570:V570))</f>
        <v>839.13</v>
      </c>
      <c r="X570" s="25">
        <v>1.238</v>
      </c>
      <c r="Y570" s="42">
        <f t="shared" si="102"/>
        <v>259710.73499999999</v>
      </c>
      <c r="Z570" s="20">
        <v>700.85</v>
      </c>
      <c r="AA570" s="20">
        <f t="shared" si="103"/>
        <v>1539.98</v>
      </c>
      <c r="AB570" s="21">
        <v>0.21999999999999997</v>
      </c>
      <c r="AC570" s="21">
        <v>12.29</v>
      </c>
      <c r="AD570" s="8">
        <f t="shared" si="104"/>
        <v>713.36</v>
      </c>
      <c r="AE570" s="25">
        <v>1.238</v>
      </c>
      <c r="AF570" s="25">
        <f t="shared" si="105"/>
        <v>220784.92</v>
      </c>
      <c r="AG570" s="25">
        <f t="shared" si="106"/>
        <v>480495.65500000003</v>
      </c>
      <c r="AH570" s="1">
        <f t="shared" si="96"/>
        <v>3788.56</v>
      </c>
      <c r="AI570" s="1">
        <f t="shared" si="97"/>
        <v>3831.33</v>
      </c>
      <c r="AJ570" s="1">
        <v>4729.28</v>
      </c>
      <c r="AK570" s="1">
        <f t="shared" si="98"/>
        <v>-940.7199999999998</v>
      </c>
      <c r="AL570" s="29">
        <f t="shared" si="107"/>
        <v>897.94999999999982</v>
      </c>
      <c r="AM570" s="11">
        <f t="shared" si="99"/>
        <v>2974745.9545</v>
      </c>
    </row>
    <row r="571" spans="1:39" x14ac:dyDescent="0.3">
      <c r="A571" s="39">
        <v>45935.90625</v>
      </c>
      <c r="B571" s="1">
        <v>1494.25</v>
      </c>
      <c r="C571" s="11">
        <v>3.2732000000000001</v>
      </c>
      <c r="D571" s="1">
        <v>741.09</v>
      </c>
      <c r="E571" s="11">
        <v>3.0760000000000001</v>
      </c>
      <c r="F571" s="1">
        <v>717.12</v>
      </c>
      <c r="G571" s="11">
        <v>3.53</v>
      </c>
      <c r="H571" s="1">
        <v>-251.9</v>
      </c>
      <c r="I571" s="11">
        <v>10</v>
      </c>
      <c r="J571" s="1">
        <v>333.96</v>
      </c>
      <c r="K571" s="11">
        <v>8.9999400000000005</v>
      </c>
      <c r="L571" s="1">
        <v>0</v>
      </c>
      <c r="M571" s="11">
        <v>6.2</v>
      </c>
      <c r="N571" s="1">
        <v>39.28</v>
      </c>
      <c r="O571" s="11">
        <v>2.8224999999999998</v>
      </c>
      <c r="P571" s="1">
        <f t="shared" si="100"/>
        <v>3073.8</v>
      </c>
      <c r="Q571" s="1">
        <v>3132.18</v>
      </c>
      <c r="R571" s="16">
        <f t="shared" si="101"/>
        <v>2574873.3256000001</v>
      </c>
      <c r="S571" s="1">
        <v>-734.4</v>
      </c>
      <c r="T571" s="1">
        <v>35.22</v>
      </c>
      <c r="U571" s="1">
        <v>59.26</v>
      </c>
      <c r="V571" s="1">
        <v>38.020000000000003</v>
      </c>
      <c r="W571" s="1" cm="1">
        <f t="array" ref="W571">SUM(ABS(S571:V571))</f>
        <v>866.9</v>
      </c>
      <c r="X571" s="25">
        <v>1.238</v>
      </c>
      <c r="Y571" s="42">
        <f t="shared" si="102"/>
        <v>268305.55</v>
      </c>
      <c r="Z571" s="20">
        <v>732.9</v>
      </c>
      <c r="AA571" s="20">
        <f t="shared" si="103"/>
        <v>1599.8</v>
      </c>
      <c r="AB571" s="21">
        <v>0.22999999999999998</v>
      </c>
      <c r="AC571" s="21">
        <v>11.01</v>
      </c>
      <c r="AD571" s="8">
        <f t="shared" si="104"/>
        <v>744.14</v>
      </c>
      <c r="AE571" s="25">
        <v>1.238</v>
      </c>
      <c r="AF571" s="25">
        <f t="shared" si="105"/>
        <v>230311.33</v>
      </c>
      <c r="AG571" s="25">
        <f t="shared" si="106"/>
        <v>498616.88</v>
      </c>
      <c r="AH571" s="1">
        <f t="shared" si="96"/>
        <v>3817.94</v>
      </c>
      <c r="AI571" s="1">
        <f t="shared" si="97"/>
        <v>3876.3199999999997</v>
      </c>
      <c r="AJ571" s="1">
        <v>4804.17</v>
      </c>
      <c r="AK571" s="1">
        <f t="shared" si="98"/>
        <v>-986.23</v>
      </c>
      <c r="AL571" s="29">
        <f t="shared" si="107"/>
        <v>927.85000000000036</v>
      </c>
      <c r="AM571" s="11">
        <f t="shared" si="99"/>
        <v>3073490.2056</v>
      </c>
    </row>
    <row r="572" spans="1:39" x14ac:dyDescent="0.3">
      <c r="A572" s="39">
        <v>45935.916666666664</v>
      </c>
      <c r="B572" s="1">
        <v>1496.09</v>
      </c>
      <c r="C572" s="11">
        <v>3.2732000000000001</v>
      </c>
      <c r="D572" s="1">
        <v>741.09</v>
      </c>
      <c r="E572" s="11">
        <v>3.0760000000000001</v>
      </c>
      <c r="F572" s="1">
        <v>717.12</v>
      </c>
      <c r="G572" s="11">
        <v>3.53</v>
      </c>
      <c r="H572" s="1">
        <v>-251.9</v>
      </c>
      <c r="I572" s="11">
        <v>10</v>
      </c>
      <c r="J572" s="1">
        <v>368.24</v>
      </c>
      <c r="K572" s="11">
        <v>10</v>
      </c>
      <c r="L572" s="1">
        <v>0</v>
      </c>
      <c r="M572" s="11">
        <v>6.2</v>
      </c>
      <c r="N572" s="1">
        <v>38.74</v>
      </c>
      <c r="O572" s="11">
        <v>2.8224999999999998</v>
      </c>
      <c r="P572" s="1">
        <f t="shared" si="100"/>
        <v>3109.3799999999992</v>
      </c>
      <c r="Q572" s="1">
        <v>3185.37</v>
      </c>
      <c r="R572" s="16">
        <f t="shared" si="101"/>
        <v>2745192.9694999997</v>
      </c>
      <c r="S572" s="1">
        <v>-738.05</v>
      </c>
      <c r="T572" s="1">
        <v>35.44</v>
      </c>
      <c r="U572" s="1">
        <v>66.3</v>
      </c>
      <c r="V572" s="1">
        <v>38.04</v>
      </c>
      <c r="W572" s="1" cm="1">
        <f t="array" ref="W572">SUM(ABS(S572:V572))</f>
        <v>877.82999999999993</v>
      </c>
      <c r="X572" s="25">
        <v>1.238</v>
      </c>
      <c r="Y572" s="42">
        <f t="shared" si="102"/>
        <v>271688.38500000001</v>
      </c>
      <c r="Z572" s="20">
        <v>748.20999999999992</v>
      </c>
      <c r="AA572" s="20">
        <f t="shared" si="103"/>
        <v>1626.04</v>
      </c>
      <c r="AB572" s="21">
        <v>0.22000000000000003</v>
      </c>
      <c r="AC572" s="21">
        <v>10.370000000000001</v>
      </c>
      <c r="AD572" s="8">
        <f t="shared" si="104"/>
        <v>758.8</v>
      </c>
      <c r="AE572" s="25">
        <v>1.238</v>
      </c>
      <c r="AF572" s="25">
        <f t="shared" si="105"/>
        <v>234848.59999999998</v>
      </c>
      <c r="AG572" s="25">
        <f t="shared" si="106"/>
        <v>506536.98499999999</v>
      </c>
      <c r="AH572" s="1">
        <f t="shared" si="96"/>
        <v>3868.1799999999994</v>
      </c>
      <c r="AI572" s="1">
        <f t="shared" si="97"/>
        <v>3944.17</v>
      </c>
      <c r="AJ572" s="1">
        <v>4907.2700000000004</v>
      </c>
      <c r="AK572" s="1">
        <f t="shared" si="98"/>
        <v>-1039.0900000000011</v>
      </c>
      <c r="AL572" s="29">
        <f t="shared" si="107"/>
        <v>963.10000000000036</v>
      </c>
      <c r="AM572" s="11">
        <f t="shared" si="99"/>
        <v>3251729.9544999995</v>
      </c>
    </row>
    <row r="573" spans="1:39" x14ac:dyDescent="0.3">
      <c r="A573" s="39">
        <v>45935.927083333336</v>
      </c>
      <c r="B573" s="1">
        <v>1496.51</v>
      </c>
      <c r="C573" s="11">
        <v>3.2732000000000001</v>
      </c>
      <c r="D573" s="1">
        <v>741.09</v>
      </c>
      <c r="E573" s="11">
        <v>3.0760000000000001</v>
      </c>
      <c r="F573" s="1">
        <v>717.12</v>
      </c>
      <c r="G573" s="11">
        <v>3.53</v>
      </c>
      <c r="H573" s="1">
        <v>-251.9</v>
      </c>
      <c r="I573" s="11">
        <v>10</v>
      </c>
      <c r="J573" s="1">
        <v>393.64</v>
      </c>
      <c r="K573" s="11">
        <v>10</v>
      </c>
      <c r="L573" s="1">
        <v>0</v>
      </c>
      <c r="M573" s="11">
        <v>6.2</v>
      </c>
      <c r="N573" s="1">
        <v>37.299999999999997</v>
      </c>
      <c r="O573" s="11">
        <v>2.8224999999999998</v>
      </c>
      <c r="P573" s="1">
        <f t="shared" si="100"/>
        <v>3133.7599999999998</v>
      </c>
      <c r="Q573" s="1">
        <v>3227.55</v>
      </c>
      <c r="R573" s="16">
        <f t="shared" si="101"/>
        <v>2808020.5554999998</v>
      </c>
      <c r="S573" s="1">
        <v>-739.96</v>
      </c>
      <c r="T573" s="1">
        <v>35.69</v>
      </c>
      <c r="U573" s="1">
        <v>66.33</v>
      </c>
      <c r="V573" s="1">
        <v>38.03</v>
      </c>
      <c r="W573" s="1" cm="1">
        <f t="array" ref="W573">SUM(ABS(S573:V573))</f>
        <v>880.0100000000001</v>
      </c>
      <c r="X573" s="25">
        <v>1.238</v>
      </c>
      <c r="Y573" s="42">
        <f t="shared" si="102"/>
        <v>272363.09500000003</v>
      </c>
      <c r="Z573" s="20">
        <v>750.0200000000001</v>
      </c>
      <c r="AA573" s="20">
        <f t="shared" si="103"/>
        <v>1630.0300000000002</v>
      </c>
      <c r="AB573" s="21">
        <v>0.22000000000000003</v>
      </c>
      <c r="AC573" s="21">
        <v>10.219999999999999</v>
      </c>
      <c r="AD573" s="8">
        <f t="shared" si="104"/>
        <v>760.46000000000015</v>
      </c>
      <c r="AE573" s="25">
        <v>1.238</v>
      </c>
      <c r="AF573" s="25">
        <f t="shared" si="105"/>
        <v>235362.37000000005</v>
      </c>
      <c r="AG573" s="25">
        <f t="shared" si="106"/>
        <v>507725.46500000008</v>
      </c>
      <c r="AH573" s="1">
        <f t="shared" si="96"/>
        <v>3894.22</v>
      </c>
      <c r="AI573" s="1">
        <f t="shared" si="97"/>
        <v>3988.01</v>
      </c>
      <c r="AJ573" s="1">
        <v>4954.95</v>
      </c>
      <c r="AK573" s="1">
        <f t="shared" si="98"/>
        <v>-1060.73</v>
      </c>
      <c r="AL573" s="29">
        <f t="shared" si="107"/>
        <v>966.9399999999996</v>
      </c>
      <c r="AM573" s="11">
        <f t="shared" si="99"/>
        <v>3315746.0204999996</v>
      </c>
    </row>
    <row r="574" spans="1:39" x14ac:dyDescent="0.3">
      <c r="A574" s="39">
        <v>45935.9375</v>
      </c>
      <c r="B574" s="1">
        <v>1496.53</v>
      </c>
      <c r="C574" s="11">
        <v>3.2732000000000001</v>
      </c>
      <c r="D574" s="1">
        <v>741.09</v>
      </c>
      <c r="E574" s="11">
        <v>3.0760000000000001</v>
      </c>
      <c r="F574" s="1">
        <v>717.12</v>
      </c>
      <c r="G574" s="11">
        <v>3.53</v>
      </c>
      <c r="H574" s="1">
        <v>-251.9</v>
      </c>
      <c r="I574" s="11">
        <v>10</v>
      </c>
      <c r="J574" s="1">
        <v>516.05999999999995</v>
      </c>
      <c r="K574" s="11">
        <v>10</v>
      </c>
      <c r="L574" s="1">
        <v>0</v>
      </c>
      <c r="M574" s="11">
        <v>6.2</v>
      </c>
      <c r="N574" s="1">
        <v>36.08</v>
      </c>
      <c r="O574" s="11">
        <v>2.8224999999999998</v>
      </c>
      <c r="P574" s="1">
        <f t="shared" si="100"/>
        <v>3254.9799999999996</v>
      </c>
      <c r="Q574" s="1">
        <v>3235.8</v>
      </c>
      <c r="R574" s="16">
        <f t="shared" si="101"/>
        <v>3113226.0590000004</v>
      </c>
      <c r="S574" s="1">
        <v>-740.47</v>
      </c>
      <c r="T574" s="1">
        <v>35.71</v>
      </c>
      <c r="U574" s="1">
        <v>66.349999999999994</v>
      </c>
      <c r="V574" s="1">
        <v>38.07</v>
      </c>
      <c r="W574" s="1" cm="1">
        <f t="array" ref="W574">SUM(ABS(S574:V574))</f>
        <v>880.60000000000014</v>
      </c>
      <c r="X574" s="25">
        <v>1.238</v>
      </c>
      <c r="Y574" s="42">
        <f t="shared" si="102"/>
        <v>272545.70000000007</v>
      </c>
      <c r="Z574" s="20">
        <v>750.56000000000006</v>
      </c>
      <c r="AA574" s="20">
        <f t="shared" si="103"/>
        <v>1631.1600000000003</v>
      </c>
      <c r="AB574" s="21">
        <v>0.22999999999999998</v>
      </c>
      <c r="AC574" s="21">
        <v>12</v>
      </c>
      <c r="AD574" s="8">
        <f t="shared" si="104"/>
        <v>762.79000000000008</v>
      </c>
      <c r="AE574" s="25">
        <v>1.238</v>
      </c>
      <c r="AF574" s="25">
        <f t="shared" si="105"/>
        <v>236083.50500000003</v>
      </c>
      <c r="AG574" s="25">
        <f t="shared" si="106"/>
        <v>508629.20500000007</v>
      </c>
      <c r="AH574" s="1">
        <f t="shared" si="96"/>
        <v>4017.7699999999995</v>
      </c>
      <c r="AI574" s="1">
        <f t="shared" si="97"/>
        <v>3998.59</v>
      </c>
      <c r="AJ574" s="1">
        <v>4970.47</v>
      </c>
      <c r="AK574" s="1">
        <f t="shared" si="98"/>
        <v>-952.70000000000073</v>
      </c>
      <c r="AL574" s="29">
        <f t="shared" si="107"/>
        <v>971.88000000000011</v>
      </c>
      <c r="AM574" s="11">
        <f t="shared" si="99"/>
        <v>3621855.2640000004</v>
      </c>
    </row>
    <row r="575" spans="1:39" x14ac:dyDescent="0.3">
      <c r="A575" s="39">
        <v>45935.947916666664</v>
      </c>
      <c r="B575" s="1">
        <v>1495.59</v>
      </c>
      <c r="C575" s="11">
        <v>3.2732000000000001</v>
      </c>
      <c r="D575" s="1">
        <v>741.09</v>
      </c>
      <c r="E575" s="11">
        <v>3.0760000000000001</v>
      </c>
      <c r="F575" s="1">
        <v>717.12</v>
      </c>
      <c r="G575" s="11">
        <v>3.53</v>
      </c>
      <c r="H575" s="1">
        <v>-251.9</v>
      </c>
      <c r="I575" s="11">
        <v>10</v>
      </c>
      <c r="J575" s="1">
        <v>498.95</v>
      </c>
      <c r="K575" s="11">
        <v>10</v>
      </c>
      <c r="L575" s="1">
        <v>0</v>
      </c>
      <c r="M575" s="11">
        <v>6.2</v>
      </c>
      <c r="N575" s="1">
        <v>34.880000000000003</v>
      </c>
      <c r="O575" s="11">
        <v>2.8224999999999998</v>
      </c>
      <c r="P575" s="1">
        <f t="shared" si="100"/>
        <v>3235.7299999999996</v>
      </c>
      <c r="Q575" s="1">
        <v>3260.01</v>
      </c>
      <c r="R575" s="16">
        <f t="shared" si="101"/>
        <v>3068835.1069999998</v>
      </c>
      <c r="S575" s="1">
        <v>-733.92</v>
      </c>
      <c r="T575" s="1">
        <v>35.729999999999997</v>
      </c>
      <c r="U575" s="1">
        <v>66.349999999999994</v>
      </c>
      <c r="V575" s="1">
        <v>38.03</v>
      </c>
      <c r="W575" s="1" cm="1">
        <f t="array" ref="W575">SUM(ABS(S575:V575))</f>
        <v>874.03</v>
      </c>
      <c r="X575" s="25">
        <v>1.238</v>
      </c>
      <c r="Y575" s="42">
        <f t="shared" si="102"/>
        <v>270512.28499999997</v>
      </c>
      <c r="Z575" s="20">
        <v>750.17000000000007</v>
      </c>
      <c r="AA575" s="20">
        <f t="shared" si="103"/>
        <v>1624.2</v>
      </c>
      <c r="AB575" s="21">
        <v>0.22999999999999998</v>
      </c>
      <c r="AC575" s="21">
        <v>12.84</v>
      </c>
      <c r="AD575" s="8">
        <f t="shared" si="104"/>
        <v>763.24000000000012</v>
      </c>
      <c r="AE575" s="25">
        <v>1.238</v>
      </c>
      <c r="AF575" s="25">
        <f t="shared" si="105"/>
        <v>236222.78000000003</v>
      </c>
      <c r="AG575" s="25">
        <f t="shared" si="106"/>
        <v>506735.065</v>
      </c>
      <c r="AH575" s="1">
        <f t="shared" si="96"/>
        <v>3998.97</v>
      </c>
      <c r="AI575" s="1">
        <f t="shared" si="97"/>
        <v>4023.2500000000005</v>
      </c>
      <c r="AJ575" s="1">
        <v>4964.6400000000003</v>
      </c>
      <c r="AK575" s="1">
        <f t="shared" si="98"/>
        <v>-965.67000000000053</v>
      </c>
      <c r="AL575" s="29">
        <f t="shared" si="107"/>
        <v>941.38999999999987</v>
      </c>
      <c r="AM575" s="11">
        <f t="shared" si="99"/>
        <v>3575570.1719999998</v>
      </c>
    </row>
    <row r="576" spans="1:39" x14ac:dyDescent="0.3">
      <c r="A576" s="39">
        <v>45935.958333333336</v>
      </c>
      <c r="B576" s="1">
        <v>1495.52</v>
      </c>
      <c r="C576" s="11">
        <v>3.2732000000000001</v>
      </c>
      <c r="D576" s="1">
        <v>741.09</v>
      </c>
      <c r="E576" s="11">
        <v>3.0760000000000001</v>
      </c>
      <c r="F576" s="1">
        <v>717.12</v>
      </c>
      <c r="G576" s="11">
        <v>3.53</v>
      </c>
      <c r="H576" s="1">
        <v>-251.9</v>
      </c>
      <c r="I576" s="11">
        <v>10</v>
      </c>
      <c r="J576" s="1">
        <v>434.78</v>
      </c>
      <c r="K576" s="11">
        <v>5.4992399999999995</v>
      </c>
      <c r="L576" s="1">
        <v>0</v>
      </c>
      <c r="M576" s="11">
        <v>6.2</v>
      </c>
      <c r="N576" s="1">
        <v>34.24</v>
      </c>
      <c r="O576" s="11">
        <v>2.8224999999999998</v>
      </c>
      <c r="P576" s="1">
        <f t="shared" si="100"/>
        <v>3170.8499999999995</v>
      </c>
      <c r="Q576" s="1">
        <v>3240.42</v>
      </c>
      <c r="R576" s="16">
        <f t="shared" si="101"/>
        <v>2418691.1178000001</v>
      </c>
      <c r="S576" s="1">
        <v>-731.44</v>
      </c>
      <c r="T576" s="1">
        <v>35.75</v>
      </c>
      <c r="U576" s="1">
        <v>66.319999999999993</v>
      </c>
      <c r="V576" s="1">
        <v>38.03</v>
      </c>
      <c r="W576" s="1" cm="1">
        <f t="array" ref="W576">SUM(ABS(S576:V576))</f>
        <v>871.54</v>
      </c>
      <c r="X576" s="25">
        <v>1.238</v>
      </c>
      <c r="Y576" s="42">
        <f t="shared" si="102"/>
        <v>269741.63</v>
      </c>
      <c r="Z576" s="20">
        <v>748.06999999999994</v>
      </c>
      <c r="AA576" s="20">
        <f t="shared" si="103"/>
        <v>1619.61</v>
      </c>
      <c r="AB576" s="21">
        <v>0.22999999999999998</v>
      </c>
      <c r="AC576" s="21">
        <v>9.8699999999999992</v>
      </c>
      <c r="AD576" s="8">
        <f t="shared" si="104"/>
        <v>758.17</v>
      </c>
      <c r="AE576" s="25">
        <v>1.238</v>
      </c>
      <c r="AF576" s="25">
        <f t="shared" si="105"/>
        <v>234653.61499999996</v>
      </c>
      <c r="AG576" s="25">
        <f t="shared" si="106"/>
        <v>504395.245</v>
      </c>
      <c r="AH576" s="1">
        <f t="shared" si="96"/>
        <v>3929.0199999999995</v>
      </c>
      <c r="AI576" s="1">
        <f t="shared" si="97"/>
        <v>3998.59</v>
      </c>
      <c r="AJ576" s="1">
        <v>4930.88</v>
      </c>
      <c r="AK576" s="1">
        <f t="shared" si="98"/>
        <v>-1001.8600000000006</v>
      </c>
      <c r="AL576" s="29">
        <f t="shared" si="107"/>
        <v>932.29</v>
      </c>
      <c r="AM576" s="11">
        <f t="shared" si="99"/>
        <v>2923086.3628000002</v>
      </c>
    </row>
    <row r="577" spans="1:40" x14ac:dyDescent="0.3">
      <c r="A577" s="39">
        <v>45935.96875</v>
      </c>
      <c r="B577" s="1">
        <v>1494.73</v>
      </c>
      <c r="C577" s="11">
        <v>3.2732000000000001</v>
      </c>
      <c r="D577" s="1">
        <v>741.09</v>
      </c>
      <c r="E577" s="11">
        <v>3.0760000000000001</v>
      </c>
      <c r="F577" s="1">
        <v>717.12</v>
      </c>
      <c r="G577" s="11">
        <v>3.53</v>
      </c>
      <c r="H577" s="1">
        <v>-251.9</v>
      </c>
      <c r="I577" s="11">
        <v>10</v>
      </c>
      <c r="J577" s="1">
        <v>349.3</v>
      </c>
      <c r="K577" s="11">
        <v>5.4502700000000006</v>
      </c>
      <c r="L577" s="1">
        <v>0</v>
      </c>
      <c r="M577" s="11">
        <v>6.2</v>
      </c>
      <c r="N577" s="1">
        <v>34.76</v>
      </c>
      <c r="O577" s="11">
        <v>2.8224999999999998</v>
      </c>
      <c r="P577" s="1">
        <f t="shared" si="100"/>
        <v>3085.1000000000004</v>
      </c>
      <c r="Q577" s="1">
        <v>3236.46</v>
      </c>
      <c r="R577" s="16">
        <f t="shared" si="101"/>
        <v>2296616.5217500003</v>
      </c>
      <c r="S577" s="1">
        <v>-730.92</v>
      </c>
      <c r="T577" s="1">
        <v>35.72</v>
      </c>
      <c r="U577" s="1">
        <v>66.3</v>
      </c>
      <c r="V577" s="1">
        <v>37.99</v>
      </c>
      <c r="W577" s="1" cm="1">
        <f t="array" ref="W577">SUM(ABS(S577:V577))</f>
        <v>870.93</v>
      </c>
      <c r="X577" s="25">
        <v>1.238</v>
      </c>
      <c r="Y577" s="42">
        <f t="shared" si="102"/>
        <v>269552.83499999996</v>
      </c>
      <c r="Z577" s="20">
        <v>746.65999999999985</v>
      </c>
      <c r="AA577" s="20">
        <f t="shared" si="103"/>
        <v>1617.5899999999997</v>
      </c>
      <c r="AB577" s="21">
        <v>0.22999999999999998</v>
      </c>
      <c r="AC577" s="21">
        <v>7.66</v>
      </c>
      <c r="AD577" s="8">
        <f t="shared" si="104"/>
        <v>754.54999999999984</v>
      </c>
      <c r="AE577" s="25">
        <v>1.238</v>
      </c>
      <c r="AF577" s="25">
        <f t="shared" si="105"/>
        <v>233533.22499999995</v>
      </c>
      <c r="AG577" s="25">
        <f t="shared" si="106"/>
        <v>503086.05999999994</v>
      </c>
      <c r="AH577" s="1">
        <f t="shared" si="96"/>
        <v>3839.65</v>
      </c>
      <c r="AI577" s="1">
        <f t="shared" si="97"/>
        <v>3991.0099999999998</v>
      </c>
      <c r="AJ577" s="1">
        <v>4897.18</v>
      </c>
      <c r="AK577" s="1">
        <f t="shared" si="98"/>
        <v>-1057.5300000000002</v>
      </c>
      <c r="AL577" s="29">
        <f t="shared" si="107"/>
        <v>906.17000000000053</v>
      </c>
      <c r="AM577" s="11">
        <f t="shared" si="99"/>
        <v>2799702.5817500004</v>
      </c>
    </row>
    <row r="578" spans="1:40" x14ac:dyDescent="0.3">
      <c r="A578" s="39">
        <v>45935.979166666664</v>
      </c>
      <c r="B578" s="1">
        <v>1494.68</v>
      </c>
      <c r="C578" s="11">
        <v>3.2732000000000001</v>
      </c>
      <c r="D578" s="1">
        <v>741.09</v>
      </c>
      <c r="E578" s="11">
        <v>3.0760000000000001</v>
      </c>
      <c r="F578" s="1">
        <v>717.12</v>
      </c>
      <c r="G578" s="11">
        <v>3.53</v>
      </c>
      <c r="H578" s="1">
        <v>-251.9</v>
      </c>
      <c r="I578" s="11">
        <v>10</v>
      </c>
      <c r="J578" s="1">
        <v>397.8</v>
      </c>
      <c r="K578" s="11">
        <v>5.2806199999999999</v>
      </c>
      <c r="L578" s="1">
        <v>0</v>
      </c>
      <c r="M578" s="11">
        <v>6.2</v>
      </c>
      <c r="N578" s="1">
        <v>34.520000000000003</v>
      </c>
      <c r="O578" s="11">
        <v>2.8224999999999998</v>
      </c>
      <c r="P578" s="1">
        <f t="shared" si="100"/>
        <v>3133.31</v>
      </c>
      <c r="Q578" s="1">
        <v>3203.21</v>
      </c>
      <c r="R578" s="16">
        <f t="shared" si="101"/>
        <v>2345619.088</v>
      </c>
      <c r="S578" s="1">
        <v>-730.02</v>
      </c>
      <c r="T578" s="1">
        <v>35.68</v>
      </c>
      <c r="U578" s="1">
        <v>66.28</v>
      </c>
      <c r="V578" s="1">
        <v>38.049999999999997</v>
      </c>
      <c r="W578" s="1" cm="1">
        <f t="array" ref="W578">SUM(ABS(S578:V578))</f>
        <v>870.02999999999986</v>
      </c>
      <c r="X578" s="25">
        <v>1.238</v>
      </c>
      <c r="Y578" s="42">
        <f t="shared" si="102"/>
        <v>269274.28499999997</v>
      </c>
      <c r="Z578" s="20">
        <v>745.05</v>
      </c>
      <c r="AA578" s="20">
        <f t="shared" si="103"/>
        <v>1615.08</v>
      </c>
      <c r="AB578" s="21">
        <v>0.22999999999999998</v>
      </c>
      <c r="AC578" s="21">
        <v>7.45</v>
      </c>
      <c r="AD578" s="8">
        <f t="shared" si="104"/>
        <v>752.73</v>
      </c>
      <c r="AE578" s="25">
        <v>1.238</v>
      </c>
      <c r="AF578" s="25">
        <f t="shared" si="105"/>
        <v>232969.935</v>
      </c>
      <c r="AG578" s="25">
        <f t="shared" si="106"/>
        <v>502244.22</v>
      </c>
      <c r="AH578" s="1">
        <f t="shared" si="96"/>
        <v>3886.04</v>
      </c>
      <c r="AI578" s="1">
        <f t="shared" si="97"/>
        <v>3955.94</v>
      </c>
      <c r="AJ578" s="1">
        <v>4834.93</v>
      </c>
      <c r="AK578" s="1">
        <f t="shared" si="98"/>
        <v>-948.89000000000033</v>
      </c>
      <c r="AL578" s="29">
        <f t="shared" si="107"/>
        <v>878.99000000000024</v>
      </c>
      <c r="AM578" s="11">
        <f t="shared" si="99"/>
        <v>2847863.3080000002</v>
      </c>
    </row>
    <row r="579" spans="1:40" x14ac:dyDescent="0.3">
      <c r="A579" s="39">
        <v>45935.989583333336</v>
      </c>
      <c r="B579" s="1">
        <v>1494.68</v>
      </c>
      <c r="C579" s="11">
        <v>3.2732000000000001</v>
      </c>
      <c r="D579" s="1">
        <v>741.09</v>
      </c>
      <c r="E579" s="11">
        <v>3.0760000000000001</v>
      </c>
      <c r="F579" s="1">
        <v>717.12</v>
      </c>
      <c r="G579" s="11">
        <v>3.53</v>
      </c>
      <c r="H579" s="1">
        <v>-251.9</v>
      </c>
      <c r="I579" s="11">
        <v>10</v>
      </c>
      <c r="J579" s="1">
        <v>311.33</v>
      </c>
      <c r="K579" s="11">
        <v>4.99925</v>
      </c>
      <c r="L579" s="1">
        <v>0</v>
      </c>
      <c r="M579" s="11">
        <v>6.2</v>
      </c>
      <c r="N579" s="1">
        <v>34.78</v>
      </c>
      <c r="O579" s="11">
        <v>2.8224999999999998</v>
      </c>
      <c r="P579" s="1">
        <f t="shared" si="100"/>
        <v>3047.1</v>
      </c>
      <c r="Q579" s="1">
        <v>3129.02</v>
      </c>
      <c r="R579" s="16">
        <f t="shared" si="101"/>
        <v>2209749.0171250002</v>
      </c>
      <c r="S579" s="1">
        <v>-728.34</v>
      </c>
      <c r="T579" s="1">
        <v>35.659999999999997</v>
      </c>
      <c r="U579" s="1">
        <v>66.27</v>
      </c>
      <c r="V579" s="1">
        <v>38.03</v>
      </c>
      <c r="W579" s="1" cm="1">
        <f t="array" ref="W579">SUM(ABS(S579:V579))</f>
        <v>868.3</v>
      </c>
      <c r="X579" s="25">
        <v>1.238</v>
      </c>
      <c r="Y579" s="42">
        <f t="shared" si="102"/>
        <v>268738.84999999998</v>
      </c>
      <c r="Z579" s="20">
        <v>743.28000000000009</v>
      </c>
      <c r="AA579" s="20">
        <f t="shared" si="103"/>
        <v>1611.58</v>
      </c>
      <c r="AB579" s="21">
        <v>0.22999999999999998</v>
      </c>
      <c r="AC579" s="21">
        <v>8.39</v>
      </c>
      <c r="AD579" s="8">
        <f t="shared" si="104"/>
        <v>751.90000000000009</v>
      </c>
      <c r="AE579" s="25">
        <v>1.238</v>
      </c>
      <c r="AF579" s="25">
        <f t="shared" si="105"/>
        <v>232713.05000000005</v>
      </c>
      <c r="AG579" s="25">
        <f t="shared" si="106"/>
        <v>501451.9</v>
      </c>
      <c r="AH579" s="1">
        <f t="shared" si="96"/>
        <v>3799</v>
      </c>
      <c r="AI579" s="1">
        <f t="shared" si="97"/>
        <v>3880.92</v>
      </c>
      <c r="AJ579" s="1">
        <v>4756.75</v>
      </c>
      <c r="AK579" s="1">
        <f t="shared" si="98"/>
        <v>-957.75</v>
      </c>
      <c r="AL579" s="29">
        <f t="shared" si="107"/>
        <v>875.82999999999993</v>
      </c>
      <c r="AM579" s="11">
        <f t="shared" si="99"/>
        <v>2711200.9171250002</v>
      </c>
      <c r="AN579" s="31">
        <f>SUM(AM484:AM579)</f>
        <v>259709057.02422503</v>
      </c>
    </row>
    <row r="580" spans="1:40" x14ac:dyDescent="0.3">
      <c r="A580" s="39">
        <v>45966</v>
      </c>
      <c r="B580" s="1">
        <v>1494.92</v>
      </c>
      <c r="C580" s="11">
        <v>3.2732000000000001</v>
      </c>
      <c r="D580" s="1">
        <v>654.01</v>
      </c>
      <c r="E580" s="11">
        <v>3.0760000000000001</v>
      </c>
      <c r="F580" s="1">
        <v>443.31</v>
      </c>
      <c r="G580" s="11">
        <v>3.53</v>
      </c>
      <c r="H580" s="1">
        <v>-251.9</v>
      </c>
      <c r="I580" s="11">
        <v>10</v>
      </c>
      <c r="J580" s="1">
        <v>361.17</v>
      </c>
      <c r="K580" s="11">
        <v>10</v>
      </c>
      <c r="L580" s="1">
        <v>0</v>
      </c>
      <c r="M580" s="11">
        <v>6.2</v>
      </c>
      <c r="N580" s="1">
        <v>30.31</v>
      </c>
      <c r="O580" s="11">
        <v>2.8224999999999998</v>
      </c>
      <c r="P580" s="1">
        <f t="shared" si="100"/>
        <v>2731.82</v>
      </c>
      <c r="Q580" s="1">
        <v>3019.13</v>
      </c>
      <c r="R580" s="16">
        <f t="shared" si="101"/>
        <v>2412010.2947500004</v>
      </c>
      <c r="S580" s="1">
        <v>-733.73</v>
      </c>
      <c r="T580" s="1">
        <v>35.71</v>
      </c>
      <c r="U580" s="1">
        <v>66.290000000000006</v>
      </c>
      <c r="V580" s="1">
        <v>38.04</v>
      </c>
      <c r="W580" s="1" cm="1">
        <f t="array" ref="W580">SUM(ABS(S580:V580))</f>
        <v>873.77</v>
      </c>
      <c r="X580" s="25">
        <v>1.238</v>
      </c>
      <c r="Y580" s="42">
        <f t="shared" si="102"/>
        <v>270431.81499999994</v>
      </c>
      <c r="Z580" s="20">
        <v>746.55000000000007</v>
      </c>
      <c r="AA580" s="20">
        <f t="shared" si="103"/>
        <v>1620.3200000000002</v>
      </c>
      <c r="AB580" s="21">
        <v>0.22999999999999998</v>
      </c>
      <c r="AC580" s="21">
        <v>9.85</v>
      </c>
      <c r="AD580" s="8">
        <f t="shared" si="104"/>
        <v>756.63000000000011</v>
      </c>
      <c r="AE580" s="25">
        <v>1.238</v>
      </c>
      <c r="AF580" s="25">
        <f t="shared" si="105"/>
        <v>234176.98500000004</v>
      </c>
      <c r="AG580" s="25">
        <f t="shared" si="106"/>
        <v>504608.8</v>
      </c>
      <c r="AH580" s="1">
        <f t="shared" ref="AH580:AH643" si="108">B580+D580+F580+H580+J580+L580+N580+AD580</f>
        <v>3488.4500000000003</v>
      </c>
      <c r="AI580" s="1">
        <f t="shared" ref="AI580:AI643" si="109">Q580+AD580</f>
        <v>3775.76</v>
      </c>
      <c r="AJ580" s="1">
        <v>4654.95</v>
      </c>
      <c r="AK580" s="1">
        <f t="shared" ref="AK580:AK643" si="110">AH580-AJ580</f>
        <v>-1166.4999999999995</v>
      </c>
      <c r="AL580" s="29">
        <f t="shared" si="107"/>
        <v>879.1899999999996</v>
      </c>
      <c r="AM580" s="11">
        <f t="shared" ref="AM580:AM643" si="111">(R580+AG580)</f>
        <v>2916619.0947500002</v>
      </c>
    </row>
    <row r="581" spans="1:40" x14ac:dyDescent="0.3">
      <c r="A581" s="39">
        <v>45966.010416666664</v>
      </c>
      <c r="B581" s="1">
        <v>1495.05</v>
      </c>
      <c r="C581" s="11">
        <v>3.2732000000000001</v>
      </c>
      <c r="D581" s="1">
        <v>647.46</v>
      </c>
      <c r="E581" s="11">
        <v>3.0760000000000001</v>
      </c>
      <c r="F581" s="1">
        <v>422.7</v>
      </c>
      <c r="G581" s="11">
        <v>3.53</v>
      </c>
      <c r="H581" s="1">
        <v>-112.57</v>
      </c>
      <c r="I581" s="11">
        <v>5.90083</v>
      </c>
      <c r="J581" s="1">
        <v>245.98</v>
      </c>
      <c r="K581" s="11">
        <v>10</v>
      </c>
      <c r="L581" s="1">
        <v>0</v>
      </c>
      <c r="M581" s="11">
        <v>6.2</v>
      </c>
      <c r="N581" s="1">
        <v>29.44</v>
      </c>
      <c r="O581" s="11">
        <v>2.8224999999999998</v>
      </c>
      <c r="P581" s="1">
        <f t="shared" ref="P581:P644" si="112">(B581+D581+F581+H581+J581+L581+N581)</f>
        <v>2728.06</v>
      </c>
      <c r="Q581" s="1">
        <v>2930.58</v>
      </c>
      <c r="R581" s="16">
        <f t="shared" ref="R581:R644" si="113">(((B581*C581)+(D581*E581)+(F581*G581)+(H581*I581)+(J581*K581)+(L581*M581)+(N581*O581))*(1000/4))</f>
        <v>2563988.3967249999</v>
      </c>
      <c r="S581" s="1">
        <v>-731.78</v>
      </c>
      <c r="T581" s="1">
        <v>35.700000000000003</v>
      </c>
      <c r="U581" s="1">
        <v>66.28</v>
      </c>
      <c r="V581" s="1">
        <v>38.020000000000003</v>
      </c>
      <c r="W581" s="1" cm="1">
        <f t="array" ref="W581">SUM(ABS(S581:V581))</f>
        <v>871.78</v>
      </c>
      <c r="X581" s="25">
        <v>1.238</v>
      </c>
      <c r="Y581" s="42">
        <f t="shared" ref="Y581:Y644" si="114">((W581*X581)*1000)/4</f>
        <v>269815.90999999997</v>
      </c>
      <c r="Z581" s="20">
        <v>748.64999999999986</v>
      </c>
      <c r="AA581" s="20">
        <f t="shared" ref="AA581:AA644" si="115">W581+Z581</f>
        <v>1620.4299999999998</v>
      </c>
      <c r="AB581" s="21">
        <v>0.24</v>
      </c>
      <c r="AC581" s="21">
        <v>11.2</v>
      </c>
      <c r="AD581" s="8">
        <f t="shared" ref="AD581:AD644" si="116">Z581+AB581+AC581</f>
        <v>760.08999999999992</v>
      </c>
      <c r="AE581" s="25">
        <v>1.238</v>
      </c>
      <c r="AF581" s="25">
        <f t="shared" ref="AF581:AF644" si="117">((AD581*AE581*1000)/4)</f>
        <v>235247.85499999995</v>
      </c>
      <c r="AG581" s="25">
        <f t="shared" ref="AG581:AG644" si="118">Y581+AF581</f>
        <v>505063.7649999999</v>
      </c>
      <c r="AH581" s="1">
        <f t="shared" si="108"/>
        <v>3488.1499999999996</v>
      </c>
      <c r="AI581" s="1">
        <f t="shared" si="109"/>
        <v>3690.67</v>
      </c>
      <c r="AJ581" s="1">
        <v>4570.66</v>
      </c>
      <c r="AK581" s="1">
        <f t="shared" si="110"/>
        <v>-1082.5100000000002</v>
      </c>
      <c r="AL581" s="29">
        <f t="shared" ref="AL581:AL644" si="119">AJ581-AI581</f>
        <v>879.98999999999978</v>
      </c>
      <c r="AM581" s="11">
        <f t="shared" si="111"/>
        <v>3069052.1617249995</v>
      </c>
    </row>
    <row r="582" spans="1:40" x14ac:dyDescent="0.3">
      <c r="A582" s="39">
        <v>45966.020833333336</v>
      </c>
      <c r="B582" s="1">
        <v>1461.62</v>
      </c>
      <c r="C582" s="11">
        <v>3.2732000000000001</v>
      </c>
      <c r="D582" s="1">
        <v>647.46</v>
      </c>
      <c r="E582" s="11">
        <v>3.0760000000000001</v>
      </c>
      <c r="F582" s="1">
        <v>422.7</v>
      </c>
      <c r="G582" s="11">
        <v>3.53</v>
      </c>
      <c r="H582" s="1">
        <v>-101.9</v>
      </c>
      <c r="I582" s="11">
        <v>5.0792200000000003</v>
      </c>
      <c r="J582" s="1">
        <v>299.48</v>
      </c>
      <c r="K582" s="11">
        <v>10</v>
      </c>
      <c r="L582" s="1">
        <v>0</v>
      </c>
      <c r="M582" s="11">
        <v>6.2</v>
      </c>
      <c r="N582" s="1">
        <v>28.28</v>
      </c>
      <c r="O582" s="11">
        <v>2.8224999999999998</v>
      </c>
      <c r="P582" s="1">
        <f t="shared" si="112"/>
        <v>2757.64</v>
      </c>
      <c r="Q582" s="1">
        <v>2857.48</v>
      </c>
      <c r="R582" s="16">
        <f t="shared" si="113"/>
        <v>2706235.0814999994</v>
      </c>
      <c r="S582" s="1">
        <v>-731.03</v>
      </c>
      <c r="T582" s="1">
        <v>35.68</v>
      </c>
      <c r="U582" s="1">
        <v>66.260000000000005</v>
      </c>
      <c r="V582" s="1">
        <v>38.020000000000003</v>
      </c>
      <c r="W582" s="1" cm="1">
        <f t="array" ref="W582">SUM(ABS(S582:V582))</f>
        <v>870.9899999999999</v>
      </c>
      <c r="X582" s="25">
        <v>1.238</v>
      </c>
      <c r="Y582" s="42">
        <f t="shared" si="114"/>
        <v>269571.40499999997</v>
      </c>
      <c r="Z582" s="20">
        <v>747.69</v>
      </c>
      <c r="AA582" s="20">
        <f t="shared" si="115"/>
        <v>1618.6799999999998</v>
      </c>
      <c r="AB582" s="21">
        <v>0.24</v>
      </c>
      <c r="AC582" s="21">
        <v>11.71</v>
      </c>
      <c r="AD582" s="8">
        <f t="shared" si="116"/>
        <v>759.6400000000001</v>
      </c>
      <c r="AE582" s="25">
        <v>1.238</v>
      </c>
      <c r="AF582" s="25">
        <f t="shared" si="117"/>
        <v>235108.58000000002</v>
      </c>
      <c r="AG582" s="25">
        <f t="shared" si="118"/>
        <v>504679.98499999999</v>
      </c>
      <c r="AH582" s="1">
        <f t="shared" si="108"/>
        <v>3517.2799999999997</v>
      </c>
      <c r="AI582" s="1">
        <f t="shared" si="109"/>
        <v>3617.12</v>
      </c>
      <c r="AJ582" s="1">
        <v>4496.5600000000004</v>
      </c>
      <c r="AK582" s="1">
        <f t="shared" si="110"/>
        <v>-979.28000000000065</v>
      </c>
      <c r="AL582" s="29">
        <f t="shared" si="119"/>
        <v>879.44000000000051</v>
      </c>
      <c r="AM582" s="11">
        <f t="shared" si="111"/>
        <v>3210915.0664999993</v>
      </c>
    </row>
    <row r="583" spans="1:40" x14ac:dyDescent="0.3">
      <c r="A583" s="39">
        <v>45966.03125</v>
      </c>
      <c r="B583" s="1">
        <v>1459.41</v>
      </c>
      <c r="C583" s="11">
        <v>3.2732000000000001</v>
      </c>
      <c r="D583" s="1">
        <v>647.46</v>
      </c>
      <c r="E583" s="11">
        <v>3.0760000000000001</v>
      </c>
      <c r="F583" s="1">
        <v>422.7</v>
      </c>
      <c r="G583" s="11">
        <v>3.53</v>
      </c>
      <c r="H583" s="1">
        <v>-101.9</v>
      </c>
      <c r="I583" s="11">
        <v>5.0007000000000001</v>
      </c>
      <c r="J583" s="1">
        <v>276.81</v>
      </c>
      <c r="K583" s="11">
        <v>10</v>
      </c>
      <c r="L583" s="1">
        <v>0</v>
      </c>
      <c r="M583" s="11">
        <v>6.2</v>
      </c>
      <c r="N583" s="1">
        <v>26.8</v>
      </c>
      <c r="O583" s="11">
        <v>2.8224999999999998</v>
      </c>
      <c r="P583" s="1">
        <f t="shared" si="112"/>
        <v>2731.2799999999997</v>
      </c>
      <c r="Q583" s="1">
        <v>2787.34</v>
      </c>
      <c r="R583" s="16">
        <f t="shared" si="113"/>
        <v>2648707.6105</v>
      </c>
      <c r="S583" s="1">
        <v>-727.63</v>
      </c>
      <c r="T583" s="1">
        <v>35.69</v>
      </c>
      <c r="U583" s="1">
        <v>66.260000000000005</v>
      </c>
      <c r="V583" s="1">
        <v>38</v>
      </c>
      <c r="W583" s="1" cm="1">
        <f t="array" ref="W583">SUM(ABS(S583:V583))</f>
        <v>867.57999999999993</v>
      </c>
      <c r="X583" s="25">
        <v>1.238</v>
      </c>
      <c r="Y583" s="42">
        <f t="shared" si="114"/>
        <v>268516.01</v>
      </c>
      <c r="Z583" s="20">
        <v>745.38</v>
      </c>
      <c r="AA583" s="20">
        <f t="shared" si="115"/>
        <v>1612.96</v>
      </c>
      <c r="AB583" s="21">
        <v>0.24</v>
      </c>
      <c r="AC583" s="21">
        <v>11.66</v>
      </c>
      <c r="AD583" s="8">
        <f t="shared" si="116"/>
        <v>757.28</v>
      </c>
      <c r="AE583" s="25">
        <v>1.238</v>
      </c>
      <c r="AF583" s="25">
        <f t="shared" si="117"/>
        <v>234378.15999999997</v>
      </c>
      <c r="AG583" s="25">
        <f t="shared" si="118"/>
        <v>502894.17</v>
      </c>
      <c r="AH583" s="1">
        <f t="shared" si="108"/>
        <v>3488.5599999999995</v>
      </c>
      <c r="AI583" s="1">
        <f t="shared" si="109"/>
        <v>3544.62</v>
      </c>
      <c r="AJ583" s="1">
        <v>4422.4799999999996</v>
      </c>
      <c r="AK583" s="1">
        <f t="shared" si="110"/>
        <v>-933.92000000000007</v>
      </c>
      <c r="AL583" s="29">
        <f t="shared" si="119"/>
        <v>877.85999999999967</v>
      </c>
      <c r="AM583" s="11">
        <f t="shared" si="111"/>
        <v>3151601.7804999999</v>
      </c>
    </row>
    <row r="584" spans="1:40" x14ac:dyDescent="0.3">
      <c r="A584" s="39">
        <v>45966.041666666664</v>
      </c>
      <c r="B584" s="1">
        <v>1459.42</v>
      </c>
      <c r="C584" s="11">
        <v>3.2732000000000001</v>
      </c>
      <c r="D584" s="1">
        <v>647.46</v>
      </c>
      <c r="E584" s="11">
        <v>3.0760000000000001</v>
      </c>
      <c r="F584" s="1">
        <v>422.7</v>
      </c>
      <c r="G584" s="11">
        <v>3.53</v>
      </c>
      <c r="H584" s="1">
        <v>-101.9</v>
      </c>
      <c r="I584" s="11">
        <v>5.00061</v>
      </c>
      <c r="J584" s="1">
        <v>285</v>
      </c>
      <c r="K584" s="11">
        <v>9.9992800000000006</v>
      </c>
      <c r="L584" s="1">
        <v>0</v>
      </c>
      <c r="M584" s="11">
        <v>6.2</v>
      </c>
      <c r="N584" s="1">
        <v>26.7</v>
      </c>
      <c r="O584" s="11">
        <v>2.8224999999999998</v>
      </c>
      <c r="P584" s="1">
        <f t="shared" si="112"/>
        <v>2739.3799999999997</v>
      </c>
      <c r="Q584" s="1">
        <v>2720.94</v>
      </c>
      <c r="R584" s="16">
        <f t="shared" si="113"/>
        <v>2669071.2237500004</v>
      </c>
      <c r="S584" s="1">
        <v>-728.8</v>
      </c>
      <c r="T584" s="1">
        <v>35.729999999999997</v>
      </c>
      <c r="U584" s="1">
        <v>66.25</v>
      </c>
      <c r="V584" s="1">
        <v>37.99</v>
      </c>
      <c r="W584" s="1" cm="1">
        <f t="array" ref="W584">SUM(ABS(S584:V584))</f>
        <v>868.77</v>
      </c>
      <c r="X584" s="25">
        <v>1.238</v>
      </c>
      <c r="Y584" s="42">
        <f t="shared" si="114"/>
        <v>268884.315</v>
      </c>
      <c r="Z584" s="20">
        <v>745.87</v>
      </c>
      <c r="AA584" s="20">
        <f t="shared" si="115"/>
        <v>1614.6399999999999</v>
      </c>
      <c r="AB584" s="21">
        <v>0.24</v>
      </c>
      <c r="AC584" s="21">
        <v>12.5</v>
      </c>
      <c r="AD584" s="8">
        <f t="shared" si="116"/>
        <v>758.61</v>
      </c>
      <c r="AE584" s="25">
        <v>1.238</v>
      </c>
      <c r="AF584" s="25">
        <f t="shared" si="117"/>
        <v>234789.79499999998</v>
      </c>
      <c r="AG584" s="25">
        <f t="shared" si="118"/>
        <v>503674.11</v>
      </c>
      <c r="AH584" s="1">
        <f t="shared" si="108"/>
        <v>3497.99</v>
      </c>
      <c r="AI584" s="1">
        <f t="shared" si="109"/>
        <v>3479.55</v>
      </c>
      <c r="AJ584" s="1">
        <v>4361.4399999999996</v>
      </c>
      <c r="AK584" s="1">
        <f t="shared" si="110"/>
        <v>-863.44999999999982</v>
      </c>
      <c r="AL584" s="29">
        <f t="shared" si="119"/>
        <v>881.88999999999942</v>
      </c>
      <c r="AM584" s="11">
        <f t="shared" si="111"/>
        <v>3172745.3337500002</v>
      </c>
    </row>
    <row r="585" spans="1:40" x14ac:dyDescent="0.3">
      <c r="A585" s="39">
        <v>45966.052083333336</v>
      </c>
      <c r="B585" s="1">
        <v>1459.42</v>
      </c>
      <c r="C585" s="11">
        <v>3.2732000000000001</v>
      </c>
      <c r="D585" s="1">
        <v>647.46</v>
      </c>
      <c r="E585" s="11">
        <v>3.0760000000000001</v>
      </c>
      <c r="F585" s="1">
        <v>422.7</v>
      </c>
      <c r="G585" s="11">
        <v>3.53</v>
      </c>
      <c r="H585" s="1">
        <v>-101.9</v>
      </c>
      <c r="I585" s="11">
        <v>4.7919200000000002</v>
      </c>
      <c r="J585" s="1">
        <v>251.45</v>
      </c>
      <c r="K585" s="11">
        <v>5.6492500000000003</v>
      </c>
      <c r="L585" s="1">
        <v>0</v>
      </c>
      <c r="M585" s="11">
        <v>6.2</v>
      </c>
      <c r="N585" s="1">
        <v>26.52</v>
      </c>
      <c r="O585" s="11">
        <v>2.8224999999999998</v>
      </c>
      <c r="P585" s="1">
        <f t="shared" si="112"/>
        <v>2705.6499999999996</v>
      </c>
      <c r="Q585" s="1">
        <v>2644.91</v>
      </c>
      <c r="R585" s="16">
        <f t="shared" si="113"/>
        <v>2316937.8671249999</v>
      </c>
      <c r="S585" s="1">
        <v>-729.04</v>
      </c>
      <c r="T585" s="1">
        <v>35.72</v>
      </c>
      <c r="U585" s="1">
        <v>66.260000000000005</v>
      </c>
      <c r="V585" s="1">
        <v>38</v>
      </c>
      <c r="W585" s="1" cm="1">
        <f t="array" ref="W585">SUM(ABS(S585:V585))</f>
        <v>869.02</v>
      </c>
      <c r="X585" s="25">
        <v>1.238</v>
      </c>
      <c r="Y585" s="42">
        <f t="shared" si="114"/>
        <v>268961.69</v>
      </c>
      <c r="Z585" s="20">
        <v>745.77</v>
      </c>
      <c r="AA585" s="20">
        <f t="shared" si="115"/>
        <v>1614.79</v>
      </c>
      <c r="AB585" s="21">
        <v>0.24</v>
      </c>
      <c r="AC585" s="21">
        <v>13.7</v>
      </c>
      <c r="AD585" s="8">
        <f t="shared" si="116"/>
        <v>759.71</v>
      </c>
      <c r="AE585" s="25">
        <v>1.238</v>
      </c>
      <c r="AF585" s="25">
        <f t="shared" si="117"/>
        <v>235130.245</v>
      </c>
      <c r="AG585" s="25">
        <f t="shared" si="118"/>
        <v>504091.935</v>
      </c>
      <c r="AH585" s="1">
        <f t="shared" si="108"/>
        <v>3465.3599999999997</v>
      </c>
      <c r="AI585" s="1">
        <f t="shared" si="109"/>
        <v>3404.62</v>
      </c>
      <c r="AJ585" s="1">
        <v>4287.43</v>
      </c>
      <c r="AK585" s="1">
        <f t="shared" si="110"/>
        <v>-822.07000000000062</v>
      </c>
      <c r="AL585" s="29">
        <f t="shared" si="119"/>
        <v>882.8100000000004</v>
      </c>
      <c r="AM585" s="11">
        <f t="shared" si="111"/>
        <v>2821029.8021249999</v>
      </c>
    </row>
    <row r="586" spans="1:40" x14ac:dyDescent="0.3">
      <c r="A586" s="39">
        <v>45966.0625</v>
      </c>
      <c r="B586" s="1">
        <v>1459.42</v>
      </c>
      <c r="C586" s="11">
        <v>3.2732000000000001</v>
      </c>
      <c r="D586" s="1">
        <v>647.46</v>
      </c>
      <c r="E586" s="11">
        <v>3.0760000000000001</v>
      </c>
      <c r="F586" s="1">
        <v>422.7</v>
      </c>
      <c r="G586" s="11">
        <v>3.53</v>
      </c>
      <c r="H586" s="1">
        <v>-101.9</v>
      </c>
      <c r="I586" s="11">
        <v>4.7913699999999997</v>
      </c>
      <c r="J586" s="1">
        <v>155.61000000000001</v>
      </c>
      <c r="K586" s="11">
        <v>4.79155</v>
      </c>
      <c r="L586" s="1">
        <v>0</v>
      </c>
      <c r="M586" s="11">
        <v>6.2</v>
      </c>
      <c r="N586" s="1">
        <v>25.84</v>
      </c>
      <c r="O586" s="11">
        <v>2.8224999999999998</v>
      </c>
      <c r="P586" s="1">
        <f t="shared" si="112"/>
        <v>2609.13</v>
      </c>
      <c r="Q586" s="1">
        <v>2602.1799999999998</v>
      </c>
      <c r="R586" s="16">
        <f t="shared" si="113"/>
        <v>2147749.3491250002</v>
      </c>
      <c r="S586" s="1">
        <v>-727.67</v>
      </c>
      <c r="T586" s="1">
        <v>35.76</v>
      </c>
      <c r="U586" s="1">
        <v>62.75</v>
      </c>
      <c r="V586" s="1">
        <v>37.99</v>
      </c>
      <c r="W586" s="1" cm="1">
        <f t="array" ref="W586">SUM(ABS(S586:V586))</f>
        <v>864.17</v>
      </c>
      <c r="X586" s="25">
        <v>1.238</v>
      </c>
      <c r="Y586" s="42">
        <f t="shared" si="114"/>
        <v>267460.61499999999</v>
      </c>
      <c r="Z586" s="20">
        <v>703.80000000000007</v>
      </c>
      <c r="AA586" s="20">
        <f t="shared" si="115"/>
        <v>1567.97</v>
      </c>
      <c r="AB586" s="21">
        <v>0.24</v>
      </c>
      <c r="AC586" s="21">
        <v>12.040000000000001</v>
      </c>
      <c r="AD586" s="8">
        <f t="shared" si="116"/>
        <v>716.08</v>
      </c>
      <c r="AE586" s="25">
        <v>1.238</v>
      </c>
      <c r="AF586" s="25">
        <f t="shared" si="117"/>
        <v>221626.76</v>
      </c>
      <c r="AG586" s="25">
        <f t="shared" si="118"/>
        <v>489087.375</v>
      </c>
      <c r="AH586" s="1">
        <f t="shared" si="108"/>
        <v>3325.21</v>
      </c>
      <c r="AI586" s="1">
        <f t="shared" si="109"/>
        <v>3318.2599999999998</v>
      </c>
      <c r="AJ586" s="1">
        <v>4195.2299999999996</v>
      </c>
      <c r="AK586" s="1">
        <f t="shared" si="110"/>
        <v>-870.01999999999953</v>
      </c>
      <c r="AL586" s="29">
        <f t="shared" si="119"/>
        <v>876.9699999999998</v>
      </c>
      <c r="AM586" s="11">
        <f t="shared" si="111"/>
        <v>2636836.7241250002</v>
      </c>
    </row>
    <row r="587" spans="1:40" x14ac:dyDescent="0.3">
      <c r="A587" s="39">
        <v>45966.072916666664</v>
      </c>
      <c r="B587" s="1">
        <v>1459.42</v>
      </c>
      <c r="C587" s="11">
        <v>3.2732000000000001</v>
      </c>
      <c r="D587" s="1">
        <v>647.46</v>
      </c>
      <c r="E587" s="11">
        <v>3.0760000000000001</v>
      </c>
      <c r="F587" s="1">
        <v>422.7</v>
      </c>
      <c r="G587" s="11">
        <v>3.53</v>
      </c>
      <c r="H587" s="1">
        <v>-101.9</v>
      </c>
      <c r="I587" s="11">
        <v>4.7309399999999995</v>
      </c>
      <c r="J587" s="1">
        <v>144.86000000000001</v>
      </c>
      <c r="K587" s="11">
        <v>4.6005000000000003</v>
      </c>
      <c r="L587" s="1">
        <v>0</v>
      </c>
      <c r="M587" s="11">
        <v>6.2</v>
      </c>
      <c r="N587" s="1">
        <v>25.8</v>
      </c>
      <c r="O587" s="11">
        <v>2.8224999999999998</v>
      </c>
      <c r="P587" s="1">
        <f t="shared" si="112"/>
        <v>2598.34</v>
      </c>
      <c r="Q587" s="1">
        <v>2591.2399999999998</v>
      </c>
      <c r="R587" s="16">
        <f t="shared" si="113"/>
        <v>2129464.4120000005</v>
      </c>
      <c r="S587" s="1">
        <v>-730.92</v>
      </c>
      <c r="T587" s="1">
        <v>35.76</v>
      </c>
      <c r="U587" s="1">
        <v>19.260000000000002</v>
      </c>
      <c r="V587" s="1">
        <v>37.99</v>
      </c>
      <c r="W587" s="1" cm="1">
        <f t="array" ref="W587">SUM(ABS(S587:V587))</f>
        <v>823.93</v>
      </c>
      <c r="X587" s="25">
        <v>1.238</v>
      </c>
      <c r="Y587" s="42">
        <f t="shared" si="114"/>
        <v>255006.33499999999</v>
      </c>
      <c r="Z587" s="20">
        <v>683.95999999999992</v>
      </c>
      <c r="AA587" s="20">
        <f t="shared" si="115"/>
        <v>1507.8899999999999</v>
      </c>
      <c r="AB587" s="21">
        <v>0.22999999999999998</v>
      </c>
      <c r="AC587" s="21">
        <v>11.54</v>
      </c>
      <c r="AD587" s="8">
        <f t="shared" si="116"/>
        <v>695.7299999999999</v>
      </c>
      <c r="AE587" s="25">
        <v>1.238</v>
      </c>
      <c r="AF587" s="25">
        <f t="shared" si="117"/>
        <v>215328.43499999997</v>
      </c>
      <c r="AG587" s="25">
        <f t="shared" si="118"/>
        <v>470334.76999999996</v>
      </c>
      <c r="AH587" s="1">
        <f t="shared" si="108"/>
        <v>3294.07</v>
      </c>
      <c r="AI587" s="1">
        <f t="shared" si="109"/>
        <v>3286.97</v>
      </c>
      <c r="AJ587" s="1">
        <v>4122.6400000000003</v>
      </c>
      <c r="AK587" s="1">
        <f t="shared" si="110"/>
        <v>-828.57000000000016</v>
      </c>
      <c r="AL587" s="29">
        <f t="shared" si="119"/>
        <v>835.67000000000053</v>
      </c>
      <c r="AM587" s="11">
        <f t="shared" si="111"/>
        <v>2599799.1820000005</v>
      </c>
    </row>
    <row r="588" spans="1:40" x14ac:dyDescent="0.3">
      <c r="A588" s="39">
        <v>45966.083333333336</v>
      </c>
      <c r="B588" s="1">
        <v>1460.68</v>
      </c>
      <c r="C588" s="11">
        <v>3.2732000000000001</v>
      </c>
      <c r="D588" s="1">
        <v>647.46</v>
      </c>
      <c r="E588" s="11">
        <v>3.0760000000000001</v>
      </c>
      <c r="F588" s="1">
        <v>400.29</v>
      </c>
      <c r="G588" s="11">
        <v>3.53</v>
      </c>
      <c r="H588" s="1">
        <v>-101.9</v>
      </c>
      <c r="I588" s="11">
        <v>4.6004899999999997</v>
      </c>
      <c r="J588" s="1">
        <v>186</v>
      </c>
      <c r="K588" s="11">
        <v>4.86097</v>
      </c>
      <c r="L588" s="1">
        <v>0</v>
      </c>
      <c r="M588" s="11">
        <v>6.2</v>
      </c>
      <c r="N588" s="1">
        <v>25.8</v>
      </c>
      <c r="O588" s="11">
        <v>2.8224999999999998</v>
      </c>
      <c r="P588" s="1">
        <f t="shared" si="112"/>
        <v>2618.3300000000004</v>
      </c>
      <c r="Q588" s="1">
        <v>2601.86</v>
      </c>
      <c r="R588" s="16">
        <f t="shared" si="113"/>
        <v>2173469.8562500002</v>
      </c>
      <c r="S588" s="1">
        <v>-731.59</v>
      </c>
      <c r="T588" s="1">
        <v>35.76</v>
      </c>
      <c r="U588" s="1">
        <v>12</v>
      </c>
      <c r="V588" s="1">
        <v>20.6</v>
      </c>
      <c r="W588" s="1" cm="1">
        <f t="array" ref="W588">SUM(ABS(S588:V588))</f>
        <v>799.95</v>
      </c>
      <c r="X588" s="25">
        <v>1.238</v>
      </c>
      <c r="Y588" s="42">
        <f t="shared" si="114"/>
        <v>247584.52500000002</v>
      </c>
      <c r="Z588" s="20">
        <v>653.22000000000014</v>
      </c>
      <c r="AA588" s="20">
        <f t="shared" si="115"/>
        <v>1453.17</v>
      </c>
      <c r="AB588" s="21">
        <v>0.22999999999999998</v>
      </c>
      <c r="AC588" s="21">
        <v>9.9699999999999989</v>
      </c>
      <c r="AD588" s="8">
        <f t="shared" si="116"/>
        <v>663.42000000000019</v>
      </c>
      <c r="AE588" s="25">
        <v>1.238</v>
      </c>
      <c r="AF588" s="25">
        <f t="shared" si="117"/>
        <v>205328.49000000005</v>
      </c>
      <c r="AG588" s="25">
        <f t="shared" si="118"/>
        <v>452913.01500000007</v>
      </c>
      <c r="AH588" s="1">
        <f t="shared" si="108"/>
        <v>3281.7500000000005</v>
      </c>
      <c r="AI588" s="1">
        <f t="shared" si="109"/>
        <v>3265.28</v>
      </c>
      <c r="AJ588" s="1">
        <v>4077.85</v>
      </c>
      <c r="AK588" s="1">
        <f t="shared" si="110"/>
        <v>-796.09999999999945</v>
      </c>
      <c r="AL588" s="29">
        <f t="shared" si="119"/>
        <v>812.56999999999971</v>
      </c>
      <c r="AM588" s="11">
        <f t="shared" si="111"/>
        <v>2626382.8712500003</v>
      </c>
    </row>
    <row r="589" spans="1:40" x14ac:dyDescent="0.3">
      <c r="A589" s="39">
        <v>45966.09375</v>
      </c>
      <c r="B589" s="1">
        <v>1460.95</v>
      </c>
      <c r="C589" s="11">
        <v>3.2732000000000001</v>
      </c>
      <c r="D589" s="1">
        <v>647.46</v>
      </c>
      <c r="E589" s="11">
        <v>3.0760000000000001</v>
      </c>
      <c r="F589" s="1">
        <v>398.57</v>
      </c>
      <c r="G589" s="11">
        <v>3.53</v>
      </c>
      <c r="H589" s="1">
        <v>-101.9</v>
      </c>
      <c r="I589" s="11">
        <v>4.57925</v>
      </c>
      <c r="J589" s="1">
        <v>144.6</v>
      </c>
      <c r="K589" s="11">
        <v>4.7527499999999998</v>
      </c>
      <c r="L589" s="1">
        <v>0</v>
      </c>
      <c r="M589" s="11">
        <v>6.2</v>
      </c>
      <c r="N589" s="1">
        <v>25.8</v>
      </c>
      <c r="O589" s="11">
        <v>2.8224999999999998</v>
      </c>
      <c r="P589" s="1">
        <f t="shared" si="112"/>
        <v>2575.48</v>
      </c>
      <c r="Q589" s="1">
        <v>2584.98</v>
      </c>
      <c r="R589" s="16">
        <f t="shared" si="113"/>
        <v>2118490.7937500002</v>
      </c>
      <c r="S589" s="1">
        <v>-731.16</v>
      </c>
      <c r="T589" s="1">
        <v>35.770000000000003</v>
      </c>
      <c r="U589" s="1">
        <v>12</v>
      </c>
      <c r="V589" s="1">
        <v>19.2</v>
      </c>
      <c r="W589" s="1" cm="1">
        <f t="array" ref="W589">SUM(ABS(S589:V589))</f>
        <v>798.13</v>
      </c>
      <c r="X589" s="25">
        <v>1.238</v>
      </c>
      <c r="Y589" s="42">
        <f t="shared" si="114"/>
        <v>247021.23499999999</v>
      </c>
      <c r="Z589" s="20">
        <v>625.32999999999993</v>
      </c>
      <c r="AA589" s="20">
        <f t="shared" si="115"/>
        <v>1423.46</v>
      </c>
      <c r="AB589" s="21">
        <v>0.22999999999999998</v>
      </c>
      <c r="AC589" s="21">
        <v>8.93</v>
      </c>
      <c r="AD589" s="8">
        <f t="shared" si="116"/>
        <v>634.4899999999999</v>
      </c>
      <c r="AE589" s="25">
        <v>1.238</v>
      </c>
      <c r="AF589" s="25">
        <f t="shared" si="117"/>
        <v>196374.65499999997</v>
      </c>
      <c r="AG589" s="25">
        <f t="shared" si="118"/>
        <v>443395.88999999996</v>
      </c>
      <c r="AH589" s="1">
        <f t="shared" si="108"/>
        <v>3209.97</v>
      </c>
      <c r="AI589" s="1">
        <f t="shared" si="109"/>
        <v>3219.47</v>
      </c>
      <c r="AJ589" s="1">
        <v>4028.18</v>
      </c>
      <c r="AK589" s="1">
        <f t="shared" si="110"/>
        <v>-818.21</v>
      </c>
      <c r="AL589" s="29">
        <f t="shared" si="119"/>
        <v>808.71</v>
      </c>
      <c r="AM589" s="11">
        <f t="shared" si="111"/>
        <v>2561886.6837500003</v>
      </c>
    </row>
    <row r="590" spans="1:40" x14ac:dyDescent="0.3">
      <c r="A590" s="39">
        <v>45966.104166666664</v>
      </c>
      <c r="B590" s="1">
        <v>1460.97</v>
      </c>
      <c r="C590" s="11">
        <v>3.2732000000000001</v>
      </c>
      <c r="D590" s="1">
        <v>647.46</v>
      </c>
      <c r="E590" s="11">
        <v>3.0760000000000001</v>
      </c>
      <c r="F590" s="1">
        <v>398.57</v>
      </c>
      <c r="G590" s="11">
        <v>3.53</v>
      </c>
      <c r="H590" s="1">
        <v>-101.9</v>
      </c>
      <c r="I590" s="11">
        <v>4.4338199999999999</v>
      </c>
      <c r="J590" s="1">
        <v>276.36</v>
      </c>
      <c r="K590" s="11">
        <v>4.7892299999999999</v>
      </c>
      <c r="L590" s="1">
        <v>0</v>
      </c>
      <c r="M590" s="11">
        <v>6.2</v>
      </c>
      <c r="N590" s="1">
        <v>25.8</v>
      </c>
      <c r="O590" s="11">
        <v>2.8224999999999998</v>
      </c>
      <c r="P590" s="1">
        <f t="shared" si="112"/>
        <v>2707.2600000000007</v>
      </c>
      <c r="Q590" s="1">
        <v>2680.64</v>
      </c>
      <c r="R590" s="16">
        <f t="shared" si="113"/>
        <v>2281287.9772000001</v>
      </c>
      <c r="S590" s="1">
        <v>-669.42</v>
      </c>
      <c r="T590" s="1">
        <v>35.76</v>
      </c>
      <c r="U590" s="1">
        <v>12</v>
      </c>
      <c r="V590" s="1">
        <v>19.190000000000001</v>
      </c>
      <c r="W590" s="1" cm="1">
        <f t="array" ref="W590">SUM(ABS(S590:V590))</f>
        <v>736.37</v>
      </c>
      <c r="X590" s="25">
        <v>1.238</v>
      </c>
      <c r="Y590" s="42">
        <f t="shared" si="114"/>
        <v>227906.51500000001</v>
      </c>
      <c r="Z590" s="20">
        <v>516.79</v>
      </c>
      <c r="AA590" s="20">
        <f t="shared" si="115"/>
        <v>1253.1599999999999</v>
      </c>
      <c r="AB590" s="21">
        <v>0.22999999999999998</v>
      </c>
      <c r="AC590" s="21">
        <v>9.49</v>
      </c>
      <c r="AD590" s="8">
        <f t="shared" si="116"/>
        <v>526.51</v>
      </c>
      <c r="AE590" s="25">
        <v>1.238</v>
      </c>
      <c r="AF590" s="25">
        <f t="shared" si="117"/>
        <v>162954.845</v>
      </c>
      <c r="AG590" s="25">
        <f t="shared" si="118"/>
        <v>390861.36</v>
      </c>
      <c r="AH590" s="1">
        <f t="shared" si="108"/>
        <v>3233.7700000000004</v>
      </c>
      <c r="AI590" s="1">
        <f t="shared" si="109"/>
        <v>3207.1499999999996</v>
      </c>
      <c r="AJ590" s="1">
        <v>3958.86</v>
      </c>
      <c r="AK590" s="1">
        <f t="shared" si="110"/>
        <v>-725.08999999999969</v>
      </c>
      <c r="AL590" s="29">
        <f t="shared" si="119"/>
        <v>751.71000000000049</v>
      </c>
      <c r="AM590" s="11">
        <f t="shared" si="111"/>
        <v>2672149.3372</v>
      </c>
    </row>
    <row r="591" spans="1:40" x14ac:dyDescent="0.3">
      <c r="A591" s="39">
        <v>45966.114583333336</v>
      </c>
      <c r="B591" s="1">
        <v>1460.97</v>
      </c>
      <c r="C591" s="11">
        <v>3.2732000000000001</v>
      </c>
      <c r="D591" s="1">
        <v>647.46</v>
      </c>
      <c r="E591" s="11">
        <v>3.0760000000000001</v>
      </c>
      <c r="F591" s="1">
        <v>398.57</v>
      </c>
      <c r="G591" s="11">
        <v>3.53</v>
      </c>
      <c r="H591" s="1">
        <v>-101.9</v>
      </c>
      <c r="I591" s="11">
        <v>4.40951</v>
      </c>
      <c r="J591" s="1">
        <v>241.07</v>
      </c>
      <c r="K591" s="11">
        <v>4.6007700000000007</v>
      </c>
      <c r="L591" s="1">
        <v>0</v>
      </c>
      <c r="M591" s="11">
        <v>6.2</v>
      </c>
      <c r="N591" s="1">
        <v>25.8</v>
      </c>
      <c r="O591" s="11">
        <v>2.8224999999999998</v>
      </c>
      <c r="P591" s="1">
        <f t="shared" si="112"/>
        <v>2671.9700000000007</v>
      </c>
      <c r="Q591" s="1">
        <v>2719.42</v>
      </c>
      <c r="R591" s="16">
        <f t="shared" si="113"/>
        <v>2228296.2797250003</v>
      </c>
      <c r="S591" s="1">
        <v>-610.88</v>
      </c>
      <c r="T591" s="1">
        <v>35.76</v>
      </c>
      <c r="U591" s="1">
        <v>12</v>
      </c>
      <c r="V591" s="1">
        <v>19.18</v>
      </c>
      <c r="W591" s="1" cm="1">
        <f t="array" ref="W591">SUM(ABS(S591:V591))</f>
        <v>677.81999999999994</v>
      </c>
      <c r="X591" s="25">
        <v>1.238</v>
      </c>
      <c r="Y591" s="42">
        <f t="shared" si="114"/>
        <v>209785.28999999998</v>
      </c>
      <c r="Z591" s="20">
        <v>496.09000000000003</v>
      </c>
      <c r="AA591" s="20">
        <f t="shared" si="115"/>
        <v>1173.9099999999999</v>
      </c>
      <c r="AB591" s="21">
        <v>0.22999999999999998</v>
      </c>
      <c r="AC591" s="21">
        <v>10.43</v>
      </c>
      <c r="AD591" s="8">
        <f t="shared" si="116"/>
        <v>506.75000000000006</v>
      </c>
      <c r="AE591" s="25">
        <v>1.238</v>
      </c>
      <c r="AF591" s="25">
        <f t="shared" si="117"/>
        <v>156839.12500000003</v>
      </c>
      <c r="AG591" s="25">
        <f t="shared" si="118"/>
        <v>366624.41500000004</v>
      </c>
      <c r="AH591" s="1">
        <f t="shared" si="108"/>
        <v>3178.7200000000007</v>
      </c>
      <c r="AI591" s="1">
        <f t="shared" si="109"/>
        <v>3226.17</v>
      </c>
      <c r="AJ591" s="1">
        <v>3915.44</v>
      </c>
      <c r="AK591" s="1">
        <f t="shared" si="110"/>
        <v>-736.71999999999935</v>
      </c>
      <c r="AL591" s="29">
        <f t="shared" si="119"/>
        <v>689.27</v>
      </c>
      <c r="AM591" s="11">
        <f t="shared" si="111"/>
        <v>2594920.6947250003</v>
      </c>
    </row>
    <row r="592" spans="1:40" x14ac:dyDescent="0.3">
      <c r="A592" s="39">
        <v>45966.125</v>
      </c>
      <c r="B592" s="1">
        <v>1460.97</v>
      </c>
      <c r="C592" s="11">
        <v>3.2732000000000001</v>
      </c>
      <c r="D592" s="1">
        <v>1018.13</v>
      </c>
      <c r="E592" s="11">
        <v>3.0760000000000001</v>
      </c>
      <c r="F592" s="1">
        <v>27.9</v>
      </c>
      <c r="G592" s="11">
        <v>3.53</v>
      </c>
      <c r="H592" s="1">
        <v>-101.9</v>
      </c>
      <c r="I592" s="11">
        <v>4.4998000000000005</v>
      </c>
      <c r="J592" s="1">
        <v>282.58</v>
      </c>
      <c r="K592" s="11">
        <v>4.59124</v>
      </c>
      <c r="L592" s="1">
        <v>0</v>
      </c>
      <c r="M592" s="11">
        <v>6.2</v>
      </c>
      <c r="N592" s="1">
        <v>24.96</v>
      </c>
      <c r="O592" s="11">
        <v>2.8224999999999998</v>
      </c>
      <c r="P592" s="1">
        <f t="shared" si="112"/>
        <v>2712.64</v>
      </c>
      <c r="Q592" s="1">
        <v>2701.05</v>
      </c>
      <c r="R592" s="16">
        <f t="shared" si="113"/>
        <v>2230403.6157999998</v>
      </c>
      <c r="S592" s="1">
        <v>-614.61</v>
      </c>
      <c r="T592" s="1">
        <v>35.76</v>
      </c>
      <c r="U592" s="1">
        <v>12</v>
      </c>
      <c r="V592" s="1">
        <v>10.98</v>
      </c>
      <c r="W592" s="1" cm="1">
        <f t="array" ref="W592">SUM(ABS(S592:V592))</f>
        <v>673.35</v>
      </c>
      <c r="X592" s="25">
        <v>1.238</v>
      </c>
      <c r="Y592" s="42">
        <f t="shared" si="114"/>
        <v>208401.82500000001</v>
      </c>
      <c r="Z592" s="20">
        <v>480.4</v>
      </c>
      <c r="AA592" s="20">
        <f t="shared" si="115"/>
        <v>1153.75</v>
      </c>
      <c r="AB592" s="21">
        <v>0.22999999999999998</v>
      </c>
      <c r="AC592" s="21">
        <v>11.1</v>
      </c>
      <c r="AD592" s="8">
        <f t="shared" si="116"/>
        <v>491.73</v>
      </c>
      <c r="AE592" s="25">
        <v>1.238</v>
      </c>
      <c r="AF592" s="25">
        <f t="shared" si="117"/>
        <v>152190.435</v>
      </c>
      <c r="AG592" s="25">
        <f t="shared" si="118"/>
        <v>360592.26</v>
      </c>
      <c r="AH592" s="1">
        <f t="shared" si="108"/>
        <v>3204.37</v>
      </c>
      <c r="AI592" s="1">
        <f t="shared" si="109"/>
        <v>3192.78</v>
      </c>
      <c r="AJ592" s="1">
        <v>3874.79</v>
      </c>
      <c r="AK592" s="1">
        <f t="shared" si="110"/>
        <v>-670.42000000000007</v>
      </c>
      <c r="AL592" s="29">
        <f t="shared" si="119"/>
        <v>682.00999999999976</v>
      </c>
      <c r="AM592" s="11">
        <f t="shared" si="111"/>
        <v>2590995.8757999996</v>
      </c>
    </row>
    <row r="593" spans="1:39" x14ac:dyDescent="0.3">
      <c r="A593" s="39">
        <v>45966.135416666664</v>
      </c>
      <c r="B593" s="1">
        <v>1460.97</v>
      </c>
      <c r="C593" s="11">
        <v>3.2732000000000001</v>
      </c>
      <c r="D593" s="1">
        <v>1046.03</v>
      </c>
      <c r="E593" s="11">
        <v>3.0760000000000001</v>
      </c>
      <c r="F593" s="1">
        <v>0</v>
      </c>
      <c r="G593" s="11">
        <v>3.53</v>
      </c>
      <c r="H593" s="1">
        <v>-101.9</v>
      </c>
      <c r="I593" s="11">
        <v>4.4335399999999998</v>
      </c>
      <c r="J593" s="1">
        <v>240.64</v>
      </c>
      <c r="K593" s="11">
        <v>4.0905800000000001</v>
      </c>
      <c r="L593" s="1">
        <v>0</v>
      </c>
      <c r="M593" s="11">
        <v>6.2</v>
      </c>
      <c r="N593" s="1">
        <v>23.78</v>
      </c>
      <c r="O593" s="11">
        <v>2.8224999999999998</v>
      </c>
      <c r="P593" s="1">
        <f t="shared" si="112"/>
        <v>2669.52</v>
      </c>
      <c r="Q593" s="1">
        <v>2674.51</v>
      </c>
      <c r="R593" s="16">
        <f t="shared" si="113"/>
        <v>2149833.4447999997</v>
      </c>
      <c r="S593" s="1">
        <v>-619.80999999999995</v>
      </c>
      <c r="T593" s="1">
        <v>35.770000000000003</v>
      </c>
      <c r="U593" s="1">
        <v>12</v>
      </c>
      <c r="V593" s="1">
        <v>0</v>
      </c>
      <c r="W593" s="1" cm="1">
        <f t="array" ref="W593">SUM(ABS(S593:V593))</f>
        <v>667.57999999999993</v>
      </c>
      <c r="X593" s="25">
        <v>1.238</v>
      </c>
      <c r="Y593" s="42">
        <f t="shared" si="114"/>
        <v>206616.00999999998</v>
      </c>
      <c r="Z593" s="20">
        <v>469.56</v>
      </c>
      <c r="AA593" s="20">
        <f t="shared" si="115"/>
        <v>1137.1399999999999</v>
      </c>
      <c r="AB593" s="21">
        <v>0.22999999999999998</v>
      </c>
      <c r="AC593" s="21">
        <v>10.040000000000001</v>
      </c>
      <c r="AD593" s="8">
        <f t="shared" si="116"/>
        <v>479.83000000000004</v>
      </c>
      <c r="AE593" s="25">
        <v>1.238</v>
      </c>
      <c r="AF593" s="25">
        <f t="shared" si="117"/>
        <v>148507.38500000001</v>
      </c>
      <c r="AG593" s="25">
        <f t="shared" si="118"/>
        <v>355123.39500000002</v>
      </c>
      <c r="AH593" s="1">
        <f t="shared" si="108"/>
        <v>3149.35</v>
      </c>
      <c r="AI593" s="1">
        <f t="shared" si="109"/>
        <v>3154.34</v>
      </c>
      <c r="AJ593" s="1">
        <v>3831.27</v>
      </c>
      <c r="AK593" s="1">
        <f t="shared" si="110"/>
        <v>-681.92000000000007</v>
      </c>
      <c r="AL593" s="29">
        <f t="shared" si="119"/>
        <v>676.92999999999984</v>
      </c>
      <c r="AM593" s="11">
        <f t="shared" si="111"/>
        <v>2504956.8397999997</v>
      </c>
    </row>
    <row r="594" spans="1:39" x14ac:dyDescent="0.3">
      <c r="A594" s="39">
        <v>45966.145833333336</v>
      </c>
      <c r="B594" s="1">
        <v>1460.97</v>
      </c>
      <c r="C594" s="11">
        <v>3.2732000000000001</v>
      </c>
      <c r="D594" s="1">
        <v>1046.03</v>
      </c>
      <c r="E594" s="11">
        <v>3.0760000000000001</v>
      </c>
      <c r="F594" s="1">
        <v>0</v>
      </c>
      <c r="G594" s="11">
        <v>3.53</v>
      </c>
      <c r="H594" s="1">
        <v>-101.9</v>
      </c>
      <c r="I594" s="11">
        <v>4.4090699999999998</v>
      </c>
      <c r="J594" s="1">
        <v>201.34</v>
      </c>
      <c r="K594" s="11">
        <v>3.8806799999999999</v>
      </c>
      <c r="L594" s="1">
        <v>0</v>
      </c>
      <c r="M594" s="11">
        <v>6.2</v>
      </c>
      <c r="N594" s="1">
        <v>14.16</v>
      </c>
      <c r="O594" s="11">
        <v>2.8224999999999998</v>
      </c>
      <c r="P594" s="1">
        <f t="shared" si="112"/>
        <v>2620.6</v>
      </c>
      <c r="Q594" s="1">
        <v>2642.48</v>
      </c>
      <c r="R594" s="16">
        <f t="shared" si="113"/>
        <v>2092913.4405499999</v>
      </c>
      <c r="S594" s="1">
        <v>-620.80999999999995</v>
      </c>
      <c r="T594" s="1">
        <v>35.770000000000003</v>
      </c>
      <c r="U594" s="1">
        <v>12</v>
      </c>
      <c r="V594" s="1">
        <v>0</v>
      </c>
      <c r="W594" s="1" cm="1">
        <f t="array" ref="W594">SUM(ABS(S594:V594))</f>
        <v>668.57999999999993</v>
      </c>
      <c r="X594" s="25">
        <v>1.238</v>
      </c>
      <c r="Y594" s="42">
        <f t="shared" si="114"/>
        <v>206925.50999999998</v>
      </c>
      <c r="Z594" s="20">
        <v>469.34999999999997</v>
      </c>
      <c r="AA594" s="20">
        <f t="shared" si="115"/>
        <v>1137.9299999999998</v>
      </c>
      <c r="AB594" s="21">
        <v>0.22999999999999998</v>
      </c>
      <c r="AC594" s="21">
        <v>9.65</v>
      </c>
      <c r="AD594" s="8">
        <f t="shared" si="116"/>
        <v>479.22999999999996</v>
      </c>
      <c r="AE594" s="25">
        <v>1.238</v>
      </c>
      <c r="AF594" s="25">
        <f t="shared" si="117"/>
        <v>148321.68499999997</v>
      </c>
      <c r="AG594" s="25">
        <f t="shared" si="118"/>
        <v>355247.19499999995</v>
      </c>
      <c r="AH594" s="1">
        <f t="shared" si="108"/>
        <v>3099.83</v>
      </c>
      <c r="AI594" s="1">
        <f t="shared" si="109"/>
        <v>3121.71</v>
      </c>
      <c r="AJ594" s="1">
        <v>3803.62</v>
      </c>
      <c r="AK594" s="1">
        <f t="shared" si="110"/>
        <v>-703.79</v>
      </c>
      <c r="AL594" s="29">
        <f t="shared" si="119"/>
        <v>681.90999999999985</v>
      </c>
      <c r="AM594" s="11">
        <f t="shared" si="111"/>
        <v>2448160.6355499998</v>
      </c>
    </row>
    <row r="595" spans="1:39" x14ac:dyDescent="0.3">
      <c r="A595" s="39">
        <v>45966.15625</v>
      </c>
      <c r="B595" s="1">
        <v>1460.97</v>
      </c>
      <c r="C595" s="11">
        <v>3.2732000000000001</v>
      </c>
      <c r="D595" s="1">
        <v>1046.03</v>
      </c>
      <c r="E595" s="11">
        <v>3.0760000000000001</v>
      </c>
      <c r="F595" s="1">
        <v>0</v>
      </c>
      <c r="G595" s="11">
        <v>3.53</v>
      </c>
      <c r="H595" s="1">
        <v>-176.3</v>
      </c>
      <c r="I595" s="11">
        <v>4.2619899999999999</v>
      </c>
      <c r="J595" s="1">
        <v>225.77</v>
      </c>
      <c r="K595" s="11">
        <v>3.8805900000000002</v>
      </c>
      <c r="L595" s="1">
        <v>0</v>
      </c>
      <c r="M595" s="11">
        <v>6.2</v>
      </c>
      <c r="N595" s="1">
        <v>13.5</v>
      </c>
      <c r="O595" s="11">
        <v>2.8224999999999998</v>
      </c>
      <c r="P595" s="1">
        <f t="shared" si="112"/>
        <v>2569.9699999999998</v>
      </c>
      <c r="Q595" s="1">
        <v>2587.9499999999998</v>
      </c>
      <c r="R595" s="16">
        <f t="shared" si="113"/>
        <v>2040617.7503249999</v>
      </c>
      <c r="S595" s="1">
        <v>-650.62</v>
      </c>
      <c r="T595" s="1">
        <v>35.76</v>
      </c>
      <c r="U595" s="1">
        <v>12</v>
      </c>
      <c r="V595" s="1">
        <v>0</v>
      </c>
      <c r="W595" s="1" cm="1">
        <f t="array" ref="W595">SUM(ABS(S595:V595))</f>
        <v>698.38</v>
      </c>
      <c r="X595" s="25">
        <v>1.238</v>
      </c>
      <c r="Y595" s="42">
        <f t="shared" si="114"/>
        <v>216148.61</v>
      </c>
      <c r="Z595" s="20">
        <v>468.66999999999996</v>
      </c>
      <c r="AA595" s="20">
        <f t="shared" si="115"/>
        <v>1167.05</v>
      </c>
      <c r="AB595" s="21">
        <v>0.24</v>
      </c>
      <c r="AC595" s="21">
        <v>7.1499999999999995</v>
      </c>
      <c r="AD595" s="8">
        <f t="shared" si="116"/>
        <v>476.05999999999995</v>
      </c>
      <c r="AE595" s="25">
        <v>1.238</v>
      </c>
      <c r="AF595" s="25">
        <f t="shared" si="117"/>
        <v>147340.56999999998</v>
      </c>
      <c r="AG595" s="25">
        <f t="shared" si="118"/>
        <v>363489.17999999993</v>
      </c>
      <c r="AH595" s="1">
        <f t="shared" si="108"/>
        <v>3046.0299999999997</v>
      </c>
      <c r="AI595" s="1">
        <f t="shared" si="109"/>
        <v>3064.0099999999998</v>
      </c>
      <c r="AJ595" s="1">
        <v>3776.47</v>
      </c>
      <c r="AK595" s="1">
        <f t="shared" si="110"/>
        <v>-730.44</v>
      </c>
      <c r="AL595" s="29">
        <f t="shared" si="119"/>
        <v>712.46</v>
      </c>
      <c r="AM595" s="11">
        <f t="shared" si="111"/>
        <v>2404106.9303249996</v>
      </c>
    </row>
    <row r="596" spans="1:39" x14ac:dyDescent="0.3">
      <c r="A596" s="39">
        <v>45966.166666666664</v>
      </c>
      <c r="B596" s="1">
        <v>1460.97</v>
      </c>
      <c r="C596" s="11">
        <v>3.2732000000000001</v>
      </c>
      <c r="D596" s="1">
        <v>1046.03</v>
      </c>
      <c r="E596" s="11">
        <v>3.0760000000000001</v>
      </c>
      <c r="F596" s="1">
        <v>0</v>
      </c>
      <c r="G596" s="11">
        <v>3.53</v>
      </c>
      <c r="H596" s="1">
        <v>-181.9</v>
      </c>
      <c r="I596" s="11">
        <v>4.2591400000000004</v>
      </c>
      <c r="J596" s="1">
        <v>192.89</v>
      </c>
      <c r="K596" s="11">
        <v>4.2171899999999996</v>
      </c>
      <c r="L596" s="1">
        <v>0</v>
      </c>
      <c r="M596" s="11">
        <v>6.2</v>
      </c>
      <c r="N596" s="1">
        <v>13.5</v>
      </c>
      <c r="O596" s="11">
        <v>2.8224999999999998</v>
      </c>
      <c r="P596" s="1">
        <f t="shared" si="112"/>
        <v>2531.4899999999998</v>
      </c>
      <c r="Q596" s="1">
        <v>2524.61</v>
      </c>
      <c r="R596" s="16">
        <f t="shared" si="113"/>
        <v>2019113.8117750001</v>
      </c>
      <c r="S596" s="1">
        <v>-672.9</v>
      </c>
      <c r="T596" s="1">
        <v>35.76</v>
      </c>
      <c r="U596" s="1">
        <v>12</v>
      </c>
      <c r="V596" s="1">
        <v>0</v>
      </c>
      <c r="W596" s="1" cm="1">
        <f t="array" ref="W596">SUM(ABS(S596:V596))</f>
        <v>720.66</v>
      </c>
      <c r="X596" s="25">
        <v>1.238</v>
      </c>
      <c r="Y596" s="42">
        <f t="shared" si="114"/>
        <v>223044.27</v>
      </c>
      <c r="Z596" s="20">
        <v>469.62999999999994</v>
      </c>
      <c r="AA596" s="20">
        <f t="shared" si="115"/>
        <v>1190.29</v>
      </c>
      <c r="AB596" s="21">
        <v>0.25</v>
      </c>
      <c r="AC596" s="21">
        <v>6.7700000000000005</v>
      </c>
      <c r="AD596" s="8">
        <f t="shared" si="116"/>
        <v>476.64999999999992</v>
      </c>
      <c r="AE596" s="25">
        <v>1.238</v>
      </c>
      <c r="AF596" s="25">
        <f t="shared" si="117"/>
        <v>147523.17499999999</v>
      </c>
      <c r="AG596" s="25">
        <f t="shared" si="118"/>
        <v>370567.44499999995</v>
      </c>
      <c r="AH596" s="1">
        <f t="shared" si="108"/>
        <v>3008.14</v>
      </c>
      <c r="AI596" s="1">
        <f t="shared" si="109"/>
        <v>3001.26</v>
      </c>
      <c r="AJ596" s="1">
        <v>3736.61</v>
      </c>
      <c r="AK596" s="1">
        <f t="shared" si="110"/>
        <v>-728.47000000000025</v>
      </c>
      <c r="AL596" s="29">
        <f t="shared" si="119"/>
        <v>735.34999999999991</v>
      </c>
      <c r="AM596" s="11">
        <f t="shared" si="111"/>
        <v>2389681.2567750001</v>
      </c>
    </row>
    <row r="597" spans="1:39" x14ac:dyDescent="0.3">
      <c r="A597" s="39">
        <v>45966.177083333336</v>
      </c>
      <c r="B597" s="1">
        <v>1460.97</v>
      </c>
      <c r="C597" s="11">
        <v>3.2732000000000001</v>
      </c>
      <c r="D597" s="1">
        <v>1046.03</v>
      </c>
      <c r="E597" s="11">
        <v>3.0760000000000001</v>
      </c>
      <c r="F597" s="1">
        <v>0</v>
      </c>
      <c r="G597" s="11">
        <v>3.53</v>
      </c>
      <c r="H597" s="1">
        <v>-181.9</v>
      </c>
      <c r="I597" s="11">
        <v>4.2591999999999999</v>
      </c>
      <c r="J597" s="1">
        <v>133.77000000000001</v>
      </c>
      <c r="K597" s="11">
        <v>4.2619499999999997</v>
      </c>
      <c r="L597" s="1">
        <v>0</v>
      </c>
      <c r="M597" s="11">
        <v>6.2</v>
      </c>
      <c r="N597" s="1">
        <v>13.5</v>
      </c>
      <c r="O597" s="11">
        <v>2.8224999999999998</v>
      </c>
      <c r="P597" s="1">
        <f t="shared" si="112"/>
        <v>2472.37</v>
      </c>
      <c r="Q597" s="1">
        <v>2485.9699999999998</v>
      </c>
      <c r="R597" s="16">
        <f t="shared" si="113"/>
        <v>1958277.9013750001</v>
      </c>
      <c r="S597" s="1">
        <v>-679.93</v>
      </c>
      <c r="T597" s="1">
        <v>35.770000000000003</v>
      </c>
      <c r="U597" s="1">
        <v>12</v>
      </c>
      <c r="V597" s="1">
        <v>0</v>
      </c>
      <c r="W597" s="1" cm="1">
        <f t="array" ref="W597">SUM(ABS(S597:V597))</f>
        <v>727.69999999999993</v>
      </c>
      <c r="X597" s="25">
        <v>1.238</v>
      </c>
      <c r="Y597" s="42">
        <f t="shared" si="114"/>
        <v>225223.14999999997</v>
      </c>
      <c r="Z597" s="20">
        <v>469.44999999999993</v>
      </c>
      <c r="AA597" s="20">
        <f t="shared" si="115"/>
        <v>1197.1499999999999</v>
      </c>
      <c r="AB597" s="21">
        <v>0.25</v>
      </c>
      <c r="AC597" s="21">
        <v>7.22</v>
      </c>
      <c r="AD597" s="8">
        <f t="shared" si="116"/>
        <v>476.91999999999996</v>
      </c>
      <c r="AE597" s="25">
        <v>1.238</v>
      </c>
      <c r="AF597" s="25">
        <f t="shared" si="117"/>
        <v>147606.73999999996</v>
      </c>
      <c r="AG597" s="25">
        <f t="shared" si="118"/>
        <v>372829.8899999999</v>
      </c>
      <c r="AH597" s="1">
        <f t="shared" si="108"/>
        <v>2949.29</v>
      </c>
      <c r="AI597" s="1">
        <f t="shared" si="109"/>
        <v>2962.89</v>
      </c>
      <c r="AJ597" s="1">
        <v>3706</v>
      </c>
      <c r="AK597" s="1">
        <f t="shared" si="110"/>
        <v>-756.71</v>
      </c>
      <c r="AL597" s="29">
        <f t="shared" si="119"/>
        <v>743.11000000000013</v>
      </c>
      <c r="AM597" s="11">
        <f t="shared" si="111"/>
        <v>2331107.791375</v>
      </c>
    </row>
    <row r="598" spans="1:39" x14ac:dyDescent="0.3">
      <c r="A598" s="39">
        <v>45966.1875</v>
      </c>
      <c r="B598" s="1">
        <v>1460.97</v>
      </c>
      <c r="C598" s="11">
        <v>3.2732000000000001</v>
      </c>
      <c r="D598" s="1">
        <v>1046.03</v>
      </c>
      <c r="E598" s="11">
        <v>3.0760000000000001</v>
      </c>
      <c r="F598" s="1">
        <v>0</v>
      </c>
      <c r="G598" s="11">
        <v>3.53</v>
      </c>
      <c r="H598" s="1">
        <v>-181.9</v>
      </c>
      <c r="I598" s="11">
        <v>4.25908</v>
      </c>
      <c r="J598" s="1">
        <v>113.18</v>
      </c>
      <c r="K598" s="11">
        <v>4.1996799999999999</v>
      </c>
      <c r="L598" s="1">
        <v>0</v>
      </c>
      <c r="M598" s="11">
        <v>6.2</v>
      </c>
      <c r="N598" s="1">
        <v>17.989999999999998</v>
      </c>
      <c r="O598" s="11">
        <v>2.8224999999999998</v>
      </c>
      <c r="P598" s="1">
        <f t="shared" si="112"/>
        <v>2456.2699999999995</v>
      </c>
      <c r="Q598" s="1">
        <v>2470.85</v>
      </c>
      <c r="R598" s="16">
        <f t="shared" si="113"/>
        <v>1937751.2973499999</v>
      </c>
      <c r="S598" s="1">
        <v>-677.42</v>
      </c>
      <c r="T598" s="1">
        <v>35.799999999999997</v>
      </c>
      <c r="U598" s="1">
        <v>12</v>
      </c>
      <c r="V598" s="1">
        <v>0</v>
      </c>
      <c r="W598" s="1" cm="1">
        <f t="array" ref="W598">SUM(ABS(S598:V598))</f>
        <v>725.21999999999991</v>
      </c>
      <c r="X598" s="25">
        <v>1.238</v>
      </c>
      <c r="Y598" s="42">
        <f t="shared" si="114"/>
        <v>224455.58999999997</v>
      </c>
      <c r="Z598" s="20">
        <v>469.63</v>
      </c>
      <c r="AA598" s="20">
        <f t="shared" si="115"/>
        <v>1194.8499999999999</v>
      </c>
      <c r="AB598" s="21">
        <v>0.24</v>
      </c>
      <c r="AC598" s="21">
        <v>7.07</v>
      </c>
      <c r="AD598" s="8">
        <f t="shared" si="116"/>
        <v>476.94</v>
      </c>
      <c r="AE598" s="25">
        <v>1.238</v>
      </c>
      <c r="AF598" s="25">
        <f t="shared" si="117"/>
        <v>147612.93</v>
      </c>
      <c r="AG598" s="25">
        <f t="shared" si="118"/>
        <v>372068.51999999996</v>
      </c>
      <c r="AH598" s="1">
        <f t="shared" si="108"/>
        <v>2933.2099999999996</v>
      </c>
      <c r="AI598" s="1">
        <f t="shared" si="109"/>
        <v>2947.79</v>
      </c>
      <c r="AJ598" s="1">
        <v>3688.35</v>
      </c>
      <c r="AK598" s="1">
        <f t="shared" si="110"/>
        <v>-755.14000000000033</v>
      </c>
      <c r="AL598" s="29">
        <f t="shared" si="119"/>
        <v>740.56</v>
      </c>
      <c r="AM598" s="11">
        <f t="shared" si="111"/>
        <v>2309819.8173499997</v>
      </c>
    </row>
    <row r="599" spans="1:39" x14ac:dyDescent="0.3">
      <c r="A599" s="39">
        <v>45966.197916666664</v>
      </c>
      <c r="B599" s="1">
        <v>1460.97</v>
      </c>
      <c r="C599" s="11">
        <v>3.2732000000000001</v>
      </c>
      <c r="D599" s="1">
        <v>1046.03</v>
      </c>
      <c r="E599" s="11">
        <v>3.0760000000000001</v>
      </c>
      <c r="F599" s="1">
        <v>0</v>
      </c>
      <c r="G599" s="11">
        <v>3.53</v>
      </c>
      <c r="H599" s="1">
        <v>-181.9</v>
      </c>
      <c r="I599" s="11">
        <v>4.2613799999999999</v>
      </c>
      <c r="J599" s="1">
        <v>111.94</v>
      </c>
      <c r="K599" s="11">
        <v>4.3912800000000001</v>
      </c>
      <c r="L599" s="1">
        <v>0</v>
      </c>
      <c r="M599" s="11">
        <v>6.2</v>
      </c>
      <c r="N599" s="1">
        <v>17.46</v>
      </c>
      <c r="O599" s="11">
        <v>2.8224999999999998</v>
      </c>
      <c r="P599" s="1">
        <f t="shared" si="112"/>
        <v>2454.5</v>
      </c>
      <c r="Q599" s="1">
        <v>2476.6</v>
      </c>
      <c r="R599" s="16">
        <f t="shared" si="113"/>
        <v>1941332.7487999999</v>
      </c>
      <c r="S599" s="1">
        <v>-667.87</v>
      </c>
      <c r="T599" s="1">
        <v>35.81</v>
      </c>
      <c r="U599" s="1">
        <v>12</v>
      </c>
      <c r="V599" s="1">
        <v>0</v>
      </c>
      <c r="W599" s="1" cm="1">
        <f t="array" ref="W599">SUM(ABS(S599:V599))</f>
        <v>715.68000000000006</v>
      </c>
      <c r="X599" s="25">
        <v>1.238</v>
      </c>
      <c r="Y599" s="42">
        <f t="shared" si="114"/>
        <v>221502.96000000002</v>
      </c>
      <c r="Z599" s="20">
        <v>469.01</v>
      </c>
      <c r="AA599" s="20">
        <f t="shared" si="115"/>
        <v>1184.69</v>
      </c>
      <c r="AB599" s="21">
        <v>0.25</v>
      </c>
      <c r="AC599" s="21">
        <v>6.34</v>
      </c>
      <c r="AD599" s="8">
        <f t="shared" si="116"/>
        <v>475.59999999999997</v>
      </c>
      <c r="AE599" s="25">
        <v>1.238</v>
      </c>
      <c r="AF599" s="25">
        <f t="shared" si="117"/>
        <v>147198.19999999998</v>
      </c>
      <c r="AG599" s="25">
        <f t="shared" si="118"/>
        <v>368701.16000000003</v>
      </c>
      <c r="AH599" s="1">
        <f t="shared" si="108"/>
        <v>2930.1</v>
      </c>
      <c r="AI599" s="1">
        <f t="shared" si="109"/>
        <v>2952.2</v>
      </c>
      <c r="AJ599" s="1">
        <v>3682.79</v>
      </c>
      <c r="AK599" s="1">
        <f t="shared" si="110"/>
        <v>-752.69</v>
      </c>
      <c r="AL599" s="29">
        <f t="shared" si="119"/>
        <v>730.59000000000015</v>
      </c>
      <c r="AM599" s="11">
        <f t="shared" si="111"/>
        <v>2310033.9087999999</v>
      </c>
    </row>
    <row r="600" spans="1:39" x14ac:dyDescent="0.3">
      <c r="A600" s="39">
        <v>45966.208333333336</v>
      </c>
      <c r="B600" s="1">
        <v>1460.97</v>
      </c>
      <c r="C600" s="11">
        <v>3.2732000000000001</v>
      </c>
      <c r="D600" s="1">
        <v>1046.03</v>
      </c>
      <c r="E600" s="11">
        <v>3.0760000000000001</v>
      </c>
      <c r="F600" s="1">
        <v>0</v>
      </c>
      <c r="G600" s="11">
        <v>3.53</v>
      </c>
      <c r="H600" s="1">
        <v>-181.9</v>
      </c>
      <c r="I600" s="11">
        <v>4.2509199999999998</v>
      </c>
      <c r="J600" s="1">
        <v>93.87</v>
      </c>
      <c r="K600" s="11">
        <v>4.1002200000000002</v>
      </c>
      <c r="L600" s="1">
        <v>0</v>
      </c>
      <c r="M600" s="11">
        <v>6.2</v>
      </c>
      <c r="N600" s="1">
        <v>16.84</v>
      </c>
      <c r="O600" s="11">
        <v>2.8224999999999998</v>
      </c>
      <c r="P600" s="1">
        <f t="shared" si="112"/>
        <v>2435.81</v>
      </c>
      <c r="Q600" s="1">
        <v>2465.52</v>
      </c>
      <c r="R600" s="16">
        <f t="shared" si="113"/>
        <v>1914702.87185</v>
      </c>
      <c r="S600" s="1">
        <v>-665.72</v>
      </c>
      <c r="T600" s="1">
        <v>35.840000000000003</v>
      </c>
      <c r="U600" s="1">
        <v>12</v>
      </c>
      <c r="V600" s="1">
        <v>0</v>
      </c>
      <c r="W600" s="1" cm="1">
        <f t="array" ref="W600">SUM(ABS(S600:V600))</f>
        <v>713.56000000000006</v>
      </c>
      <c r="X600" s="25">
        <v>1.238</v>
      </c>
      <c r="Y600" s="42">
        <f t="shared" si="114"/>
        <v>220846.82</v>
      </c>
      <c r="Z600" s="20">
        <v>468.96</v>
      </c>
      <c r="AA600" s="20">
        <f t="shared" si="115"/>
        <v>1182.52</v>
      </c>
      <c r="AB600" s="21">
        <v>0.24</v>
      </c>
      <c r="AC600" s="21">
        <v>6.31</v>
      </c>
      <c r="AD600" s="8">
        <f t="shared" si="116"/>
        <v>475.51</v>
      </c>
      <c r="AE600" s="25">
        <v>1.238</v>
      </c>
      <c r="AF600" s="25">
        <f t="shared" si="117"/>
        <v>147170.345</v>
      </c>
      <c r="AG600" s="25">
        <f t="shared" si="118"/>
        <v>368017.16500000004</v>
      </c>
      <c r="AH600" s="1">
        <f t="shared" si="108"/>
        <v>2911.3199999999997</v>
      </c>
      <c r="AI600" s="1">
        <f t="shared" si="109"/>
        <v>2941.0299999999997</v>
      </c>
      <c r="AJ600" s="1">
        <v>3665.74</v>
      </c>
      <c r="AK600" s="1">
        <f t="shared" si="110"/>
        <v>-754.42000000000007</v>
      </c>
      <c r="AL600" s="29">
        <f t="shared" si="119"/>
        <v>724.71</v>
      </c>
      <c r="AM600" s="11">
        <f t="shared" si="111"/>
        <v>2282720.0368499998</v>
      </c>
    </row>
    <row r="601" spans="1:39" x14ac:dyDescent="0.3">
      <c r="A601" s="39">
        <v>45966.21875</v>
      </c>
      <c r="B601" s="1">
        <v>1460.97</v>
      </c>
      <c r="C601" s="11">
        <v>3.2732000000000001</v>
      </c>
      <c r="D601" s="1">
        <v>1046.03</v>
      </c>
      <c r="E601" s="11">
        <v>3.0760000000000001</v>
      </c>
      <c r="F601" s="1">
        <v>0</v>
      </c>
      <c r="G601" s="11">
        <v>3.53</v>
      </c>
      <c r="H601" s="1">
        <v>-181.9</v>
      </c>
      <c r="I601" s="11">
        <v>4.2610799999999998</v>
      </c>
      <c r="J601" s="1">
        <v>110.7</v>
      </c>
      <c r="K601" s="11">
        <v>4.2506000000000004</v>
      </c>
      <c r="L601" s="1">
        <v>0</v>
      </c>
      <c r="M601" s="11">
        <v>6.2</v>
      </c>
      <c r="N601" s="1">
        <v>16.239999999999998</v>
      </c>
      <c r="O601" s="11">
        <v>2.8224999999999998</v>
      </c>
      <c r="P601" s="1">
        <f t="shared" si="112"/>
        <v>2452.0399999999995</v>
      </c>
      <c r="Q601" s="1">
        <v>2453.67</v>
      </c>
      <c r="R601" s="16">
        <f t="shared" si="113"/>
        <v>1935230.9130000002</v>
      </c>
      <c r="S601" s="1">
        <v>-663.23</v>
      </c>
      <c r="T601" s="1">
        <v>35.83</v>
      </c>
      <c r="U601" s="1">
        <v>12</v>
      </c>
      <c r="V601" s="1">
        <v>0</v>
      </c>
      <c r="W601" s="1" cm="1">
        <f t="array" ref="W601">SUM(ABS(S601:V601))</f>
        <v>711.06000000000006</v>
      </c>
      <c r="X601" s="25">
        <v>1.238</v>
      </c>
      <c r="Y601" s="42">
        <f t="shared" si="114"/>
        <v>220073.07000000004</v>
      </c>
      <c r="Z601" s="20">
        <v>469.33000000000004</v>
      </c>
      <c r="AA601" s="20">
        <f t="shared" si="115"/>
        <v>1180.3900000000001</v>
      </c>
      <c r="AB601" s="21">
        <v>0.22999999999999998</v>
      </c>
      <c r="AC601" s="21">
        <v>6.49</v>
      </c>
      <c r="AD601" s="8">
        <f t="shared" si="116"/>
        <v>476.05000000000007</v>
      </c>
      <c r="AE601" s="25">
        <v>1.238</v>
      </c>
      <c r="AF601" s="25">
        <f t="shared" si="117"/>
        <v>147337.47500000001</v>
      </c>
      <c r="AG601" s="25">
        <f t="shared" si="118"/>
        <v>367410.54500000004</v>
      </c>
      <c r="AH601" s="1">
        <f t="shared" si="108"/>
        <v>2928.0899999999997</v>
      </c>
      <c r="AI601" s="1">
        <f t="shared" si="109"/>
        <v>2929.7200000000003</v>
      </c>
      <c r="AJ601" s="1">
        <v>3652.33</v>
      </c>
      <c r="AK601" s="1">
        <f t="shared" si="110"/>
        <v>-724.24000000000024</v>
      </c>
      <c r="AL601" s="29">
        <f t="shared" si="119"/>
        <v>722.60999999999967</v>
      </c>
      <c r="AM601" s="11">
        <f t="shared" si="111"/>
        <v>2302641.4580000001</v>
      </c>
    </row>
    <row r="602" spans="1:39" x14ac:dyDescent="0.3">
      <c r="A602" s="39">
        <v>45966.229166666664</v>
      </c>
      <c r="B602" s="1">
        <v>1419.03</v>
      </c>
      <c r="C602" s="11">
        <v>3.2732000000000001</v>
      </c>
      <c r="D602" s="1">
        <v>1046.03</v>
      </c>
      <c r="E602" s="11">
        <v>3.0760000000000001</v>
      </c>
      <c r="F602" s="1">
        <v>0</v>
      </c>
      <c r="G602" s="11">
        <v>3.53</v>
      </c>
      <c r="H602" s="1">
        <v>-181.9</v>
      </c>
      <c r="I602" s="11">
        <v>4.2616999999999994</v>
      </c>
      <c r="J602" s="1">
        <v>93.87</v>
      </c>
      <c r="K602" s="11">
        <v>4.1705800000000002</v>
      </c>
      <c r="L602" s="1">
        <v>0</v>
      </c>
      <c r="M602" s="11">
        <v>6.2</v>
      </c>
      <c r="N602" s="1">
        <v>15.92</v>
      </c>
      <c r="O602" s="11">
        <v>2.8224999999999998</v>
      </c>
      <c r="P602" s="1">
        <f t="shared" si="112"/>
        <v>2392.9499999999998</v>
      </c>
      <c r="Q602" s="1">
        <v>2399.36</v>
      </c>
      <c r="R602" s="16">
        <f t="shared" si="113"/>
        <v>1880895.1476499999</v>
      </c>
      <c r="S602" s="1">
        <v>-709.93</v>
      </c>
      <c r="T602" s="1">
        <v>35.83</v>
      </c>
      <c r="U602" s="1">
        <v>12</v>
      </c>
      <c r="V602" s="1">
        <v>0</v>
      </c>
      <c r="W602" s="1" cm="1">
        <f t="array" ref="W602">SUM(ABS(S602:V602))</f>
        <v>757.76</v>
      </c>
      <c r="X602" s="25">
        <v>1.238</v>
      </c>
      <c r="Y602" s="42">
        <f t="shared" si="114"/>
        <v>234526.71999999997</v>
      </c>
      <c r="Z602" s="20">
        <v>468.83</v>
      </c>
      <c r="AA602" s="20">
        <f t="shared" si="115"/>
        <v>1226.5899999999999</v>
      </c>
      <c r="AB602" s="21">
        <v>0.22999999999999998</v>
      </c>
      <c r="AC602" s="21">
        <v>6.18</v>
      </c>
      <c r="AD602" s="8">
        <f t="shared" si="116"/>
        <v>475.24</v>
      </c>
      <c r="AE602" s="25">
        <v>1.238</v>
      </c>
      <c r="AF602" s="25">
        <f t="shared" si="117"/>
        <v>147086.78</v>
      </c>
      <c r="AG602" s="25">
        <f t="shared" si="118"/>
        <v>381613.5</v>
      </c>
      <c r="AH602" s="1">
        <f t="shared" si="108"/>
        <v>2868.1899999999996</v>
      </c>
      <c r="AI602" s="1">
        <f t="shared" si="109"/>
        <v>2874.6000000000004</v>
      </c>
      <c r="AJ602" s="1">
        <v>3647.11</v>
      </c>
      <c r="AK602" s="1">
        <f t="shared" si="110"/>
        <v>-778.92000000000053</v>
      </c>
      <c r="AL602" s="29">
        <f t="shared" si="119"/>
        <v>772.50999999999976</v>
      </c>
      <c r="AM602" s="11">
        <f t="shared" si="111"/>
        <v>2262508.6476499997</v>
      </c>
    </row>
    <row r="603" spans="1:39" x14ac:dyDescent="0.3">
      <c r="A603" s="39">
        <v>45966.239583333336</v>
      </c>
      <c r="B603" s="1">
        <v>1416.95</v>
      </c>
      <c r="C603" s="11">
        <v>3.2732000000000001</v>
      </c>
      <c r="D603" s="1">
        <v>1046.03</v>
      </c>
      <c r="E603" s="11">
        <v>3.0760000000000001</v>
      </c>
      <c r="F603" s="1">
        <v>0</v>
      </c>
      <c r="G603" s="11">
        <v>3.53</v>
      </c>
      <c r="H603" s="1">
        <v>-181.9</v>
      </c>
      <c r="I603" s="11">
        <v>4.25054</v>
      </c>
      <c r="J603" s="1">
        <v>74.56</v>
      </c>
      <c r="K603" s="11">
        <v>4.0527699999999998</v>
      </c>
      <c r="L603" s="1">
        <v>0</v>
      </c>
      <c r="M603" s="11">
        <v>6.2</v>
      </c>
      <c r="N603" s="1">
        <v>25.32</v>
      </c>
      <c r="O603" s="11">
        <v>2.8224999999999998</v>
      </c>
      <c r="P603" s="1">
        <f t="shared" si="112"/>
        <v>2380.96</v>
      </c>
      <c r="Q603" s="1">
        <v>2369.61</v>
      </c>
      <c r="R603" s="16">
        <f t="shared" si="113"/>
        <v>1864004.0063000002</v>
      </c>
      <c r="S603" s="1">
        <v>-734.68</v>
      </c>
      <c r="T603" s="1">
        <v>35.85</v>
      </c>
      <c r="U603" s="1">
        <v>12</v>
      </c>
      <c r="V603" s="1">
        <v>0</v>
      </c>
      <c r="W603" s="1" cm="1">
        <f t="array" ref="W603">SUM(ABS(S603:V603))</f>
        <v>782.53</v>
      </c>
      <c r="X603" s="25">
        <v>1.238</v>
      </c>
      <c r="Y603" s="42">
        <f t="shared" si="114"/>
        <v>242193.03499999997</v>
      </c>
      <c r="Z603" s="20">
        <v>468.84999999999997</v>
      </c>
      <c r="AA603" s="20">
        <f t="shared" si="115"/>
        <v>1251.3799999999999</v>
      </c>
      <c r="AB603" s="21">
        <v>0.24</v>
      </c>
      <c r="AC603" s="21">
        <v>5.3599999999999994</v>
      </c>
      <c r="AD603" s="8">
        <f t="shared" si="116"/>
        <v>474.45</v>
      </c>
      <c r="AE603" s="25">
        <v>1.238</v>
      </c>
      <c r="AF603" s="25">
        <f t="shared" si="117"/>
        <v>146842.27499999999</v>
      </c>
      <c r="AG603" s="25">
        <f t="shared" si="118"/>
        <v>389035.30999999994</v>
      </c>
      <c r="AH603" s="1">
        <f t="shared" si="108"/>
        <v>2855.41</v>
      </c>
      <c r="AI603" s="1">
        <f t="shared" si="109"/>
        <v>2844.06</v>
      </c>
      <c r="AJ603" s="1">
        <v>3639.92</v>
      </c>
      <c r="AK603" s="1">
        <f t="shared" si="110"/>
        <v>-784.51000000000022</v>
      </c>
      <c r="AL603" s="29">
        <f t="shared" si="119"/>
        <v>795.86000000000013</v>
      </c>
      <c r="AM603" s="11">
        <f t="shared" si="111"/>
        <v>2253039.3163000001</v>
      </c>
    </row>
    <row r="604" spans="1:39" x14ac:dyDescent="0.3">
      <c r="A604" s="39">
        <v>45966.25</v>
      </c>
      <c r="B604" s="1">
        <v>1417.18</v>
      </c>
      <c r="C604" s="11">
        <v>3.2732000000000001</v>
      </c>
      <c r="D604" s="1">
        <v>675.36</v>
      </c>
      <c r="E604" s="11">
        <v>3.0760000000000001</v>
      </c>
      <c r="F604" s="1">
        <v>370.67</v>
      </c>
      <c r="G604" s="11">
        <v>3.53</v>
      </c>
      <c r="H604" s="1">
        <v>-180.11</v>
      </c>
      <c r="I604" s="11">
        <v>4.2613500000000002</v>
      </c>
      <c r="J604" s="1">
        <v>91.39</v>
      </c>
      <c r="K604" s="11">
        <v>3.7010100000000001</v>
      </c>
      <c r="L604" s="1">
        <v>0</v>
      </c>
      <c r="M604" s="11">
        <v>6.2</v>
      </c>
      <c r="N604" s="1">
        <v>28.81</v>
      </c>
      <c r="O604" s="11">
        <v>2.8224999999999998</v>
      </c>
      <c r="P604" s="1">
        <f t="shared" si="112"/>
        <v>2403.2999999999997</v>
      </c>
      <c r="Q604" s="1">
        <v>2364.5100000000002</v>
      </c>
      <c r="R604" s="16">
        <f t="shared" si="113"/>
        <v>1919156.4541</v>
      </c>
      <c r="S604" s="1">
        <v>-733.07</v>
      </c>
      <c r="T604" s="1">
        <v>35.86</v>
      </c>
      <c r="U604" s="1">
        <v>12</v>
      </c>
      <c r="V604" s="1">
        <v>0</v>
      </c>
      <c r="W604" s="1" cm="1">
        <f t="array" ref="W604">SUM(ABS(S604:V604))</f>
        <v>780.93000000000006</v>
      </c>
      <c r="X604" s="25">
        <v>1.238</v>
      </c>
      <c r="Y604" s="42">
        <f t="shared" si="114"/>
        <v>241697.83500000002</v>
      </c>
      <c r="Z604" s="20">
        <v>467.66999999999996</v>
      </c>
      <c r="AA604" s="20">
        <f t="shared" si="115"/>
        <v>1248.5999999999999</v>
      </c>
      <c r="AB604" s="21">
        <v>0.35000000000000003</v>
      </c>
      <c r="AC604" s="21">
        <v>4.9700000000000006</v>
      </c>
      <c r="AD604" s="8">
        <f t="shared" si="116"/>
        <v>472.99</v>
      </c>
      <c r="AE604" s="25">
        <v>1.238</v>
      </c>
      <c r="AF604" s="25">
        <f t="shared" si="117"/>
        <v>146390.40500000003</v>
      </c>
      <c r="AG604" s="25">
        <f t="shared" si="118"/>
        <v>388088.24000000005</v>
      </c>
      <c r="AH604" s="1">
        <f t="shared" si="108"/>
        <v>2876.29</v>
      </c>
      <c r="AI604" s="1">
        <f t="shared" si="109"/>
        <v>2837.5</v>
      </c>
      <c r="AJ604" s="1">
        <v>3633.24</v>
      </c>
      <c r="AK604" s="1">
        <f t="shared" si="110"/>
        <v>-756.94999999999982</v>
      </c>
      <c r="AL604" s="29">
        <f t="shared" si="119"/>
        <v>795.73999999999978</v>
      </c>
      <c r="AM604" s="11">
        <f t="shared" si="111"/>
        <v>2307244.6941</v>
      </c>
    </row>
    <row r="605" spans="1:39" x14ac:dyDescent="0.3">
      <c r="A605" s="39">
        <v>45966.260416666664</v>
      </c>
      <c r="B605" s="1">
        <v>1418.22</v>
      </c>
      <c r="C605" s="11">
        <v>3.2732000000000001</v>
      </c>
      <c r="D605" s="1">
        <v>647.46</v>
      </c>
      <c r="E605" s="11">
        <v>3.0760000000000001</v>
      </c>
      <c r="F605" s="1">
        <v>398.57</v>
      </c>
      <c r="G605" s="11">
        <v>3.53</v>
      </c>
      <c r="H605" s="1">
        <v>-179.97</v>
      </c>
      <c r="I605" s="11">
        <v>3.9907300000000001</v>
      </c>
      <c r="J605" s="1">
        <v>61.33</v>
      </c>
      <c r="K605" s="11">
        <v>3.56291</v>
      </c>
      <c r="L605" s="1">
        <v>0</v>
      </c>
      <c r="M605" s="11">
        <v>6.2</v>
      </c>
      <c r="N605" s="1">
        <v>35.61</v>
      </c>
      <c r="O605" s="11">
        <v>2.8224999999999998</v>
      </c>
      <c r="P605" s="1">
        <f t="shared" si="112"/>
        <v>2381.2200000000007</v>
      </c>
      <c r="Q605" s="1">
        <v>2336.21</v>
      </c>
      <c r="R605" s="16">
        <f t="shared" si="113"/>
        <v>1910366.8953000002</v>
      </c>
      <c r="S605" s="1">
        <v>-729.5</v>
      </c>
      <c r="T605" s="1">
        <v>35.89</v>
      </c>
      <c r="U605" s="1">
        <v>12</v>
      </c>
      <c r="V605" s="1">
        <v>0</v>
      </c>
      <c r="W605" s="1" cm="1">
        <f t="array" ref="W605">SUM(ABS(S605:V605))</f>
        <v>777.39</v>
      </c>
      <c r="X605" s="25">
        <v>1.238</v>
      </c>
      <c r="Y605" s="42">
        <f t="shared" si="114"/>
        <v>240602.20499999999</v>
      </c>
      <c r="Z605" s="20">
        <v>466.43</v>
      </c>
      <c r="AA605" s="20">
        <f t="shared" si="115"/>
        <v>1243.82</v>
      </c>
      <c r="AB605" s="21">
        <v>2.5599999999999996</v>
      </c>
      <c r="AC605" s="21">
        <v>3.13</v>
      </c>
      <c r="AD605" s="8">
        <f t="shared" si="116"/>
        <v>472.12</v>
      </c>
      <c r="AE605" s="25">
        <v>1.238</v>
      </c>
      <c r="AF605" s="25">
        <f t="shared" si="117"/>
        <v>146121.13999999998</v>
      </c>
      <c r="AG605" s="25">
        <f t="shared" si="118"/>
        <v>386723.34499999997</v>
      </c>
      <c r="AH605" s="1">
        <f t="shared" si="108"/>
        <v>2853.3400000000006</v>
      </c>
      <c r="AI605" s="1">
        <f t="shared" si="109"/>
        <v>2808.33</v>
      </c>
      <c r="AJ605" s="1">
        <v>3603.25</v>
      </c>
      <c r="AK605" s="1">
        <f t="shared" si="110"/>
        <v>-749.9099999999994</v>
      </c>
      <c r="AL605" s="29">
        <f t="shared" si="119"/>
        <v>794.92000000000007</v>
      </c>
      <c r="AM605" s="11">
        <f t="shared" si="111"/>
        <v>2297090.2403000002</v>
      </c>
    </row>
    <row r="606" spans="1:39" x14ac:dyDescent="0.3">
      <c r="A606" s="39">
        <v>45966.270833333336</v>
      </c>
      <c r="B606" s="1">
        <v>1419.56</v>
      </c>
      <c r="C606" s="11">
        <v>3.2732000000000001</v>
      </c>
      <c r="D606" s="1">
        <v>647.46</v>
      </c>
      <c r="E606" s="11">
        <v>3.0760000000000001</v>
      </c>
      <c r="F606" s="1">
        <v>398.57</v>
      </c>
      <c r="G606" s="11">
        <v>3.53</v>
      </c>
      <c r="H606" s="1">
        <v>-179.97</v>
      </c>
      <c r="I606" s="11">
        <v>3.8370799999999998</v>
      </c>
      <c r="J606" s="1">
        <v>69.069999999999993</v>
      </c>
      <c r="K606" s="11">
        <v>3.0004899999999997</v>
      </c>
      <c r="L606" s="1">
        <v>0</v>
      </c>
      <c r="M606" s="11">
        <v>6.2</v>
      </c>
      <c r="N606" s="1">
        <v>44.14</v>
      </c>
      <c r="O606" s="11">
        <v>2.8224999999999998</v>
      </c>
      <c r="P606" s="1">
        <f t="shared" si="112"/>
        <v>2398.8300000000004</v>
      </c>
      <c r="Q606" s="1">
        <v>2288.5300000000002</v>
      </c>
      <c r="R606" s="16">
        <f t="shared" si="113"/>
        <v>1921578.1396750002</v>
      </c>
      <c r="S606" s="1">
        <v>-723.9</v>
      </c>
      <c r="T606" s="1">
        <v>35.880000000000003</v>
      </c>
      <c r="U606" s="1">
        <v>12</v>
      </c>
      <c r="V606" s="1">
        <v>0</v>
      </c>
      <c r="W606" s="1" cm="1">
        <f t="array" ref="W606">SUM(ABS(S606:V606))</f>
        <v>771.78</v>
      </c>
      <c r="X606" s="25">
        <v>1.238</v>
      </c>
      <c r="Y606" s="42">
        <f t="shared" si="114"/>
        <v>238865.90999999997</v>
      </c>
      <c r="Z606" s="20">
        <v>466.37999999999994</v>
      </c>
      <c r="AA606" s="20">
        <f t="shared" si="115"/>
        <v>1238.1599999999999</v>
      </c>
      <c r="AB606" s="21">
        <v>8.5199999999999978</v>
      </c>
      <c r="AC606" s="21">
        <v>2.6900000000000004</v>
      </c>
      <c r="AD606" s="8">
        <f t="shared" si="116"/>
        <v>477.58999999999992</v>
      </c>
      <c r="AE606" s="25">
        <v>1.238</v>
      </c>
      <c r="AF606" s="25">
        <f t="shared" si="117"/>
        <v>147814.10499999998</v>
      </c>
      <c r="AG606" s="25">
        <f t="shared" si="118"/>
        <v>386680.01499999996</v>
      </c>
      <c r="AH606" s="1">
        <f t="shared" si="108"/>
        <v>2876.42</v>
      </c>
      <c r="AI606" s="1">
        <f t="shared" si="109"/>
        <v>2766.12</v>
      </c>
      <c r="AJ606" s="1">
        <v>3551.52</v>
      </c>
      <c r="AK606" s="1">
        <f t="shared" si="110"/>
        <v>-675.09999999999991</v>
      </c>
      <c r="AL606" s="29">
        <f t="shared" si="119"/>
        <v>785.40000000000009</v>
      </c>
      <c r="AM606" s="11">
        <f t="shared" si="111"/>
        <v>2308258.1546750003</v>
      </c>
    </row>
    <row r="607" spans="1:39" x14ac:dyDescent="0.3">
      <c r="A607" s="39">
        <v>45966.28125</v>
      </c>
      <c r="B607" s="1">
        <v>1419.74</v>
      </c>
      <c r="C607" s="11">
        <v>3.2732000000000001</v>
      </c>
      <c r="D607" s="1">
        <v>647.46</v>
      </c>
      <c r="E607" s="11">
        <v>3.0760000000000001</v>
      </c>
      <c r="F607" s="1">
        <v>398.57</v>
      </c>
      <c r="G607" s="11">
        <v>3.53</v>
      </c>
      <c r="H607" s="1">
        <v>-164.26</v>
      </c>
      <c r="I607" s="11">
        <v>3.56535</v>
      </c>
      <c r="J607" s="1">
        <v>59.83</v>
      </c>
      <c r="K607" s="11">
        <v>3.0153000000000003</v>
      </c>
      <c r="L607" s="1">
        <v>0</v>
      </c>
      <c r="M607" s="11">
        <v>6.2</v>
      </c>
      <c r="N607" s="1">
        <v>56.17</v>
      </c>
      <c r="O607" s="11">
        <v>2.8224999999999998</v>
      </c>
      <c r="P607" s="1">
        <f t="shared" si="112"/>
        <v>2417.5100000000002</v>
      </c>
      <c r="Q607" s="1">
        <v>2293.14</v>
      </c>
      <c r="R607" s="16">
        <f t="shared" si="113"/>
        <v>1949733.2152500001</v>
      </c>
      <c r="S607" s="1">
        <v>-673.19</v>
      </c>
      <c r="T607" s="1">
        <v>35.869999999999997</v>
      </c>
      <c r="U607" s="1">
        <v>12</v>
      </c>
      <c r="V607" s="1">
        <v>0</v>
      </c>
      <c r="W607" s="1" cm="1">
        <f t="array" ref="W607">SUM(ABS(S607:V607))</f>
        <v>721.06000000000006</v>
      </c>
      <c r="X607" s="25">
        <v>1.238</v>
      </c>
      <c r="Y607" s="42">
        <f t="shared" si="114"/>
        <v>223168.07000000004</v>
      </c>
      <c r="Z607" s="20">
        <v>437.18000000000006</v>
      </c>
      <c r="AA607" s="20">
        <f t="shared" si="115"/>
        <v>1158.2400000000002</v>
      </c>
      <c r="AB607" s="21">
        <v>16.38</v>
      </c>
      <c r="AC607" s="21">
        <v>2.2599999999999998</v>
      </c>
      <c r="AD607" s="8">
        <f t="shared" si="116"/>
        <v>455.82000000000005</v>
      </c>
      <c r="AE607" s="25">
        <v>1.238</v>
      </c>
      <c r="AF607" s="25">
        <f t="shared" si="117"/>
        <v>141076.29</v>
      </c>
      <c r="AG607" s="25">
        <f t="shared" si="118"/>
        <v>364244.36000000004</v>
      </c>
      <c r="AH607" s="1">
        <f t="shared" si="108"/>
        <v>2873.3300000000004</v>
      </c>
      <c r="AI607" s="1">
        <f t="shared" si="109"/>
        <v>2748.96</v>
      </c>
      <c r="AJ607" s="1">
        <v>3487.03</v>
      </c>
      <c r="AK607" s="1">
        <f t="shared" si="110"/>
        <v>-613.69999999999982</v>
      </c>
      <c r="AL607" s="29">
        <f t="shared" si="119"/>
        <v>738.07000000000016</v>
      </c>
      <c r="AM607" s="11">
        <f t="shared" si="111"/>
        <v>2313977.5752500002</v>
      </c>
    </row>
    <row r="608" spans="1:39" x14ac:dyDescent="0.3">
      <c r="A608" s="39">
        <v>45966.291666666664</v>
      </c>
      <c r="B608" s="1">
        <v>1406.36</v>
      </c>
      <c r="C608" s="11">
        <v>3.2732000000000001</v>
      </c>
      <c r="D608" s="1">
        <v>647.46</v>
      </c>
      <c r="E608" s="11">
        <v>3.0760000000000001</v>
      </c>
      <c r="F608" s="1">
        <v>398.57</v>
      </c>
      <c r="G608" s="11">
        <v>3.53</v>
      </c>
      <c r="H608" s="1">
        <v>-135.13999999999999</v>
      </c>
      <c r="I608" s="11">
        <v>3.4511700000000003</v>
      </c>
      <c r="J608" s="1">
        <v>56.34</v>
      </c>
      <c r="K608" s="11">
        <v>2.4996799999999997</v>
      </c>
      <c r="L608" s="1">
        <v>0</v>
      </c>
      <c r="M608" s="11">
        <v>6.2</v>
      </c>
      <c r="N608" s="1">
        <v>66.83</v>
      </c>
      <c r="O608" s="11">
        <v>2.8224999999999998</v>
      </c>
      <c r="P608" s="1">
        <f t="shared" si="112"/>
        <v>2440.42</v>
      </c>
      <c r="Q608" s="1">
        <v>2308.98</v>
      </c>
      <c r="R608" s="16">
        <f t="shared" si="113"/>
        <v>1966226.2861000001</v>
      </c>
      <c r="S608" s="1">
        <v>-642.54999999999995</v>
      </c>
      <c r="T608" s="1">
        <v>35.9</v>
      </c>
      <c r="U608" s="1">
        <v>12</v>
      </c>
      <c r="V608" s="1">
        <v>0</v>
      </c>
      <c r="W608" s="1" cm="1">
        <f t="array" ref="W608">SUM(ABS(S608:V608))</f>
        <v>690.44999999999993</v>
      </c>
      <c r="X608" s="25">
        <v>1.238</v>
      </c>
      <c r="Y608" s="42">
        <f t="shared" si="114"/>
        <v>213694.27499999997</v>
      </c>
      <c r="Z608" s="20">
        <v>403.73</v>
      </c>
      <c r="AA608" s="20">
        <f t="shared" si="115"/>
        <v>1094.1799999999998</v>
      </c>
      <c r="AB608" s="21">
        <v>27.970000000000002</v>
      </c>
      <c r="AC608" s="21">
        <v>1.46</v>
      </c>
      <c r="AD608" s="8">
        <f t="shared" si="116"/>
        <v>433.16</v>
      </c>
      <c r="AE608" s="25">
        <v>1.238</v>
      </c>
      <c r="AF608" s="25">
        <f t="shared" si="117"/>
        <v>134063.01999999999</v>
      </c>
      <c r="AG608" s="25">
        <f t="shared" si="118"/>
        <v>347757.29499999993</v>
      </c>
      <c r="AH608" s="1">
        <f t="shared" si="108"/>
        <v>2873.58</v>
      </c>
      <c r="AI608" s="1">
        <f t="shared" si="109"/>
        <v>2742.14</v>
      </c>
      <c r="AJ608" s="1">
        <v>3447.07</v>
      </c>
      <c r="AK608" s="1">
        <f t="shared" si="110"/>
        <v>-573.49000000000024</v>
      </c>
      <c r="AL608" s="29">
        <f t="shared" si="119"/>
        <v>704.93000000000029</v>
      </c>
      <c r="AM608" s="11">
        <f t="shared" si="111"/>
        <v>2313983.5811000001</v>
      </c>
    </row>
    <row r="609" spans="1:39" x14ac:dyDescent="0.3">
      <c r="A609" s="39">
        <v>45966.302083333336</v>
      </c>
      <c r="B609" s="1">
        <v>1381.91</v>
      </c>
      <c r="C609" s="11">
        <v>3.2732000000000001</v>
      </c>
      <c r="D609" s="1">
        <v>647.46</v>
      </c>
      <c r="E609" s="11">
        <v>3.0760000000000001</v>
      </c>
      <c r="F609" s="1">
        <v>398.57</v>
      </c>
      <c r="G609" s="11">
        <v>3.53</v>
      </c>
      <c r="H609" s="1">
        <v>-115.98</v>
      </c>
      <c r="I609" s="11">
        <v>3.2508400000000002</v>
      </c>
      <c r="J609" s="1">
        <v>54.5</v>
      </c>
      <c r="K609" s="11">
        <v>2.49966</v>
      </c>
      <c r="L609" s="1">
        <v>0</v>
      </c>
      <c r="M609" s="11">
        <v>6.2</v>
      </c>
      <c r="N609" s="1">
        <v>93.94</v>
      </c>
      <c r="O609" s="11">
        <v>2.8224999999999998</v>
      </c>
      <c r="P609" s="1">
        <f t="shared" si="112"/>
        <v>2460.4</v>
      </c>
      <c r="Q609" s="1">
        <v>2316.39</v>
      </c>
      <c r="R609" s="16">
        <f t="shared" si="113"/>
        <v>1986537.8922000001</v>
      </c>
      <c r="S609" s="1">
        <v>-600.27</v>
      </c>
      <c r="T609" s="1">
        <v>35.9</v>
      </c>
      <c r="U609" s="1">
        <v>12</v>
      </c>
      <c r="V609" s="1">
        <v>0</v>
      </c>
      <c r="W609" s="1" cm="1">
        <f t="array" ref="W609">SUM(ABS(S609:V609))</f>
        <v>648.16999999999996</v>
      </c>
      <c r="X609" s="25">
        <v>1.238</v>
      </c>
      <c r="Y609" s="42">
        <f t="shared" si="114"/>
        <v>200608.61499999999</v>
      </c>
      <c r="Z609" s="20">
        <v>381.61</v>
      </c>
      <c r="AA609" s="20">
        <f t="shared" si="115"/>
        <v>1029.78</v>
      </c>
      <c r="AB609" s="21">
        <v>41.59</v>
      </c>
      <c r="AC609" s="21">
        <v>0.95</v>
      </c>
      <c r="AD609" s="8">
        <f t="shared" si="116"/>
        <v>424.15000000000003</v>
      </c>
      <c r="AE609" s="25">
        <v>1.238</v>
      </c>
      <c r="AF609" s="25">
        <f t="shared" si="117"/>
        <v>131274.42500000002</v>
      </c>
      <c r="AG609" s="25">
        <f t="shared" si="118"/>
        <v>331883.04000000004</v>
      </c>
      <c r="AH609" s="1">
        <f t="shared" si="108"/>
        <v>2884.55</v>
      </c>
      <c r="AI609" s="1">
        <f t="shared" si="109"/>
        <v>2740.54</v>
      </c>
      <c r="AJ609" s="1">
        <v>3406.62</v>
      </c>
      <c r="AK609" s="1">
        <f t="shared" si="110"/>
        <v>-522.06999999999971</v>
      </c>
      <c r="AL609" s="29">
        <f t="shared" si="119"/>
        <v>666.07999999999993</v>
      </c>
      <c r="AM609" s="11">
        <f t="shared" si="111"/>
        <v>2318420.9322000002</v>
      </c>
    </row>
    <row r="610" spans="1:39" x14ac:dyDescent="0.3">
      <c r="A610" s="39">
        <v>45966.3125</v>
      </c>
      <c r="B610" s="1">
        <v>1357.41</v>
      </c>
      <c r="C610" s="11">
        <v>3.2732000000000001</v>
      </c>
      <c r="D610" s="1">
        <v>647.46</v>
      </c>
      <c r="E610" s="11">
        <v>3.0760000000000001</v>
      </c>
      <c r="F610" s="1">
        <v>398.57</v>
      </c>
      <c r="G610" s="11">
        <v>3.53</v>
      </c>
      <c r="H610" s="1">
        <v>52.78</v>
      </c>
      <c r="I610" s="11">
        <v>2.9717199999999999</v>
      </c>
      <c r="J610" s="1">
        <v>54.5</v>
      </c>
      <c r="K610" s="11">
        <v>1.5194400000000001</v>
      </c>
      <c r="L610" s="1">
        <v>0</v>
      </c>
      <c r="M610" s="11">
        <v>6.2</v>
      </c>
      <c r="N610" s="1">
        <v>121.6</v>
      </c>
      <c r="O610" s="11">
        <v>2.8224999999999998</v>
      </c>
      <c r="P610" s="1">
        <f t="shared" si="112"/>
        <v>2632.32</v>
      </c>
      <c r="Q610" s="1">
        <v>2542.3000000000002</v>
      </c>
      <c r="R610" s="16">
        <f t="shared" si="113"/>
        <v>2106121.5833999999</v>
      </c>
      <c r="S610" s="1">
        <v>-290.33</v>
      </c>
      <c r="T610" s="1">
        <v>35.9</v>
      </c>
      <c r="U610" s="1">
        <v>12</v>
      </c>
      <c r="V610" s="1">
        <v>0</v>
      </c>
      <c r="W610" s="1" cm="1">
        <f t="array" ref="W610">SUM(ABS(S610:V610))</f>
        <v>338.22999999999996</v>
      </c>
      <c r="X610" s="25">
        <v>1.238</v>
      </c>
      <c r="Y610" s="42">
        <f t="shared" si="114"/>
        <v>104682.18499999998</v>
      </c>
      <c r="Z610" s="20">
        <v>377.55</v>
      </c>
      <c r="AA610" s="20">
        <f t="shared" si="115"/>
        <v>715.78</v>
      </c>
      <c r="AB610" s="21">
        <v>56.08</v>
      </c>
      <c r="AC610" s="21">
        <v>1.1000000000000001</v>
      </c>
      <c r="AD610" s="8">
        <f t="shared" si="116"/>
        <v>434.73</v>
      </c>
      <c r="AE610" s="25">
        <v>1.238</v>
      </c>
      <c r="AF610" s="25">
        <f t="shared" si="117"/>
        <v>134548.935</v>
      </c>
      <c r="AG610" s="25">
        <f t="shared" si="118"/>
        <v>239231.12</v>
      </c>
      <c r="AH610" s="1">
        <f t="shared" si="108"/>
        <v>3067.05</v>
      </c>
      <c r="AI610" s="1">
        <f t="shared" si="109"/>
        <v>2977.03</v>
      </c>
      <c r="AJ610" s="1">
        <v>3336.03</v>
      </c>
      <c r="AK610" s="1">
        <f t="shared" si="110"/>
        <v>-268.98</v>
      </c>
      <c r="AL610" s="29">
        <f t="shared" si="119"/>
        <v>359</v>
      </c>
      <c r="AM610" s="11">
        <f t="shared" si="111"/>
        <v>2345352.7034</v>
      </c>
    </row>
    <row r="611" spans="1:39" x14ac:dyDescent="0.3">
      <c r="A611" s="39">
        <v>45966.322916666664</v>
      </c>
      <c r="B611" s="1">
        <v>1272.45</v>
      </c>
      <c r="C611" s="11">
        <v>3.2732000000000001</v>
      </c>
      <c r="D611" s="1">
        <v>647.46</v>
      </c>
      <c r="E611" s="11">
        <v>3.0760000000000001</v>
      </c>
      <c r="F611" s="1">
        <v>398.57</v>
      </c>
      <c r="G611" s="11">
        <v>3.53</v>
      </c>
      <c r="H611" s="1">
        <v>65.39</v>
      </c>
      <c r="I611" s="11">
        <v>2.7505199999999999</v>
      </c>
      <c r="J611" s="1">
        <v>54.5</v>
      </c>
      <c r="K611" s="11">
        <v>1.51955</v>
      </c>
      <c r="L611" s="1">
        <v>0</v>
      </c>
      <c r="M611" s="11">
        <v>6.2</v>
      </c>
      <c r="N611" s="1">
        <v>148.26</v>
      </c>
      <c r="O611" s="11">
        <v>2.8224999999999998</v>
      </c>
      <c r="P611" s="1">
        <f t="shared" si="112"/>
        <v>2586.63</v>
      </c>
      <c r="Q611" s="1">
        <v>2594.7199999999998</v>
      </c>
      <c r="R611" s="16">
        <f t="shared" si="113"/>
        <v>2061164.5569500006</v>
      </c>
      <c r="S611" s="1">
        <v>-203.43</v>
      </c>
      <c r="T611" s="1">
        <v>35.880000000000003</v>
      </c>
      <c r="U611" s="1">
        <v>12</v>
      </c>
      <c r="V611" s="1">
        <v>0</v>
      </c>
      <c r="W611" s="1" cm="1">
        <f t="array" ref="W611">SUM(ABS(S611:V611))</f>
        <v>251.31</v>
      </c>
      <c r="X611" s="25">
        <v>1.238</v>
      </c>
      <c r="Y611" s="42">
        <f t="shared" si="114"/>
        <v>77780.445000000007</v>
      </c>
      <c r="Z611" s="20">
        <v>332.68</v>
      </c>
      <c r="AA611" s="20">
        <f t="shared" si="115"/>
        <v>583.99</v>
      </c>
      <c r="AB611" s="21">
        <v>71.429999999999993</v>
      </c>
      <c r="AC611" s="21">
        <v>2.1800000000000002</v>
      </c>
      <c r="AD611" s="8">
        <f t="shared" si="116"/>
        <v>406.29</v>
      </c>
      <c r="AE611" s="25">
        <v>1.238</v>
      </c>
      <c r="AF611" s="25">
        <f t="shared" si="117"/>
        <v>125746.755</v>
      </c>
      <c r="AG611" s="25">
        <f t="shared" si="118"/>
        <v>203527.2</v>
      </c>
      <c r="AH611" s="1">
        <f t="shared" si="108"/>
        <v>2992.92</v>
      </c>
      <c r="AI611" s="1">
        <f t="shared" si="109"/>
        <v>3001.0099999999998</v>
      </c>
      <c r="AJ611" s="1">
        <v>3265.12</v>
      </c>
      <c r="AK611" s="1">
        <f t="shared" si="110"/>
        <v>-272.19999999999982</v>
      </c>
      <c r="AL611" s="29">
        <f t="shared" si="119"/>
        <v>264.11000000000013</v>
      </c>
      <c r="AM611" s="11">
        <f t="shared" si="111"/>
        <v>2264691.7569500008</v>
      </c>
    </row>
    <row r="612" spans="1:39" x14ac:dyDescent="0.3">
      <c r="A612" s="39">
        <v>45966.333333333336</v>
      </c>
      <c r="B612" s="1">
        <v>1194.67</v>
      </c>
      <c r="C612" s="11">
        <v>3.2732000000000001</v>
      </c>
      <c r="D612" s="1">
        <v>657.11</v>
      </c>
      <c r="E612" s="11">
        <v>3.0760000000000001</v>
      </c>
      <c r="F612" s="1">
        <v>398.57</v>
      </c>
      <c r="G612" s="11">
        <v>3.53</v>
      </c>
      <c r="H612" s="1">
        <v>99.41</v>
      </c>
      <c r="I612" s="11">
        <v>2.0007199999999998</v>
      </c>
      <c r="J612" s="1">
        <v>25.33</v>
      </c>
      <c r="K612" s="11">
        <v>2.64011</v>
      </c>
      <c r="L612" s="1">
        <v>0</v>
      </c>
      <c r="M612" s="11">
        <v>6.2</v>
      </c>
      <c r="N612" s="1">
        <v>179.72</v>
      </c>
      <c r="O612" s="11">
        <v>2.8224999999999998</v>
      </c>
      <c r="P612" s="1">
        <f t="shared" si="112"/>
        <v>2554.81</v>
      </c>
      <c r="Q612" s="1">
        <v>2552.2399999999998</v>
      </c>
      <c r="R612" s="16">
        <f t="shared" si="113"/>
        <v>2027910.3913750004</v>
      </c>
      <c r="S612" s="1">
        <v>-173.6</v>
      </c>
      <c r="T612" s="1">
        <v>35.9</v>
      </c>
      <c r="U612" s="1">
        <v>12</v>
      </c>
      <c r="V612" s="1">
        <v>0</v>
      </c>
      <c r="W612" s="1" cm="1">
        <f t="array" ref="W612">SUM(ABS(S612:V612))</f>
        <v>221.5</v>
      </c>
      <c r="X612" s="25">
        <v>1.238</v>
      </c>
      <c r="Y612" s="42">
        <f t="shared" si="114"/>
        <v>68554.25</v>
      </c>
      <c r="Z612" s="20">
        <v>317.65000000000003</v>
      </c>
      <c r="AA612" s="20">
        <f t="shared" si="115"/>
        <v>539.15000000000009</v>
      </c>
      <c r="AB612" s="21">
        <v>86.309999999999988</v>
      </c>
      <c r="AC612" s="21">
        <v>2.5999999999999996</v>
      </c>
      <c r="AD612" s="8">
        <f t="shared" si="116"/>
        <v>406.56000000000006</v>
      </c>
      <c r="AE612" s="25">
        <v>1.238</v>
      </c>
      <c r="AF612" s="25">
        <f t="shared" si="117"/>
        <v>125830.32000000002</v>
      </c>
      <c r="AG612" s="25">
        <f t="shared" si="118"/>
        <v>194384.57</v>
      </c>
      <c r="AH612" s="1">
        <f t="shared" si="108"/>
        <v>2961.37</v>
      </c>
      <c r="AI612" s="1">
        <f t="shared" si="109"/>
        <v>2958.7999999999997</v>
      </c>
      <c r="AJ612" s="1">
        <v>3192.19</v>
      </c>
      <c r="AK612" s="1">
        <f t="shared" si="110"/>
        <v>-230.82000000000016</v>
      </c>
      <c r="AL612" s="29">
        <f t="shared" si="119"/>
        <v>233.39000000000033</v>
      </c>
      <c r="AM612" s="11">
        <f t="shared" si="111"/>
        <v>2222294.9613750004</v>
      </c>
    </row>
    <row r="613" spans="1:39" x14ac:dyDescent="0.3">
      <c r="A613" s="39">
        <v>45966.34375</v>
      </c>
      <c r="B613" s="1">
        <v>1087.92</v>
      </c>
      <c r="C613" s="11">
        <v>3.2732000000000001</v>
      </c>
      <c r="D613" s="1">
        <v>657.84</v>
      </c>
      <c r="E613" s="11">
        <v>3.0760000000000001</v>
      </c>
      <c r="F613" s="1">
        <v>398.57</v>
      </c>
      <c r="G613" s="11">
        <v>3.53</v>
      </c>
      <c r="H613" s="1">
        <v>101.7</v>
      </c>
      <c r="I613" s="11">
        <v>1.99956</v>
      </c>
      <c r="J613" s="1">
        <v>23.32</v>
      </c>
      <c r="K613" s="11">
        <v>2.6403699999999999</v>
      </c>
      <c r="L613" s="1">
        <v>0</v>
      </c>
      <c r="M613" s="11">
        <v>6.2</v>
      </c>
      <c r="N613" s="1">
        <v>214.91</v>
      </c>
      <c r="O613" s="11">
        <v>2.8224999999999998</v>
      </c>
      <c r="P613" s="1">
        <f t="shared" si="112"/>
        <v>2484.2600000000002</v>
      </c>
      <c r="Q613" s="1">
        <v>2478.04</v>
      </c>
      <c r="R613" s="16">
        <f t="shared" si="113"/>
        <v>1965739.9598500002</v>
      </c>
      <c r="S613" s="1">
        <v>-184.46</v>
      </c>
      <c r="T613" s="1">
        <v>35.92</v>
      </c>
      <c r="U613" s="1">
        <v>12</v>
      </c>
      <c r="V613" s="1">
        <v>0</v>
      </c>
      <c r="W613" s="1" cm="1">
        <f t="array" ref="W613">SUM(ABS(S613:V613))</f>
        <v>232.38</v>
      </c>
      <c r="X613" s="25">
        <v>1.238</v>
      </c>
      <c r="Y613" s="42">
        <f t="shared" si="114"/>
        <v>71921.61</v>
      </c>
      <c r="Z613" s="20">
        <v>323.64000000000004</v>
      </c>
      <c r="AA613" s="20">
        <f t="shared" si="115"/>
        <v>556.02</v>
      </c>
      <c r="AB613" s="21">
        <v>98.719999999999985</v>
      </c>
      <c r="AC613" s="21">
        <v>3.29</v>
      </c>
      <c r="AD613" s="8">
        <f t="shared" si="116"/>
        <v>425.65000000000003</v>
      </c>
      <c r="AE613" s="25">
        <v>1.238</v>
      </c>
      <c r="AF613" s="25">
        <f t="shared" si="117"/>
        <v>131738.67499999999</v>
      </c>
      <c r="AG613" s="25">
        <f t="shared" si="118"/>
        <v>203660.28499999997</v>
      </c>
      <c r="AH613" s="1">
        <f t="shared" si="108"/>
        <v>2909.9100000000003</v>
      </c>
      <c r="AI613" s="1">
        <f t="shared" si="109"/>
        <v>2903.69</v>
      </c>
      <c r="AJ613" s="1">
        <v>3151.54</v>
      </c>
      <c r="AK613" s="1">
        <f t="shared" si="110"/>
        <v>-241.62999999999965</v>
      </c>
      <c r="AL613" s="29">
        <f t="shared" si="119"/>
        <v>247.84999999999991</v>
      </c>
      <c r="AM613" s="11">
        <f t="shared" si="111"/>
        <v>2169400.2448500004</v>
      </c>
    </row>
    <row r="614" spans="1:39" x14ac:dyDescent="0.3">
      <c r="A614" s="39">
        <v>45966.354166666664</v>
      </c>
      <c r="B614" s="1">
        <v>995.17</v>
      </c>
      <c r="C614" s="11">
        <v>3.2732000000000001</v>
      </c>
      <c r="D614" s="1">
        <v>657.84</v>
      </c>
      <c r="E614" s="11">
        <v>3.0760000000000001</v>
      </c>
      <c r="F614" s="1">
        <v>398.57</v>
      </c>
      <c r="G614" s="11">
        <v>3.53</v>
      </c>
      <c r="H614" s="1">
        <v>102.4</v>
      </c>
      <c r="I614" s="11">
        <v>1.76959</v>
      </c>
      <c r="J614" s="1">
        <v>28.83</v>
      </c>
      <c r="K614" s="11">
        <v>2.0554099999999997</v>
      </c>
      <c r="L614" s="1">
        <v>0</v>
      </c>
      <c r="M614" s="11">
        <v>6.2</v>
      </c>
      <c r="N614" s="1">
        <v>248.37</v>
      </c>
      <c r="O614" s="11">
        <v>2.8224999999999998</v>
      </c>
      <c r="P614" s="1">
        <f t="shared" si="112"/>
        <v>2431.1799999999998</v>
      </c>
      <c r="Q614" s="1">
        <v>2409.59</v>
      </c>
      <c r="R614" s="16">
        <f t="shared" si="113"/>
        <v>1907336.5488250004</v>
      </c>
      <c r="S614" s="1">
        <v>-221.51</v>
      </c>
      <c r="T614" s="1">
        <v>35.909999999999997</v>
      </c>
      <c r="U614" s="1">
        <v>12</v>
      </c>
      <c r="V614" s="1">
        <v>0</v>
      </c>
      <c r="W614" s="1" cm="1">
        <f t="array" ref="W614">SUM(ABS(S614:V614))</f>
        <v>269.41999999999996</v>
      </c>
      <c r="X614" s="25">
        <v>1.238</v>
      </c>
      <c r="Y614" s="42">
        <f t="shared" si="114"/>
        <v>83385.489999999991</v>
      </c>
      <c r="Z614" s="20">
        <v>282.37</v>
      </c>
      <c r="AA614" s="20">
        <f t="shared" si="115"/>
        <v>551.79</v>
      </c>
      <c r="AB614" s="21">
        <v>113.39999999999999</v>
      </c>
      <c r="AC614" s="21">
        <v>4.93</v>
      </c>
      <c r="AD614" s="8">
        <f t="shared" si="116"/>
        <v>400.7</v>
      </c>
      <c r="AE614" s="25">
        <v>1.238</v>
      </c>
      <c r="AF614" s="25">
        <f t="shared" si="117"/>
        <v>124016.65</v>
      </c>
      <c r="AG614" s="25">
        <f t="shared" si="118"/>
        <v>207402.13999999998</v>
      </c>
      <c r="AH614" s="1">
        <f t="shared" si="108"/>
        <v>2831.8799999999997</v>
      </c>
      <c r="AI614" s="1">
        <f t="shared" si="109"/>
        <v>2810.29</v>
      </c>
      <c r="AJ614" s="1">
        <v>3096.26</v>
      </c>
      <c r="AK614" s="1">
        <f t="shared" si="110"/>
        <v>-264.38000000000056</v>
      </c>
      <c r="AL614" s="29">
        <f t="shared" si="119"/>
        <v>285.97000000000025</v>
      </c>
      <c r="AM614" s="11">
        <f t="shared" si="111"/>
        <v>2114738.6888250005</v>
      </c>
    </row>
    <row r="615" spans="1:39" x14ac:dyDescent="0.3">
      <c r="A615" s="39">
        <v>45966.364583333336</v>
      </c>
      <c r="B615" s="1">
        <v>970.1</v>
      </c>
      <c r="C615" s="11">
        <v>3.2732000000000001</v>
      </c>
      <c r="D615" s="1">
        <v>657.84</v>
      </c>
      <c r="E615" s="11">
        <v>3.0760000000000001</v>
      </c>
      <c r="F615" s="1">
        <v>398.57</v>
      </c>
      <c r="G615" s="11">
        <v>3.53</v>
      </c>
      <c r="H615" s="1">
        <v>100.56</v>
      </c>
      <c r="I615" s="11">
        <v>1.73163</v>
      </c>
      <c r="J615" s="1">
        <v>29.21</v>
      </c>
      <c r="K615" s="11">
        <v>1.90622</v>
      </c>
      <c r="L615" s="1">
        <v>0</v>
      </c>
      <c r="M615" s="11">
        <v>6.2</v>
      </c>
      <c r="N615" s="1">
        <v>281.89</v>
      </c>
      <c r="O615" s="11">
        <v>2.8224999999999998</v>
      </c>
      <c r="P615" s="1">
        <f t="shared" si="112"/>
        <v>2438.17</v>
      </c>
      <c r="Q615" s="1">
        <v>2441</v>
      </c>
      <c r="R615" s="16">
        <f t="shared" si="113"/>
        <v>1907811.7959999999</v>
      </c>
      <c r="S615" s="1">
        <v>-114.25</v>
      </c>
      <c r="T615" s="1">
        <v>35.869999999999997</v>
      </c>
      <c r="U615" s="1">
        <v>12</v>
      </c>
      <c r="V615" s="1">
        <v>0</v>
      </c>
      <c r="W615" s="1" cm="1">
        <f t="array" ref="W615">SUM(ABS(S615:V615))</f>
        <v>162.12</v>
      </c>
      <c r="X615" s="25">
        <v>1.238</v>
      </c>
      <c r="Y615" s="42">
        <f t="shared" si="114"/>
        <v>50176.140000000007</v>
      </c>
      <c r="Z615" s="20">
        <v>294.99</v>
      </c>
      <c r="AA615" s="20">
        <f t="shared" si="115"/>
        <v>457.11</v>
      </c>
      <c r="AB615" s="21">
        <v>126.92999999999999</v>
      </c>
      <c r="AC615" s="21">
        <v>4.68</v>
      </c>
      <c r="AD615" s="8">
        <f t="shared" si="116"/>
        <v>426.6</v>
      </c>
      <c r="AE615" s="25">
        <v>1.238</v>
      </c>
      <c r="AF615" s="25">
        <f t="shared" si="117"/>
        <v>132032.70000000001</v>
      </c>
      <c r="AG615" s="25">
        <f t="shared" si="118"/>
        <v>182208.84000000003</v>
      </c>
      <c r="AH615" s="1">
        <f t="shared" si="108"/>
        <v>2864.77</v>
      </c>
      <c r="AI615" s="1">
        <f t="shared" si="109"/>
        <v>2867.6</v>
      </c>
      <c r="AJ615" s="1">
        <v>3047.07</v>
      </c>
      <c r="AK615" s="1">
        <f t="shared" si="110"/>
        <v>-182.30000000000018</v>
      </c>
      <c r="AL615" s="29">
        <f t="shared" si="119"/>
        <v>179.47000000000025</v>
      </c>
      <c r="AM615" s="11">
        <f t="shared" si="111"/>
        <v>2090020.6359999999</v>
      </c>
    </row>
    <row r="616" spans="1:39" x14ac:dyDescent="0.3">
      <c r="A616" s="39">
        <v>45966.375</v>
      </c>
      <c r="B616" s="1">
        <v>952.15</v>
      </c>
      <c r="C616" s="11">
        <v>3.2732000000000001</v>
      </c>
      <c r="D616" s="1">
        <v>657.84</v>
      </c>
      <c r="E616" s="11">
        <v>3.0760000000000001</v>
      </c>
      <c r="F616" s="1">
        <v>398.57</v>
      </c>
      <c r="G616" s="11">
        <v>3.53</v>
      </c>
      <c r="H616" s="1">
        <v>95.94</v>
      </c>
      <c r="I616" s="11">
        <v>1.69947</v>
      </c>
      <c r="J616" s="1">
        <v>28.76</v>
      </c>
      <c r="K616" s="11">
        <v>1.9991300000000001</v>
      </c>
      <c r="L616" s="1">
        <v>6.77</v>
      </c>
      <c r="M616" s="11">
        <v>6.2</v>
      </c>
      <c r="N616" s="1">
        <v>310.76</v>
      </c>
      <c r="O616" s="11">
        <v>2.8224999999999998</v>
      </c>
      <c r="P616" s="1">
        <f t="shared" si="112"/>
        <v>2450.79</v>
      </c>
      <c r="Q616" s="1">
        <v>2417.65</v>
      </c>
      <c r="R616" s="16">
        <f t="shared" si="113"/>
        <v>1921670.3876500006</v>
      </c>
      <c r="S616" s="1">
        <v>-81.86</v>
      </c>
      <c r="T616" s="1">
        <v>35.83</v>
      </c>
      <c r="U616" s="1">
        <v>12</v>
      </c>
      <c r="V616" s="1">
        <v>0</v>
      </c>
      <c r="W616" s="1" cm="1">
        <f t="array" ref="W616">SUM(ABS(S616:V616))</f>
        <v>129.69</v>
      </c>
      <c r="X616" s="25">
        <v>1.238</v>
      </c>
      <c r="Y616" s="42">
        <f t="shared" si="114"/>
        <v>40139.055</v>
      </c>
      <c r="Z616" s="20">
        <v>283.45999999999998</v>
      </c>
      <c r="AA616" s="20">
        <f t="shared" si="115"/>
        <v>413.15</v>
      </c>
      <c r="AB616" s="21">
        <v>138.25</v>
      </c>
      <c r="AC616" s="21">
        <v>5.4599999999999991</v>
      </c>
      <c r="AD616" s="8">
        <f t="shared" si="116"/>
        <v>427.16999999999996</v>
      </c>
      <c r="AE616" s="25">
        <v>1.238</v>
      </c>
      <c r="AF616" s="25">
        <f t="shared" si="117"/>
        <v>132209.11499999999</v>
      </c>
      <c r="AG616" s="25">
        <f t="shared" si="118"/>
        <v>172348.16999999998</v>
      </c>
      <c r="AH616" s="1">
        <f t="shared" si="108"/>
        <v>2877.96</v>
      </c>
      <c r="AI616" s="1">
        <f t="shared" si="109"/>
        <v>2844.82</v>
      </c>
      <c r="AJ616" s="1">
        <v>2989.57</v>
      </c>
      <c r="AK616" s="1">
        <f t="shared" si="110"/>
        <v>-111.61000000000013</v>
      </c>
      <c r="AL616" s="29">
        <f t="shared" si="119"/>
        <v>144.75</v>
      </c>
      <c r="AM616" s="11">
        <f t="shared" si="111"/>
        <v>2094018.5576500006</v>
      </c>
    </row>
    <row r="617" spans="1:39" x14ac:dyDescent="0.3">
      <c r="A617" s="39">
        <v>45966.385416666664</v>
      </c>
      <c r="B617" s="1">
        <v>758.85</v>
      </c>
      <c r="C617" s="11">
        <v>3.2732000000000001</v>
      </c>
      <c r="D617" s="1">
        <v>650.66</v>
      </c>
      <c r="E617" s="11">
        <v>3.0760000000000001</v>
      </c>
      <c r="F617" s="1">
        <v>398.57</v>
      </c>
      <c r="G617" s="11">
        <v>3.53</v>
      </c>
      <c r="H617" s="1">
        <v>95.78</v>
      </c>
      <c r="I617" s="11">
        <v>1.6005199999999999</v>
      </c>
      <c r="J617" s="1">
        <v>73.34</v>
      </c>
      <c r="K617" s="11">
        <v>2.1557399999999998</v>
      </c>
      <c r="L617" s="1">
        <v>7.24</v>
      </c>
      <c r="M617" s="11">
        <v>6.2</v>
      </c>
      <c r="N617" s="1">
        <v>337.35</v>
      </c>
      <c r="O617" s="11">
        <v>2.8224999999999998</v>
      </c>
      <c r="P617" s="1">
        <f t="shared" si="112"/>
        <v>2321.79</v>
      </c>
      <c r="Q617" s="1">
        <v>2343.58</v>
      </c>
      <c r="R617" s="16">
        <f t="shared" si="113"/>
        <v>1800177.0580499999</v>
      </c>
      <c r="S617" s="1">
        <v>-159.07</v>
      </c>
      <c r="T617" s="1">
        <v>35.78</v>
      </c>
      <c r="U617" s="1">
        <v>12</v>
      </c>
      <c r="V617" s="1">
        <v>0</v>
      </c>
      <c r="W617" s="1" cm="1">
        <f t="array" ref="W617">SUM(ABS(S617:V617))</f>
        <v>206.85</v>
      </c>
      <c r="X617" s="25">
        <v>1.238</v>
      </c>
      <c r="Y617" s="42">
        <f t="shared" si="114"/>
        <v>64020.07499999999</v>
      </c>
      <c r="Z617" s="20">
        <v>279.71999999999997</v>
      </c>
      <c r="AA617" s="20">
        <f t="shared" si="115"/>
        <v>486.56999999999994</v>
      </c>
      <c r="AB617" s="21">
        <v>148.44000000000003</v>
      </c>
      <c r="AC617" s="21">
        <v>7.27</v>
      </c>
      <c r="AD617" s="8">
        <f t="shared" si="116"/>
        <v>435.42999999999995</v>
      </c>
      <c r="AE617" s="25">
        <v>1.238</v>
      </c>
      <c r="AF617" s="25">
        <f t="shared" si="117"/>
        <v>134765.58499999999</v>
      </c>
      <c r="AG617" s="25">
        <f t="shared" si="118"/>
        <v>198785.65999999997</v>
      </c>
      <c r="AH617" s="1">
        <f t="shared" si="108"/>
        <v>2757.22</v>
      </c>
      <c r="AI617" s="1">
        <f t="shared" si="109"/>
        <v>2779.0099999999998</v>
      </c>
      <c r="AJ617" s="1">
        <v>2995.63</v>
      </c>
      <c r="AK617" s="1">
        <f t="shared" si="110"/>
        <v>-238.41000000000031</v>
      </c>
      <c r="AL617" s="29">
        <f t="shared" si="119"/>
        <v>216.62000000000035</v>
      </c>
      <c r="AM617" s="11">
        <f t="shared" si="111"/>
        <v>1998962.7180499998</v>
      </c>
    </row>
    <row r="618" spans="1:39" x14ac:dyDescent="0.3">
      <c r="A618" s="39">
        <v>45966.395833333336</v>
      </c>
      <c r="B618" s="1">
        <v>723.78</v>
      </c>
      <c r="C618" s="11">
        <v>3.2732000000000001</v>
      </c>
      <c r="D618" s="1">
        <v>650.11</v>
      </c>
      <c r="E618" s="11">
        <v>3.0760000000000001</v>
      </c>
      <c r="F618" s="1">
        <v>398.57</v>
      </c>
      <c r="G618" s="11">
        <v>3.53</v>
      </c>
      <c r="H618" s="1">
        <v>83.52</v>
      </c>
      <c r="I618" s="11">
        <v>1.60022</v>
      </c>
      <c r="J618" s="1">
        <v>49.57</v>
      </c>
      <c r="K618" s="11">
        <v>1.7944500000000001</v>
      </c>
      <c r="L618" s="1">
        <v>20.96</v>
      </c>
      <c r="M618" s="11">
        <v>6.2</v>
      </c>
      <c r="N618" s="1">
        <v>355.29</v>
      </c>
      <c r="O618" s="11">
        <v>2.8224999999999998</v>
      </c>
      <c r="P618" s="1">
        <f t="shared" si="112"/>
        <v>2281.7999999999997</v>
      </c>
      <c r="Q618" s="1">
        <v>2309.39</v>
      </c>
      <c r="R618" s="16">
        <f t="shared" si="113"/>
        <v>1782781.610475</v>
      </c>
      <c r="S618" s="1">
        <v>-213.89</v>
      </c>
      <c r="T618" s="1">
        <v>35.729999999999997</v>
      </c>
      <c r="U618" s="1">
        <v>12</v>
      </c>
      <c r="V618" s="1">
        <v>0</v>
      </c>
      <c r="W618" s="1" cm="1">
        <f t="array" ref="W618">SUM(ABS(S618:V618))</f>
        <v>261.62</v>
      </c>
      <c r="X618" s="25">
        <v>1.238</v>
      </c>
      <c r="Y618" s="42">
        <f t="shared" si="114"/>
        <v>80971.39</v>
      </c>
      <c r="Z618" s="20">
        <v>283.44</v>
      </c>
      <c r="AA618" s="20">
        <f t="shared" si="115"/>
        <v>545.05999999999995</v>
      </c>
      <c r="AB618" s="21">
        <v>149.60000000000002</v>
      </c>
      <c r="AC618" s="21">
        <v>7.23</v>
      </c>
      <c r="AD618" s="8">
        <f t="shared" si="116"/>
        <v>440.27000000000004</v>
      </c>
      <c r="AE618" s="25">
        <v>1.238</v>
      </c>
      <c r="AF618" s="25">
        <f t="shared" si="117"/>
        <v>136263.565</v>
      </c>
      <c r="AG618" s="25">
        <f t="shared" si="118"/>
        <v>217234.95500000002</v>
      </c>
      <c r="AH618" s="1">
        <f t="shared" si="108"/>
        <v>2722.0699999999997</v>
      </c>
      <c r="AI618" s="1">
        <f t="shared" si="109"/>
        <v>2749.66</v>
      </c>
      <c r="AJ618" s="1">
        <v>3027.29</v>
      </c>
      <c r="AK618" s="1">
        <f t="shared" si="110"/>
        <v>-305.22000000000025</v>
      </c>
      <c r="AL618" s="29">
        <f t="shared" si="119"/>
        <v>277.63000000000011</v>
      </c>
      <c r="AM618" s="11">
        <f t="shared" si="111"/>
        <v>2000016.5654750001</v>
      </c>
    </row>
    <row r="619" spans="1:39" x14ac:dyDescent="0.3">
      <c r="A619" s="39">
        <v>45966.40625</v>
      </c>
      <c r="B619" s="1">
        <v>719.55</v>
      </c>
      <c r="C619" s="11">
        <v>3.2732000000000001</v>
      </c>
      <c r="D619" s="1">
        <v>650.11</v>
      </c>
      <c r="E619" s="11">
        <v>3.0760000000000001</v>
      </c>
      <c r="F619" s="1">
        <v>398.57</v>
      </c>
      <c r="G619" s="11">
        <v>3.53</v>
      </c>
      <c r="H619" s="1">
        <v>86.16</v>
      </c>
      <c r="I619" s="11">
        <v>1.5108699999999999</v>
      </c>
      <c r="J619" s="1">
        <v>47.65</v>
      </c>
      <c r="K619" s="11">
        <v>1.71431</v>
      </c>
      <c r="L619" s="1">
        <v>21.83</v>
      </c>
      <c r="M619" s="11">
        <v>6.2</v>
      </c>
      <c r="N619" s="1">
        <v>378.25</v>
      </c>
      <c r="O619" s="11">
        <v>2.8224999999999998</v>
      </c>
      <c r="P619" s="1">
        <f t="shared" si="112"/>
        <v>2302.12</v>
      </c>
      <c r="Q619" s="1">
        <v>2344.11</v>
      </c>
      <c r="R619" s="16">
        <f t="shared" si="113"/>
        <v>1794185.3939250002</v>
      </c>
      <c r="S619" s="1">
        <v>-214.97</v>
      </c>
      <c r="T619" s="1">
        <v>35.71</v>
      </c>
      <c r="U619" s="1">
        <v>12</v>
      </c>
      <c r="V619" s="1">
        <v>0</v>
      </c>
      <c r="W619" s="1" cm="1">
        <f t="array" ref="W619">SUM(ABS(S619:V619))</f>
        <v>262.68</v>
      </c>
      <c r="X619" s="25">
        <v>1.238</v>
      </c>
      <c r="Y619" s="42">
        <f t="shared" si="114"/>
        <v>81299.459999999992</v>
      </c>
      <c r="Z619" s="20">
        <v>279.33</v>
      </c>
      <c r="AA619" s="20">
        <f t="shared" si="115"/>
        <v>542.01</v>
      </c>
      <c r="AB619" s="21">
        <v>135.65</v>
      </c>
      <c r="AC619" s="21">
        <v>7.5400000000000009</v>
      </c>
      <c r="AD619" s="8">
        <f t="shared" si="116"/>
        <v>422.52000000000004</v>
      </c>
      <c r="AE619" s="25">
        <v>1.238</v>
      </c>
      <c r="AF619" s="25">
        <f t="shared" si="117"/>
        <v>130769.94000000002</v>
      </c>
      <c r="AG619" s="25">
        <f t="shared" si="118"/>
        <v>212069.40000000002</v>
      </c>
      <c r="AH619" s="1">
        <f t="shared" si="108"/>
        <v>2724.64</v>
      </c>
      <c r="AI619" s="1">
        <f t="shared" si="109"/>
        <v>2766.63</v>
      </c>
      <c r="AJ619" s="1">
        <v>3042.63</v>
      </c>
      <c r="AK619" s="1">
        <f t="shared" si="110"/>
        <v>-317.99000000000024</v>
      </c>
      <c r="AL619" s="29">
        <f t="shared" si="119"/>
        <v>276</v>
      </c>
      <c r="AM619" s="11">
        <f t="shared" si="111"/>
        <v>2006254.7939250004</v>
      </c>
    </row>
    <row r="620" spans="1:39" x14ac:dyDescent="0.3">
      <c r="A620" s="39">
        <v>45966.416666666664</v>
      </c>
      <c r="B620" s="1">
        <v>719.33</v>
      </c>
      <c r="C620" s="11">
        <v>3.2732000000000001</v>
      </c>
      <c r="D620" s="1">
        <v>650.11</v>
      </c>
      <c r="E620" s="11">
        <v>3.0760000000000001</v>
      </c>
      <c r="F620" s="1">
        <v>398.57</v>
      </c>
      <c r="G620" s="11">
        <v>3.53</v>
      </c>
      <c r="H620" s="1">
        <v>47.24</v>
      </c>
      <c r="I620" s="11">
        <v>1.50004</v>
      </c>
      <c r="J620" s="1">
        <v>57.03</v>
      </c>
      <c r="K620" s="11">
        <v>1.61263</v>
      </c>
      <c r="L620" s="1">
        <v>62.54</v>
      </c>
      <c r="M620" s="11">
        <v>6.2</v>
      </c>
      <c r="N620" s="1">
        <v>400.15</v>
      </c>
      <c r="O620" s="11">
        <v>2.8224999999999998</v>
      </c>
      <c r="P620" s="1">
        <f t="shared" si="112"/>
        <v>2334.9699999999998</v>
      </c>
      <c r="Q620" s="1">
        <v>2416.4899999999998</v>
      </c>
      <c r="R620" s="16">
        <f t="shared" si="113"/>
        <v>1860300.7423749997</v>
      </c>
      <c r="S620" s="1">
        <v>-110.7</v>
      </c>
      <c r="T620" s="1">
        <v>35.659999999999997</v>
      </c>
      <c r="U620" s="1">
        <v>12</v>
      </c>
      <c r="V620" s="1">
        <v>0</v>
      </c>
      <c r="W620" s="1" cm="1">
        <f t="array" ref="W620">SUM(ABS(S620:V620))</f>
        <v>158.36000000000001</v>
      </c>
      <c r="X620" s="25">
        <v>1.238</v>
      </c>
      <c r="Y620" s="42">
        <f t="shared" si="114"/>
        <v>49012.420000000006</v>
      </c>
      <c r="Z620" s="20">
        <v>275.64</v>
      </c>
      <c r="AA620" s="20">
        <f t="shared" si="115"/>
        <v>434</v>
      </c>
      <c r="AB620" s="21">
        <v>158.33000000000001</v>
      </c>
      <c r="AC620" s="21">
        <v>7.18</v>
      </c>
      <c r="AD620" s="8">
        <f t="shared" si="116"/>
        <v>441.15000000000003</v>
      </c>
      <c r="AE620" s="25">
        <v>1.238</v>
      </c>
      <c r="AF620" s="25">
        <f t="shared" si="117"/>
        <v>136535.92500000002</v>
      </c>
      <c r="AG620" s="25">
        <f t="shared" si="118"/>
        <v>185548.34500000003</v>
      </c>
      <c r="AH620" s="1">
        <f t="shared" si="108"/>
        <v>2776.12</v>
      </c>
      <c r="AI620" s="1">
        <f t="shared" si="109"/>
        <v>2857.64</v>
      </c>
      <c r="AJ620" s="1">
        <v>3031</v>
      </c>
      <c r="AK620" s="1">
        <f t="shared" si="110"/>
        <v>-254.88000000000011</v>
      </c>
      <c r="AL620" s="29">
        <f t="shared" si="119"/>
        <v>173.36000000000013</v>
      </c>
      <c r="AM620" s="11">
        <f t="shared" si="111"/>
        <v>2045849.0873749997</v>
      </c>
    </row>
    <row r="621" spans="1:39" x14ac:dyDescent="0.3">
      <c r="A621" s="39">
        <v>45966.427083333336</v>
      </c>
      <c r="B621" s="1">
        <v>719.33</v>
      </c>
      <c r="C621" s="11">
        <v>3.2732000000000001</v>
      </c>
      <c r="D621" s="1">
        <v>650.11</v>
      </c>
      <c r="E621" s="11">
        <v>3.0760000000000001</v>
      </c>
      <c r="F621" s="1">
        <v>398.57</v>
      </c>
      <c r="G621" s="11">
        <v>3.53</v>
      </c>
      <c r="H621" s="1">
        <v>44.24</v>
      </c>
      <c r="I621" s="11">
        <v>1.4910000000000001</v>
      </c>
      <c r="J621" s="1">
        <v>30.92</v>
      </c>
      <c r="K621" s="11">
        <v>1.6873</v>
      </c>
      <c r="L621" s="1">
        <v>65.260000000000005</v>
      </c>
      <c r="M621" s="11">
        <v>6.2</v>
      </c>
      <c r="N621" s="1">
        <v>419.08</v>
      </c>
      <c r="O621" s="11">
        <v>2.8224999999999998</v>
      </c>
      <c r="P621" s="1">
        <f t="shared" si="112"/>
        <v>2327.5100000000002</v>
      </c>
      <c r="Q621" s="1">
        <v>2442.64</v>
      </c>
      <c r="R621" s="16">
        <f t="shared" si="113"/>
        <v>1866699.9679999999</v>
      </c>
      <c r="S621" s="1">
        <v>-60.53</v>
      </c>
      <c r="T621" s="1">
        <v>35.619999999999997</v>
      </c>
      <c r="U621" s="1">
        <v>12</v>
      </c>
      <c r="V621" s="1">
        <v>0</v>
      </c>
      <c r="W621" s="1" cm="1">
        <f t="array" ref="W621">SUM(ABS(S621:V621))</f>
        <v>108.15</v>
      </c>
      <c r="X621" s="25">
        <v>1.238</v>
      </c>
      <c r="Y621" s="42">
        <f t="shared" si="114"/>
        <v>33472.425000000003</v>
      </c>
      <c r="Z621" s="20">
        <v>276.74</v>
      </c>
      <c r="AA621" s="20">
        <f t="shared" si="115"/>
        <v>384.89</v>
      </c>
      <c r="AB621" s="21">
        <v>175.28</v>
      </c>
      <c r="AC621" s="21">
        <v>7.2899999999999991</v>
      </c>
      <c r="AD621" s="8">
        <f t="shared" si="116"/>
        <v>459.31</v>
      </c>
      <c r="AE621" s="25">
        <v>1.238</v>
      </c>
      <c r="AF621" s="25">
        <f t="shared" si="117"/>
        <v>142156.44499999998</v>
      </c>
      <c r="AG621" s="25">
        <f t="shared" si="118"/>
        <v>175628.87</v>
      </c>
      <c r="AH621" s="1">
        <f t="shared" si="108"/>
        <v>2786.82</v>
      </c>
      <c r="AI621" s="1">
        <f t="shared" si="109"/>
        <v>2901.95</v>
      </c>
      <c r="AJ621" s="1">
        <v>3023.5</v>
      </c>
      <c r="AK621" s="1">
        <f t="shared" si="110"/>
        <v>-236.67999999999984</v>
      </c>
      <c r="AL621" s="29">
        <f t="shared" si="119"/>
        <v>121.55000000000018</v>
      </c>
      <c r="AM621" s="11">
        <f t="shared" si="111"/>
        <v>2042328.838</v>
      </c>
    </row>
    <row r="622" spans="1:39" x14ac:dyDescent="0.3">
      <c r="A622" s="39">
        <v>45966.4375</v>
      </c>
      <c r="B622" s="1">
        <v>719.33</v>
      </c>
      <c r="C622" s="11">
        <v>3.2732000000000001</v>
      </c>
      <c r="D622" s="1">
        <v>596.30999999999995</v>
      </c>
      <c r="E622" s="11">
        <v>3.0760000000000001</v>
      </c>
      <c r="F622" s="1">
        <v>398.57</v>
      </c>
      <c r="G622" s="11">
        <v>3.53</v>
      </c>
      <c r="H622" s="1">
        <v>43.89</v>
      </c>
      <c r="I622" s="11">
        <v>1.5396500000000002</v>
      </c>
      <c r="J622" s="1">
        <v>28.73</v>
      </c>
      <c r="K622" s="11">
        <v>1.7311700000000001</v>
      </c>
      <c r="L622" s="1">
        <v>65.709999999999994</v>
      </c>
      <c r="M622" s="11">
        <v>6.2</v>
      </c>
      <c r="N622" s="1">
        <v>428.94</v>
      </c>
      <c r="O622" s="11">
        <v>2.8224999999999998</v>
      </c>
      <c r="P622" s="1">
        <f t="shared" si="112"/>
        <v>2281.48</v>
      </c>
      <c r="Q622" s="1">
        <v>2374.9</v>
      </c>
      <c r="R622" s="16">
        <f t="shared" si="113"/>
        <v>1832777.37965</v>
      </c>
      <c r="S622" s="1">
        <v>-104.76</v>
      </c>
      <c r="T622" s="1">
        <v>35.590000000000003</v>
      </c>
      <c r="U622" s="1">
        <v>12</v>
      </c>
      <c r="V622" s="1">
        <v>0</v>
      </c>
      <c r="W622" s="1" cm="1">
        <f t="array" ref="W622">SUM(ABS(S622:V622))</f>
        <v>152.35000000000002</v>
      </c>
      <c r="X622" s="25">
        <v>1.238</v>
      </c>
      <c r="Y622" s="42">
        <f t="shared" si="114"/>
        <v>47152.325000000004</v>
      </c>
      <c r="Z622" s="20">
        <v>281.53000000000003</v>
      </c>
      <c r="AA622" s="20">
        <f t="shared" si="115"/>
        <v>433.88000000000005</v>
      </c>
      <c r="AB622" s="21">
        <v>168.53000000000003</v>
      </c>
      <c r="AC622" s="21">
        <v>7.6000000000000005</v>
      </c>
      <c r="AD622" s="8">
        <f t="shared" si="116"/>
        <v>457.66000000000008</v>
      </c>
      <c r="AE622" s="25">
        <v>1.238</v>
      </c>
      <c r="AF622" s="25">
        <f t="shared" si="117"/>
        <v>141645.77000000002</v>
      </c>
      <c r="AG622" s="25">
        <f t="shared" si="118"/>
        <v>188798.09500000003</v>
      </c>
      <c r="AH622" s="1">
        <f t="shared" si="108"/>
        <v>2739.1400000000003</v>
      </c>
      <c r="AI622" s="1">
        <f t="shared" si="109"/>
        <v>2832.5600000000004</v>
      </c>
      <c r="AJ622" s="1">
        <v>3001.09</v>
      </c>
      <c r="AK622" s="1">
        <f t="shared" si="110"/>
        <v>-261.94999999999982</v>
      </c>
      <c r="AL622" s="29">
        <f t="shared" si="119"/>
        <v>168.52999999999975</v>
      </c>
      <c r="AM622" s="11">
        <f t="shared" si="111"/>
        <v>2021575.47465</v>
      </c>
    </row>
    <row r="623" spans="1:39" x14ac:dyDescent="0.3">
      <c r="A623" s="39">
        <v>45966.447916666664</v>
      </c>
      <c r="B623" s="1">
        <v>719.33</v>
      </c>
      <c r="C623" s="11">
        <v>3.2732000000000001</v>
      </c>
      <c r="D623" s="1">
        <v>583.61</v>
      </c>
      <c r="E623" s="11">
        <v>3.0760000000000001</v>
      </c>
      <c r="F623" s="1">
        <v>398.57</v>
      </c>
      <c r="G623" s="11">
        <v>3.53</v>
      </c>
      <c r="H623" s="1">
        <v>43.86</v>
      </c>
      <c r="I623" s="11">
        <v>1.51711</v>
      </c>
      <c r="J623" s="1">
        <v>28.73</v>
      </c>
      <c r="K623" s="11">
        <v>1.7143299999999999</v>
      </c>
      <c r="L623" s="1">
        <v>65.38</v>
      </c>
      <c r="M623" s="11">
        <v>6.2</v>
      </c>
      <c r="N623" s="1">
        <v>435.55</v>
      </c>
      <c r="O623" s="11">
        <v>2.8224999999999998</v>
      </c>
      <c r="P623" s="1">
        <f t="shared" si="112"/>
        <v>2275.0300000000002</v>
      </c>
      <c r="Q623" s="1">
        <v>2326.88</v>
      </c>
      <c r="R623" s="16">
        <f t="shared" si="113"/>
        <v>1826784.1091249997</v>
      </c>
      <c r="S623" s="1">
        <v>-124.71</v>
      </c>
      <c r="T623" s="1">
        <v>35.549999999999997</v>
      </c>
      <c r="U623" s="1">
        <v>12</v>
      </c>
      <c r="V623" s="1">
        <v>0</v>
      </c>
      <c r="W623" s="1" cm="1">
        <f t="array" ref="W623">SUM(ABS(S623:V623))</f>
        <v>172.26</v>
      </c>
      <c r="X623" s="25">
        <v>1.238</v>
      </c>
      <c r="Y623" s="42">
        <f t="shared" si="114"/>
        <v>53314.47</v>
      </c>
      <c r="Z623" s="20">
        <v>279.21999999999997</v>
      </c>
      <c r="AA623" s="20">
        <f t="shared" si="115"/>
        <v>451.47999999999996</v>
      </c>
      <c r="AB623" s="21">
        <v>190.45999999999998</v>
      </c>
      <c r="AC623" s="21">
        <v>7.08</v>
      </c>
      <c r="AD623" s="8">
        <f t="shared" si="116"/>
        <v>476.75999999999993</v>
      </c>
      <c r="AE623" s="25">
        <v>1.238</v>
      </c>
      <c r="AF623" s="25">
        <f t="shared" si="117"/>
        <v>147557.21999999997</v>
      </c>
      <c r="AG623" s="25">
        <f t="shared" si="118"/>
        <v>200871.68999999997</v>
      </c>
      <c r="AH623" s="1">
        <f t="shared" si="108"/>
        <v>2751.79</v>
      </c>
      <c r="AI623" s="1">
        <f t="shared" si="109"/>
        <v>2803.64</v>
      </c>
      <c r="AJ623" s="1">
        <v>2998.16</v>
      </c>
      <c r="AK623" s="1">
        <f t="shared" si="110"/>
        <v>-246.36999999999989</v>
      </c>
      <c r="AL623" s="29">
        <f t="shared" si="119"/>
        <v>194.51999999999998</v>
      </c>
      <c r="AM623" s="11">
        <f t="shared" si="111"/>
        <v>2027655.7991249997</v>
      </c>
    </row>
    <row r="624" spans="1:39" x14ac:dyDescent="0.3">
      <c r="A624" s="39">
        <v>45966.458333333336</v>
      </c>
      <c r="B624" s="1">
        <v>719.33</v>
      </c>
      <c r="C624" s="11">
        <v>3.2732000000000001</v>
      </c>
      <c r="D624" s="1">
        <v>582.95000000000005</v>
      </c>
      <c r="E624" s="11">
        <v>3.0760000000000001</v>
      </c>
      <c r="F624" s="1">
        <v>398.57</v>
      </c>
      <c r="G624" s="11">
        <v>3.53</v>
      </c>
      <c r="H624" s="1">
        <v>43.67</v>
      </c>
      <c r="I624" s="11">
        <v>1.7146300000000001</v>
      </c>
      <c r="J624" s="1">
        <v>47.24</v>
      </c>
      <c r="K624" s="11">
        <v>0.99945000000000006</v>
      </c>
      <c r="L624" s="1">
        <v>65.53</v>
      </c>
      <c r="M624" s="11">
        <v>6.2</v>
      </c>
      <c r="N624" s="1">
        <v>441.77</v>
      </c>
      <c r="O624" s="11">
        <v>2.8224999999999998</v>
      </c>
      <c r="P624" s="1">
        <f t="shared" si="112"/>
        <v>2299.0600000000004</v>
      </c>
      <c r="Q624" s="1">
        <v>2377.31</v>
      </c>
      <c r="R624" s="16">
        <f t="shared" si="113"/>
        <v>1832472.7477749998</v>
      </c>
      <c r="S624" s="1">
        <v>-73.06</v>
      </c>
      <c r="T624" s="1">
        <v>35.5</v>
      </c>
      <c r="U624" s="1">
        <v>12</v>
      </c>
      <c r="V624" s="1">
        <v>0</v>
      </c>
      <c r="W624" s="1" cm="1">
        <f t="array" ref="W624">SUM(ABS(S624:V624))</f>
        <v>120.56</v>
      </c>
      <c r="X624" s="25">
        <v>1.238</v>
      </c>
      <c r="Y624" s="42">
        <f t="shared" si="114"/>
        <v>37313.32</v>
      </c>
      <c r="Z624" s="20">
        <v>253.97</v>
      </c>
      <c r="AA624" s="20">
        <f t="shared" si="115"/>
        <v>374.53</v>
      </c>
      <c r="AB624" s="21">
        <v>192.18</v>
      </c>
      <c r="AC624" s="21">
        <v>9.26</v>
      </c>
      <c r="AD624" s="8">
        <f t="shared" si="116"/>
        <v>455.40999999999997</v>
      </c>
      <c r="AE624" s="25">
        <v>1.238</v>
      </c>
      <c r="AF624" s="25">
        <f t="shared" si="117"/>
        <v>140949.39499999999</v>
      </c>
      <c r="AG624" s="25">
        <f t="shared" si="118"/>
        <v>178262.715</v>
      </c>
      <c r="AH624" s="1">
        <f t="shared" si="108"/>
        <v>2754.4700000000003</v>
      </c>
      <c r="AI624" s="1">
        <f t="shared" si="109"/>
        <v>2832.72</v>
      </c>
      <c r="AJ624" s="1">
        <v>2977.82</v>
      </c>
      <c r="AK624" s="1">
        <f t="shared" si="110"/>
        <v>-223.34999999999991</v>
      </c>
      <c r="AL624" s="29">
        <f t="shared" si="119"/>
        <v>145.10000000000036</v>
      </c>
      <c r="AM624" s="11">
        <f t="shared" si="111"/>
        <v>2010735.4627749999</v>
      </c>
    </row>
    <row r="625" spans="1:39" x14ac:dyDescent="0.3">
      <c r="A625" s="39">
        <v>45966.46875</v>
      </c>
      <c r="B625" s="1">
        <v>719.33</v>
      </c>
      <c r="C625" s="11">
        <v>3.2732000000000001</v>
      </c>
      <c r="D625" s="1">
        <v>582.95000000000005</v>
      </c>
      <c r="E625" s="11">
        <v>3.0760000000000001</v>
      </c>
      <c r="F625" s="1">
        <v>398.57</v>
      </c>
      <c r="G625" s="11">
        <v>3.53</v>
      </c>
      <c r="H625" s="1">
        <v>43.66</v>
      </c>
      <c r="I625" s="11">
        <v>1.71475</v>
      </c>
      <c r="J625" s="1">
        <v>48.52</v>
      </c>
      <c r="K625" s="11">
        <v>1.58958</v>
      </c>
      <c r="L625" s="1">
        <v>65.63</v>
      </c>
      <c r="M625" s="11">
        <v>6.2</v>
      </c>
      <c r="N625" s="1">
        <v>444.23</v>
      </c>
      <c r="O625" s="11">
        <v>2.8224999999999998</v>
      </c>
      <c r="P625" s="1">
        <f t="shared" si="112"/>
        <v>2302.8900000000003</v>
      </c>
      <c r="Q625" s="1">
        <v>2341.94</v>
      </c>
      <c r="R625" s="16">
        <f t="shared" si="113"/>
        <v>1841838.7094000001</v>
      </c>
      <c r="S625" s="1">
        <v>-75.7</v>
      </c>
      <c r="T625" s="1">
        <v>35.44</v>
      </c>
      <c r="U625" s="1">
        <v>12</v>
      </c>
      <c r="V625" s="1">
        <v>0</v>
      </c>
      <c r="W625" s="1" cm="1">
        <f t="array" ref="W625">SUM(ABS(S625:V625))</f>
        <v>123.14</v>
      </c>
      <c r="X625" s="25">
        <v>1.238</v>
      </c>
      <c r="Y625" s="42">
        <f t="shared" si="114"/>
        <v>38111.829999999994</v>
      </c>
      <c r="Z625" s="20">
        <v>279.3</v>
      </c>
      <c r="AA625" s="20">
        <f t="shared" si="115"/>
        <v>402.44</v>
      </c>
      <c r="AB625" s="21">
        <v>180.73000000000005</v>
      </c>
      <c r="AC625" s="21">
        <v>10.71</v>
      </c>
      <c r="AD625" s="8">
        <f t="shared" si="116"/>
        <v>470.74000000000007</v>
      </c>
      <c r="AE625" s="25">
        <v>1.238</v>
      </c>
      <c r="AF625" s="25">
        <f t="shared" si="117"/>
        <v>145694.03000000003</v>
      </c>
      <c r="AG625" s="25">
        <f t="shared" si="118"/>
        <v>183805.86000000002</v>
      </c>
      <c r="AH625" s="1">
        <f t="shared" si="108"/>
        <v>2773.6300000000006</v>
      </c>
      <c r="AI625" s="1">
        <f t="shared" si="109"/>
        <v>2812.6800000000003</v>
      </c>
      <c r="AJ625" s="1">
        <v>2957.26</v>
      </c>
      <c r="AK625" s="1">
        <f t="shared" si="110"/>
        <v>-183.62999999999965</v>
      </c>
      <c r="AL625" s="29">
        <f t="shared" si="119"/>
        <v>144.57999999999993</v>
      </c>
      <c r="AM625" s="11">
        <f t="shared" si="111"/>
        <v>2025644.5694000002</v>
      </c>
    </row>
    <row r="626" spans="1:39" x14ac:dyDescent="0.3">
      <c r="A626" s="39">
        <v>45966.479166666664</v>
      </c>
      <c r="B626" s="1">
        <v>719.33</v>
      </c>
      <c r="C626" s="11">
        <v>3.2732000000000001</v>
      </c>
      <c r="D626" s="1">
        <v>582.95000000000005</v>
      </c>
      <c r="E626" s="11">
        <v>3.0760000000000001</v>
      </c>
      <c r="F626" s="1">
        <v>398.57</v>
      </c>
      <c r="G626" s="11">
        <v>3.53</v>
      </c>
      <c r="H626" s="1">
        <v>43.75</v>
      </c>
      <c r="I626" s="11">
        <v>1.7146600000000001</v>
      </c>
      <c r="J626" s="1">
        <v>75.599999999999994</v>
      </c>
      <c r="K626" s="11">
        <v>0.89983000000000002</v>
      </c>
      <c r="L626" s="1">
        <v>65.55</v>
      </c>
      <c r="M626" s="11">
        <v>6.2</v>
      </c>
      <c r="N626" s="1">
        <v>457.08</v>
      </c>
      <c r="O626" s="11">
        <v>2.8224999999999998</v>
      </c>
      <c r="P626" s="1">
        <f t="shared" si="112"/>
        <v>2342.83</v>
      </c>
      <c r="Q626" s="1">
        <v>2355.64</v>
      </c>
      <c r="R626" s="16">
        <f t="shared" si="113"/>
        <v>1848544.76975</v>
      </c>
      <c r="S626" s="1">
        <v>-65.87</v>
      </c>
      <c r="T626" s="1">
        <v>35.39</v>
      </c>
      <c r="U626" s="1">
        <v>12</v>
      </c>
      <c r="V626" s="1">
        <v>0</v>
      </c>
      <c r="W626" s="1" cm="1">
        <f t="array" ref="W626">SUM(ABS(S626:V626))</f>
        <v>113.26</v>
      </c>
      <c r="X626" s="25">
        <v>1.238</v>
      </c>
      <c r="Y626" s="42">
        <f t="shared" si="114"/>
        <v>35053.97</v>
      </c>
      <c r="Z626" s="20">
        <v>245.17999999999998</v>
      </c>
      <c r="AA626" s="20">
        <f t="shared" si="115"/>
        <v>358.44</v>
      </c>
      <c r="AB626" s="21">
        <v>207.09</v>
      </c>
      <c r="AC626" s="21">
        <v>8.7000000000000011</v>
      </c>
      <c r="AD626" s="8">
        <f t="shared" si="116"/>
        <v>460.96999999999997</v>
      </c>
      <c r="AE626" s="25">
        <v>1.238</v>
      </c>
      <c r="AF626" s="25">
        <f t="shared" si="117"/>
        <v>142670.215</v>
      </c>
      <c r="AG626" s="25">
        <f t="shared" si="118"/>
        <v>177724.185</v>
      </c>
      <c r="AH626" s="1">
        <f t="shared" si="108"/>
        <v>2803.7999999999997</v>
      </c>
      <c r="AI626" s="1">
        <f t="shared" si="109"/>
        <v>2816.6099999999997</v>
      </c>
      <c r="AJ626" s="1">
        <v>2951.57</v>
      </c>
      <c r="AK626" s="1">
        <f t="shared" si="110"/>
        <v>-147.77000000000044</v>
      </c>
      <c r="AL626" s="29">
        <f t="shared" si="119"/>
        <v>134.96000000000049</v>
      </c>
      <c r="AM626" s="11">
        <f t="shared" si="111"/>
        <v>2026268.95475</v>
      </c>
    </row>
    <row r="627" spans="1:39" x14ac:dyDescent="0.3">
      <c r="A627" s="39">
        <v>45966.489583333336</v>
      </c>
      <c r="B627" s="1">
        <v>719.33</v>
      </c>
      <c r="C627" s="11">
        <v>3.2732000000000001</v>
      </c>
      <c r="D627" s="1">
        <v>582.95000000000005</v>
      </c>
      <c r="E627" s="11">
        <v>3.0760000000000001</v>
      </c>
      <c r="F627" s="1">
        <v>398.57</v>
      </c>
      <c r="G627" s="11">
        <v>3.53</v>
      </c>
      <c r="H627" s="1">
        <v>43.76</v>
      </c>
      <c r="I627" s="11">
        <v>1.7148299999999999</v>
      </c>
      <c r="J627" s="1">
        <v>72.069999999999993</v>
      </c>
      <c r="K627" s="11">
        <v>0.99929999999999997</v>
      </c>
      <c r="L627" s="1">
        <v>65.81</v>
      </c>
      <c r="M627" s="11">
        <v>6.2</v>
      </c>
      <c r="N627" s="1">
        <v>465.08</v>
      </c>
      <c r="O627" s="11">
        <v>2.8224999999999998</v>
      </c>
      <c r="P627" s="1">
        <f t="shared" si="112"/>
        <v>2347.5700000000002</v>
      </c>
      <c r="Q627" s="1">
        <v>2346.58</v>
      </c>
      <c r="R627" s="16">
        <f t="shared" si="113"/>
        <v>1855597.0169499998</v>
      </c>
      <c r="S627" s="1">
        <v>-64.12</v>
      </c>
      <c r="T627" s="1">
        <v>35.33</v>
      </c>
      <c r="U627" s="1">
        <v>12</v>
      </c>
      <c r="V627" s="1">
        <v>0</v>
      </c>
      <c r="W627" s="1" cm="1">
        <f t="array" ref="W627">SUM(ABS(S627:V627))</f>
        <v>111.45</v>
      </c>
      <c r="X627" s="25">
        <v>1.238</v>
      </c>
      <c r="Y627" s="42">
        <f t="shared" si="114"/>
        <v>34493.775000000001</v>
      </c>
      <c r="Z627" s="20">
        <v>269.45999999999998</v>
      </c>
      <c r="AA627" s="20">
        <f t="shared" si="115"/>
        <v>380.90999999999997</v>
      </c>
      <c r="AB627" s="21">
        <v>210.78</v>
      </c>
      <c r="AC627" s="21">
        <v>8.9</v>
      </c>
      <c r="AD627" s="8">
        <f t="shared" si="116"/>
        <v>489.14</v>
      </c>
      <c r="AE627" s="25">
        <v>1.238</v>
      </c>
      <c r="AF627" s="25">
        <f t="shared" si="117"/>
        <v>151388.82999999999</v>
      </c>
      <c r="AG627" s="25">
        <f t="shared" si="118"/>
        <v>185882.60499999998</v>
      </c>
      <c r="AH627" s="1">
        <f t="shared" si="108"/>
        <v>2836.71</v>
      </c>
      <c r="AI627" s="1">
        <f t="shared" si="109"/>
        <v>2835.72</v>
      </c>
      <c r="AJ627" s="1">
        <v>2962.28</v>
      </c>
      <c r="AK627" s="1">
        <f t="shared" si="110"/>
        <v>-125.57000000000016</v>
      </c>
      <c r="AL627" s="29">
        <f t="shared" si="119"/>
        <v>126.5600000000004</v>
      </c>
      <c r="AM627" s="11">
        <f t="shared" si="111"/>
        <v>2041479.6219499998</v>
      </c>
    </row>
    <row r="628" spans="1:39" x14ac:dyDescent="0.3">
      <c r="A628" s="39">
        <v>45966.5</v>
      </c>
      <c r="B628" s="1">
        <v>719.33</v>
      </c>
      <c r="C628" s="11">
        <v>3.2732000000000001</v>
      </c>
      <c r="D628" s="1">
        <v>582.95000000000005</v>
      </c>
      <c r="E628" s="11">
        <v>3.0760000000000001</v>
      </c>
      <c r="F628" s="1">
        <v>398.57</v>
      </c>
      <c r="G628" s="11">
        <v>3.53</v>
      </c>
      <c r="H628" s="1">
        <v>43.76</v>
      </c>
      <c r="I628" s="11">
        <v>1.76946</v>
      </c>
      <c r="J628" s="1">
        <v>59.05</v>
      </c>
      <c r="K628" s="11">
        <v>1.62666</v>
      </c>
      <c r="L628" s="1">
        <v>65.38</v>
      </c>
      <c r="M628" s="11">
        <v>6.2</v>
      </c>
      <c r="N628" s="1">
        <v>464.29</v>
      </c>
      <c r="O628" s="11">
        <v>2.8224999999999998</v>
      </c>
      <c r="P628" s="1">
        <f t="shared" si="112"/>
        <v>2333.33</v>
      </c>
      <c r="Q628" s="1">
        <v>2337.38</v>
      </c>
      <c r="R628" s="16">
        <f t="shared" si="113"/>
        <v>1860979.4058999999</v>
      </c>
      <c r="S628" s="1">
        <v>-65.83</v>
      </c>
      <c r="T628" s="1">
        <v>32.340000000000003</v>
      </c>
      <c r="U628" s="1">
        <v>12</v>
      </c>
      <c r="V628" s="1">
        <v>0</v>
      </c>
      <c r="W628" s="1" cm="1">
        <f t="array" ref="W628">SUM(ABS(S628:V628))</f>
        <v>110.17</v>
      </c>
      <c r="X628" s="25">
        <v>1.238</v>
      </c>
      <c r="Y628" s="42">
        <f t="shared" si="114"/>
        <v>34097.614999999998</v>
      </c>
      <c r="Z628" s="20">
        <v>285.27999999999997</v>
      </c>
      <c r="AA628" s="20">
        <f t="shared" si="115"/>
        <v>395.45</v>
      </c>
      <c r="AB628" s="21">
        <v>212.74999999999997</v>
      </c>
      <c r="AC628" s="21">
        <v>9.11</v>
      </c>
      <c r="AD628" s="8">
        <f t="shared" si="116"/>
        <v>507.14</v>
      </c>
      <c r="AE628" s="25">
        <v>1.238</v>
      </c>
      <c r="AF628" s="25">
        <f t="shared" si="117"/>
        <v>156959.82999999999</v>
      </c>
      <c r="AG628" s="25">
        <f t="shared" si="118"/>
        <v>191057.44499999998</v>
      </c>
      <c r="AH628" s="1">
        <f t="shared" si="108"/>
        <v>2840.47</v>
      </c>
      <c r="AI628" s="1">
        <f t="shared" si="109"/>
        <v>2844.52</v>
      </c>
      <c r="AJ628" s="1">
        <v>2983.04</v>
      </c>
      <c r="AK628" s="1">
        <f t="shared" si="110"/>
        <v>-142.57000000000016</v>
      </c>
      <c r="AL628" s="29">
        <f t="shared" si="119"/>
        <v>138.51999999999998</v>
      </c>
      <c r="AM628" s="11">
        <f t="shared" si="111"/>
        <v>2052036.8509</v>
      </c>
    </row>
    <row r="629" spans="1:39" x14ac:dyDescent="0.3">
      <c r="A629" s="39">
        <v>45966.510416666664</v>
      </c>
      <c r="B629" s="1">
        <v>719.33</v>
      </c>
      <c r="C629" s="11">
        <v>3.2732000000000001</v>
      </c>
      <c r="D629" s="1">
        <v>582.95000000000005</v>
      </c>
      <c r="E629" s="11">
        <v>3.0760000000000001</v>
      </c>
      <c r="F629" s="1">
        <v>398.57</v>
      </c>
      <c r="G629" s="11">
        <v>3.53</v>
      </c>
      <c r="H629" s="1">
        <v>41.06</v>
      </c>
      <c r="I629" s="11">
        <v>1.7761300000000002</v>
      </c>
      <c r="J629" s="1">
        <v>58.17</v>
      </c>
      <c r="K629" s="11">
        <v>1.76695</v>
      </c>
      <c r="L629" s="1">
        <v>65.260000000000005</v>
      </c>
      <c r="M629" s="11">
        <v>6.2</v>
      </c>
      <c r="N629" s="1">
        <v>460.51</v>
      </c>
      <c r="O629" s="11">
        <v>2.8224999999999998</v>
      </c>
      <c r="P629" s="1">
        <f t="shared" si="112"/>
        <v>2325.8500000000004</v>
      </c>
      <c r="Q629" s="1">
        <v>2315.85</v>
      </c>
      <c r="R629" s="16">
        <f t="shared" si="113"/>
        <v>1858682.5275749997</v>
      </c>
      <c r="S629" s="1">
        <v>-114.43</v>
      </c>
      <c r="T629" s="1">
        <v>24.46</v>
      </c>
      <c r="U629" s="1">
        <v>12</v>
      </c>
      <c r="V629" s="1">
        <v>0</v>
      </c>
      <c r="W629" s="1" cm="1">
        <f t="array" ref="W629">SUM(ABS(S629:V629))</f>
        <v>150.89000000000001</v>
      </c>
      <c r="X629" s="25">
        <v>1.238</v>
      </c>
      <c r="Y629" s="42">
        <f t="shared" si="114"/>
        <v>46700.455000000002</v>
      </c>
      <c r="Z629" s="20">
        <v>285.68999999999994</v>
      </c>
      <c r="AA629" s="20">
        <f t="shared" si="115"/>
        <v>436.57999999999993</v>
      </c>
      <c r="AB629" s="21">
        <v>209.31</v>
      </c>
      <c r="AC629" s="21">
        <v>9.56</v>
      </c>
      <c r="AD629" s="8">
        <f t="shared" si="116"/>
        <v>504.55999999999995</v>
      </c>
      <c r="AE629" s="25">
        <v>1.238</v>
      </c>
      <c r="AF629" s="25">
        <f t="shared" si="117"/>
        <v>156161.31999999998</v>
      </c>
      <c r="AG629" s="25">
        <f t="shared" si="118"/>
        <v>202861.77499999997</v>
      </c>
      <c r="AH629" s="1">
        <f t="shared" si="108"/>
        <v>2830.4100000000003</v>
      </c>
      <c r="AI629" s="1">
        <f t="shared" si="109"/>
        <v>2820.41</v>
      </c>
      <c r="AJ629" s="1">
        <v>2994.06</v>
      </c>
      <c r="AK629" s="1">
        <f t="shared" si="110"/>
        <v>-163.64999999999964</v>
      </c>
      <c r="AL629" s="29">
        <f t="shared" si="119"/>
        <v>173.65000000000009</v>
      </c>
      <c r="AM629" s="11">
        <f t="shared" si="111"/>
        <v>2061544.3025749996</v>
      </c>
    </row>
    <row r="630" spans="1:39" x14ac:dyDescent="0.3">
      <c r="A630" s="39">
        <v>45966.520833333336</v>
      </c>
      <c r="B630" s="1">
        <v>719.33</v>
      </c>
      <c r="C630" s="11">
        <v>3.2732000000000001</v>
      </c>
      <c r="D630" s="1">
        <v>582.95000000000005</v>
      </c>
      <c r="E630" s="11">
        <v>3.0760000000000001</v>
      </c>
      <c r="F630" s="1">
        <v>398.57</v>
      </c>
      <c r="G630" s="11">
        <v>3.53</v>
      </c>
      <c r="H630" s="1">
        <v>43.55</v>
      </c>
      <c r="I630" s="11">
        <v>1.7761</v>
      </c>
      <c r="J630" s="1">
        <v>49.16</v>
      </c>
      <c r="K630" s="11">
        <v>1.76684</v>
      </c>
      <c r="L630" s="1">
        <v>65.17</v>
      </c>
      <c r="M630" s="11">
        <v>6.2</v>
      </c>
      <c r="N630" s="1">
        <v>461.96</v>
      </c>
      <c r="O630" s="11">
        <v>2.8224999999999998</v>
      </c>
      <c r="P630" s="1">
        <f t="shared" si="112"/>
        <v>2320.69</v>
      </c>
      <c r="Q630" s="1">
        <v>2330.94</v>
      </c>
      <c r="R630" s="16">
        <f t="shared" si="113"/>
        <v>1856690.0913499999</v>
      </c>
      <c r="S630" s="1">
        <v>-115.81</v>
      </c>
      <c r="T630" s="1">
        <v>24.67</v>
      </c>
      <c r="U630" s="1">
        <v>12</v>
      </c>
      <c r="V630" s="1">
        <v>0</v>
      </c>
      <c r="W630" s="1" cm="1">
        <f t="array" ref="W630">SUM(ABS(S630:V630))</f>
        <v>152.48000000000002</v>
      </c>
      <c r="X630" s="25">
        <v>1.238</v>
      </c>
      <c r="Y630" s="42">
        <f t="shared" si="114"/>
        <v>47192.560000000005</v>
      </c>
      <c r="Z630" s="20">
        <v>285.18</v>
      </c>
      <c r="AA630" s="20">
        <f t="shared" si="115"/>
        <v>437.66</v>
      </c>
      <c r="AB630" s="21">
        <v>210.79</v>
      </c>
      <c r="AC630" s="21">
        <v>10.02</v>
      </c>
      <c r="AD630" s="8">
        <f t="shared" si="116"/>
        <v>505.99</v>
      </c>
      <c r="AE630" s="25">
        <v>1.238</v>
      </c>
      <c r="AF630" s="25">
        <f t="shared" si="117"/>
        <v>156603.905</v>
      </c>
      <c r="AG630" s="25">
        <f t="shared" si="118"/>
        <v>203796.465</v>
      </c>
      <c r="AH630" s="1">
        <f t="shared" si="108"/>
        <v>2826.6800000000003</v>
      </c>
      <c r="AI630" s="1">
        <f t="shared" si="109"/>
        <v>2836.9300000000003</v>
      </c>
      <c r="AJ630" s="1">
        <v>3008.14</v>
      </c>
      <c r="AK630" s="1">
        <f t="shared" si="110"/>
        <v>-181.45999999999958</v>
      </c>
      <c r="AL630" s="29">
        <f t="shared" si="119"/>
        <v>171.20999999999958</v>
      </c>
      <c r="AM630" s="11">
        <f t="shared" si="111"/>
        <v>2060486.55635</v>
      </c>
    </row>
    <row r="631" spans="1:39" x14ac:dyDescent="0.3">
      <c r="A631" s="39">
        <v>45966.53125</v>
      </c>
      <c r="B631" s="1">
        <v>719.33</v>
      </c>
      <c r="C631" s="11">
        <v>3.2732000000000001</v>
      </c>
      <c r="D631" s="1">
        <v>582.95000000000005</v>
      </c>
      <c r="E631" s="11">
        <v>3.0760000000000001</v>
      </c>
      <c r="F631" s="1">
        <v>398.57</v>
      </c>
      <c r="G631" s="11">
        <v>3.53</v>
      </c>
      <c r="H631" s="1">
        <v>43.76</v>
      </c>
      <c r="I631" s="11">
        <v>1.77627</v>
      </c>
      <c r="J631" s="1">
        <v>48.52</v>
      </c>
      <c r="K631" s="11">
        <v>1.70069</v>
      </c>
      <c r="L631" s="1">
        <v>64.45</v>
      </c>
      <c r="M631" s="11">
        <v>6.2</v>
      </c>
      <c r="N631" s="1">
        <v>457.73</v>
      </c>
      <c r="O631" s="11">
        <v>2.8224999999999998</v>
      </c>
      <c r="P631" s="1">
        <f t="shared" si="112"/>
        <v>2315.3100000000004</v>
      </c>
      <c r="Q631" s="1">
        <v>2294.6</v>
      </c>
      <c r="R631" s="16">
        <f t="shared" si="113"/>
        <v>1851599.3087500001</v>
      </c>
      <c r="S631" s="1">
        <v>-144.16999999999999</v>
      </c>
      <c r="T631" s="1">
        <v>24.68</v>
      </c>
      <c r="U631" s="1">
        <v>12</v>
      </c>
      <c r="V631" s="1">
        <v>0</v>
      </c>
      <c r="W631" s="1" cm="1">
        <f t="array" ref="W631">SUM(ABS(S631:V631))</f>
        <v>180.85</v>
      </c>
      <c r="X631" s="25">
        <v>1.238</v>
      </c>
      <c r="Y631" s="42">
        <f t="shared" si="114"/>
        <v>55973.074999999997</v>
      </c>
      <c r="Z631" s="20">
        <v>285.08</v>
      </c>
      <c r="AA631" s="20">
        <f t="shared" si="115"/>
        <v>465.92999999999995</v>
      </c>
      <c r="AB631" s="21">
        <v>215.35000000000002</v>
      </c>
      <c r="AC631" s="21">
        <v>12.61</v>
      </c>
      <c r="AD631" s="8">
        <f t="shared" si="116"/>
        <v>513.04</v>
      </c>
      <c r="AE631" s="25">
        <v>1.238</v>
      </c>
      <c r="AF631" s="25">
        <f t="shared" si="117"/>
        <v>158785.88</v>
      </c>
      <c r="AG631" s="25">
        <f t="shared" si="118"/>
        <v>214758.95500000002</v>
      </c>
      <c r="AH631" s="1">
        <f t="shared" si="108"/>
        <v>2828.3500000000004</v>
      </c>
      <c r="AI631" s="1">
        <f t="shared" si="109"/>
        <v>2807.64</v>
      </c>
      <c r="AJ631" s="1">
        <v>3005.86</v>
      </c>
      <c r="AK631" s="1">
        <f t="shared" si="110"/>
        <v>-177.50999999999976</v>
      </c>
      <c r="AL631" s="29">
        <f t="shared" si="119"/>
        <v>198.22000000000025</v>
      </c>
      <c r="AM631" s="11">
        <f t="shared" si="111"/>
        <v>2066358.2637500002</v>
      </c>
    </row>
    <row r="632" spans="1:39" x14ac:dyDescent="0.3">
      <c r="A632" s="39">
        <v>45966.541666666664</v>
      </c>
      <c r="B632" s="1">
        <v>719.33</v>
      </c>
      <c r="C632" s="11">
        <v>3.2732000000000001</v>
      </c>
      <c r="D632" s="1">
        <v>582.95000000000005</v>
      </c>
      <c r="E632" s="11">
        <v>3.0760000000000001</v>
      </c>
      <c r="F632" s="1">
        <v>398.57</v>
      </c>
      <c r="G632" s="11">
        <v>3.53</v>
      </c>
      <c r="H632" s="1">
        <v>42.05</v>
      </c>
      <c r="I632" s="11">
        <v>1.7690899999999998</v>
      </c>
      <c r="J632" s="1">
        <v>48.52</v>
      </c>
      <c r="K632" s="11">
        <v>1.73153</v>
      </c>
      <c r="L632" s="1">
        <v>64.3</v>
      </c>
      <c r="M632" s="11">
        <v>6.2</v>
      </c>
      <c r="N632" s="1">
        <v>457.25</v>
      </c>
      <c r="O632" s="11">
        <v>2.8224999999999998</v>
      </c>
      <c r="P632" s="1">
        <f t="shared" si="112"/>
        <v>2312.9700000000003</v>
      </c>
      <c r="Q632" s="1">
        <v>2313.87</v>
      </c>
      <c r="R632" s="16">
        <f t="shared" si="113"/>
        <v>1850567.3627749998</v>
      </c>
      <c r="S632" s="1">
        <v>-112.82</v>
      </c>
      <c r="T632" s="1">
        <v>24.7</v>
      </c>
      <c r="U632" s="1">
        <v>12</v>
      </c>
      <c r="V632" s="1">
        <v>0</v>
      </c>
      <c r="W632" s="1" cm="1">
        <f t="array" ref="W632">SUM(ABS(S632:V632))</f>
        <v>149.51999999999998</v>
      </c>
      <c r="X632" s="25">
        <v>1.238</v>
      </c>
      <c r="Y632" s="42">
        <f t="shared" si="114"/>
        <v>46276.439999999995</v>
      </c>
      <c r="Z632" s="20">
        <v>285.03999999999996</v>
      </c>
      <c r="AA632" s="20">
        <f t="shared" si="115"/>
        <v>434.55999999999995</v>
      </c>
      <c r="AB632" s="21">
        <v>201.56999999999996</v>
      </c>
      <c r="AC632" s="21">
        <v>11.98</v>
      </c>
      <c r="AD632" s="8">
        <f t="shared" si="116"/>
        <v>498.58999999999992</v>
      </c>
      <c r="AE632" s="25">
        <v>1.238</v>
      </c>
      <c r="AF632" s="25">
        <f t="shared" si="117"/>
        <v>154313.60499999998</v>
      </c>
      <c r="AG632" s="25">
        <f t="shared" si="118"/>
        <v>200590.04499999998</v>
      </c>
      <c r="AH632" s="1">
        <f t="shared" si="108"/>
        <v>2811.5600000000004</v>
      </c>
      <c r="AI632" s="1">
        <f t="shared" si="109"/>
        <v>2812.46</v>
      </c>
      <c r="AJ632" s="1">
        <v>2985.8</v>
      </c>
      <c r="AK632" s="1">
        <f t="shared" si="110"/>
        <v>-174.23999999999978</v>
      </c>
      <c r="AL632" s="29">
        <f t="shared" si="119"/>
        <v>173.34000000000015</v>
      </c>
      <c r="AM632" s="11">
        <f t="shared" si="111"/>
        <v>2051157.4077749997</v>
      </c>
    </row>
    <row r="633" spans="1:39" x14ac:dyDescent="0.3">
      <c r="A633" s="39">
        <v>45966.552083333336</v>
      </c>
      <c r="B633" s="1">
        <v>719.33</v>
      </c>
      <c r="C633" s="11">
        <v>3.2732000000000001</v>
      </c>
      <c r="D633" s="1">
        <v>582.95000000000005</v>
      </c>
      <c r="E633" s="11">
        <v>3.0760000000000001</v>
      </c>
      <c r="F633" s="1">
        <v>398.57</v>
      </c>
      <c r="G633" s="11">
        <v>3.53</v>
      </c>
      <c r="H633" s="1">
        <v>41.92</v>
      </c>
      <c r="I633" s="11">
        <v>1.7690999999999999</v>
      </c>
      <c r="J633" s="1">
        <v>48.52</v>
      </c>
      <c r="K633" s="11">
        <v>1.73173</v>
      </c>
      <c r="L633" s="1">
        <v>63.75</v>
      </c>
      <c r="M633" s="11">
        <v>6.2</v>
      </c>
      <c r="N633" s="1">
        <v>455.17</v>
      </c>
      <c r="O633" s="11">
        <v>2.8224999999999998</v>
      </c>
      <c r="P633" s="1">
        <f t="shared" si="112"/>
        <v>2310.21</v>
      </c>
      <c r="Q633" s="1">
        <v>2297.31</v>
      </c>
      <c r="R633" s="16">
        <f t="shared" si="113"/>
        <v>1848192.1981499998</v>
      </c>
      <c r="S633" s="1">
        <v>-149.47</v>
      </c>
      <c r="T633" s="1">
        <v>24.74</v>
      </c>
      <c r="U633" s="1">
        <v>12</v>
      </c>
      <c r="V633" s="1">
        <v>0</v>
      </c>
      <c r="W633" s="1" cm="1">
        <f t="array" ref="W633">SUM(ABS(S633:V633))</f>
        <v>186.21</v>
      </c>
      <c r="X633" s="25">
        <v>1.238</v>
      </c>
      <c r="Y633" s="42">
        <f t="shared" si="114"/>
        <v>57631.995000000003</v>
      </c>
      <c r="Z633" s="20">
        <v>294.21000000000004</v>
      </c>
      <c r="AA633" s="20">
        <f t="shared" si="115"/>
        <v>480.42000000000007</v>
      </c>
      <c r="AB633" s="21">
        <v>196.21999999999997</v>
      </c>
      <c r="AC633" s="21">
        <v>12.120000000000001</v>
      </c>
      <c r="AD633" s="8">
        <f t="shared" si="116"/>
        <v>502.55</v>
      </c>
      <c r="AE633" s="25">
        <v>1.238</v>
      </c>
      <c r="AF633" s="25">
        <f t="shared" si="117"/>
        <v>155539.22500000001</v>
      </c>
      <c r="AG633" s="25">
        <f t="shared" si="118"/>
        <v>213171.22</v>
      </c>
      <c r="AH633" s="1">
        <f t="shared" si="108"/>
        <v>2812.76</v>
      </c>
      <c r="AI633" s="1">
        <f t="shared" si="109"/>
        <v>2799.86</v>
      </c>
      <c r="AJ633" s="1">
        <v>3003.62</v>
      </c>
      <c r="AK633" s="1">
        <f t="shared" si="110"/>
        <v>-190.85999999999967</v>
      </c>
      <c r="AL633" s="29">
        <f t="shared" si="119"/>
        <v>203.75999999999976</v>
      </c>
      <c r="AM633" s="11">
        <f t="shared" si="111"/>
        <v>2061363.4181499998</v>
      </c>
    </row>
    <row r="634" spans="1:39" x14ac:dyDescent="0.3">
      <c r="A634" s="39">
        <v>45966.5625</v>
      </c>
      <c r="B634" s="1">
        <v>719.33</v>
      </c>
      <c r="C634" s="11">
        <v>3.2732000000000001</v>
      </c>
      <c r="D634" s="1">
        <v>582.95000000000005</v>
      </c>
      <c r="E634" s="11">
        <v>3.0760000000000001</v>
      </c>
      <c r="F634" s="1">
        <v>398.57</v>
      </c>
      <c r="G634" s="11">
        <v>3.53</v>
      </c>
      <c r="H634" s="1">
        <v>42.55</v>
      </c>
      <c r="I634" s="11">
        <v>1.77617</v>
      </c>
      <c r="J634" s="1">
        <v>75.569999999999993</v>
      </c>
      <c r="K634" s="11">
        <v>2.0346700000000002</v>
      </c>
      <c r="L634" s="1">
        <v>63.17</v>
      </c>
      <c r="M634" s="11">
        <v>6.2</v>
      </c>
      <c r="N634" s="1">
        <v>448.97</v>
      </c>
      <c r="O634" s="11">
        <v>2.8224999999999998</v>
      </c>
      <c r="P634" s="1">
        <f t="shared" si="112"/>
        <v>2331.11</v>
      </c>
      <c r="Q634" s="1">
        <v>2308.7199999999998</v>
      </c>
      <c r="R634" s="16">
        <f t="shared" si="113"/>
        <v>1860706.2815999999</v>
      </c>
      <c r="S634" s="1">
        <v>-190.51</v>
      </c>
      <c r="T634" s="1">
        <v>24.74</v>
      </c>
      <c r="U634" s="1">
        <v>12</v>
      </c>
      <c r="V634" s="1">
        <v>0</v>
      </c>
      <c r="W634" s="1" cm="1">
        <f t="array" ref="W634">SUM(ABS(S634:V634))</f>
        <v>227.25</v>
      </c>
      <c r="X634" s="25">
        <v>1.238</v>
      </c>
      <c r="Y634" s="42">
        <f t="shared" si="114"/>
        <v>70333.875</v>
      </c>
      <c r="Z634" s="20">
        <v>294.61</v>
      </c>
      <c r="AA634" s="20">
        <f t="shared" si="115"/>
        <v>521.86</v>
      </c>
      <c r="AB634" s="21">
        <v>191.12000000000003</v>
      </c>
      <c r="AC634" s="21">
        <v>12.28</v>
      </c>
      <c r="AD634" s="8">
        <f t="shared" si="116"/>
        <v>498.01</v>
      </c>
      <c r="AE634" s="25">
        <v>1.238</v>
      </c>
      <c r="AF634" s="25">
        <f t="shared" si="117"/>
        <v>154134.095</v>
      </c>
      <c r="AG634" s="25">
        <f t="shared" si="118"/>
        <v>224467.97</v>
      </c>
      <c r="AH634" s="1">
        <f t="shared" si="108"/>
        <v>2829.12</v>
      </c>
      <c r="AI634" s="1">
        <f t="shared" si="109"/>
        <v>2806.7299999999996</v>
      </c>
      <c r="AJ634" s="1">
        <v>3053.92</v>
      </c>
      <c r="AK634" s="1">
        <f t="shared" si="110"/>
        <v>-224.80000000000018</v>
      </c>
      <c r="AL634" s="29">
        <f t="shared" si="119"/>
        <v>247.19000000000051</v>
      </c>
      <c r="AM634" s="11">
        <f t="shared" si="111"/>
        <v>2085174.2515999998</v>
      </c>
    </row>
    <row r="635" spans="1:39" x14ac:dyDescent="0.3">
      <c r="A635" s="39">
        <v>45966.572916666664</v>
      </c>
      <c r="B635" s="1">
        <v>719.33</v>
      </c>
      <c r="C635" s="11">
        <v>3.2732000000000001</v>
      </c>
      <c r="D635" s="1">
        <v>582.95000000000005</v>
      </c>
      <c r="E635" s="11">
        <v>3.0760000000000001</v>
      </c>
      <c r="F635" s="1">
        <v>398.57</v>
      </c>
      <c r="G635" s="11">
        <v>3.53</v>
      </c>
      <c r="H635" s="1">
        <v>42.6</v>
      </c>
      <c r="I635" s="11">
        <v>1.7765599999999999</v>
      </c>
      <c r="J635" s="1">
        <v>90.56</v>
      </c>
      <c r="K635" s="11">
        <v>2.51071</v>
      </c>
      <c r="L635" s="1">
        <v>64.2</v>
      </c>
      <c r="M635" s="11">
        <v>6.2</v>
      </c>
      <c r="N635" s="1">
        <v>450.83</v>
      </c>
      <c r="O635" s="11">
        <v>2.8224999999999998</v>
      </c>
      <c r="P635" s="1">
        <f t="shared" si="112"/>
        <v>2349.04</v>
      </c>
      <c r="Q635" s="1">
        <v>2363.6999999999998</v>
      </c>
      <c r="R635" s="16">
        <f t="shared" si="113"/>
        <v>1882044.0711499997</v>
      </c>
      <c r="S635" s="1">
        <v>-199.42</v>
      </c>
      <c r="T635" s="1">
        <v>24.77</v>
      </c>
      <c r="U635" s="1">
        <v>12</v>
      </c>
      <c r="V635" s="1">
        <v>0</v>
      </c>
      <c r="W635" s="1" cm="1">
        <f t="array" ref="W635">SUM(ABS(S635:V635))</f>
        <v>236.19</v>
      </c>
      <c r="X635" s="25">
        <v>1.238</v>
      </c>
      <c r="Y635" s="42">
        <f t="shared" si="114"/>
        <v>73100.804999999993</v>
      </c>
      <c r="Z635" s="20">
        <v>294.12999999999994</v>
      </c>
      <c r="AA635" s="20">
        <f t="shared" si="115"/>
        <v>530.31999999999994</v>
      </c>
      <c r="AB635" s="21">
        <v>198.28000000000003</v>
      </c>
      <c r="AC635" s="21">
        <v>11.48</v>
      </c>
      <c r="AD635" s="8">
        <f t="shared" si="116"/>
        <v>503.89</v>
      </c>
      <c r="AE635" s="25">
        <v>1.238</v>
      </c>
      <c r="AF635" s="25">
        <f t="shared" si="117"/>
        <v>155953.95500000002</v>
      </c>
      <c r="AG635" s="25">
        <f t="shared" si="118"/>
        <v>229054.76</v>
      </c>
      <c r="AH635" s="1">
        <f t="shared" si="108"/>
        <v>2852.93</v>
      </c>
      <c r="AI635" s="1">
        <f t="shared" si="109"/>
        <v>2867.5899999999997</v>
      </c>
      <c r="AJ635" s="1">
        <v>3123.1</v>
      </c>
      <c r="AK635" s="1">
        <f t="shared" si="110"/>
        <v>-270.17000000000007</v>
      </c>
      <c r="AL635" s="29">
        <f t="shared" si="119"/>
        <v>255.51000000000022</v>
      </c>
      <c r="AM635" s="11">
        <f t="shared" si="111"/>
        <v>2111098.83115</v>
      </c>
    </row>
    <row r="636" spans="1:39" x14ac:dyDescent="0.3">
      <c r="A636" s="39">
        <v>45966.583333333336</v>
      </c>
      <c r="B636" s="1">
        <v>719.33</v>
      </c>
      <c r="C636" s="11">
        <v>3.2732000000000001</v>
      </c>
      <c r="D636" s="1">
        <v>636.82000000000005</v>
      </c>
      <c r="E636" s="11">
        <v>3.0760000000000001</v>
      </c>
      <c r="F636" s="1">
        <v>398.57</v>
      </c>
      <c r="G636" s="11">
        <v>3.53</v>
      </c>
      <c r="H636" s="1">
        <v>73.03</v>
      </c>
      <c r="I636" s="11">
        <v>1.79474</v>
      </c>
      <c r="J636" s="1">
        <v>75.86</v>
      </c>
      <c r="K636" s="11">
        <v>2.79962</v>
      </c>
      <c r="L636" s="1">
        <v>29.61</v>
      </c>
      <c r="M636" s="11">
        <v>6.2</v>
      </c>
      <c r="N636" s="1">
        <v>434.47</v>
      </c>
      <c r="O636" s="11">
        <v>2.8224999999999998</v>
      </c>
      <c r="P636" s="1">
        <f t="shared" si="112"/>
        <v>2367.6899999999996</v>
      </c>
      <c r="Q636" s="1">
        <v>2433.5100000000002</v>
      </c>
      <c r="R636" s="16">
        <f t="shared" si="113"/>
        <v>1868410.9966000002</v>
      </c>
      <c r="S636" s="1">
        <v>-250.92</v>
      </c>
      <c r="T636" s="1">
        <v>24.81</v>
      </c>
      <c r="U636" s="1">
        <v>12</v>
      </c>
      <c r="V636" s="1">
        <v>0</v>
      </c>
      <c r="W636" s="1" cm="1">
        <f t="array" ref="W636">SUM(ABS(S636:V636))</f>
        <v>287.72999999999996</v>
      </c>
      <c r="X636" s="25">
        <v>1.238</v>
      </c>
      <c r="Y636" s="42">
        <f t="shared" si="114"/>
        <v>89052.434999999983</v>
      </c>
      <c r="Z636" s="20">
        <v>303.33</v>
      </c>
      <c r="AA636" s="20">
        <f t="shared" si="115"/>
        <v>591.05999999999995</v>
      </c>
      <c r="AB636" s="21">
        <v>179.92</v>
      </c>
      <c r="AC636" s="21">
        <v>10.84</v>
      </c>
      <c r="AD636" s="8">
        <f t="shared" si="116"/>
        <v>494.09</v>
      </c>
      <c r="AE636" s="25">
        <v>1.238</v>
      </c>
      <c r="AF636" s="25">
        <f t="shared" si="117"/>
        <v>152920.85499999998</v>
      </c>
      <c r="AG636" s="25">
        <f t="shared" si="118"/>
        <v>241973.28999999998</v>
      </c>
      <c r="AH636" s="1">
        <f t="shared" si="108"/>
        <v>2861.7799999999997</v>
      </c>
      <c r="AI636" s="1">
        <f t="shared" si="109"/>
        <v>2927.6000000000004</v>
      </c>
      <c r="AJ636" s="1">
        <v>3231.38</v>
      </c>
      <c r="AK636" s="1">
        <f t="shared" si="110"/>
        <v>-369.60000000000036</v>
      </c>
      <c r="AL636" s="29">
        <f t="shared" si="119"/>
        <v>303.77999999999975</v>
      </c>
      <c r="AM636" s="11">
        <f t="shared" si="111"/>
        <v>2110384.2866000002</v>
      </c>
    </row>
    <row r="637" spans="1:39" x14ac:dyDescent="0.3">
      <c r="A637" s="39">
        <v>45966.59375</v>
      </c>
      <c r="B637" s="1">
        <v>719.33</v>
      </c>
      <c r="C637" s="11">
        <v>3.2732000000000001</v>
      </c>
      <c r="D637" s="1">
        <v>649.46</v>
      </c>
      <c r="E637" s="11">
        <v>3.0760000000000001</v>
      </c>
      <c r="F637" s="1">
        <v>398.57</v>
      </c>
      <c r="G637" s="11">
        <v>3.53</v>
      </c>
      <c r="H637" s="1">
        <v>76.22</v>
      </c>
      <c r="I637" s="11">
        <v>1.99014</v>
      </c>
      <c r="J637" s="1">
        <v>30.16</v>
      </c>
      <c r="K637" s="11">
        <v>3.00047</v>
      </c>
      <c r="L637" s="1">
        <v>27.13</v>
      </c>
      <c r="M637" s="11">
        <v>6.2</v>
      </c>
      <c r="N637" s="1">
        <v>423.99</v>
      </c>
      <c r="O637" s="11">
        <v>2.8224999999999998</v>
      </c>
      <c r="P637" s="1">
        <f t="shared" si="112"/>
        <v>2324.86</v>
      </c>
      <c r="Q637" s="1">
        <v>2479.39</v>
      </c>
      <c r="R637" s="16">
        <f t="shared" si="113"/>
        <v>1841575.6092500002</v>
      </c>
      <c r="S637" s="1">
        <v>-255.69</v>
      </c>
      <c r="T637" s="1">
        <v>24.85</v>
      </c>
      <c r="U637" s="1">
        <v>12</v>
      </c>
      <c r="V637" s="1">
        <v>0</v>
      </c>
      <c r="W637" s="1" cm="1">
        <f t="array" ref="W637">SUM(ABS(S637:V637))</f>
        <v>292.54000000000002</v>
      </c>
      <c r="X637" s="25">
        <v>1.238</v>
      </c>
      <c r="Y637" s="42">
        <f t="shared" si="114"/>
        <v>90541.13</v>
      </c>
      <c r="Z637" s="20">
        <v>328.55</v>
      </c>
      <c r="AA637" s="20">
        <f t="shared" si="115"/>
        <v>621.09</v>
      </c>
      <c r="AB637" s="21">
        <v>190.46</v>
      </c>
      <c r="AC637" s="21">
        <v>11.419999999999998</v>
      </c>
      <c r="AD637" s="8">
        <f t="shared" si="116"/>
        <v>530.42999999999995</v>
      </c>
      <c r="AE637" s="25">
        <v>1.238</v>
      </c>
      <c r="AF637" s="25">
        <f t="shared" si="117"/>
        <v>164168.08499999999</v>
      </c>
      <c r="AG637" s="25">
        <f t="shared" si="118"/>
        <v>254709.215</v>
      </c>
      <c r="AH637" s="1">
        <f t="shared" si="108"/>
        <v>2855.29</v>
      </c>
      <c r="AI637" s="1">
        <f t="shared" si="109"/>
        <v>3009.8199999999997</v>
      </c>
      <c r="AJ637" s="1">
        <v>3321.26</v>
      </c>
      <c r="AK637" s="1">
        <f t="shared" si="110"/>
        <v>-465.97000000000025</v>
      </c>
      <c r="AL637" s="29">
        <f t="shared" si="119"/>
        <v>311.44000000000051</v>
      </c>
      <c r="AM637" s="11">
        <f t="shared" si="111"/>
        <v>2096284.8242500003</v>
      </c>
    </row>
    <row r="638" spans="1:39" x14ac:dyDescent="0.3">
      <c r="A638" s="39">
        <v>45966.604166666664</v>
      </c>
      <c r="B638" s="1">
        <v>850.99</v>
      </c>
      <c r="C638" s="11">
        <v>3.2732000000000001</v>
      </c>
      <c r="D638" s="1">
        <v>657.3</v>
      </c>
      <c r="E638" s="11">
        <v>3.0760000000000001</v>
      </c>
      <c r="F638" s="1">
        <v>398.57</v>
      </c>
      <c r="G638" s="11">
        <v>3.53</v>
      </c>
      <c r="H638" s="1">
        <v>75.66</v>
      </c>
      <c r="I638" s="11">
        <v>1.99919</v>
      </c>
      <c r="J638" s="1">
        <v>71.66</v>
      </c>
      <c r="K638" s="11">
        <v>3.0159899999999999</v>
      </c>
      <c r="L638" s="1">
        <v>27.21</v>
      </c>
      <c r="M638" s="11">
        <v>6.2</v>
      </c>
      <c r="N638" s="1">
        <v>412.96</v>
      </c>
      <c r="O638" s="11">
        <v>2.8224999999999998</v>
      </c>
      <c r="P638" s="1">
        <f t="shared" si="112"/>
        <v>2494.35</v>
      </c>
      <c r="Q638" s="1">
        <v>2650.32</v>
      </c>
      <c r="R638" s="16">
        <f t="shared" si="113"/>
        <v>1978983.3817000003</v>
      </c>
      <c r="S638" s="1">
        <v>-204.53</v>
      </c>
      <c r="T638" s="1">
        <v>24.88</v>
      </c>
      <c r="U638" s="1">
        <v>12</v>
      </c>
      <c r="V638" s="1">
        <v>0</v>
      </c>
      <c r="W638" s="1" cm="1">
        <f t="array" ref="W638">SUM(ABS(S638:V638))</f>
        <v>241.41</v>
      </c>
      <c r="X638" s="25">
        <v>1.238</v>
      </c>
      <c r="Y638" s="42">
        <f t="shared" si="114"/>
        <v>74716.39499999999</v>
      </c>
      <c r="Z638" s="20">
        <v>313.10000000000002</v>
      </c>
      <c r="AA638" s="20">
        <f t="shared" si="115"/>
        <v>554.51</v>
      </c>
      <c r="AB638" s="21">
        <v>168.26</v>
      </c>
      <c r="AC638" s="21">
        <v>12.29</v>
      </c>
      <c r="AD638" s="8">
        <f t="shared" si="116"/>
        <v>493.65000000000003</v>
      </c>
      <c r="AE638" s="25">
        <v>1.238</v>
      </c>
      <c r="AF638" s="25">
        <f t="shared" si="117"/>
        <v>152784.67500000002</v>
      </c>
      <c r="AG638" s="25">
        <f t="shared" si="118"/>
        <v>227501.07</v>
      </c>
      <c r="AH638" s="1">
        <f t="shared" si="108"/>
        <v>2988</v>
      </c>
      <c r="AI638" s="1">
        <f t="shared" si="109"/>
        <v>3143.9700000000003</v>
      </c>
      <c r="AJ638" s="1">
        <v>3401.02</v>
      </c>
      <c r="AK638" s="1">
        <f t="shared" si="110"/>
        <v>-413.02</v>
      </c>
      <c r="AL638" s="29">
        <f t="shared" si="119"/>
        <v>257.04999999999973</v>
      </c>
      <c r="AM638" s="11">
        <f t="shared" si="111"/>
        <v>2206484.4517000001</v>
      </c>
    </row>
    <row r="639" spans="1:39" x14ac:dyDescent="0.3">
      <c r="A639" s="39">
        <v>45966.614583333336</v>
      </c>
      <c r="B639" s="1">
        <v>942.12</v>
      </c>
      <c r="C639" s="11">
        <v>3.2732000000000001</v>
      </c>
      <c r="D639" s="1">
        <v>657.84</v>
      </c>
      <c r="E639" s="11">
        <v>3.0760000000000001</v>
      </c>
      <c r="F639" s="1">
        <v>398.57</v>
      </c>
      <c r="G639" s="11">
        <v>3.53</v>
      </c>
      <c r="H639" s="1">
        <v>82.17</v>
      </c>
      <c r="I639" s="11">
        <v>1.9995999999999998</v>
      </c>
      <c r="J639" s="1">
        <v>74.77</v>
      </c>
      <c r="K639" s="11">
        <v>3.0155400000000001</v>
      </c>
      <c r="L639" s="1">
        <v>20.7</v>
      </c>
      <c r="M639" s="11">
        <v>6.2</v>
      </c>
      <c r="N639" s="1">
        <v>402.87</v>
      </c>
      <c r="O639" s="11">
        <v>2.8224999999999998</v>
      </c>
      <c r="P639" s="1">
        <f t="shared" si="112"/>
        <v>2579.0399999999995</v>
      </c>
      <c r="Q639" s="1">
        <v>2671.92</v>
      </c>
      <c r="R639" s="16">
        <f t="shared" si="113"/>
        <v>2042358.6892000004</v>
      </c>
      <c r="S639" s="1">
        <v>-225.01</v>
      </c>
      <c r="T639" s="1">
        <v>24.91</v>
      </c>
      <c r="U639" s="1">
        <v>12</v>
      </c>
      <c r="V639" s="1">
        <v>0</v>
      </c>
      <c r="W639" s="1" cm="1">
        <f t="array" ref="W639">SUM(ABS(S639:V639))</f>
        <v>261.91999999999996</v>
      </c>
      <c r="X639" s="25">
        <v>1.238</v>
      </c>
      <c r="Y639" s="42">
        <f t="shared" si="114"/>
        <v>81064.239999999991</v>
      </c>
      <c r="Z639" s="20">
        <v>326.23</v>
      </c>
      <c r="AA639" s="20">
        <f t="shared" si="115"/>
        <v>588.15</v>
      </c>
      <c r="AB639" s="21">
        <v>167.21000000000004</v>
      </c>
      <c r="AC639" s="21">
        <v>12.040000000000001</v>
      </c>
      <c r="AD639" s="8">
        <f t="shared" si="116"/>
        <v>505.48000000000008</v>
      </c>
      <c r="AE639" s="25">
        <v>1.238</v>
      </c>
      <c r="AF639" s="25">
        <f t="shared" si="117"/>
        <v>156446.06000000003</v>
      </c>
      <c r="AG639" s="25">
        <f t="shared" si="118"/>
        <v>237510.30000000002</v>
      </c>
      <c r="AH639" s="1">
        <f t="shared" si="108"/>
        <v>3084.5199999999995</v>
      </c>
      <c r="AI639" s="1">
        <f t="shared" si="109"/>
        <v>3177.4</v>
      </c>
      <c r="AJ639" s="1">
        <v>3450.63</v>
      </c>
      <c r="AK639" s="1">
        <f t="shared" si="110"/>
        <v>-366.11000000000058</v>
      </c>
      <c r="AL639" s="29">
        <f t="shared" si="119"/>
        <v>273.23</v>
      </c>
      <c r="AM639" s="11">
        <f t="shared" si="111"/>
        <v>2279868.9892000002</v>
      </c>
    </row>
    <row r="640" spans="1:39" x14ac:dyDescent="0.3">
      <c r="A640" s="39">
        <v>45966.625</v>
      </c>
      <c r="B640" s="1">
        <v>1069.25</v>
      </c>
      <c r="C640" s="11">
        <v>3.2732000000000001</v>
      </c>
      <c r="D640" s="1">
        <v>657.84</v>
      </c>
      <c r="E640" s="11">
        <v>3.0760000000000001</v>
      </c>
      <c r="F640" s="1">
        <v>398.57</v>
      </c>
      <c r="G640" s="11">
        <v>3.53</v>
      </c>
      <c r="H640" s="1">
        <v>49.71</v>
      </c>
      <c r="I640" s="11">
        <v>2.78098</v>
      </c>
      <c r="J640" s="1">
        <v>65.739999999999995</v>
      </c>
      <c r="K640" s="11">
        <v>2.8908299999999998</v>
      </c>
      <c r="L640" s="1">
        <v>19</v>
      </c>
      <c r="M640" s="11">
        <v>6.2</v>
      </c>
      <c r="N640" s="1">
        <v>404.54</v>
      </c>
      <c r="O640" s="11">
        <v>2.8224999999999998</v>
      </c>
      <c r="P640" s="1">
        <f t="shared" si="112"/>
        <v>2664.65</v>
      </c>
      <c r="Q640" s="1">
        <v>2718.36</v>
      </c>
      <c r="R640" s="16">
        <f t="shared" si="113"/>
        <v>2129559.2175000003</v>
      </c>
      <c r="S640" s="1">
        <v>-216.37</v>
      </c>
      <c r="T640" s="1">
        <v>24.94</v>
      </c>
      <c r="U640" s="1">
        <v>12</v>
      </c>
      <c r="V640" s="1">
        <v>0</v>
      </c>
      <c r="W640" s="1" cm="1">
        <f t="array" ref="W640">SUM(ABS(S640:V640))</f>
        <v>253.31</v>
      </c>
      <c r="X640" s="25">
        <v>1.238</v>
      </c>
      <c r="Y640" s="42">
        <f t="shared" si="114"/>
        <v>78399.445000000007</v>
      </c>
      <c r="Z640" s="20">
        <v>338.08000000000004</v>
      </c>
      <c r="AA640" s="20">
        <f t="shared" si="115"/>
        <v>591.3900000000001</v>
      </c>
      <c r="AB640" s="21">
        <v>165.08</v>
      </c>
      <c r="AC640" s="21">
        <v>11.47</v>
      </c>
      <c r="AD640" s="8">
        <f t="shared" si="116"/>
        <v>514.63000000000011</v>
      </c>
      <c r="AE640" s="25">
        <v>1.238</v>
      </c>
      <c r="AF640" s="25">
        <f t="shared" si="117"/>
        <v>159277.98500000002</v>
      </c>
      <c r="AG640" s="25">
        <f t="shared" si="118"/>
        <v>237677.43000000002</v>
      </c>
      <c r="AH640" s="1">
        <f t="shared" si="108"/>
        <v>3179.28</v>
      </c>
      <c r="AI640" s="1">
        <f t="shared" si="109"/>
        <v>3232.9900000000002</v>
      </c>
      <c r="AJ640" s="1">
        <v>3501.23</v>
      </c>
      <c r="AK640" s="1">
        <f t="shared" si="110"/>
        <v>-321.94999999999982</v>
      </c>
      <c r="AL640" s="29">
        <f t="shared" si="119"/>
        <v>268.23999999999978</v>
      </c>
      <c r="AM640" s="11">
        <f t="shared" si="111"/>
        <v>2367236.6475000004</v>
      </c>
    </row>
    <row r="641" spans="1:39" x14ac:dyDescent="0.3">
      <c r="A641" s="39">
        <v>45966.635416666664</v>
      </c>
      <c r="B641" s="1">
        <v>1102.42</v>
      </c>
      <c r="C641" s="11">
        <v>3.2732000000000001</v>
      </c>
      <c r="D641" s="1">
        <v>657.84</v>
      </c>
      <c r="E641" s="11">
        <v>3.0760000000000001</v>
      </c>
      <c r="F641" s="1">
        <v>398.57</v>
      </c>
      <c r="G641" s="11">
        <v>3.53</v>
      </c>
      <c r="H641" s="1">
        <v>55.76</v>
      </c>
      <c r="I641" s="11">
        <v>2.9009399999999999</v>
      </c>
      <c r="J641" s="1">
        <v>100.81</v>
      </c>
      <c r="K641" s="11">
        <v>3.0155400000000001</v>
      </c>
      <c r="L641" s="1">
        <v>12.86</v>
      </c>
      <c r="M641" s="11">
        <v>6.2</v>
      </c>
      <c r="N641" s="1">
        <v>392.2</v>
      </c>
      <c r="O641" s="11">
        <v>2.8224999999999998</v>
      </c>
      <c r="P641" s="1">
        <f t="shared" si="112"/>
        <v>2720.4600000000005</v>
      </c>
      <c r="Q641" s="1">
        <v>2743.25</v>
      </c>
      <c r="R641" s="16">
        <f t="shared" si="113"/>
        <v>2172844.6464500003</v>
      </c>
      <c r="S641" s="1">
        <v>-288.3</v>
      </c>
      <c r="T641" s="1">
        <v>5.82</v>
      </c>
      <c r="U641" s="1">
        <v>12</v>
      </c>
      <c r="V641" s="1">
        <v>0</v>
      </c>
      <c r="W641" s="1" cm="1">
        <f t="array" ref="W641">SUM(ABS(S641:V641))</f>
        <v>306.12</v>
      </c>
      <c r="X641" s="25">
        <v>1.238</v>
      </c>
      <c r="Y641" s="42">
        <f t="shared" si="114"/>
        <v>94744.14</v>
      </c>
      <c r="Z641" s="20">
        <v>340.25</v>
      </c>
      <c r="AA641" s="20">
        <f t="shared" si="115"/>
        <v>646.37</v>
      </c>
      <c r="AB641" s="21">
        <v>151.21</v>
      </c>
      <c r="AC641" s="21">
        <v>12.68</v>
      </c>
      <c r="AD641" s="8">
        <f t="shared" si="116"/>
        <v>504.14000000000004</v>
      </c>
      <c r="AE641" s="25">
        <v>1.238</v>
      </c>
      <c r="AF641" s="25">
        <f t="shared" si="117"/>
        <v>156031.33000000002</v>
      </c>
      <c r="AG641" s="25">
        <f t="shared" si="118"/>
        <v>250775.47000000003</v>
      </c>
      <c r="AH641" s="1">
        <f t="shared" si="108"/>
        <v>3224.6000000000004</v>
      </c>
      <c r="AI641" s="1">
        <f t="shared" si="109"/>
        <v>3247.39</v>
      </c>
      <c r="AJ641" s="1">
        <v>3569.39</v>
      </c>
      <c r="AK641" s="1">
        <f t="shared" si="110"/>
        <v>-344.78999999999951</v>
      </c>
      <c r="AL641" s="29">
        <f t="shared" si="119"/>
        <v>322</v>
      </c>
      <c r="AM641" s="11">
        <f t="shared" si="111"/>
        <v>2423620.1164500006</v>
      </c>
    </row>
    <row r="642" spans="1:39" x14ac:dyDescent="0.3">
      <c r="A642" s="39">
        <v>45966.645833333336</v>
      </c>
      <c r="B642" s="1">
        <v>1238.75</v>
      </c>
      <c r="C642" s="11">
        <v>3.2732000000000001</v>
      </c>
      <c r="D642" s="1">
        <v>657.84</v>
      </c>
      <c r="E642" s="11">
        <v>3.0760000000000001</v>
      </c>
      <c r="F642" s="1">
        <v>398.57</v>
      </c>
      <c r="G642" s="11">
        <v>3.53</v>
      </c>
      <c r="H642" s="1">
        <v>60.26</v>
      </c>
      <c r="I642" s="11">
        <v>2.9026999999999998</v>
      </c>
      <c r="J642" s="1">
        <v>52.26</v>
      </c>
      <c r="K642" s="11">
        <v>2.9001300000000003</v>
      </c>
      <c r="L642" s="1">
        <v>7.3</v>
      </c>
      <c r="M642" s="11">
        <v>6.2</v>
      </c>
      <c r="N642" s="1">
        <v>341.99</v>
      </c>
      <c r="O642" s="11">
        <v>2.8224999999999998</v>
      </c>
      <c r="P642" s="1">
        <f t="shared" si="112"/>
        <v>2756.9700000000012</v>
      </c>
      <c r="Q642" s="1">
        <v>2757.22</v>
      </c>
      <c r="R642" s="16">
        <f t="shared" si="113"/>
        <v>2205537.1776999999</v>
      </c>
      <c r="S642" s="1">
        <v>-340.92</v>
      </c>
      <c r="T642" s="1">
        <v>0</v>
      </c>
      <c r="U642" s="1">
        <v>12</v>
      </c>
      <c r="V642" s="1">
        <v>0</v>
      </c>
      <c r="W642" s="1" cm="1">
        <f t="array" ref="W642">SUM(ABS(S642:V642))</f>
        <v>352.92</v>
      </c>
      <c r="X642" s="25">
        <v>1.238</v>
      </c>
      <c r="Y642" s="42">
        <f t="shared" si="114"/>
        <v>109228.74</v>
      </c>
      <c r="Z642" s="20">
        <v>339.28</v>
      </c>
      <c r="AA642" s="20">
        <f t="shared" si="115"/>
        <v>692.2</v>
      </c>
      <c r="AB642" s="21">
        <v>141.19999999999999</v>
      </c>
      <c r="AC642" s="21">
        <v>14.96</v>
      </c>
      <c r="AD642" s="8">
        <f t="shared" si="116"/>
        <v>495.43999999999994</v>
      </c>
      <c r="AE642" s="25">
        <v>1.238</v>
      </c>
      <c r="AF642" s="25">
        <f t="shared" si="117"/>
        <v>153338.68</v>
      </c>
      <c r="AG642" s="25">
        <f t="shared" si="118"/>
        <v>262567.42</v>
      </c>
      <c r="AH642" s="1">
        <f t="shared" si="108"/>
        <v>3252.4100000000012</v>
      </c>
      <c r="AI642" s="1">
        <f t="shared" si="109"/>
        <v>3252.66</v>
      </c>
      <c r="AJ642" s="1">
        <v>3620.02</v>
      </c>
      <c r="AK642" s="1">
        <f t="shared" si="110"/>
        <v>-367.60999999999876</v>
      </c>
      <c r="AL642" s="29">
        <f t="shared" si="119"/>
        <v>367.36000000000013</v>
      </c>
      <c r="AM642" s="11">
        <f t="shared" si="111"/>
        <v>2468104.5976999998</v>
      </c>
    </row>
    <row r="643" spans="1:39" x14ac:dyDescent="0.3">
      <c r="A643" s="39">
        <v>45966.65625</v>
      </c>
      <c r="B643" s="1">
        <v>1324.09</v>
      </c>
      <c r="C643" s="11">
        <v>3.2732000000000001</v>
      </c>
      <c r="D643" s="1">
        <v>657.84</v>
      </c>
      <c r="E643" s="11">
        <v>3.0760000000000001</v>
      </c>
      <c r="F643" s="1">
        <v>398.57</v>
      </c>
      <c r="G643" s="11">
        <v>3.53</v>
      </c>
      <c r="H643" s="1">
        <v>62.17</v>
      </c>
      <c r="I643" s="11">
        <v>2.9029699999999998</v>
      </c>
      <c r="J643" s="1">
        <v>30.86</v>
      </c>
      <c r="K643" s="11">
        <v>2.7879999999999998</v>
      </c>
      <c r="L643" s="1">
        <v>6.95</v>
      </c>
      <c r="M643" s="11">
        <v>6.2</v>
      </c>
      <c r="N643" s="1">
        <v>310.68</v>
      </c>
      <c r="O643" s="11">
        <v>2.8224999999999998</v>
      </c>
      <c r="P643" s="1">
        <f t="shared" si="112"/>
        <v>2791.16</v>
      </c>
      <c r="Q643" s="1">
        <v>2805.5</v>
      </c>
      <c r="R643" s="16">
        <f t="shared" si="113"/>
        <v>2237744.7382250004</v>
      </c>
      <c r="S643" s="1">
        <v>-347.17</v>
      </c>
      <c r="T643" s="1">
        <v>3.53</v>
      </c>
      <c r="U643" s="1">
        <v>12</v>
      </c>
      <c r="V643" s="1">
        <v>0</v>
      </c>
      <c r="W643" s="1" cm="1">
        <f t="array" ref="W643">SUM(ABS(S643:V643))</f>
        <v>362.7</v>
      </c>
      <c r="X643" s="25">
        <v>1.238</v>
      </c>
      <c r="Y643" s="42">
        <f t="shared" si="114"/>
        <v>112255.65</v>
      </c>
      <c r="Z643" s="20">
        <v>336.92</v>
      </c>
      <c r="AA643" s="20">
        <f t="shared" si="115"/>
        <v>699.62</v>
      </c>
      <c r="AB643" s="21">
        <v>130.5</v>
      </c>
      <c r="AC643" s="21">
        <v>15.89</v>
      </c>
      <c r="AD643" s="8">
        <f t="shared" si="116"/>
        <v>483.31</v>
      </c>
      <c r="AE643" s="25">
        <v>1.238</v>
      </c>
      <c r="AF643" s="25">
        <f t="shared" si="117"/>
        <v>149584.44499999998</v>
      </c>
      <c r="AG643" s="25">
        <f t="shared" si="118"/>
        <v>261840.09499999997</v>
      </c>
      <c r="AH643" s="1">
        <f t="shared" si="108"/>
        <v>3274.47</v>
      </c>
      <c r="AI643" s="1">
        <f t="shared" si="109"/>
        <v>3288.81</v>
      </c>
      <c r="AJ643" s="1">
        <v>3662.93</v>
      </c>
      <c r="AK643" s="1">
        <f t="shared" si="110"/>
        <v>-388.46000000000004</v>
      </c>
      <c r="AL643" s="29">
        <f t="shared" si="119"/>
        <v>374.11999999999989</v>
      </c>
      <c r="AM643" s="11">
        <f t="shared" si="111"/>
        <v>2499584.8332250006</v>
      </c>
    </row>
    <row r="644" spans="1:39" x14ac:dyDescent="0.3">
      <c r="A644" s="39">
        <v>45966.666666666664</v>
      </c>
      <c r="B644" s="1">
        <v>1330.34</v>
      </c>
      <c r="C644" s="11">
        <v>3.2732000000000001</v>
      </c>
      <c r="D644" s="1">
        <v>657.84</v>
      </c>
      <c r="E644" s="11">
        <v>3.0760000000000001</v>
      </c>
      <c r="F644" s="1">
        <v>694.11</v>
      </c>
      <c r="G644" s="11">
        <v>3.53</v>
      </c>
      <c r="H644" s="1">
        <v>65.959999999999994</v>
      </c>
      <c r="I644" s="11">
        <v>2.9714200000000002</v>
      </c>
      <c r="J644" s="1">
        <v>75.13</v>
      </c>
      <c r="K644" s="11">
        <v>2.5106299999999999</v>
      </c>
      <c r="L644" s="1">
        <v>4.78</v>
      </c>
      <c r="M644" s="11">
        <v>6.2</v>
      </c>
      <c r="N644" s="1">
        <v>291.51</v>
      </c>
      <c r="O644" s="11">
        <v>2.8224999999999998</v>
      </c>
      <c r="P644" s="1">
        <f t="shared" si="112"/>
        <v>3119.67</v>
      </c>
      <c r="Q644" s="1">
        <v>3152.08</v>
      </c>
      <c r="R644" s="16">
        <f t="shared" si="113"/>
        <v>2516308.6245249999</v>
      </c>
      <c r="S644" s="1">
        <v>-136.80000000000001</v>
      </c>
      <c r="T644" s="1">
        <v>24.37</v>
      </c>
      <c r="U644" s="1">
        <v>12</v>
      </c>
      <c r="V644" s="1">
        <v>0</v>
      </c>
      <c r="W644" s="1" cm="1">
        <f t="array" ref="W644">SUM(ABS(S644:V644))</f>
        <v>173.17000000000002</v>
      </c>
      <c r="X644" s="25">
        <v>1.238</v>
      </c>
      <c r="Y644" s="42">
        <f t="shared" si="114"/>
        <v>53596.115000000005</v>
      </c>
      <c r="Z644" s="20">
        <v>220.35</v>
      </c>
      <c r="AA644" s="20">
        <f t="shared" si="115"/>
        <v>393.52</v>
      </c>
      <c r="AB644" s="21">
        <v>113.95</v>
      </c>
      <c r="AC644" s="21">
        <v>15.219999999999999</v>
      </c>
      <c r="AD644" s="8">
        <f t="shared" si="116"/>
        <v>349.52</v>
      </c>
      <c r="AE644" s="25">
        <v>1.238</v>
      </c>
      <c r="AF644" s="25">
        <f t="shared" si="117"/>
        <v>108176.44</v>
      </c>
      <c r="AG644" s="25">
        <f t="shared" si="118"/>
        <v>161772.55499999999</v>
      </c>
      <c r="AH644" s="1">
        <f t="shared" ref="AH644:AH707" si="120">B644+D644+F644+H644+J644+L644+N644+AD644</f>
        <v>3469.19</v>
      </c>
      <c r="AI644" s="1">
        <f t="shared" ref="AI644:AI707" si="121">Q644+AD644</f>
        <v>3501.6</v>
      </c>
      <c r="AJ644" s="1">
        <v>3693.93</v>
      </c>
      <c r="AK644" s="1">
        <f t="shared" ref="AK644:AK707" si="122">AH644-AJ644</f>
        <v>-224.73999999999978</v>
      </c>
      <c r="AL644" s="29">
        <f t="shared" si="119"/>
        <v>192.32999999999993</v>
      </c>
      <c r="AM644" s="11">
        <f t="shared" ref="AM644:AM707" si="123">(R644+AG644)</f>
        <v>2678081.179525</v>
      </c>
    </row>
    <row r="645" spans="1:39" x14ac:dyDescent="0.3">
      <c r="A645" s="39">
        <v>45966.677083333336</v>
      </c>
      <c r="B645" s="1">
        <v>1330.35</v>
      </c>
      <c r="C645" s="11">
        <v>3.2732000000000001</v>
      </c>
      <c r="D645" s="1">
        <v>657.84</v>
      </c>
      <c r="E645" s="11">
        <v>3.0760000000000001</v>
      </c>
      <c r="F645" s="1">
        <v>717.12</v>
      </c>
      <c r="G645" s="11">
        <v>3.53</v>
      </c>
      <c r="H645" s="1">
        <v>38.72</v>
      </c>
      <c r="I645" s="11">
        <v>3.0091199999999998</v>
      </c>
      <c r="J645" s="1">
        <v>106.63</v>
      </c>
      <c r="K645" s="11">
        <v>2.1188099999999999</v>
      </c>
      <c r="L645" s="1">
        <v>4.63</v>
      </c>
      <c r="M645" s="11">
        <v>6.2</v>
      </c>
      <c r="N645" s="1">
        <v>274.58999999999997</v>
      </c>
      <c r="O645" s="11">
        <v>2.8224999999999998</v>
      </c>
      <c r="P645" s="1">
        <f t="shared" ref="P645:P708" si="124">(B645+D645+F645+H645+J645+L645+N645)</f>
        <v>3129.88</v>
      </c>
      <c r="Q645" s="1">
        <v>3211.69</v>
      </c>
      <c r="R645" s="16">
        <f t="shared" ref="R645:R708" si="125">(((B645*C645)+(D645*E645)+(F645*G645)+(H645*I645)+(J645*K645)+(L645*M645)+(N645*O645))*(1000/4))</f>
        <v>2513907.2929249997</v>
      </c>
      <c r="S645" s="1">
        <v>-140.69999999999999</v>
      </c>
      <c r="T645" s="1">
        <v>24.51</v>
      </c>
      <c r="U645" s="1">
        <v>12</v>
      </c>
      <c r="V645" s="1">
        <v>0</v>
      </c>
      <c r="W645" s="1" cm="1">
        <f t="array" ref="W645">SUM(ABS(S645:V645))</f>
        <v>177.20999999999998</v>
      </c>
      <c r="X645" s="25">
        <v>1.238</v>
      </c>
      <c r="Y645" s="42">
        <f t="shared" ref="Y645:Y708" si="126">((W645*X645)*1000)/4</f>
        <v>54846.494999999988</v>
      </c>
      <c r="Z645" s="20">
        <v>178.27</v>
      </c>
      <c r="AA645" s="20">
        <f t="shared" ref="AA645:AA708" si="127">W645+Z645</f>
        <v>355.48</v>
      </c>
      <c r="AB645" s="21">
        <v>101.66000000000001</v>
      </c>
      <c r="AC645" s="21">
        <v>14.58</v>
      </c>
      <c r="AD645" s="8">
        <f t="shared" ref="AD645:AD708" si="128">Z645+AB645+AC645</f>
        <v>294.51</v>
      </c>
      <c r="AE645" s="25">
        <v>1.238</v>
      </c>
      <c r="AF645" s="25">
        <f t="shared" ref="AF645:AF708" si="129">((AD645*AE645*1000)/4)</f>
        <v>91150.844999999987</v>
      </c>
      <c r="AG645" s="25">
        <f t="shared" ref="AG645:AG708" si="130">Y645+AF645</f>
        <v>145997.33999999997</v>
      </c>
      <c r="AH645" s="1">
        <f t="shared" si="120"/>
        <v>3424.3900000000003</v>
      </c>
      <c r="AI645" s="1">
        <f t="shared" si="121"/>
        <v>3506.2</v>
      </c>
      <c r="AJ645" s="1">
        <v>3691.8</v>
      </c>
      <c r="AK645" s="1">
        <f t="shared" si="122"/>
        <v>-267.40999999999985</v>
      </c>
      <c r="AL645" s="29">
        <f t="shared" ref="AL645:AL708" si="131">AJ645-AI645</f>
        <v>185.60000000000036</v>
      </c>
      <c r="AM645" s="11">
        <f t="shared" si="123"/>
        <v>2659904.6329249996</v>
      </c>
    </row>
    <row r="646" spans="1:39" x14ac:dyDescent="0.3">
      <c r="A646" s="39">
        <v>45966.6875</v>
      </c>
      <c r="B646" s="1">
        <v>1330.35</v>
      </c>
      <c r="C646" s="11">
        <v>3.2732000000000001</v>
      </c>
      <c r="D646" s="1">
        <v>657.84</v>
      </c>
      <c r="E646" s="11">
        <v>3.0760000000000001</v>
      </c>
      <c r="F646" s="1">
        <v>717.12</v>
      </c>
      <c r="G646" s="11">
        <v>3.53</v>
      </c>
      <c r="H646" s="1">
        <v>-172.36</v>
      </c>
      <c r="I646" s="11">
        <v>3.0807800000000003</v>
      </c>
      <c r="J646" s="1">
        <v>34.53</v>
      </c>
      <c r="K646" s="11">
        <v>3.0356999999999998</v>
      </c>
      <c r="L646" s="1">
        <v>8.8800000000000008</v>
      </c>
      <c r="M646" s="11">
        <v>6.2</v>
      </c>
      <c r="N646" s="1">
        <v>235.52</v>
      </c>
      <c r="O646" s="11">
        <v>2.8224999999999998</v>
      </c>
      <c r="P646" s="1">
        <f t="shared" si="124"/>
        <v>2811.88</v>
      </c>
      <c r="Q646" s="1">
        <v>2915.48</v>
      </c>
      <c r="R646" s="16">
        <f t="shared" si="125"/>
        <v>2300770.43505</v>
      </c>
      <c r="S646" s="1">
        <v>-451.79</v>
      </c>
      <c r="T646" s="1">
        <v>24.49</v>
      </c>
      <c r="U646" s="1">
        <v>12</v>
      </c>
      <c r="V646" s="1">
        <v>0</v>
      </c>
      <c r="W646" s="1" cm="1">
        <f t="array" ref="W646">SUM(ABS(S646:V646))</f>
        <v>488.28000000000003</v>
      </c>
      <c r="X646" s="25">
        <v>1.238</v>
      </c>
      <c r="Y646" s="42">
        <f t="shared" si="126"/>
        <v>151122.66</v>
      </c>
      <c r="Z646" s="20">
        <v>197.78</v>
      </c>
      <c r="AA646" s="20">
        <f t="shared" si="127"/>
        <v>686.06000000000006</v>
      </c>
      <c r="AB646" s="21">
        <v>85.86</v>
      </c>
      <c r="AC646" s="21">
        <v>15.83</v>
      </c>
      <c r="AD646" s="8">
        <f t="shared" si="128"/>
        <v>299.46999999999997</v>
      </c>
      <c r="AE646" s="25">
        <v>1.238</v>
      </c>
      <c r="AF646" s="25">
        <f t="shared" si="129"/>
        <v>92685.964999999997</v>
      </c>
      <c r="AG646" s="25">
        <f t="shared" si="130"/>
        <v>243808.625</v>
      </c>
      <c r="AH646" s="1">
        <f t="shared" si="120"/>
        <v>3111.35</v>
      </c>
      <c r="AI646" s="1">
        <f t="shared" si="121"/>
        <v>3214.95</v>
      </c>
      <c r="AJ646" s="1">
        <v>3708.12</v>
      </c>
      <c r="AK646" s="1">
        <f t="shared" si="122"/>
        <v>-596.77</v>
      </c>
      <c r="AL646" s="29">
        <f t="shared" si="131"/>
        <v>493.17000000000007</v>
      </c>
      <c r="AM646" s="11">
        <f t="shared" si="123"/>
        <v>2544579.06005</v>
      </c>
    </row>
    <row r="647" spans="1:39" x14ac:dyDescent="0.3">
      <c r="A647" s="39">
        <v>45966.697916666664</v>
      </c>
      <c r="B647" s="1">
        <v>1330.35</v>
      </c>
      <c r="C647" s="11">
        <v>3.2732000000000001</v>
      </c>
      <c r="D647" s="1">
        <v>657.84</v>
      </c>
      <c r="E647" s="11">
        <v>3.0760000000000001</v>
      </c>
      <c r="F647" s="1">
        <v>717.12</v>
      </c>
      <c r="G647" s="11">
        <v>3.53</v>
      </c>
      <c r="H647" s="1">
        <v>-188.09</v>
      </c>
      <c r="I647" s="11">
        <v>3.3992499999999999</v>
      </c>
      <c r="J647" s="1">
        <v>26.73</v>
      </c>
      <c r="K647" s="11">
        <v>3.22018</v>
      </c>
      <c r="L647" s="1">
        <v>11.85</v>
      </c>
      <c r="M647" s="11">
        <v>6.2</v>
      </c>
      <c r="N647" s="1">
        <v>219.72</v>
      </c>
      <c r="O647" s="11">
        <v>2.8224999999999998</v>
      </c>
      <c r="P647" s="1">
        <f t="shared" si="124"/>
        <v>2775.5199999999995</v>
      </c>
      <c r="Q647" s="1">
        <v>2797.46</v>
      </c>
      <c r="R647" s="16">
        <f t="shared" si="125"/>
        <v>2262447.8097249996</v>
      </c>
      <c r="S647" s="1">
        <v>-525.15</v>
      </c>
      <c r="T647" s="1">
        <v>24.68</v>
      </c>
      <c r="U647" s="1">
        <v>12</v>
      </c>
      <c r="V647" s="1">
        <v>0</v>
      </c>
      <c r="W647" s="1" cm="1">
        <f t="array" ref="W647">SUM(ABS(S647:V647))</f>
        <v>561.82999999999993</v>
      </c>
      <c r="X647" s="25">
        <v>1.238</v>
      </c>
      <c r="Y647" s="42">
        <f t="shared" si="126"/>
        <v>173886.38499999998</v>
      </c>
      <c r="Z647" s="20">
        <v>242.70999999999998</v>
      </c>
      <c r="AA647" s="20">
        <f t="shared" si="127"/>
        <v>804.54</v>
      </c>
      <c r="AB647" s="21">
        <v>69.269999999999982</v>
      </c>
      <c r="AC647" s="21">
        <v>17.23</v>
      </c>
      <c r="AD647" s="8">
        <f t="shared" si="128"/>
        <v>329.21</v>
      </c>
      <c r="AE647" s="25">
        <v>1.238</v>
      </c>
      <c r="AF647" s="25">
        <f t="shared" si="129"/>
        <v>101890.49499999998</v>
      </c>
      <c r="AG647" s="25">
        <f t="shared" si="130"/>
        <v>275776.87999999995</v>
      </c>
      <c r="AH647" s="1">
        <f t="shared" si="120"/>
        <v>3104.7299999999996</v>
      </c>
      <c r="AI647" s="1">
        <f t="shared" si="121"/>
        <v>3126.67</v>
      </c>
      <c r="AJ647" s="1">
        <v>3697.63</v>
      </c>
      <c r="AK647" s="1">
        <f t="shared" si="122"/>
        <v>-592.90000000000055</v>
      </c>
      <c r="AL647" s="29">
        <f t="shared" si="131"/>
        <v>570.96</v>
      </c>
      <c r="AM647" s="11">
        <f t="shared" si="123"/>
        <v>2538224.6897249995</v>
      </c>
    </row>
    <row r="648" spans="1:39" x14ac:dyDescent="0.3">
      <c r="A648" s="39">
        <v>45966.708333333336</v>
      </c>
      <c r="B648" s="1">
        <v>1326.94</v>
      </c>
      <c r="C648" s="11">
        <v>3.2732000000000001</v>
      </c>
      <c r="D648" s="1">
        <v>647.29999999999995</v>
      </c>
      <c r="E648" s="11">
        <v>3.0760000000000001</v>
      </c>
      <c r="F648" s="1">
        <v>717.12</v>
      </c>
      <c r="G648" s="11">
        <v>3.53</v>
      </c>
      <c r="H648" s="1">
        <v>-197.6</v>
      </c>
      <c r="I648" s="11">
        <v>3.4165000000000001</v>
      </c>
      <c r="J648" s="1">
        <v>23.8</v>
      </c>
      <c r="K648" s="11">
        <v>3.0005700000000002</v>
      </c>
      <c r="L648" s="1">
        <v>12.79</v>
      </c>
      <c r="M648" s="11">
        <v>6.2</v>
      </c>
      <c r="N648" s="1">
        <v>185.73</v>
      </c>
      <c r="O648" s="11">
        <v>2.8224999999999998</v>
      </c>
      <c r="P648" s="1">
        <f t="shared" si="124"/>
        <v>2716.0800000000004</v>
      </c>
      <c r="Q648" s="1">
        <v>2716.04</v>
      </c>
      <c r="R648" s="16">
        <f t="shared" si="125"/>
        <v>2216425.6247500004</v>
      </c>
      <c r="S648" s="1">
        <v>-548.67999999999995</v>
      </c>
      <c r="T648" s="1">
        <v>24.7</v>
      </c>
      <c r="U648" s="1">
        <v>12</v>
      </c>
      <c r="V648" s="1">
        <v>0</v>
      </c>
      <c r="W648" s="1" cm="1">
        <f t="array" ref="W648">SUM(ABS(S648:V648))</f>
        <v>585.38</v>
      </c>
      <c r="X648" s="25">
        <v>1.238</v>
      </c>
      <c r="Y648" s="42">
        <f t="shared" si="126"/>
        <v>181175.11</v>
      </c>
      <c r="Z648" s="20">
        <v>298.64</v>
      </c>
      <c r="AA648" s="20">
        <f t="shared" si="127"/>
        <v>884.02</v>
      </c>
      <c r="AB648" s="21">
        <v>58.27</v>
      </c>
      <c r="AC648" s="21">
        <v>18.509999999999998</v>
      </c>
      <c r="AD648" s="8">
        <f t="shared" si="128"/>
        <v>375.41999999999996</v>
      </c>
      <c r="AE648" s="25">
        <v>1.238</v>
      </c>
      <c r="AF648" s="25">
        <f t="shared" si="129"/>
        <v>116192.48999999999</v>
      </c>
      <c r="AG648" s="25">
        <f t="shared" si="130"/>
        <v>297367.59999999998</v>
      </c>
      <c r="AH648" s="1">
        <f t="shared" si="120"/>
        <v>3091.5000000000005</v>
      </c>
      <c r="AI648" s="1">
        <f t="shared" si="121"/>
        <v>3091.46</v>
      </c>
      <c r="AJ648" s="1">
        <v>3687.74</v>
      </c>
      <c r="AK648" s="1">
        <f t="shared" si="122"/>
        <v>-596.23999999999933</v>
      </c>
      <c r="AL648" s="29">
        <f t="shared" si="131"/>
        <v>596.27999999999975</v>
      </c>
      <c r="AM648" s="11">
        <f t="shared" si="123"/>
        <v>2513793.2247500005</v>
      </c>
    </row>
    <row r="649" spans="1:39" x14ac:dyDescent="0.3">
      <c r="A649" s="39">
        <v>45966.71875</v>
      </c>
      <c r="B649" s="1">
        <v>1326.7</v>
      </c>
      <c r="C649" s="11">
        <v>3.2732000000000001</v>
      </c>
      <c r="D649" s="1">
        <v>646.49</v>
      </c>
      <c r="E649" s="11">
        <v>3.0760000000000001</v>
      </c>
      <c r="F649" s="1">
        <v>717.12</v>
      </c>
      <c r="G649" s="11">
        <v>3.53</v>
      </c>
      <c r="H649" s="1">
        <v>-198.51</v>
      </c>
      <c r="I649" s="11">
        <v>3.4514200000000002</v>
      </c>
      <c r="J649" s="1">
        <v>23.61</v>
      </c>
      <c r="K649" s="11">
        <v>2.8509000000000002</v>
      </c>
      <c r="L649" s="1">
        <v>12.84</v>
      </c>
      <c r="M649" s="11">
        <v>6.2</v>
      </c>
      <c r="N649" s="1">
        <v>160.6</v>
      </c>
      <c r="O649" s="11">
        <v>2.8224999999999998</v>
      </c>
      <c r="P649" s="1">
        <f t="shared" si="124"/>
        <v>2688.8500000000004</v>
      </c>
      <c r="Q649" s="1">
        <v>2720.28</v>
      </c>
      <c r="R649" s="16">
        <f t="shared" si="125"/>
        <v>2194415.2862</v>
      </c>
      <c r="S649" s="1">
        <v>-554.28</v>
      </c>
      <c r="T649" s="1">
        <v>24.69</v>
      </c>
      <c r="U649" s="1">
        <v>12</v>
      </c>
      <c r="V649" s="1">
        <v>0</v>
      </c>
      <c r="W649" s="1" cm="1">
        <f t="array" ref="W649">SUM(ABS(S649:V649))</f>
        <v>590.97</v>
      </c>
      <c r="X649" s="25">
        <v>1.238</v>
      </c>
      <c r="Y649" s="42">
        <f t="shared" si="126"/>
        <v>182905.215</v>
      </c>
      <c r="Z649" s="20">
        <v>324.18</v>
      </c>
      <c r="AA649" s="20">
        <f t="shared" si="127"/>
        <v>915.15000000000009</v>
      </c>
      <c r="AB649" s="21">
        <v>45.370000000000005</v>
      </c>
      <c r="AC649" s="21">
        <v>16.580000000000002</v>
      </c>
      <c r="AD649" s="8">
        <f t="shared" si="128"/>
        <v>386.13</v>
      </c>
      <c r="AE649" s="25">
        <v>1.238</v>
      </c>
      <c r="AF649" s="25">
        <f t="shared" si="129"/>
        <v>119507.235</v>
      </c>
      <c r="AG649" s="25">
        <f t="shared" si="130"/>
        <v>302412.45</v>
      </c>
      <c r="AH649" s="1">
        <f t="shared" si="120"/>
        <v>3074.9800000000005</v>
      </c>
      <c r="AI649" s="1">
        <f t="shared" si="121"/>
        <v>3106.4100000000003</v>
      </c>
      <c r="AJ649" s="1">
        <v>3710.2</v>
      </c>
      <c r="AK649" s="1">
        <f t="shared" si="122"/>
        <v>-635.21999999999935</v>
      </c>
      <c r="AL649" s="29">
        <f t="shared" si="131"/>
        <v>603.78999999999951</v>
      </c>
      <c r="AM649" s="11">
        <f t="shared" si="123"/>
        <v>2496827.7362000002</v>
      </c>
    </row>
    <row r="650" spans="1:39" x14ac:dyDescent="0.3">
      <c r="A650" s="39">
        <v>45966.729166666664</v>
      </c>
      <c r="B650" s="1">
        <v>1435.08</v>
      </c>
      <c r="C650" s="11">
        <v>3.2732000000000001</v>
      </c>
      <c r="D650" s="1">
        <v>646.49</v>
      </c>
      <c r="E650" s="11">
        <v>3.0760000000000001</v>
      </c>
      <c r="F650" s="1">
        <v>717.12</v>
      </c>
      <c r="G650" s="11">
        <v>3.53</v>
      </c>
      <c r="H650" s="1">
        <v>-205.54</v>
      </c>
      <c r="I650" s="11">
        <v>3.5002199999999997</v>
      </c>
      <c r="J650" s="1">
        <v>225.91</v>
      </c>
      <c r="K650" s="11">
        <v>2.30003</v>
      </c>
      <c r="L650" s="1">
        <v>10.31</v>
      </c>
      <c r="M650" s="11">
        <v>6.2</v>
      </c>
      <c r="N650" s="1">
        <v>136.52000000000001</v>
      </c>
      <c r="O650" s="11">
        <v>2.8224999999999998</v>
      </c>
      <c r="P650" s="1">
        <f t="shared" si="124"/>
        <v>2965.8899999999994</v>
      </c>
      <c r="Q650" s="1">
        <v>2943.31</v>
      </c>
      <c r="R650" s="16">
        <f t="shared" si="125"/>
        <v>2366688.7386250002</v>
      </c>
      <c r="S650" s="1">
        <v>-344.92</v>
      </c>
      <c r="T650" s="1">
        <v>24.72</v>
      </c>
      <c r="U650" s="1">
        <v>12</v>
      </c>
      <c r="V650" s="1">
        <v>0</v>
      </c>
      <c r="W650" s="1" cm="1">
        <f t="array" ref="W650">SUM(ABS(S650:V650))</f>
        <v>381.64</v>
      </c>
      <c r="X650" s="25">
        <v>1.238</v>
      </c>
      <c r="Y650" s="42">
        <f t="shared" si="126"/>
        <v>118117.57999999999</v>
      </c>
      <c r="Z650" s="20">
        <v>328.71</v>
      </c>
      <c r="AA650" s="20">
        <f t="shared" si="127"/>
        <v>710.34999999999991</v>
      </c>
      <c r="AB650" s="21">
        <v>31.480000000000004</v>
      </c>
      <c r="AC650" s="21">
        <v>15.360000000000001</v>
      </c>
      <c r="AD650" s="8">
        <f t="shared" si="128"/>
        <v>375.55</v>
      </c>
      <c r="AE650" s="25">
        <v>1.238</v>
      </c>
      <c r="AF650" s="25">
        <f t="shared" si="129"/>
        <v>116232.72500000001</v>
      </c>
      <c r="AG650" s="25">
        <f t="shared" si="130"/>
        <v>234350.30499999999</v>
      </c>
      <c r="AH650" s="1">
        <f t="shared" si="120"/>
        <v>3341.4399999999996</v>
      </c>
      <c r="AI650" s="1">
        <f t="shared" si="121"/>
        <v>3318.86</v>
      </c>
      <c r="AJ650" s="1">
        <v>3716.79</v>
      </c>
      <c r="AK650" s="1">
        <f t="shared" si="122"/>
        <v>-375.35000000000036</v>
      </c>
      <c r="AL650" s="29">
        <f t="shared" si="131"/>
        <v>397.92999999999984</v>
      </c>
      <c r="AM650" s="11">
        <f t="shared" si="123"/>
        <v>2601039.0436250004</v>
      </c>
    </row>
    <row r="651" spans="1:39" x14ac:dyDescent="0.3">
      <c r="A651" s="39">
        <v>45966.739583333336</v>
      </c>
      <c r="B651" s="1">
        <v>1442.55</v>
      </c>
      <c r="C651" s="11">
        <v>3.2732000000000001</v>
      </c>
      <c r="D651" s="1">
        <v>646.49</v>
      </c>
      <c r="E651" s="11">
        <v>3.0760000000000001</v>
      </c>
      <c r="F651" s="1">
        <v>717.12</v>
      </c>
      <c r="G651" s="11">
        <v>3.53</v>
      </c>
      <c r="H651" s="1">
        <v>-232.71</v>
      </c>
      <c r="I651" s="11">
        <v>3.6393400000000002</v>
      </c>
      <c r="J651" s="1">
        <v>68.86</v>
      </c>
      <c r="K651" s="11">
        <v>2.5125199999999999</v>
      </c>
      <c r="L651" s="1">
        <v>7.46</v>
      </c>
      <c r="M651" s="11">
        <v>6.2</v>
      </c>
      <c r="N651" s="1">
        <v>114.95</v>
      </c>
      <c r="O651" s="11">
        <v>2.8224999999999998</v>
      </c>
      <c r="P651" s="1">
        <f t="shared" si="124"/>
        <v>2764.72</v>
      </c>
      <c r="Q651" s="1">
        <v>2758.73</v>
      </c>
      <c r="R651" s="16">
        <f t="shared" si="125"/>
        <v>2234647.7976999995</v>
      </c>
      <c r="S651" s="1">
        <v>-527.58000000000004</v>
      </c>
      <c r="T651" s="1">
        <v>24.71</v>
      </c>
      <c r="U651" s="1">
        <v>12.02</v>
      </c>
      <c r="V651" s="1">
        <v>0</v>
      </c>
      <c r="W651" s="1" cm="1">
        <f t="array" ref="W651">SUM(ABS(S651:V651))</f>
        <v>564.31000000000006</v>
      </c>
      <c r="X651" s="25">
        <v>1.238</v>
      </c>
      <c r="Y651" s="42">
        <f t="shared" si="126"/>
        <v>174653.94500000001</v>
      </c>
      <c r="Z651" s="20">
        <v>352.97</v>
      </c>
      <c r="AA651" s="20">
        <f t="shared" si="127"/>
        <v>917.28000000000009</v>
      </c>
      <c r="AB651" s="21">
        <v>18.689999999999998</v>
      </c>
      <c r="AC651" s="21">
        <v>14.31</v>
      </c>
      <c r="AD651" s="8">
        <f t="shared" si="128"/>
        <v>385.97</v>
      </c>
      <c r="AE651" s="25">
        <v>1.238</v>
      </c>
      <c r="AF651" s="25">
        <f t="shared" si="129"/>
        <v>119457.71500000001</v>
      </c>
      <c r="AG651" s="25">
        <f t="shared" si="130"/>
        <v>294111.66000000003</v>
      </c>
      <c r="AH651" s="1">
        <f t="shared" si="120"/>
        <v>3150.6899999999996</v>
      </c>
      <c r="AI651" s="1">
        <f t="shared" si="121"/>
        <v>3144.7</v>
      </c>
      <c r="AJ651" s="1">
        <v>3713.32</v>
      </c>
      <c r="AK651" s="1">
        <f t="shared" si="122"/>
        <v>-562.63000000000056</v>
      </c>
      <c r="AL651" s="29">
        <f t="shared" si="131"/>
        <v>568.62000000000035</v>
      </c>
      <c r="AM651" s="11">
        <f t="shared" si="123"/>
        <v>2528759.4576999997</v>
      </c>
    </row>
    <row r="652" spans="1:39" x14ac:dyDescent="0.3">
      <c r="A652" s="39">
        <v>45966.75</v>
      </c>
      <c r="B652" s="1">
        <v>1442.55</v>
      </c>
      <c r="C652" s="11">
        <v>3.2732000000000001</v>
      </c>
      <c r="D652" s="1">
        <v>646.49</v>
      </c>
      <c r="E652" s="11">
        <v>3.0760000000000001</v>
      </c>
      <c r="F652" s="1">
        <v>717.12</v>
      </c>
      <c r="G652" s="11">
        <v>3.53</v>
      </c>
      <c r="H652" s="1">
        <v>-203.12</v>
      </c>
      <c r="I652" s="11">
        <v>3.5529299999999999</v>
      </c>
      <c r="J652" s="1">
        <v>200.56</v>
      </c>
      <c r="K652" s="11">
        <v>1.0007300000000001</v>
      </c>
      <c r="L652" s="1">
        <v>57.72</v>
      </c>
      <c r="M652" s="11">
        <v>6.2</v>
      </c>
      <c r="N652" s="1">
        <v>97.05</v>
      </c>
      <c r="O652" s="11">
        <v>2.8224999999999998</v>
      </c>
      <c r="P652" s="1">
        <f t="shared" si="124"/>
        <v>2958.37</v>
      </c>
      <c r="Q652" s="1">
        <v>3034.62</v>
      </c>
      <c r="R652" s="16">
        <f t="shared" si="125"/>
        <v>2338153.5980499997</v>
      </c>
      <c r="S652" s="1">
        <v>-208.13</v>
      </c>
      <c r="T652" s="1">
        <v>24.73</v>
      </c>
      <c r="U652" s="1">
        <v>28.07</v>
      </c>
      <c r="V652" s="1">
        <v>4.54</v>
      </c>
      <c r="W652" s="1" cm="1">
        <f t="array" ref="W652">SUM(ABS(S652:V652))</f>
        <v>265.47000000000003</v>
      </c>
      <c r="X652" s="25">
        <v>1.238</v>
      </c>
      <c r="Y652" s="42">
        <f t="shared" si="126"/>
        <v>82162.965000000011</v>
      </c>
      <c r="Z652" s="20">
        <v>386.5</v>
      </c>
      <c r="AA652" s="20">
        <f t="shared" si="127"/>
        <v>651.97</v>
      </c>
      <c r="AB652" s="21">
        <v>10.500000000000002</v>
      </c>
      <c r="AC652" s="21">
        <v>12.54</v>
      </c>
      <c r="AD652" s="8">
        <f t="shared" si="128"/>
        <v>409.54</v>
      </c>
      <c r="AE652" s="25">
        <v>1.238</v>
      </c>
      <c r="AF652" s="25">
        <f t="shared" si="129"/>
        <v>126752.63</v>
      </c>
      <c r="AG652" s="25">
        <f t="shared" si="130"/>
        <v>208915.59500000003</v>
      </c>
      <c r="AH652" s="1">
        <f t="shared" si="120"/>
        <v>3367.91</v>
      </c>
      <c r="AI652" s="1">
        <f t="shared" si="121"/>
        <v>3444.16</v>
      </c>
      <c r="AJ652" s="1">
        <v>3731.1</v>
      </c>
      <c r="AK652" s="1">
        <f t="shared" si="122"/>
        <v>-363.19000000000005</v>
      </c>
      <c r="AL652" s="29">
        <f t="shared" si="131"/>
        <v>286.94000000000005</v>
      </c>
      <c r="AM652" s="11">
        <f t="shared" si="123"/>
        <v>2547069.1930499999</v>
      </c>
    </row>
    <row r="653" spans="1:39" x14ac:dyDescent="0.3">
      <c r="A653" s="39">
        <v>45966.760416666664</v>
      </c>
      <c r="B653" s="1">
        <v>1442.55</v>
      </c>
      <c r="C653" s="11">
        <v>3.2732000000000001</v>
      </c>
      <c r="D653" s="1">
        <v>646.49</v>
      </c>
      <c r="E653" s="11">
        <v>3.0760000000000001</v>
      </c>
      <c r="F653" s="1">
        <v>717.12</v>
      </c>
      <c r="G653" s="11">
        <v>3.53</v>
      </c>
      <c r="H653" s="1">
        <v>31.48</v>
      </c>
      <c r="I653" s="11">
        <v>3.6498600000000003</v>
      </c>
      <c r="J653" s="1">
        <v>121.35</v>
      </c>
      <c r="K653" s="11">
        <v>2.3497399999999997</v>
      </c>
      <c r="L653" s="1">
        <v>61.02</v>
      </c>
      <c r="M653" s="11">
        <v>6.2</v>
      </c>
      <c r="N653" s="1">
        <v>82.99</v>
      </c>
      <c r="O653" s="11">
        <v>2.8224999999999998</v>
      </c>
      <c r="P653" s="1">
        <f t="shared" si="124"/>
        <v>3102.9999999999995</v>
      </c>
      <c r="Q653" s="1">
        <v>3095.9</v>
      </c>
      <c r="R653" s="16">
        <f t="shared" si="125"/>
        <v>2563598.3292</v>
      </c>
      <c r="S653" s="1">
        <v>-171.59</v>
      </c>
      <c r="T653" s="1">
        <v>24.73</v>
      </c>
      <c r="U653" s="1">
        <v>48.47</v>
      </c>
      <c r="V653" s="1">
        <v>11.38</v>
      </c>
      <c r="W653" s="1" cm="1">
        <f t="array" ref="W653">SUM(ABS(S653:V653))</f>
        <v>256.17</v>
      </c>
      <c r="X653" s="25">
        <v>1.238</v>
      </c>
      <c r="Y653" s="42">
        <f t="shared" si="126"/>
        <v>79284.615000000005</v>
      </c>
      <c r="Z653" s="20">
        <v>368.07</v>
      </c>
      <c r="AA653" s="20">
        <f t="shared" si="127"/>
        <v>624.24</v>
      </c>
      <c r="AB653" s="21">
        <v>4.6400000000000006</v>
      </c>
      <c r="AC653" s="21">
        <v>11.77</v>
      </c>
      <c r="AD653" s="8">
        <f t="shared" si="128"/>
        <v>384.47999999999996</v>
      </c>
      <c r="AE653" s="25">
        <v>1.238</v>
      </c>
      <c r="AF653" s="25">
        <f t="shared" si="129"/>
        <v>118996.55999999998</v>
      </c>
      <c r="AG653" s="25">
        <f t="shared" si="130"/>
        <v>198281.17499999999</v>
      </c>
      <c r="AH653" s="1">
        <f t="shared" si="120"/>
        <v>3487.4799999999996</v>
      </c>
      <c r="AI653" s="1">
        <f t="shared" si="121"/>
        <v>3480.38</v>
      </c>
      <c r="AJ653" s="1">
        <v>3770.33</v>
      </c>
      <c r="AK653" s="1">
        <f t="shared" si="122"/>
        <v>-282.85000000000036</v>
      </c>
      <c r="AL653" s="29">
        <f t="shared" si="131"/>
        <v>289.94999999999982</v>
      </c>
      <c r="AM653" s="11">
        <f t="shared" si="123"/>
        <v>2761879.5041999999</v>
      </c>
    </row>
    <row r="654" spans="1:39" x14ac:dyDescent="0.3">
      <c r="A654" s="39">
        <v>45966.770833333336</v>
      </c>
      <c r="B654" s="1">
        <v>1442.55</v>
      </c>
      <c r="C654" s="11">
        <v>3.2732000000000001</v>
      </c>
      <c r="D654" s="1">
        <v>646.49</v>
      </c>
      <c r="E654" s="11">
        <v>3.0760000000000001</v>
      </c>
      <c r="F654" s="1">
        <v>717.12</v>
      </c>
      <c r="G654" s="11">
        <v>3.53</v>
      </c>
      <c r="H654" s="1">
        <v>49.17</v>
      </c>
      <c r="I654" s="11">
        <v>3.9453499999999999</v>
      </c>
      <c r="J654" s="1">
        <v>25.56</v>
      </c>
      <c r="K654" s="11">
        <v>3.6402100000000002</v>
      </c>
      <c r="L654" s="1">
        <v>60.74</v>
      </c>
      <c r="M654" s="11">
        <v>6.2</v>
      </c>
      <c r="N654" s="1">
        <v>71.97</v>
      </c>
      <c r="O654" s="11">
        <v>2.8224999999999998</v>
      </c>
      <c r="P654" s="1">
        <f t="shared" si="124"/>
        <v>3013.5999999999995</v>
      </c>
      <c r="Q654" s="1">
        <v>3009.17</v>
      </c>
      <c r="R654" s="16">
        <f t="shared" si="125"/>
        <v>2527137.8630249999</v>
      </c>
      <c r="S654" s="1">
        <v>-221.91</v>
      </c>
      <c r="T654" s="1">
        <v>25.25</v>
      </c>
      <c r="U654" s="1">
        <v>48.47</v>
      </c>
      <c r="V654" s="1">
        <v>27.36</v>
      </c>
      <c r="W654" s="1" cm="1">
        <f t="array" ref="W654">SUM(ABS(S654:V654))</f>
        <v>322.99</v>
      </c>
      <c r="X654" s="25">
        <v>1.238</v>
      </c>
      <c r="Y654" s="42">
        <f t="shared" si="126"/>
        <v>99965.404999999999</v>
      </c>
      <c r="Z654" s="20">
        <v>550.58000000000004</v>
      </c>
      <c r="AA654" s="20">
        <f t="shared" si="127"/>
        <v>873.57</v>
      </c>
      <c r="AB654" s="21">
        <v>0.82999999999999985</v>
      </c>
      <c r="AC654" s="21">
        <v>13.73</v>
      </c>
      <c r="AD654" s="8">
        <f t="shared" si="128"/>
        <v>565.1400000000001</v>
      </c>
      <c r="AE654" s="25">
        <v>1.238</v>
      </c>
      <c r="AF654" s="25">
        <f t="shared" si="129"/>
        <v>174910.83000000005</v>
      </c>
      <c r="AG654" s="25">
        <f t="shared" si="130"/>
        <v>274876.23500000004</v>
      </c>
      <c r="AH654" s="1">
        <f t="shared" si="120"/>
        <v>3578.74</v>
      </c>
      <c r="AI654" s="1">
        <f t="shared" si="121"/>
        <v>3574.3100000000004</v>
      </c>
      <c r="AJ654" s="1">
        <v>3925.4</v>
      </c>
      <c r="AK654" s="1">
        <f t="shared" si="122"/>
        <v>-346.66000000000031</v>
      </c>
      <c r="AL654" s="29">
        <f t="shared" si="131"/>
        <v>351.08999999999969</v>
      </c>
      <c r="AM654" s="11">
        <f t="shared" si="123"/>
        <v>2802014.0980249997</v>
      </c>
    </row>
    <row r="655" spans="1:39" x14ac:dyDescent="0.3">
      <c r="A655" s="39">
        <v>45966.78125</v>
      </c>
      <c r="B655" s="1">
        <v>1442.55</v>
      </c>
      <c r="C655" s="11">
        <v>3.2732000000000001</v>
      </c>
      <c r="D655" s="1">
        <v>646.49</v>
      </c>
      <c r="E655" s="11">
        <v>3.0760000000000001</v>
      </c>
      <c r="F655" s="1">
        <v>717.12</v>
      </c>
      <c r="G655" s="11">
        <v>3.53</v>
      </c>
      <c r="H655" s="1">
        <v>49.16</v>
      </c>
      <c r="I655" s="11">
        <v>4.2897700000000007</v>
      </c>
      <c r="J655" s="1">
        <v>242.56</v>
      </c>
      <c r="K655" s="11">
        <v>3.9996900000000002</v>
      </c>
      <c r="L655" s="1">
        <v>61.16</v>
      </c>
      <c r="M655" s="11">
        <v>6.2</v>
      </c>
      <c r="N655" s="1">
        <v>53.35</v>
      </c>
      <c r="O655" s="11">
        <v>2.8224999999999998</v>
      </c>
      <c r="P655" s="1">
        <f t="shared" si="124"/>
        <v>3212.3899999999994</v>
      </c>
      <c r="Q655" s="1">
        <v>3183.23</v>
      </c>
      <c r="R655" s="16">
        <f t="shared" si="125"/>
        <v>2738153.4436500003</v>
      </c>
      <c r="S655" s="1">
        <v>-253.51</v>
      </c>
      <c r="T655" s="1">
        <v>29.91</v>
      </c>
      <c r="U655" s="1">
        <v>48.47</v>
      </c>
      <c r="V655" s="1">
        <v>31.69</v>
      </c>
      <c r="W655" s="1" cm="1">
        <f t="array" ref="W655">SUM(ABS(S655:V655))</f>
        <v>363.58</v>
      </c>
      <c r="X655" s="25">
        <v>1.238</v>
      </c>
      <c r="Y655" s="42">
        <f t="shared" si="126"/>
        <v>112528.01</v>
      </c>
      <c r="Z655" s="20">
        <v>553.53</v>
      </c>
      <c r="AA655" s="20">
        <f t="shared" si="127"/>
        <v>917.1099999999999</v>
      </c>
      <c r="AB655" s="21">
        <v>0.33</v>
      </c>
      <c r="AC655" s="21">
        <v>14.760000000000002</v>
      </c>
      <c r="AD655" s="8">
        <f t="shared" si="128"/>
        <v>568.62</v>
      </c>
      <c r="AE655" s="25">
        <v>1.238</v>
      </c>
      <c r="AF655" s="25">
        <f t="shared" si="129"/>
        <v>175987.88999999998</v>
      </c>
      <c r="AG655" s="25">
        <f t="shared" si="130"/>
        <v>288515.89999999997</v>
      </c>
      <c r="AH655" s="1">
        <f t="shared" si="120"/>
        <v>3781.0099999999993</v>
      </c>
      <c r="AI655" s="1">
        <f t="shared" si="121"/>
        <v>3751.85</v>
      </c>
      <c r="AJ655" s="1">
        <v>4158.8</v>
      </c>
      <c r="AK655" s="1">
        <f t="shared" si="122"/>
        <v>-377.79000000000087</v>
      </c>
      <c r="AL655" s="29">
        <f t="shared" si="131"/>
        <v>406.95000000000027</v>
      </c>
      <c r="AM655" s="11">
        <f t="shared" si="123"/>
        <v>3026669.3436500002</v>
      </c>
    </row>
    <row r="656" spans="1:39" x14ac:dyDescent="0.3">
      <c r="A656" s="39">
        <v>45966.791666666664</v>
      </c>
      <c r="B656" s="1">
        <v>1442.55</v>
      </c>
      <c r="C656" s="11">
        <v>3.2732000000000001</v>
      </c>
      <c r="D656" s="1">
        <v>646.49</v>
      </c>
      <c r="E656" s="11">
        <v>3.0760000000000001</v>
      </c>
      <c r="F656" s="1">
        <v>717.12</v>
      </c>
      <c r="G656" s="11">
        <v>3.53</v>
      </c>
      <c r="H656" s="1">
        <v>81.489999999999995</v>
      </c>
      <c r="I656" s="11">
        <v>4.6798599999999997</v>
      </c>
      <c r="J656" s="1">
        <v>-1.02</v>
      </c>
      <c r="K656" s="11">
        <v>4.7896400000000003</v>
      </c>
      <c r="L656" s="1">
        <v>28.87</v>
      </c>
      <c r="M656" s="11">
        <v>6.2</v>
      </c>
      <c r="N656" s="1">
        <v>54.58</v>
      </c>
      <c r="O656" s="11">
        <v>2.8224999999999998</v>
      </c>
      <c r="P656" s="1">
        <f t="shared" si="124"/>
        <v>2970.0799999999995</v>
      </c>
      <c r="Q656" s="1">
        <v>2928.26</v>
      </c>
      <c r="R656" s="16">
        <f t="shared" si="125"/>
        <v>2487828.4771500002</v>
      </c>
      <c r="S656" s="1">
        <v>-515.57000000000005</v>
      </c>
      <c r="T656" s="1">
        <v>24.51</v>
      </c>
      <c r="U656" s="1">
        <v>48.47</v>
      </c>
      <c r="V656" s="1">
        <v>36.65</v>
      </c>
      <c r="W656" s="1" cm="1">
        <f t="array" ref="W656">SUM(ABS(S656:V656))</f>
        <v>625.20000000000005</v>
      </c>
      <c r="X656" s="25">
        <v>1.238</v>
      </c>
      <c r="Y656" s="42">
        <f t="shared" si="126"/>
        <v>193499.4</v>
      </c>
      <c r="Z656" s="20">
        <v>724.85000000000014</v>
      </c>
      <c r="AA656" s="20">
        <f t="shared" si="127"/>
        <v>1350.0500000000002</v>
      </c>
      <c r="AB656" s="21">
        <v>0.24</v>
      </c>
      <c r="AC656" s="21">
        <v>13.030000000000001</v>
      </c>
      <c r="AD656" s="8">
        <f t="shared" si="128"/>
        <v>738.12000000000012</v>
      </c>
      <c r="AE656" s="25">
        <v>1.238</v>
      </c>
      <c r="AF656" s="25">
        <f t="shared" si="129"/>
        <v>228448.14</v>
      </c>
      <c r="AG656" s="25">
        <f t="shared" si="130"/>
        <v>421947.54000000004</v>
      </c>
      <c r="AH656" s="1">
        <f t="shared" si="120"/>
        <v>3708.2</v>
      </c>
      <c r="AI656" s="1">
        <f t="shared" si="121"/>
        <v>3666.38</v>
      </c>
      <c r="AJ656" s="1">
        <v>4339.2</v>
      </c>
      <c r="AK656" s="1">
        <f t="shared" si="122"/>
        <v>-631</v>
      </c>
      <c r="AL656" s="29">
        <f t="shared" si="131"/>
        <v>672.81999999999971</v>
      </c>
      <c r="AM656" s="11">
        <f t="shared" si="123"/>
        <v>2909776.0171500002</v>
      </c>
    </row>
    <row r="657" spans="1:39" x14ac:dyDescent="0.3">
      <c r="A657" s="39">
        <v>45966.802083333336</v>
      </c>
      <c r="B657" s="1">
        <v>1442.55</v>
      </c>
      <c r="C657" s="11">
        <v>3.2732000000000001</v>
      </c>
      <c r="D657" s="1">
        <v>646.49</v>
      </c>
      <c r="E657" s="11">
        <v>3.0760000000000001</v>
      </c>
      <c r="F657" s="1">
        <v>717.12</v>
      </c>
      <c r="G657" s="11">
        <v>3.53</v>
      </c>
      <c r="H657" s="1">
        <v>-18.079999999999998</v>
      </c>
      <c r="I657" s="11">
        <v>5.0095799999999997</v>
      </c>
      <c r="J657" s="1">
        <v>1.53</v>
      </c>
      <c r="K657" s="11">
        <v>5.0751899999999992</v>
      </c>
      <c r="L657" s="1">
        <v>18.260000000000002</v>
      </c>
      <c r="M657" s="11">
        <v>6.2</v>
      </c>
      <c r="N657" s="1">
        <v>48.97</v>
      </c>
      <c r="O657" s="11">
        <v>2.8224999999999998</v>
      </c>
      <c r="P657" s="1">
        <f t="shared" si="124"/>
        <v>2856.84</v>
      </c>
      <c r="Q657" s="1">
        <v>2828.09</v>
      </c>
      <c r="R657" s="16">
        <f t="shared" si="125"/>
        <v>2352603.2898249994</v>
      </c>
      <c r="S657" s="1">
        <v>-666.3</v>
      </c>
      <c r="T657" s="1">
        <v>24.7</v>
      </c>
      <c r="U657" s="1">
        <v>53.04</v>
      </c>
      <c r="V657" s="1">
        <v>38.090000000000003</v>
      </c>
      <c r="W657" s="1" cm="1">
        <f t="array" ref="W657">SUM(ABS(S657:V657))</f>
        <v>782.13</v>
      </c>
      <c r="X657" s="25">
        <v>1.238</v>
      </c>
      <c r="Y657" s="42">
        <f t="shared" si="126"/>
        <v>242069.23499999999</v>
      </c>
      <c r="Z657" s="20">
        <v>737.04000000000008</v>
      </c>
      <c r="AA657" s="20">
        <f t="shared" si="127"/>
        <v>1519.17</v>
      </c>
      <c r="AB657" s="21">
        <v>0.25</v>
      </c>
      <c r="AC657" s="21">
        <v>13.44</v>
      </c>
      <c r="AD657" s="8">
        <f t="shared" si="128"/>
        <v>750.73000000000013</v>
      </c>
      <c r="AE657" s="25">
        <v>1.238</v>
      </c>
      <c r="AF657" s="25">
        <f t="shared" si="129"/>
        <v>232350.93500000006</v>
      </c>
      <c r="AG657" s="25">
        <f t="shared" si="130"/>
        <v>474420.17000000004</v>
      </c>
      <c r="AH657" s="1">
        <f t="shared" si="120"/>
        <v>3607.57</v>
      </c>
      <c r="AI657" s="1">
        <f t="shared" si="121"/>
        <v>3578.82</v>
      </c>
      <c r="AJ657" s="1">
        <v>4408.3599999999997</v>
      </c>
      <c r="AK657" s="1">
        <f t="shared" si="122"/>
        <v>-800.78999999999951</v>
      </c>
      <c r="AL657" s="29">
        <f t="shared" si="131"/>
        <v>829.53999999999951</v>
      </c>
      <c r="AM657" s="11">
        <f t="shared" si="123"/>
        <v>2827023.4598249993</v>
      </c>
    </row>
    <row r="658" spans="1:39" x14ac:dyDescent="0.3">
      <c r="A658" s="39">
        <v>45966.8125</v>
      </c>
      <c r="B658" s="1">
        <v>1445.77</v>
      </c>
      <c r="C658" s="11">
        <v>3.2732000000000001</v>
      </c>
      <c r="D658" s="1">
        <v>646.49</v>
      </c>
      <c r="E658" s="11">
        <v>3.0760000000000001</v>
      </c>
      <c r="F658" s="1">
        <v>717.12</v>
      </c>
      <c r="G658" s="11">
        <v>3.53</v>
      </c>
      <c r="H658" s="1">
        <v>37.549999999999997</v>
      </c>
      <c r="I658" s="11">
        <v>5.0092100000000004</v>
      </c>
      <c r="J658" s="1">
        <v>16.7</v>
      </c>
      <c r="K658" s="11">
        <v>4.4996499999999999</v>
      </c>
      <c r="L658" s="1">
        <v>25.61</v>
      </c>
      <c r="M658" s="11">
        <v>6.2</v>
      </c>
      <c r="N658" s="1">
        <v>46.35</v>
      </c>
      <c r="O658" s="11">
        <v>2.8224999999999998</v>
      </c>
      <c r="P658" s="1">
        <f t="shared" si="124"/>
        <v>2935.59</v>
      </c>
      <c r="Q658" s="1">
        <v>2843.56</v>
      </c>
      <c r="R658" s="16">
        <f t="shared" si="125"/>
        <v>2451294.0173749998</v>
      </c>
      <c r="S658" s="1">
        <v>-619.22</v>
      </c>
      <c r="T658" s="1">
        <v>23.61</v>
      </c>
      <c r="U658" s="1">
        <v>66.260000000000005</v>
      </c>
      <c r="V658" s="1">
        <v>38.07</v>
      </c>
      <c r="W658" s="1" cm="1">
        <f t="array" ref="W658">SUM(ABS(S658:V658))</f>
        <v>747.16000000000008</v>
      </c>
      <c r="X658" s="25">
        <v>1.238</v>
      </c>
      <c r="Y658" s="42">
        <f t="shared" si="126"/>
        <v>231246.02000000002</v>
      </c>
      <c r="Z658" s="20">
        <v>739.32000000000016</v>
      </c>
      <c r="AA658" s="20">
        <f t="shared" si="127"/>
        <v>1486.4800000000002</v>
      </c>
      <c r="AB658" s="21">
        <v>0.24</v>
      </c>
      <c r="AC658" s="21">
        <v>14.31</v>
      </c>
      <c r="AD658" s="8">
        <f t="shared" si="128"/>
        <v>753.87000000000012</v>
      </c>
      <c r="AE658" s="25">
        <v>1.238</v>
      </c>
      <c r="AF658" s="25">
        <f t="shared" si="129"/>
        <v>233322.76500000004</v>
      </c>
      <c r="AG658" s="25">
        <f t="shared" si="130"/>
        <v>464568.78500000003</v>
      </c>
      <c r="AH658" s="1">
        <f t="shared" si="120"/>
        <v>3689.46</v>
      </c>
      <c r="AI658" s="1">
        <f t="shared" si="121"/>
        <v>3597.4300000000003</v>
      </c>
      <c r="AJ658" s="1">
        <v>4401.59</v>
      </c>
      <c r="AK658" s="1">
        <f t="shared" si="122"/>
        <v>-712.13000000000011</v>
      </c>
      <c r="AL658" s="29">
        <f t="shared" si="131"/>
        <v>804.15999999999985</v>
      </c>
      <c r="AM658" s="11">
        <f t="shared" si="123"/>
        <v>2915862.802375</v>
      </c>
    </row>
    <row r="659" spans="1:39" x14ac:dyDescent="0.3">
      <c r="A659" s="39">
        <v>45966.822916666664</v>
      </c>
      <c r="B659" s="1">
        <v>1446.99</v>
      </c>
      <c r="C659" s="11">
        <v>3.2732000000000001</v>
      </c>
      <c r="D659" s="1">
        <v>646.49</v>
      </c>
      <c r="E659" s="11">
        <v>3.0760000000000001</v>
      </c>
      <c r="F659" s="1">
        <v>717.12</v>
      </c>
      <c r="G659" s="11">
        <v>3.53</v>
      </c>
      <c r="H659" s="1">
        <v>-104.82</v>
      </c>
      <c r="I659" s="11">
        <v>5.1004700000000005</v>
      </c>
      <c r="J659" s="1">
        <v>17.63</v>
      </c>
      <c r="K659" s="11">
        <v>4.5001300000000004</v>
      </c>
      <c r="L659" s="1">
        <v>26.34</v>
      </c>
      <c r="M659" s="11">
        <v>6.2</v>
      </c>
      <c r="N659" s="1">
        <v>43.15</v>
      </c>
      <c r="O659" s="11">
        <v>2.8224999999999998</v>
      </c>
      <c r="P659" s="1">
        <f t="shared" si="124"/>
        <v>2792.9</v>
      </c>
      <c r="Q659" s="1">
        <v>2754.4</v>
      </c>
      <c r="R659" s="16">
        <f t="shared" si="125"/>
        <v>2271532.3523749998</v>
      </c>
      <c r="S659" s="1">
        <v>-730.86</v>
      </c>
      <c r="T659" s="1">
        <v>31.58</v>
      </c>
      <c r="U659" s="1">
        <v>66.23</v>
      </c>
      <c r="V659" s="1">
        <v>38.06</v>
      </c>
      <c r="W659" s="1" cm="1">
        <f t="array" ref="W659">SUM(ABS(S659:V659))</f>
        <v>866.73</v>
      </c>
      <c r="X659" s="25">
        <v>1.238</v>
      </c>
      <c r="Y659" s="42">
        <f t="shared" si="126"/>
        <v>268252.935</v>
      </c>
      <c r="Z659" s="20">
        <v>735.61000000000013</v>
      </c>
      <c r="AA659" s="20">
        <f t="shared" si="127"/>
        <v>1602.3400000000001</v>
      </c>
      <c r="AB659" s="21">
        <v>0.24</v>
      </c>
      <c r="AC659" s="21">
        <v>15.469999999999999</v>
      </c>
      <c r="AD659" s="8">
        <f t="shared" si="128"/>
        <v>751.32000000000016</v>
      </c>
      <c r="AE659" s="25">
        <v>1.238</v>
      </c>
      <c r="AF659" s="25">
        <f t="shared" si="129"/>
        <v>232533.54000000004</v>
      </c>
      <c r="AG659" s="25">
        <f t="shared" si="130"/>
        <v>500786.47500000003</v>
      </c>
      <c r="AH659" s="1">
        <f t="shared" si="120"/>
        <v>3544.2200000000003</v>
      </c>
      <c r="AI659" s="1">
        <f t="shared" si="121"/>
        <v>3505.7200000000003</v>
      </c>
      <c r="AJ659" s="1">
        <v>4420.08</v>
      </c>
      <c r="AK659" s="1">
        <f t="shared" si="122"/>
        <v>-875.85999999999967</v>
      </c>
      <c r="AL659" s="29">
        <f t="shared" si="131"/>
        <v>914.35999999999967</v>
      </c>
      <c r="AM659" s="11">
        <f t="shared" si="123"/>
        <v>2772318.8273749999</v>
      </c>
    </row>
    <row r="660" spans="1:39" x14ac:dyDescent="0.3">
      <c r="A660" s="39">
        <v>45966.833333333336</v>
      </c>
      <c r="B660" s="1">
        <v>1447.07</v>
      </c>
      <c r="C660" s="11">
        <v>3.2732000000000001</v>
      </c>
      <c r="D660" s="1">
        <v>646.49</v>
      </c>
      <c r="E660" s="11">
        <v>3.0760000000000001</v>
      </c>
      <c r="F660" s="1">
        <v>717.12</v>
      </c>
      <c r="G660" s="11">
        <v>3.53</v>
      </c>
      <c r="H660" s="1">
        <v>-142.38</v>
      </c>
      <c r="I660" s="11">
        <v>5.0793999999999997</v>
      </c>
      <c r="J660" s="1">
        <v>91.95</v>
      </c>
      <c r="K660" s="11">
        <v>3.8805999999999998</v>
      </c>
      <c r="L660" s="1">
        <v>18.95</v>
      </c>
      <c r="M660" s="11">
        <v>6.2</v>
      </c>
      <c r="N660" s="1">
        <v>40.65</v>
      </c>
      <c r="O660" s="11">
        <v>2.8224999999999998</v>
      </c>
      <c r="P660" s="1">
        <f t="shared" si="124"/>
        <v>2819.8499999999995</v>
      </c>
      <c r="Q660" s="1">
        <v>2769.76</v>
      </c>
      <c r="R660" s="16">
        <f t="shared" si="125"/>
        <v>2280606.7967499997</v>
      </c>
      <c r="S660" s="1">
        <v>-727.5</v>
      </c>
      <c r="T660" s="1">
        <v>35.6</v>
      </c>
      <c r="U660" s="1">
        <v>66.23</v>
      </c>
      <c r="V660" s="1">
        <v>38.06</v>
      </c>
      <c r="W660" s="1" cm="1">
        <f t="array" ref="W660">SUM(ABS(S660:V660))</f>
        <v>867.3900000000001</v>
      </c>
      <c r="X660" s="25">
        <v>1.238</v>
      </c>
      <c r="Y660" s="42">
        <f t="shared" si="126"/>
        <v>268457.20500000002</v>
      </c>
      <c r="Z660" s="20">
        <v>733.12</v>
      </c>
      <c r="AA660" s="20">
        <f t="shared" si="127"/>
        <v>1600.5100000000002</v>
      </c>
      <c r="AB660" s="21">
        <v>0.24</v>
      </c>
      <c r="AC660" s="21">
        <v>14.97</v>
      </c>
      <c r="AD660" s="8">
        <f t="shared" si="128"/>
        <v>748.33</v>
      </c>
      <c r="AE660" s="25">
        <v>1.238</v>
      </c>
      <c r="AF660" s="25">
        <f t="shared" si="129"/>
        <v>231608.13500000001</v>
      </c>
      <c r="AG660" s="25">
        <f t="shared" si="130"/>
        <v>500065.34</v>
      </c>
      <c r="AH660" s="1">
        <f t="shared" si="120"/>
        <v>3568.1799999999994</v>
      </c>
      <c r="AI660" s="1">
        <f t="shared" si="121"/>
        <v>3518.09</v>
      </c>
      <c r="AJ660" s="1">
        <v>4439.41</v>
      </c>
      <c r="AK660" s="1">
        <f t="shared" si="122"/>
        <v>-871.23000000000047</v>
      </c>
      <c r="AL660" s="29">
        <f t="shared" si="131"/>
        <v>921.31999999999971</v>
      </c>
      <c r="AM660" s="11">
        <f t="shared" si="123"/>
        <v>2780672.1367499996</v>
      </c>
    </row>
    <row r="661" spans="1:39" x14ac:dyDescent="0.3">
      <c r="A661" s="39">
        <v>45966.84375</v>
      </c>
      <c r="B661" s="1">
        <v>1447.07</v>
      </c>
      <c r="C661" s="11">
        <v>3.2732000000000001</v>
      </c>
      <c r="D661" s="1">
        <v>646.49</v>
      </c>
      <c r="E661" s="11">
        <v>3.0760000000000001</v>
      </c>
      <c r="F661" s="1">
        <v>717.12</v>
      </c>
      <c r="G661" s="11">
        <v>3.53</v>
      </c>
      <c r="H661" s="1">
        <v>-143.91999999999999</v>
      </c>
      <c r="I661" s="11">
        <v>5.1400500000000005</v>
      </c>
      <c r="J661" s="1">
        <v>97.07</v>
      </c>
      <c r="K661" s="11">
        <v>3.8808699999999998</v>
      </c>
      <c r="L661" s="1">
        <v>14.16</v>
      </c>
      <c r="M661" s="11">
        <v>6.2</v>
      </c>
      <c r="N661" s="1">
        <v>37.450000000000003</v>
      </c>
      <c r="O661" s="11">
        <v>2.8224999999999998</v>
      </c>
      <c r="P661" s="1">
        <f t="shared" si="124"/>
        <v>2815.4399999999996</v>
      </c>
      <c r="Q661" s="1">
        <v>2816.57</v>
      </c>
      <c r="R661" s="16">
        <f t="shared" si="125"/>
        <v>2271760.260975</v>
      </c>
      <c r="S661" s="1">
        <v>-706.02</v>
      </c>
      <c r="T661" s="1">
        <v>35.61</v>
      </c>
      <c r="U661" s="1">
        <v>66.23</v>
      </c>
      <c r="V661" s="1">
        <v>38.03</v>
      </c>
      <c r="W661" s="1" cm="1">
        <f t="array" ref="W661">SUM(ABS(S661:V661))</f>
        <v>845.89</v>
      </c>
      <c r="X661" s="25">
        <v>1.238</v>
      </c>
      <c r="Y661" s="42">
        <f t="shared" si="126"/>
        <v>261802.95499999999</v>
      </c>
      <c r="Z661" s="20">
        <v>728.94</v>
      </c>
      <c r="AA661" s="20">
        <f t="shared" si="127"/>
        <v>1574.83</v>
      </c>
      <c r="AB661" s="21">
        <v>0.23000000000000004</v>
      </c>
      <c r="AC661" s="21">
        <v>15.03</v>
      </c>
      <c r="AD661" s="8">
        <f t="shared" si="128"/>
        <v>744.2</v>
      </c>
      <c r="AE661" s="25">
        <v>1.238</v>
      </c>
      <c r="AF661" s="25">
        <f t="shared" si="129"/>
        <v>230329.90000000002</v>
      </c>
      <c r="AG661" s="25">
        <f t="shared" si="130"/>
        <v>492132.85499999998</v>
      </c>
      <c r="AH661" s="1">
        <f t="shared" si="120"/>
        <v>3559.6399999999994</v>
      </c>
      <c r="AI661" s="1">
        <f t="shared" si="121"/>
        <v>3560.7700000000004</v>
      </c>
      <c r="AJ661" s="1">
        <v>4455.01</v>
      </c>
      <c r="AK661" s="1">
        <f t="shared" si="122"/>
        <v>-895.3700000000008</v>
      </c>
      <c r="AL661" s="29">
        <f t="shared" si="131"/>
        <v>894.23999999999978</v>
      </c>
      <c r="AM661" s="11">
        <f t="shared" si="123"/>
        <v>2763893.115975</v>
      </c>
    </row>
    <row r="662" spans="1:39" x14ac:dyDescent="0.3">
      <c r="A662" s="39">
        <v>45966.854166666664</v>
      </c>
      <c r="B662" s="1">
        <v>1447.07</v>
      </c>
      <c r="C662" s="11">
        <v>3.2732000000000001</v>
      </c>
      <c r="D662" s="1">
        <v>646.49</v>
      </c>
      <c r="E662" s="11">
        <v>3.0760000000000001</v>
      </c>
      <c r="F662" s="1">
        <v>717.12</v>
      </c>
      <c r="G662" s="11">
        <v>3.53</v>
      </c>
      <c r="H662" s="1">
        <v>-153.91999999999999</v>
      </c>
      <c r="I662" s="11">
        <v>6.1866300000000001</v>
      </c>
      <c r="J662" s="1">
        <v>114.99</v>
      </c>
      <c r="K662" s="11">
        <v>3.77135</v>
      </c>
      <c r="L662" s="1">
        <v>15.68</v>
      </c>
      <c r="M662" s="11">
        <v>6.2</v>
      </c>
      <c r="N662" s="1">
        <v>34.700000000000003</v>
      </c>
      <c r="O662" s="11">
        <v>2.8224999999999998</v>
      </c>
      <c r="P662" s="1">
        <f t="shared" si="124"/>
        <v>2822.1299999999992</v>
      </c>
      <c r="Q662" s="1">
        <v>2779.5</v>
      </c>
      <c r="R662" s="16">
        <f t="shared" si="125"/>
        <v>2233291.1402250002</v>
      </c>
      <c r="S662" s="1">
        <v>-737.57</v>
      </c>
      <c r="T662" s="1">
        <v>35.64</v>
      </c>
      <c r="U662" s="1">
        <v>66.209999999999994</v>
      </c>
      <c r="V662" s="1">
        <v>38.090000000000003</v>
      </c>
      <c r="W662" s="1" cm="1">
        <f t="array" ref="W662">SUM(ABS(S662:V662))</f>
        <v>877.5100000000001</v>
      </c>
      <c r="X662" s="25">
        <v>1.238</v>
      </c>
      <c r="Y662" s="42">
        <f t="shared" si="126"/>
        <v>271589.34500000003</v>
      </c>
      <c r="Z662" s="20">
        <v>735.51</v>
      </c>
      <c r="AA662" s="20">
        <f t="shared" si="127"/>
        <v>1613.02</v>
      </c>
      <c r="AB662" s="21">
        <v>0.22000000000000003</v>
      </c>
      <c r="AC662" s="21">
        <v>15.879999999999999</v>
      </c>
      <c r="AD662" s="8">
        <f t="shared" si="128"/>
        <v>751.61</v>
      </c>
      <c r="AE662" s="25">
        <v>1.238</v>
      </c>
      <c r="AF662" s="25">
        <f t="shared" si="129"/>
        <v>232623.29500000001</v>
      </c>
      <c r="AG662" s="25">
        <f t="shared" si="130"/>
        <v>504212.64</v>
      </c>
      <c r="AH662" s="1">
        <f t="shared" si="120"/>
        <v>3573.7399999999993</v>
      </c>
      <c r="AI662" s="1">
        <f t="shared" si="121"/>
        <v>3531.11</v>
      </c>
      <c r="AJ662" s="1">
        <v>4464</v>
      </c>
      <c r="AK662" s="1">
        <f t="shared" si="122"/>
        <v>-890.26000000000067</v>
      </c>
      <c r="AL662" s="29">
        <f t="shared" si="131"/>
        <v>932.88999999999987</v>
      </c>
      <c r="AM662" s="11">
        <f t="shared" si="123"/>
        <v>2737503.7802250003</v>
      </c>
    </row>
    <row r="663" spans="1:39" x14ac:dyDescent="0.3">
      <c r="A663" s="39">
        <v>45966.864583333336</v>
      </c>
      <c r="B663" s="1">
        <v>1447.07</v>
      </c>
      <c r="C663" s="11">
        <v>3.2732000000000001</v>
      </c>
      <c r="D663" s="1">
        <v>646.49</v>
      </c>
      <c r="E663" s="11">
        <v>3.0760000000000001</v>
      </c>
      <c r="F663" s="1">
        <v>717.12</v>
      </c>
      <c r="G663" s="11">
        <v>3.53</v>
      </c>
      <c r="H663" s="1">
        <v>-184.29</v>
      </c>
      <c r="I663" s="11">
        <v>7.02902</v>
      </c>
      <c r="J663" s="1">
        <v>219.89</v>
      </c>
      <c r="K663" s="11">
        <v>3.8992499999999999</v>
      </c>
      <c r="L663" s="1">
        <v>7.98</v>
      </c>
      <c r="M663" s="11">
        <v>6.2</v>
      </c>
      <c r="N663" s="1">
        <v>32.56</v>
      </c>
      <c r="O663" s="11">
        <v>2.8224999999999998</v>
      </c>
      <c r="P663" s="1">
        <f t="shared" si="124"/>
        <v>2886.8199999999997</v>
      </c>
      <c r="Q663" s="1">
        <v>2793.71</v>
      </c>
      <c r="R663" s="16">
        <f t="shared" si="125"/>
        <v>2239997.7376750009</v>
      </c>
      <c r="S663" s="1">
        <v>-737.29</v>
      </c>
      <c r="T663" s="1">
        <v>35.68</v>
      </c>
      <c r="U663" s="1">
        <v>66.22</v>
      </c>
      <c r="V663" s="1">
        <v>38.119999999999997</v>
      </c>
      <c r="W663" s="1" cm="1">
        <f t="array" ref="W663">SUM(ABS(S663:V663))</f>
        <v>877.31</v>
      </c>
      <c r="X663" s="25">
        <v>1.238</v>
      </c>
      <c r="Y663" s="42">
        <f t="shared" si="126"/>
        <v>271527.44500000001</v>
      </c>
      <c r="Z663" s="20">
        <v>738.60000000000014</v>
      </c>
      <c r="AA663" s="20">
        <f t="shared" si="127"/>
        <v>1615.91</v>
      </c>
      <c r="AB663" s="21">
        <v>0.22000000000000003</v>
      </c>
      <c r="AC663" s="21">
        <v>15.780000000000001</v>
      </c>
      <c r="AD663" s="8">
        <f t="shared" si="128"/>
        <v>754.60000000000014</v>
      </c>
      <c r="AE663" s="25">
        <v>1.238</v>
      </c>
      <c r="AF663" s="25">
        <f t="shared" si="129"/>
        <v>233548.70000000004</v>
      </c>
      <c r="AG663" s="25">
        <f t="shared" si="130"/>
        <v>505076.14500000002</v>
      </c>
      <c r="AH663" s="1">
        <f t="shared" si="120"/>
        <v>3641.42</v>
      </c>
      <c r="AI663" s="1">
        <f t="shared" si="121"/>
        <v>3548.3100000000004</v>
      </c>
      <c r="AJ663" s="1">
        <v>4477.84</v>
      </c>
      <c r="AK663" s="1">
        <f t="shared" si="122"/>
        <v>-836.42000000000007</v>
      </c>
      <c r="AL663" s="29">
        <f t="shared" si="131"/>
        <v>929.52999999999975</v>
      </c>
      <c r="AM663" s="11">
        <f t="shared" si="123"/>
        <v>2745073.8826750009</v>
      </c>
    </row>
    <row r="664" spans="1:39" x14ac:dyDescent="0.3">
      <c r="A664" s="39">
        <v>45966.875</v>
      </c>
      <c r="B664" s="1">
        <v>1447.07</v>
      </c>
      <c r="C664" s="11">
        <v>3.2732000000000001</v>
      </c>
      <c r="D664" s="1">
        <v>646.49</v>
      </c>
      <c r="E664" s="11">
        <v>3.0760000000000001</v>
      </c>
      <c r="F664" s="1">
        <v>717.12</v>
      </c>
      <c r="G664" s="11">
        <v>3.53</v>
      </c>
      <c r="H664" s="1">
        <v>-154.33000000000001</v>
      </c>
      <c r="I664" s="11">
        <v>8.0002800000000001</v>
      </c>
      <c r="J664" s="1">
        <v>329.41</v>
      </c>
      <c r="K664" s="11">
        <v>4.75061</v>
      </c>
      <c r="L664" s="1">
        <v>0.47</v>
      </c>
      <c r="M664" s="11">
        <v>6.2</v>
      </c>
      <c r="N664" s="1">
        <v>29.59</v>
      </c>
      <c r="O664" s="11">
        <v>2.8224999999999998</v>
      </c>
      <c r="P664" s="1">
        <f t="shared" si="124"/>
        <v>3015.8199999999997</v>
      </c>
      <c r="Q664" s="1">
        <v>2924.98</v>
      </c>
      <c r="R664" s="16">
        <f t="shared" si="125"/>
        <v>2418308.3416750007</v>
      </c>
      <c r="S664" s="1">
        <v>-674.75</v>
      </c>
      <c r="T664" s="1">
        <v>35.68</v>
      </c>
      <c r="U664" s="1">
        <v>59.21</v>
      </c>
      <c r="V664" s="1">
        <v>38.08</v>
      </c>
      <c r="W664" s="1" cm="1">
        <f t="array" ref="W664">SUM(ABS(S664:V664))</f>
        <v>807.72</v>
      </c>
      <c r="X664" s="25">
        <v>1.238</v>
      </c>
      <c r="Y664" s="42">
        <f t="shared" si="126"/>
        <v>249989.34</v>
      </c>
      <c r="Z664" s="20">
        <v>737.14</v>
      </c>
      <c r="AA664" s="20">
        <f t="shared" si="127"/>
        <v>1544.8600000000001</v>
      </c>
      <c r="AB664" s="21">
        <v>0.22000000000000003</v>
      </c>
      <c r="AC664" s="21">
        <v>15.290000000000001</v>
      </c>
      <c r="AD664" s="8">
        <f t="shared" si="128"/>
        <v>752.65</v>
      </c>
      <c r="AE664" s="25">
        <v>1.238</v>
      </c>
      <c r="AF664" s="25">
        <f t="shared" si="129"/>
        <v>232945.17499999999</v>
      </c>
      <c r="AG664" s="25">
        <f t="shared" si="130"/>
        <v>482934.51500000001</v>
      </c>
      <c r="AH664" s="1">
        <f t="shared" si="120"/>
        <v>3768.47</v>
      </c>
      <c r="AI664" s="1">
        <f t="shared" si="121"/>
        <v>3677.63</v>
      </c>
      <c r="AJ664" s="1">
        <v>4538.5200000000004</v>
      </c>
      <c r="AK664" s="1">
        <f t="shared" si="122"/>
        <v>-770.05000000000064</v>
      </c>
      <c r="AL664" s="29">
        <f t="shared" si="131"/>
        <v>860.89000000000033</v>
      </c>
      <c r="AM664" s="11">
        <f t="shared" si="123"/>
        <v>2901242.8566750009</v>
      </c>
    </row>
    <row r="665" spans="1:39" x14ac:dyDescent="0.3">
      <c r="A665" s="39">
        <v>45966.885416666664</v>
      </c>
      <c r="B665" s="1">
        <v>1447.07</v>
      </c>
      <c r="C665" s="11">
        <v>3.2732000000000001</v>
      </c>
      <c r="D665" s="1">
        <v>646.49</v>
      </c>
      <c r="E665" s="11">
        <v>3.0760000000000001</v>
      </c>
      <c r="F665" s="1">
        <v>717.12</v>
      </c>
      <c r="G665" s="11">
        <v>3.53</v>
      </c>
      <c r="H665" s="1">
        <v>-151.9</v>
      </c>
      <c r="I665" s="11">
        <v>7.5994399999999995</v>
      </c>
      <c r="J665" s="1">
        <v>427.58</v>
      </c>
      <c r="K665" s="11">
        <v>4.6651400000000001</v>
      </c>
      <c r="L665" s="1">
        <v>0</v>
      </c>
      <c r="M665" s="11">
        <v>6.2</v>
      </c>
      <c r="N665" s="1">
        <v>28.56</v>
      </c>
      <c r="O665" s="11">
        <v>2.8224999999999998</v>
      </c>
      <c r="P665" s="1">
        <f t="shared" si="124"/>
        <v>3114.9199999999996</v>
      </c>
      <c r="Q665" s="1">
        <v>3100.85</v>
      </c>
      <c r="R665" s="16">
        <f t="shared" si="125"/>
        <v>2544390.6473000003</v>
      </c>
      <c r="S665" s="1">
        <v>-603.34</v>
      </c>
      <c r="T665" s="1">
        <v>35.67</v>
      </c>
      <c r="U665" s="1">
        <v>48.64</v>
      </c>
      <c r="V665" s="1">
        <v>38.04</v>
      </c>
      <c r="W665" s="1" cm="1">
        <f t="array" ref="W665">SUM(ABS(S665:V665))</f>
        <v>725.68999999999994</v>
      </c>
      <c r="X665" s="25">
        <v>1.238</v>
      </c>
      <c r="Y665" s="42">
        <f t="shared" si="126"/>
        <v>224601.05499999996</v>
      </c>
      <c r="Z665" s="20">
        <v>733.46999999999991</v>
      </c>
      <c r="AA665" s="20">
        <f t="shared" si="127"/>
        <v>1459.1599999999999</v>
      </c>
      <c r="AB665" s="21">
        <v>0.22000000000000003</v>
      </c>
      <c r="AC665" s="21">
        <v>15.2</v>
      </c>
      <c r="AD665" s="8">
        <f t="shared" si="128"/>
        <v>748.89</v>
      </c>
      <c r="AE665" s="25">
        <v>1.238</v>
      </c>
      <c r="AF665" s="25">
        <f t="shared" si="129"/>
        <v>231781.45499999999</v>
      </c>
      <c r="AG665" s="25">
        <f t="shared" si="130"/>
        <v>456382.50999999995</v>
      </c>
      <c r="AH665" s="1">
        <f t="shared" si="120"/>
        <v>3863.8099999999995</v>
      </c>
      <c r="AI665" s="1">
        <f t="shared" si="121"/>
        <v>3849.74</v>
      </c>
      <c r="AJ665" s="1">
        <v>4624.1000000000004</v>
      </c>
      <c r="AK665" s="1">
        <f t="shared" si="122"/>
        <v>-760.29000000000087</v>
      </c>
      <c r="AL665" s="29">
        <f t="shared" si="131"/>
        <v>774.36000000000058</v>
      </c>
      <c r="AM665" s="11">
        <f t="shared" si="123"/>
        <v>3000773.1573000001</v>
      </c>
    </row>
    <row r="666" spans="1:39" x14ac:dyDescent="0.3">
      <c r="A666" s="39">
        <v>45966.895833333336</v>
      </c>
      <c r="B666" s="1">
        <v>1447.07</v>
      </c>
      <c r="C666" s="11">
        <v>3.2732000000000001</v>
      </c>
      <c r="D666" s="1">
        <v>646.49</v>
      </c>
      <c r="E666" s="11">
        <v>3.0760000000000001</v>
      </c>
      <c r="F666" s="1">
        <v>717.12</v>
      </c>
      <c r="G666" s="11">
        <v>3.53</v>
      </c>
      <c r="H666" s="1">
        <v>-151.9</v>
      </c>
      <c r="I666" s="11">
        <v>8.4002800000000004</v>
      </c>
      <c r="J666" s="1">
        <v>519.34</v>
      </c>
      <c r="K666" s="11">
        <v>4.7897700000000007</v>
      </c>
      <c r="L666" s="1">
        <v>0</v>
      </c>
      <c r="M666" s="11">
        <v>6.2</v>
      </c>
      <c r="N666" s="1">
        <v>29.05</v>
      </c>
      <c r="O666" s="11">
        <v>2.8224999999999998</v>
      </c>
      <c r="P666" s="1">
        <f t="shared" si="124"/>
        <v>3207.17</v>
      </c>
      <c r="Q666" s="1">
        <v>3184.82</v>
      </c>
      <c r="R666" s="16">
        <f t="shared" si="125"/>
        <v>2637524.1521999999</v>
      </c>
      <c r="S666" s="1">
        <v>-602.92999999999995</v>
      </c>
      <c r="T666" s="1">
        <v>35.69</v>
      </c>
      <c r="U666" s="1">
        <v>48.62</v>
      </c>
      <c r="V666" s="1">
        <v>38.06</v>
      </c>
      <c r="W666" s="1" cm="1">
        <f t="array" ref="W666">SUM(ABS(S666:V666))</f>
        <v>725.3</v>
      </c>
      <c r="X666" s="25">
        <v>1.238</v>
      </c>
      <c r="Y666" s="42">
        <f t="shared" si="126"/>
        <v>224480.34999999998</v>
      </c>
      <c r="Z666" s="20">
        <v>733.8599999999999</v>
      </c>
      <c r="AA666" s="20">
        <f t="shared" si="127"/>
        <v>1459.1599999999999</v>
      </c>
      <c r="AB666" s="21">
        <v>0.22000000000000003</v>
      </c>
      <c r="AC666" s="21">
        <v>12.39</v>
      </c>
      <c r="AD666" s="8">
        <f t="shared" si="128"/>
        <v>746.46999999999991</v>
      </c>
      <c r="AE666" s="25">
        <v>1.238</v>
      </c>
      <c r="AF666" s="25">
        <f t="shared" si="129"/>
        <v>231032.46499999997</v>
      </c>
      <c r="AG666" s="25">
        <f t="shared" si="130"/>
        <v>455512.81499999994</v>
      </c>
      <c r="AH666" s="1">
        <f t="shared" si="120"/>
        <v>3953.64</v>
      </c>
      <c r="AI666" s="1">
        <f t="shared" si="121"/>
        <v>3931.29</v>
      </c>
      <c r="AJ666" s="1">
        <v>4707.21</v>
      </c>
      <c r="AK666" s="1">
        <f t="shared" si="122"/>
        <v>-753.57000000000016</v>
      </c>
      <c r="AL666" s="29">
        <f t="shared" si="131"/>
        <v>775.92000000000007</v>
      </c>
      <c r="AM666" s="11">
        <f t="shared" si="123"/>
        <v>3093036.9671999998</v>
      </c>
    </row>
    <row r="667" spans="1:39" x14ac:dyDescent="0.3">
      <c r="A667" s="39">
        <v>45966.90625</v>
      </c>
      <c r="B667" s="1">
        <v>1447.07</v>
      </c>
      <c r="C667" s="11">
        <v>3.2732000000000001</v>
      </c>
      <c r="D667" s="1">
        <v>646.49</v>
      </c>
      <c r="E667" s="11">
        <v>3.0760000000000001</v>
      </c>
      <c r="F667" s="1">
        <v>717.12</v>
      </c>
      <c r="G667" s="11">
        <v>3.53</v>
      </c>
      <c r="H667" s="1">
        <v>-151.9</v>
      </c>
      <c r="I667" s="11">
        <v>8.4008299999999991</v>
      </c>
      <c r="J667" s="1">
        <v>617.65</v>
      </c>
      <c r="K667" s="11">
        <v>5.4505100000000004</v>
      </c>
      <c r="L667" s="1">
        <v>0</v>
      </c>
      <c r="M667" s="11">
        <v>6.2</v>
      </c>
      <c r="N667" s="1">
        <v>28.54</v>
      </c>
      <c r="O667" s="11">
        <v>2.8224999999999998</v>
      </c>
      <c r="P667" s="1">
        <f t="shared" si="124"/>
        <v>3304.97</v>
      </c>
      <c r="Q667" s="1">
        <v>3288.79</v>
      </c>
      <c r="R667" s="16">
        <f t="shared" si="125"/>
        <v>2856890.484625</v>
      </c>
      <c r="S667" s="1">
        <v>-628.53</v>
      </c>
      <c r="T667" s="1">
        <v>35.700000000000003</v>
      </c>
      <c r="U667" s="1">
        <v>48.63</v>
      </c>
      <c r="V667" s="1">
        <v>38.049999999999997</v>
      </c>
      <c r="W667" s="1" cm="1">
        <f t="array" ref="W667">SUM(ABS(S667:V667))</f>
        <v>750.91</v>
      </c>
      <c r="X667" s="25">
        <v>1.238</v>
      </c>
      <c r="Y667" s="42">
        <f t="shared" si="126"/>
        <v>232406.64499999999</v>
      </c>
      <c r="Z667" s="20">
        <v>673.2</v>
      </c>
      <c r="AA667" s="20">
        <f t="shared" si="127"/>
        <v>1424.1100000000001</v>
      </c>
      <c r="AB667" s="21">
        <v>0.22000000000000003</v>
      </c>
      <c r="AC667" s="21">
        <v>11.389999999999999</v>
      </c>
      <c r="AD667" s="8">
        <f t="shared" si="128"/>
        <v>684.81000000000006</v>
      </c>
      <c r="AE667" s="25">
        <v>1.238</v>
      </c>
      <c r="AF667" s="25">
        <f t="shared" si="129"/>
        <v>211948.69500000001</v>
      </c>
      <c r="AG667" s="25">
        <f t="shared" si="130"/>
        <v>444355.33999999997</v>
      </c>
      <c r="AH667" s="1">
        <f t="shared" si="120"/>
        <v>3989.7799999999997</v>
      </c>
      <c r="AI667" s="1">
        <f t="shared" si="121"/>
        <v>3973.6</v>
      </c>
      <c r="AJ667" s="1">
        <v>4798.8100000000004</v>
      </c>
      <c r="AK667" s="1">
        <f t="shared" si="122"/>
        <v>-809.03000000000065</v>
      </c>
      <c r="AL667" s="29">
        <f t="shared" si="131"/>
        <v>825.21000000000049</v>
      </c>
      <c r="AM667" s="11">
        <f t="shared" si="123"/>
        <v>3301245.8246249999</v>
      </c>
    </row>
    <row r="668" spans="1:39" x14ac:dyDescent="0.3">
      <c r="A668" s="39">
        <v>45966.916666666664</v>
      </c>
      <c r="B668" s="1">
        <v>1448.91</v>
      </c>
      <c r="C668" s="11">
        <v>3.2732000000000001</v>
      </c>
      <c r="D668" s="1">
        <v>646.49</v>
      </c>
      <c r="E668" s="11">
        <v>3.0760000000000001</v>
      </c>
      <c r="F668" s="1">
        <v>717.12</v>
      </c>
      <c r="G668" s="11">
        <v>3.53</v>
      </c>
      <c r="H668" s="1">
        <v>-383.01</v>
      </c>
      <c r="I668" s="11">
        <v>10</v>
      </c>
      <c r="J668" s="1">
        <v>846.4</v>
      </c>
      <c r="K668" s="11">
        <v>4.4506600000000001</v>
      </c>
      <c r="L668" s="1">
        <v>0</v>
      </c>
      <c r="M668" s="11">
        <v>6.2</v>
      </c>
      <c r="N668" s="1">
        <v>29.33</v>
      </c>
      <c r="O668" s="11">
        <v>2.8224999999999998</v>
      </c>
      <c r="P668" s="1">
        <f t="shared" si="124"/>
        <v>3305.2400000000002</v>
      </c>
      <c r="Q668" s="1">
        <v>3271.97</v>
      </c>
      <c r="R668" s="16">
        <f t="shared" si="125"/>
        <v>2320582.9002499995</v>
      </c>
      <c r="S668" s="1">
        <v>-717.28</v>
      </c>
      <c r="T668" s="1">
        <v>35.700000000000003</v>
      </c>
      <c r="U668" s="1">
        <v>48.66</v>
      </c>
      <c r="V668" s="1">
        <v>38.049999999999997</v>
      </c>
      <c r="W668" s="1" cm="1">
        <f t="array" ref="W668">SUM(ABS(S668:V668))</f>
        <v>839.68999999999994</v>
      </c>
      <c r="X668" s="25">
        <v>1.238</v>
      </c>
      <c r="Y668" s="42">
        <f t="shared" si="126"/>
        <v>259884.05499999999</v>
      </c>
      <c r="Z668" s="20">
        <v>711.30000000000007</v>
      </c>
      <c r="AA668" s="20">
        <f t="shared" si="127"/>
        <v>1550.99</v>
      </c>
      <c r="AB668" s="21">
        <v>0.22000000000000003</v>
      </c>
      <c r="AC668" s="21">
        <v>10.29</v>
      </c>
      <c r="AD668" s="8">
        <f t="shared" si="128"/>
        <v>721.81000000000006</v>
      </c>
      <c r="AE668" s="25">
        <v>1.238</v>
      </c>
      <c r="AF668" s="25">
        <f t="shared" si="129"/>
        <v>223400.19500000004</v>
      </c>
      <c r="AG668" s="25">
        <f t="shared" si="130"/>
        <v>483284.25</v>
      </c>
      <c r="AH668" s="1">
        <f t="shared" si="120"/>
        <v>4027.05</v>
      </c>
      <c r="AI668" s="1">
        <f t="shared" si="121"/>
        <v>3993.7799999999997</v>
      </c>
      <c r="AJ668" s="1">
        <v>4901.55</v>
      </c>
      <c r="AK668" s="1">
        <f t="shared" si="122"/>
        <v>-874.5</v>
      </c>
      <c r="AL668" s="29">
        <f t="shared" si="131"/>
        <v>907.77000000000044</v>
      </c>
      <c r="AM668" s="11">
        <f t="shared" si="123"/>
        <v>2803867.1502499995</v>
      </c>
    </row>
    <row r="669" spans="1:39" x14ac:dyDescent="0.3">
      <c r="A669" s="39">
        <v>45966.927083333336</v>
      </c>
      <c r="B669" s="1">
        <v>1449.23</v>
      </c>
      <c r="C669" s="11">
        <v>3.2732000000000001</v>
      </c>
      <c r="D669" s="1">
        <v>646.49</v>
      </c>
      <c r="E669" s="11">
        <v>3.0760000000000001</v>
      </c>
      <c r="F669" s="1">
        <v>717.12</v>
      </c>
      <c r="G669" s="11">
        <v>3.53</v>
      </c>
      <c r="H669" s="1">
        <v>-401.9</v>
      </c>
      <c r="I669" s="11">
        <v>10</v>
      </c>
      <c r="J669" s="1">
        <v>937.11</v>
      </c>
      <c r="K669" s="11">
        <v>4.7916800000000004</v>
      </c>
      <c r="L669" s="1">
        <v>0</v>
      </c>
      <c r="M669" s="11">
        <v>6.2</v>
      </c>
      <c r="N669" s="1">
        <v>29.68</v>
      </c>
      <c r="O669" s="11">
        <v>2.8224999999999998</v>
      </c>
      <c r="P669" s="1">
        <f t="shared" si="124"/>
        <v>3377.73</v>
      </c>
      <c r="Q669" s="1">
        <v>3289.52</v>
      </c>
      <c r="R669" s="16">
        <f t="shared" si="125"/>
        <v>2454689.8802</v>
      </c>
      <c r="S669" s="1">
        <v>-734.59</v>
      </c>
      <c r="T669" s="1">
        <v>35.69</v>
      </c>
      <c r="U669" s="1">
        <v>48.65</v>
      </c>
      <c r="V669" s="1">
        <v>38.020000000000003</v>
      </c>
      <c r="W669" s="1" cm="1">
        <f t="array" ref="W669">SUM(ABS(S669:V669))</f>
        <v>856.94999999999993</v>
      </c>
      <c r="X669" s="25">
        <v>1.238</v>
      </c>
      <c r="Y669" s="42">
        <f t="shared" si="126"/>
        <v>265226.02499999997</v>
      </c>
      <c r="Z669" s="20">
        <v>736.52</v>
      </c>
      <c r="AA669" s="20">
        <f t="shared" si="127"/>
        <v>1593.4699999999998</v>
      </c>
      <c r="AB669" s="21">
        <v>0.22000000000000003</v>
      </c>
      <c r="AC669" s="21">
        <v>9.6999999999999993</v>
      </c>
      <c r="AD669" s="8">
        <f t="shared" si="128"/>
        <v>746.44</v>
      </c>
      <c r="AE669" s="25">
        <v>1.238</v>
      </c>
      <c r="AF669" s="25">
        <f t="shared" si="129"/>
        <v>231023.18000000002</v>
      </c>
      <c r="AG669" s="25">
        <f t="shared" si="130"/>
        <v>496249.20499999996</v>
      </c>
      <c r="AH669" s="1">
        <f t="shared" si="120"/>
        <v>4124.17</v>
      </c>
      <c r="AI669" s="1">
        <f t="shared" si="121"/>
        <v>4035.96</v>
      </c>
      <c r="AJ669" s="1">
        <v>4969.26</v>
      </c>
      <c r="AK669" s="1">
        <f t="shared" si="122"/>
        <v>-845.09000000000015</v>
      </c>
      <c r="AL669" s="29">
        <f t="shared" si="131"/>
        <v>933.30000000000018</v>
      </c>
      <c r="AM669" s="11">
        <f t="shared" si="123"/>
        <v>2950939.0852000001</v>
      </c>
    </row>
    <row r="670" spans="1:39" x14ac:dyDescent="0.3">
      <c r="A670" s="39">
        <v>45966.9375</v>
      </c>
      <c r="B670" s="1">
        <v>1449.24</v>
      </c>
      <c r="C670" s="11">
        <v>3.2732000000000001</v>
      </c>
      <c r="D670" s="1">
        <v>646.49</v>
      </c>
      <c r="E670" s="11">
        <v>3.0760000000000001</v>
      </c>
      <c r="F670" s="1">
        <v>717.12</v>
      </c>
      <c r="G670" s="11">
        <v>3.53</v>
      </c>
      <c r="H670" s="1">
        <v>-401.9</v>
      </c>
      <c r="I670" s="11">
        <v>10</v>
      </c>
      <c r="J670" s="1">
        <v>951.12</v>
      </c>
      <c r="K670" s="11">
        <v>7.9641700000000002</v>
      </c>
      <c r="L670" s="1">
        <v>0</v>
      </c>
      <c r="M670" s="11">
        <v>6.2</v>
      </c>
      <c r="N670" s="1">
        <v>30.26</v>
      </c>
      <c r="O670" s="11">
        <v>2.8224999999999998</v>
      </c>
      <c r="P670" s="1">
        <f t="shared" si="124"/>
        <v>3392.33</v>
      </c>
      <c r="Q670" s="1">
        <v>3295.46</v>
      </c>
      <c r="R670" s="16">
        <f t="shared" si="125"/>
        <v>3226244.8571000001</v>
      </c>
      <c r="S670" s="1">
        <v>-736.98</v>
      </c>
      <c r="T670" s="1">
        <v>35.72</v>
      </c>
      <c r="U670" s="1">
        <v>48.67</v>
      </c>
      <c r="V670" s="1">
        <v>38.04</v>
      </c>
      <c r="W670" s="1" cm="1">
        <f t="array" ref="W670">SUM(ABS(S670:V670))</f>
        <v>859.41</v>
      </c>
      <c r="X670" s="25">
        <v>1.238</v>
      </c>
      <c r="Y670" s="42">
        <f t="shared" si="126"/>
        <v>265987.39500000002</v>
      </c>
      <c r="Z670" s="20">
        <v>739.7</v>
      </c>
      <c r="AA670" s="20">
        <f t="shared" si="127"/>
        <v>1599.1100000000001</v>
      </c>
      <c r="AB670" s="21">
        <v>0.22000000000000003</v>
      </c>
      <c r="AC670" s="21">
        <v>11.07</v>
      </c>
      <c r="AD670" s="8">
        <f t="shared" si="128"/>
        <v>750.99000000000012</v>
      </c>
      <c r="AE670" s="25">
        <v>1.238</v>
      </c>
      <c r="AF670" s="25">
        <f t="shared" si="129"/>
        <v>232431.40500000003</v>
      </c>
      <c r="AG670" s="25">
        <f t="shared" si="130"/>
        <v>498418.80000000005</v>
      </c>
      <c r="AH670" s="1">
        <f t="shared" si="120"/>
        <v>4143.32</v>
      </c>
      <c r="AI670" s="1">
        <f t="shared" si="121"/>
        <v>4046.4500000000003</v>
      </c>
      <c r="AJ670" s="1">
        <v>4980.34</v>
      </c>
      <c r="AK670" s="1">
        <f t="shared" si="122"/>
        <v>-837.02000000000044</v>
      </c>
      <c r="AL670" s="29">
        <f t="shared" si="131"/>
        <v>933.88999999999987</v>
      </c>
      <c r="AM670" s="11">
        <f t="shared" si="123"/>
        <v>3724663.6571000004</v>
      </c>
    </row>
    <row r="671" spans="1:39" x14ac:dyDescent="0.3">
      <c r="A671" s="39">
        <v>45966.947916666664</v>
      </c>
      <c r="B671" s="1">
        <v>1447.62</v>
      </c>
      <c r="C671" s="11">
        <v>3.2732000000000001</v>
      </c>
      <c r="D671" s="1">
        <v>646.49</v>
      </c>
      <c r="E671" s="11">
        <v>3.0760000000000001</v>
      </c>
      <c r="F671" s="1">
        <v>717.12</v>
      </c>
      <c r="G671" s="11">
        <v>3.53</v>
      </c>
      <c r="H671" s="1">
        <v>-401.9</v>
      </c>
      <c r="I671" s="11">
        <v>10</v>
      </c>
      <c r="J671" s="1">
        <v>942.71</v>
      </c>
      <c r="K671" s="11">
        <v>6.0003100000000007</v>
      </c>
      <c r="L671" s="1">
        <v>0</v>
      </c>
      <c r="M671" s="11">
        <v>6.2</v>
      </c>
      <c r="N671" s="1">
        <v>30.02</v>
      </c>
      <c r="O671" s="11">
        <v>2.8224999999999998</v>
      </c>
      <c r="P671" s="1">
        <f t="shared" si="124"/>
        <v>3382.0599999999995</v>
      </c>
      <c r="Q671" s="1">
        <v>3285.25</v>
      </c>
      <c r="R671" s="16">
        <f t="shared" si="125"/>
        <v>2745167.5785249998</v>
      </c>
      <c r="S671" s="1">
        <v>-736.77</v>
      </c>
      <c r="T671" s="1">
        <v>35.729999999999997</v>
      </c>
      <c r="U671" s="1">
        <v>48.66</v>
      </c>
      <c r="V671" s="1">
        <v>38.020000000000003</v>
      </c>
      <c r="W671" s="1" cm="1">
        <f t="array" ref="W671">SUM(ABS(S671:V671))</f>
        <v>859.18</v>
      </c>
      <c r="X671" s="25">
        <v>1.238</v>
      </c>
      <c r="Y671" s="42">
        <f t="shared" si="126"/>
        <v>265916.20999999996</v>
      </c>
      <c r="Z671" s="20">
        <v>738.81000000000006</v>
      </c>
      <c r="AA671" s="20">
        <f t="shared" si="127"/>
        <v>1597.99</v>
      </c>
      <c r="AB671" s="21">
        <v>0.22000000000000003</v>
      </c>
      <c r="AC671" s="21">
        <v>10.870000000000001</v>
      </c>
      <c r="AD671" s="8">
        <f t="shared" si="128"/>
        <v>749.90000000000009</v>
      </c>
      <c r="AE671" s="25">
        <v>1.238</v>
      </c>
      <c r="AF671" s="25">
        <f t="shared" si="129"/>
        <v>232094.05000000005</v>
      </c>
      <c r="AG671" s="25">
        <f t="shared" si="130"/>
        <v>498010.26</v>
      </c>
      <c r="AH671" s="1">
        <f t="shared" si="120"/>
        <v>4131.9599999999991</v>
      </c>
      <c r="AI671" s="1">
        <f t="shared" si="121"/>
        <v>4035.15</v>
      </c>
      <c r="AJ671" s="1">
        <v>4961.67</v>
      </c>
      <c r="AK671" s="1">
        <f t="shared" si="122"/>
        <v>-829.71000000000095</v>
      </c>
      <c r="AL671" s="29">
        <f t="shared" si="131"/>
        <v>926.52</v>
      </c>
      <c r="AM671" s="11">
        <f t="shared" si="123"/>
        <v>3243177.838525</v>
      </c>
    </row>
    <row r="672" spans="1:39" x14ac:dyDescent="0.3">
      <c r="A672" s="39">
        <v>45966.958333333336</v>
      </c>
      <c r="B672" s="1">
        <v>1447.51</v>
      </c>
      <c r="C672" s="11">
        <v>3.2732000000000001</v>
      </c>
      <c r="D672" s="1">
        <v>646.49</v>
      </c>
      <c r="E672" s="11">
        <v>3.0760000000000001</v>
      </c>
      <c r="F672" s="1">
        <v>717.12</v>
      </c>
      <c r="G672" s="11">
        <v>3.53</v>
      </c>
      <c r="H672" s="1">
        <v>-401.9</v>
      </c>
      <c r="I672" s="11">
        <v>10</v>
      </c>
      <c r="J672" s="1">
        <v>709.16</v>
      </c>
      <c r="K672" s="11">
        <v>10</v>
      </c>
      <c r="L672" s="1">
        <v>0</v>
      </c>
      <c r="M672" s="11">
        <v>6.2</v>
      </c>
      <c r="N672" s="1">
        <v>30</v>
      </c>
      <c r="O672" s="11">
        <v>2.8224999999999998</v>
      </c>
      <c r="P672" s="1">
        <f t="shared" si="124"/>
        <v>3148.3799999999997</v>
      </c>
      <c r="Q672" s="1">
        <v>3231.22</v>
      </c>
      <c r="R672" s="16">
        <f t="shared" si="125"/>
        <v>3103825.3930000002</v>
      </c>
      <c r="S672" s="1">
        <v>-731.41</v>
      </c>
      <c r="T672" s="1">
        <v>35.75</v>
      </c>
      <c r="U672" s="1">
        <v>59.04</v>
      </c>
      <c r="V672" s="1">
        <v>38.049999999999997</v>
      </c>
      <c r="W672" s="1" cm="1">
        <f t="array" ref="W672">SUM(ABS(S672:V672))</f>
        <v>864.24999999999989</v>
      </c>
      <c r="X672" s="25">
        <v>1.238</v>
      </c>
      <c r="Y672" s="42">
        <f t="shared" si="126"/>
        <v>267485.375</v>
      </c>
      <c r="Z672" s="20">
        <v>758.07</v>
      </c>
      <c r="AA672" s="20">
        <f t="shared" si="127"/>
        <v>1622.32</v>
      </c>
      <c r="AB672" s="21">
        <v>0.22000000000000003</v>
      </c>
      <c r="AC672" s="21">
        <v>10.68</v>
      </c>
      <c r="AD672" s="8">
        <f t="shared" si="128"/>
        <v>768.97</v>
      </c>
      <c r="AE672" s="25">
        <v>1.238</v>
      </c>
      <c r="AF672" s="25">
        <f t="shared" si="129"/>
        <v>237996.215</v>
      </c>
      <c r="AG672" s="25">
        <f t="shared" si="130"/>
        <v>505481.58999999997</v>
      </c>
      <c r="AH672" s="1">
        <f t="shared" si="120"/>
        <v>3917.3499999999995</v>
      </c>
      <c r="AI672" s="1">
        <f t="shared" si="121"/>
        <v>4000.1899999999996</v>
      </c>
      <c r="AJ672" s="1">
        <v>4908.28</v>
      </c>
      <c r="AK672" s="1">
        <f t="shared" si="122"/>
        <v>-990.93000000000029</v>
      </c>
      <c r="AL672" s="29">
        <f t="shared" si="131"/>
        <v>908.09000000000015</v>
      </c>
      <c r="AM672" s="11">
        <f t="shared" si="123"/>
        <v>3609306.983</v>
      </c>
    </row>
    <row r="673" spans="1:40" x14ac:dyDescent="0.3">
      <c r="A673" s="39">
        <v>45966.96875</v>
      </c>
      <c r="B673" s="1">
        <v>1447.51</v>
      </c>
      <c r="C673" s="11">
        <v>3.2732000000000001</v>
      </c>
      <c r="D673" s="1">
        <v>646.49</v>
      </c>
      <c r="E673" s="11">
        <v>3.0760000000000001</v>
      </c>
      <c r="F673" s="1">
        <v>717.12</v>
      </c>
      <c r="G673" s="11">
        <v>3.53</v>
      </c>
      <c r="H673" s="1">
        <v>-401.9</v>
      </c>
      <c r="I673" s="11">
        <v>10</v>
      </c>
      <c r="J673" s="1">
        <v>738.02</v>
      </c>
      <c r="K673" s="11">
        <v>10</v>
      </c>
      <c r="L673" s="1">
        <v>0</v>
      </c>
      <c r="M673" s="11">
        <v>6.2</v>
      </c>
      <c r="N673" s="1">
        <v>28.6</v>
      </c>
      <c r="O673" s="11">
        <v>2.8224999999999998</v>
      </c>
      <c r="P673" s="1">
        <f t="shared" si="124"/>
        <v>3175.8399999999997</v>
      </c>
      <c r="Q673" s="1">
        <v>3141.04</v>
      </c>
      <c r="R673" s="16">
        <f t="shared" si="125"/>
        <v>3174987.5179999997</v>
      </c>
      <c r="S673" s="1">
        <v>-736.68</v>
      </c>
      <c r="T673" s="1">
        <v>35.78</v>
      </c>
      <c r="U673" s="1">
        <v>55.19</v>
      </c>
      <c r="V673" s="1">
        <v>37.99</v>
      </c>
      <c r="W673" s="1" cm="1">
        <f t="array" ref="W673">SUM(ABS(S673:V673))</f>
        <v>865.63999999999987</v>
      </c>
      <c r="X673" s="25">
        <v>1.238</v>
      </c>
      <c r="Y673" s="42">
        <f t="shared" si="126"/>
        <v>267915.57999999996</v>
      </c>
      <c r="Z673" s="20">
        <v>762.44</v>
      </c>
      <c r="AA673" s="20">
        <f t="shared" si="127"/>
        <v>1628.08</v>
      </c>
      <c r="AB673" s="21">
        <v>0.22000000000000003</v>
      </c>
      <c r="AC673" s="21">
        <v>10.48</v>
      </c>
      <c r="AD673" s="8">
        <f t="shared" si="128"/>
        <v>773.1400000000001</v>
      </c>
      <c r="AE673" s="25">
        <v>1.238</v>
      </c>
      <c r="AF673" s="25">
        <f t="shared" si="129"/>
        <v>239286.83000000005</v>
      </c>
      <c r="AG673" s="25">
        <f t="shared" si="130"/>
        <v>507202.41000000003</v>
      </c>
      <c r="AH673" s="1">
        <f t="shared" si="120"/>
        <v>3948.9799999999996</v>
      </c>
      <c r="AI673" s="1">
        <f t="shared" si="121"/>
        <v>3914.1800000000003</v>
      </c>
      <c r="AJ673" s="1">
        <v>4824.78</v>
      </c>
      <c r="AK673" s="1">
        <f t="shared" si="122"/>
        <v>-875.80000000000018</v>
      </c>
      <c r="AL673" s="29">
        <f t="shared" si="131"/>
        <v>910.59999999999945</v>
      </c>
      <c r="AM673" s="11">
        <f t="shared" si="123"/>
        <v>3682189.9279999998</v>
      </c>
    </row>
    <row r="674" spans="1:40" x14ac:dyDescent="0.3">
      <c r="A674" s="39">
        <v>45966.979166666664</v>
      </c>
      <c r="B674" s="1">
        <v>1447.51</v>
      </c>
      <c r="C674" s="11">
        <v>3.2732000000000001</v>
      </c>
      <c r="D674" s="1">
        <v>646.49</v>
      </c>
      <c r="E674" s="11">
        <v>3.0760000000000001</v>
      </c>
      <c r="F674" s="1">
        <v>717.12</v>
      </c>
      <c r="G674" s="11">
        <v>3.53</v>
      </c>
      <c r="H674" s="1">
        <v>-401.9</v>
      </c>
      <c r="I674" s="11">
        <v>10</v>
      </c>
      <c r="J674" s="1">
        <v>646.04999999999995</v>
      </c>
      <c r="K674" s="11">
        <v>10</v>
      </c>
      <c r="L674" s="1">
        <v>0</v>
      </c>
      <c r="M674" s="11">
        <v>6.2</v>
      </c>
      <c r="N674" s="1">
        <v>27.38</v>
      </c>
      <c r="O674" s="11">
        <v>2.8224999999999998</v>
      </c>
      <c r="P674" s="1">
        <f t="shared" si="124"/>
        <v>3082.6499999999996</v>
      </c>
      <c r="Q674" s="1">
        <v>3110.6</v>
      </c>
      <c r="R674" s="16">
        <f t="shared" si="125"/>
        <v>2944201.6554999999</v>
      </c>
      <c r="S674" s="1">
        <v>-727.15</v>
      </c>
      <c r="T674" s="1">
        <v>35.75</v>
      </c>
      <c r="U674" s="1">
        <v>39.18</v>
      </c>
      <c r="V674" s="1">
        <v>37.92</v>
      </c>
      <c r="W674" s="1" cm="1">
        <f t="array" ref="W674">SUM(ABS(S674:V674))</f>
        <v>839.99999999999989</v>
      </c>
      <c r="X674" s="25">
        <v>1.238</v>
      </c>
      <c r="Y674" s="42">
        <f t="shared" si="126"/>
        <v>259979.99999999997</v>
      </c>
      <c r="Z674" s="20">
        <v>753.64</v>
      </c>
      <c r="AA674" s="20">
        <f t="shared" si="127"/>
        <v>1593.6399999999999</v>
      </c>
      <c r="AB674" s="21">
        <v>0.22000000000000003</v>
      </c>
      <c r="AC674" s="21">
        <v>10.62</v>
      </c>
      <c r="AD674" s="8">
        <f t="shared" si="128"/>
        <v>764.48</v>
      </c>
      <c r="AE674" s="25">
        <v>1.238</v>
      </c>
      <c r="AF674" s="25">
        <f t="shared" si="129"/>
        <v>236606.56</v>
      </c>
      <c r="AG674" s="25">
        <f t="shared" si="130"/>
        <v>496586.55999999994</v>
      </c>
      <c r="AH674" s="1">
        <f t="shared" si="120"/>
        <v>3847.1299999999997</v>
      </c>
      <c r="AI674" s="1">
        <f t="shared" si="121"/>
        <v>3875.08</v>
      </c>
      <c r="AJ674" s="1">
        <v>4760.49</v>
      </c>
      <c r="AK674" s="1">
        <f t="shared" si="122"/>
        <v>-913.36000000000013</v>
      </c>
      <c r="AL674" s="29">
        <f t="shared" si="131"/>
        <v>885.40999999999985</v>
      </c>
      <c r="AM674" s="11">
        <f t="shared" si="123"/>
        <v>3440788.2154999999</v>
      </c>
    </row>
    <row r="675" spans="1:40" x14ac:dyDescent="0.3">
      <c r="A675" s="39">
        <v>45966.989583333336</v>
      </c>
      <c r="B675" s="1">
        <v>1447.51</v>
      </c>
      <c r="C675" s="11">
        <v>3.2732000000000001</v>
      </c>
      <c r="D675" s="1">
        <v>646.49</v>
      </c>
      <c r="E675" s="11">
        <v>3.0760000000000001</v>
      </c>
      <c r="F675" s="1">
        <v>717.12</v>
      </c>
      <c r="G675" s="11">
        <v>3.53</v>
      </c>
      <c r="H675" s="1">
        <v>-401.9</v>
      </c>
      <c r="I675" s="11">
        <v>10</v>
      </c>
      <c r="J675" s="1">
        <v>554.67999999999995</v>
      </c>
      <c r="K675" s="11">
        <v>10</v>
      </c>
      <c r="L675" s="1">
        <v>0</v>
      </c>
      <c r="M675" s="11">
        <v>6.2</v>
      </c>
      <c r="N675" s="1">
        <v>27.02</v>
      </c>
      <c r="O675" s="11">
        <v>2.8224999999999998</v>
      </c>
      <c r="P675" s="1">
        <f t="shared" si="124"/>
        <v>2990.9199999999996</v>
      </c>
      <c r="Q675" s="1">
        <v>3047.75</v>
      </c>
      <c r="R675" s="16">
        <f t="shared" si="125"/>
        <v>2715522.6305</v>
      </c>
      <c r="S675" s="1">
        <v>-724.42</v>
      </c>
      <c r="T675" s="1">
        <v>35.74</v>
      </c>
      <c r="U675" s="1">
        <v>40.04</v>
      </c>
      <c r="V675" s="1">
        <v>37.65</v>
      </c>
      <c r="W675" s="1" cm="1">
        <f t="array" ref="W675">SUM(ABS(S675:V675))</f>
        <v>837.84999999999991</v>
      </c>
      <c r="X675" s="25">
        <v>1.238</v>
      </c>
      <c r="Y675" s="42">
        <f t="shared" si="126"/>
        <v>259314.57499999998</v>
      </c>
      <c r="Z675" s="20">
        <v>753.73000000000013</v>
      </c>
      <c r="AA675" s="20">
        <f t="shared" si="127"/>
        <v>1591.58</v>
      </c>
      <c r="AB675" s="21">
        <v>0.22000000000000003</v>
      </c>
      <c r="AC675" s="21">
        <v>10.74</v>
      </c>
      <c r="AD675" s="8">
        <f t="shared" si="128"/>
        <v>764.69000000000017</v>
      </c>
      <c r="AE675" s="25">
        <v>1.238</v>
      </c>
      <c r="AF675" s="25">
        <f t="shared" si="129"/>
        <v>236671.55500000005</v>
      </c>
      <c r="AG675" s="25">
        <f t="shared" si="130"/>
        <v>495986.13</v>
      </c>
      <c r="AH675" s="1">
        <f t="shared" si="120"/>
        <v>3755.6099999999997</v>
      </c>
      <c r="AI675" s="1">
        <f t="shared" si="121"/>
        <v>3812.44</v>
      </c>
      <c r="AJ675" s="1">
        <v>4694.2</v>
      </c>
      <c r="AK675" s="1">
        <f t="shared" si="122"/>
        <v>-938.59000000000015</v>
      </c>
      <c r="AL675" s="29">
        <f t="shared" si="131"/>
        <v>881.75999999999976</v>
      </c>
      <c r="AM675" s="11">
        <f t="shared" si="123"/>
        <v>3211508.7604999999</v>
      </c>
      <c r="AN675" s="31">
        <f>SUM(AM580:AM675)</f>
        <v>241944470.09765005</v>
      </c>
    </row>
    <row r="676" spans="1:40" x14ac:dyDescent="0.3">
      <c r="A676" s="39">
        <v>45996</v>
      </c>
      <c r="B676" s="1">
        <v>1446.14</v>
      </c>
      <c r="C676" s="11">
        <v>3.2732000000000001</v>
      </c>
      <c r="D676" s="1">
        <v>655.59</v>
      </c>
      <c r="E676" s="11">
        <v>3.0760000000000001</v>
      </c>
      <c r="F676" s="1">
        <v>442.38</v>
      </c>
      <c r="G676" s="11">
        <v>3.53</v>
      </c>
      <c r="H676" s="1">
        <v>-262.39999999999998</v>
      </c>
      <c r="I676" s="11">
        <v>10</v>
      </c>
      <c r="J676" s="1">
        <v>563.41</v>
      </c>
      <c r="K676" s="11">
        <v>10</v>
      </c>
      <c r="L676" s="1">
        <v>0</v>
      </c>
      <c r="M676" s="11">
        <v>6.2</v>
      </c>
      <c r="N676" s="1">
        <v>42.14</v>
      </c>
      <c r="O676" s="11">
        <v>2.8224999999999998</v>
      </c>
      <c r="P676" s="1">
        <f t="shared" si="124"/>
        <v>2887.2599999999998</v>
      </c>
      <c r="Q676" s="1">
        <v>2932.19</v>
      </c>
      <c r="R676" s="16">
        <f t="shared" si="125"/>
        <v>2860185.4594999999</v>
      </c>
      <c r="S676" s="1">
        <v>-729.27</v>
      </c>
      <c r="T676" s="1">
        <v>35.729999999999997</v>
      </c>
      <c r="U676" s="1">
        <v>40.04</v>
      </c>
      <c r="V676" s="1">
        <v>37.299999999999997</v>
      </c>
      <c r="W676" s="1" cm="1">
        <f t="array" ref="W676">SUM(ABS(S676:V676))</f>
        <v>842.33999999999992</v>
      </c>
      <c r="X676" s="25">
        <v>1.238</v>
      </c>
      <c r="Y676" s="42">
        <f t="shared" si="126"/>
        <v>260704.22999999998</v>
      </c>
      <c r="Z676" s="20">
        <v>756</v>
      </c>
      <c r="AA676" s="20">
        <f t="shared" si="127"/>
        <v>1598.34</v>
      </c>
      <c r="AB676" s="21"/>
      <c r="AC676" s="21">
        <v>11.489999999999998</v>
      </c>
      <c r="AD676" s="8">
        <f t="shared" si="128"/>
        <v>767.49</v>
      </c>
      <c r="AE676" s="25">
        <v>1.238</v>
      </c>
      <c r="AF676" s="25">
        <f t="shared" si="129"/>
        <v>237538.155</v>
      </c>
      <c r="AG676" s="25">
        <f t="shared" si="130"/>
        <v>498242.38500000001</v>
      </c>
      <c r="AH676" s="1">
        <f t="shared" si="120"/>
        <v>3654.75</v>
      </c>
      <c r="AI676" s="1">
        <f t="shared" si="121"/>
        <v>3699.6800000000003</v>
      </c>
      <c r="AJ676" s="1">
        <v>4586.6400000000003</v>
      </c>
      <c r="AK676" s="1">
        <f t="shared" si="122"/>
        <v>-931.89000000000033</v>
      </c>
      <c r="AL676" s="29">
        <f t="shared" si="131"/>
        <v>886.96</v>
      </c>
      <c r="AM676" s="11">
        <f t="shared" si="123"/>
        <v>3358427.8444999997</v>
      </c>
    </row>
    <row r="677" spans="1:40" x14ac:dyDescent="0.3">
      <c r="A677" s="39">
        <v>45996.010416666664</v>
      </c>
      <c r="B677" s="1">
        <v>1446.29</v>
      </c>
      <c r="C677" s="11">
        <v>3.2732000000000001</v>
      </c>
      <c r="D677" s="1">
        <v>656.27</v>
      </c>
      <c r="E677" s="11">
        <v>3.0760000000000001</v>
      </c>
      <c r="F677" s="1">
        <v>421.7</v>
      </c>
      <c r="G677" s="11">
        <v>3.53</v>
      </c>
      <c r="H677" s="1">
        <v>-251.9</v>
      </c>
      <c r="I677" s="11">
        <v>10</v>
      </c>
      <c r="J677" s="1">
        <v>485.51</v>
      </c>
      <c r="K677" s="11">
        <v>10</v>
      </c>
      <c r="L677" s="1">
        <v>0</v>
      </c>
      <c r="M677" s="11">
        <v>6.2</v>
      </c>
      <c r="N677" s="1">
        <v>42.08</v>
      </c>
      <c r="O677" s="11">
        <v>2.8224999999999998</v>
      </c>
      <c r="P677" s="1">
        <f t="shared" si="124"/>
        <v>2799.95</v>
      </c>
      <c r="Q677" s="1">
        <v>2845.68</v>
      </c>
      <c r="R677" s="16">
        <f t="shared" si="125"/>
        <v>2674038.6870000004</v>
      </c>
      <c r="S677" s="1">
        <v>-728.98</v>
      </c>
      <c r="T677" s="1">
        <v>35.72</v>
      </c>
      <c r="U677" s="1">
        <v>27.85</v>
      </c>
      <c r="V677" s="1">
        <v>37.32</v>
      </c>
      <c r="W677" s="1" cm="1">
        <f t="array" ref="W677">SUM(ABS(S677:V677))</f>
        <v>829.87000000000012</v>
      </c>
      <c r="X677" s="25">
        <v>1.238</v>
      </c>
      <c r="Y677" s="42">
        <f t="shared" si="126"/>
        <v>256844.76500000004</v>
      </c>
      <c r="Z677" s="20">
        <v>756.1</v>
      </c>
      <c r="AA677" s="20">
        <f t="shared" si="127"/>
        <v>1585.9700000000003</v>
      </c>
      <c r="AB677" s="21"/>
      <c r="AC677" s="21">
        <v>11.68</v>
      </c>
      <c r="AD677" s="8">
        <f t="shared" si="128"/>
        <v>767.78</v>
      </c>
      <c r="AE677" s="25">
        <v>1.238</v>
      </c>
      <c r="AF677" s="25">
        <f t="shared" si="129"/>
        <v>237627.90999999997</v>
      </c>
      <c r="AG677" s="25">
        <f t="shared" si="130"/>
        <v>494472.67500000005</v>
      </c>
      <c r="AH677" s="1">
        <f t="shared" si="120"/>
        <v>3567.7299999999996</v>
      </c>
      <c r="AI677" s="1">
        <f t="shared" si="121"/>
        <v>3613.46</v>
      </c>
      <c r="AJ677" s="1">
        <v>4490.18</v>
      </c>
      <c r="AK677" s="1">
        <f t="shared" si="122"/>
        <v>-922.45000000000073</v>
      </c>
      <c r="AL677" s="29">
        <f t="shared" si="131"/>
        <v>876.72000000000025</v>
      </c>
      <c r="AM677" s="11">
        <f t="shared" si="123"/>
        <v>3168511.3620000007</v>
      </c>
    </row>
    <row r="678" spans="1:40" x14ac:dyDescent="0.3">
      <c r="A678" s="39">
        <v>45996.020833333336</v>
      </c>
      <c r="B678" s="1">
        <v>1446.31</v>
      </c>
      <c r="C678" s="11">
        <v>3.2732000000000001</v>
      </c>
      <c r="D678" s="1">
        <v>656.27</v>
      </c>
      <c r="E678" s="11">
        <v>3.0760000000000001</v>
      </c>
      <c r="F678" s="1">
        <v>421.7</v>
      </c>
      <c r="G678" s="11">
        <v>3.53</v>
      </c>
      <c r="H678" s="1">
        <v>-251.9</v>
      </c>
      <c r="I678" s="11">
        <v>10</v>
      </c>
      <c r="J678" s="1">
        <v>657.74</v>
      </c>
      <c r="K678" s="11">
        <v>4.8003100000000005</v>
      </c>
      <c r="L678" s="1">
        <v>0</v>
      </c>
      <c r="M678" s="11">
        <v>6.2</v>
      </c>
      <c r="N678" s="1">
        <v>2.75</v>
      </c>
      <c r="O678" s="11">
        <v>2.8224999999999998</v>
      </c>
      <c r="P678" s="1">
        <f t="shared" si="124"/>
        <v>2932.87</v>
      </c>
      <c r="Q678" s="1">
        <v>2843.27</v>
      </c>
      <c r="R678" s="16">
        <f t="shared" si="125"/>
        <v>2221866.7966000005</v>
      </c>
      <c r="S678" s="1">
        <v>-724.02</v>
      </c>
      <c r="T678" s="1">
        <v>35.72</v>
      </c>
      <c r="U678" s="1">
        <v>12</v>
      </c>
      <c r="V678" s="1">
        <v>37.33</v>
      </c>
      <c r="W678" s="1" cm="1">
        <f t="array" ref="W678">SUM(ABS(S678:V678))</f>
        <v>809.07</v>
      </c>
      <c r="X678" s="25">
        <v>1.238</v>
      </c>
      <c r="Y678" s="42">
        <f t="shared" si="126"/>
        <v>250407.16500000001</v>
      </c>
      <c r="Z678" s="20">
        <v>698.27</v>
      </c>
      <c r="AA678" s="20">
        <f t="shared" si="127"/>
        <v>1507.3400000000001</v>
      </c>
      <c r="AB678" s="21"/>
      <c r="AC678" s="21">
        <v>11.14</v>
      </c>
      <c r="AD678" s="8">
        <f t="shared" si="128"/>
        <v>709.41</v>
      </c>
      <c r="AE678" s="25">
        <v>1.238</v>
      </c>
      <c r="AF678" s="25">
        <f t="shared" si="129"/>
        <v>219562.39499999999</v>
      </c>
      <c r="AG678" s="25">
        <f t="shared" si="130"/>
        <v>469969.56</v>
      </c>
      <c r="AH678" s="1">
        <f t="shared" si="120"/>
        <v>3642.2799999999997</v>
      </c>
      <c r="AI678" s="1">
        <f t="shared" si="121"/>
        <v>3552.68</v>
      </c>
      <c r="AJ678" s="1">
        <v>4412.55</v>
      </c>
      <c r="AK678" s="1">
        <f t="shared" si="122"/>
        <v>-770.27000000000044</v>
      </c>
      <c r="AL678" s="29">
        <f t="shared" si="131"/>
        <v>859.87000000000035</v>
      </c>
      <c r="AM678" s="11">
        <f t="shared" si="123"/>
        <v>2691836.3566000005</v>
      </c>
    </row>
    <row r="679" spans="1:40" x14ac:dyDescent="0.3">
      <c r="A679" s="39">
        <v>45996.03125</v>
      </c>
      <c r="B679" s="1">
        <v>1446.31</v>
      </c>
      <c r="C679" s="11">
        <v>3.2732000000000001</v>
      </c>
      <c r="D679" s="1">
        <v>656.27</v>
      </c>
      <c r="E679" s="11">
        <v>3.0760000000000001</v>
      </c>
      <c r="F679" s="1">
        <v>421.7</v>
      </c>
      <c r="G679" s="11">
        <v>3.53</v>
      </c>
      <c r="H679" s="1">
        <v>-251.9</v>
      </c>
      <c r="I679" s="11">
        <v>10</v>
      </c>
      <c r="J679" s="1">
        <v>535.05999999999995</v>
      </c>
      <c r="K679" s="11">
        <v>4.4994799999999993</v>
      </c>
      <c r="L679" s="1">
        <v>0</v>
      </c>
      <c r="M679" s="11">
        <v>6.2</v>
      </c>
      <c r="N679" s="1">
        <v>0</v>
      </c>
      <c r="O679" s="11">
        <v>2.8224999999999998</v>
      </c>
      <c r="P679" s="1">
        <f t="shared" si="124"/>
        <v>2807.4399999999996</v>
      </c>
      <c r="Q679" s="1">
        <v>2845.23</v>
      </c>
      <c r="R679" s="16">
        <f t="shared" si="125"/>
        <v>2032460.2951999996</v>
      </c>
      <c r="S679" s="1">
        <v>-720.51</v>
      </c>
      <c r="T679" s="1">
        <v>35.72</v>
      </c>
      <c r="U679" s="1">
        <v>12</v>
      </c>
      <c r="V679" s="1">
        <v>37.340000000000003</v>
      </c>
      <c r="W679" s="1" cm="1">
        <f t="array" ref="W679">SUM(ABS(S679:V679))</f>
        <v>805.57</v>
      </c>
      <c r="X679" s="25">
        <v>1.238</v>
      </c>
      <c r="Y679" s="42">
        <f t="shared" si="126"/>
        <v>249323.91500000001</v>
      </c>
      <c r="Z679" s="20">
        <v>613.28000000000009</v>
      </c>
      <c r="AA679" s="20">
        <f t="shared" si="127"/>
        <v>1418.8500000000001</v>
      </c>
      <c r="AB679" s="21"/>
      <c r="AC679" s="21">
        <v>11.139999999999999</v>
      </c>
      <c r="AD679" s="8">
        <f t="shared" si="128"/>
        <v>624.42000000000007</v>
      </c>
      <c r="AE679" s="25">
        <v>1.238</v>
      </c>
      <c r="AF679" s="25">
        <f t="shared" si="129"/>
        <v>193257.99000000005</v>
      </c>
      <c r="AG679" s="25">
        <f t="shared" si="130"/>
        <v>442581.90500000003</v>
      </c>
      <c r="AH679" s="1">
        <f t="shared" si="120"/>
        <v>3431.8599999999997</v>
      </c>
      <c r="AI679" s="1">
        <f t="shared" si="121"/>
        <v>3469.65</v>
      </c>
      <c r="AJ679" s="1">
        <v>4324.3599999999997</v>
      </c>
      <c r="AK679" s="1">
        <f t="shared" si="122"/>
        <v>-892.5</v>
      </c>
      <c r="AL679" s="29">
        <f t="shared" si="131"/>
        <v>854.70999999999958</v>
      </c>
      <c r="AM679" s="11">
        <f t="shared" si="123"/>
        <v>2475042.2001999998</v>
      </c>
    </row>
    <row r="680" spans="1:40" x14ac:dyDescent="0.3">
      <c r="A680" s="39">
        <v>45996.041666666664</v>
      </c>
      <c r="B680" s="1">
        <v>1446.31</v>
      </c>
      <c r="C680" s="11">
        <v>3.2732000000000001</v>
      </c>
      <c r="D680" s="1">
        <v>656.27</v>
      </c>
      <c r="E680" s="11">
        <v>3.0760000000000001</v>
      </c>
      <c r="F680" s="1">
        <v>421.7</v>
      </c>
      <c r="G680" s="11">
        <v>3.53</v>
      </c>
      <c r="H680" s="1">
        <v>-251.9</v>
      </c>
      <c r="I680" s="11">
        <v>10</v>
      </c>
      <c r="J680" s="1">
        <v>480.7</v>
      </c>
      <c r="K680" s="11">
        <v>4.4991499999999993</v>
      </c>
      <c r="L680" s="1">
        <v>0</v>
      </c>
      <c r="M680" s="11">
        <v>6.2</v>
      </c>
      <c r="N680" s="1">
        <v>0</v>
      </c>
      <c r="O680" s="11">
        <v>2.8224999999999998</v>
      </c>
      <c r="P680" s="1">
        <f t="shared" si="124"/>
        <v>2753.0799999999995</v>
      </c>
      <c r="Q680" s="1">
        <v>2755.09</v>
      </c>
      <c r="R680" s="16">
        <f t="shared" si="125"/>
        <v>1971272.7042499997</v>
      </c>
      <c r="S680" s="1">
        <v>-724.92</v>
      </c>
      <c r="T680" s="1">
        <v>35.71</v>
      </c>
      <c r="U680" s="1">
        <v>12</v>
      </c>
      <c r="V680" s="1">
        <v>29.53</v>
      </c>
      <c r="W680" s="1" cm="1">
        <f t="array" ref="W680">SUM(ABS(S680:V680))</f>
        <v>802.16</v>
      </c>
      <c r="X680" s="25">
        <v>1.238</v>
      </c>
      <c r="Y680" s="42">
        <f t="shared" si="126"/>
        <v>248268.52</v>
      </c>
      <c r="Z680" s="20">
        <v>639.21</v>
      </c>
      <c r="AA680" s="20">
        <f t="shared" si="127"/>
        <v>1441.37</v>
      </c>
      <c r="AB680" s="21"/>
      <c r="AC680" s="21">
        <v>11.83</v>
      </c>
      <c r="AD680" s="8">
        <f t="shared" si="128"/>
        <v>651.04000000000008</v>
      </c>
      <c r="AE680" s="25">
        <v>1.238</v>
      </c>
      <c r="AF680" s="25">
        <f t="shared" si="129"/>
        <v>201496.88000000003</v>
      </c>
      <c r="AG680" s="25">
        <f t="shared" si="130"/>
        <v>449765.4</v>
      </c>
      <c r="AH680" s="1">
        <f t="shared" si="120"/>
        <v>3404.1199999999994</v>
      </c>
      <c r="AI680" s="1">
        <f t="shared" si="121"/>
        <v>3406.13</v>
      </c>
      <c r="AJ680" s="1">
        <v>4252.46</v>
      </c>
      <c r="AK680" s="1">
        <f t="shared" si="122"/>
        <v>-848.3400000000006</v>
      </c>
      <c r="AL680" s="29">
        <f t="shared" si="131"/>
        <v>846.32999999999993</v>
      </c>
      <c r="AM680" s="11">
        <f t="shared" si="123"/>
        <v>2421038.1042499999</v>
      </c>
    </row>
    <row r="681" spans="1:40" x14ac:dyDescent="0.3">
      <c r="A681" s="39">
        <v>45996.052083333336</v>
      </c>
      <c r="B681" s="1">
        <v>1446.31</v>
      </c>
      <c r="C681" s="11">
        <v>3.2732000000000001</v>
      </c>
      <c r="D681" s="1">
        <v>656.27</v>
      </c>
      <c r="E681" s="11">
        <v>3.0760000000000001</v>
      </c>
      <c r="F681" s="1">
        <v>421.7</v>
      </c>
      <c r="G681" s="11">
        <v>3.53</v>
      </c>
      <c r="H681" s="1">
        <v>-251.9</v>
      </c>
      <c r="I681" s="11">
        <v>10</v>
      </c>
      <c r="J681" s="1">
        <v>387.51</v>
      </c>
      <c r="K681" s="11">
        <v>3.9998800000000001</v>
      </c>
      <c r="L681" s="1">
        <v>0</v>
      </c>
      <c r="M681" s="11">
        <v>6.2</v>
      </c>
      <c r="N681" s="1">
        <v>0</v>
      </c>
      <c r="O681" s="11">
        <v>2.8224999999999998</v>
      </c>
      <c r="P681" s="1">
        <f t="shared" si="124"/>
        <v>2659.8899999999994</v>
      </c>
      <c r="Q681" s="1">
        <v>2685.26</v>
      </c>
      <c r="R681" s="16">
        <f t="shared" si="125"/>
        <v>1818085.7276999999</v>
      </c>
      <c r="S681" s="1">
        <v>-730.1</v>
      </c>
      <c r="T681" s="1">
        <v>35.72</v>
      </c>
      <c r="U681" s="1">
        <v>12</v>
      </c>
      <c r="V681" s="1">
        <v>24.64</v>
      </c>
      <c r="W681" s="1" cm="1">
        <f t="array" ref="W681">SUM(ABS(S681:V681))</f>
        <v>802.46</v>
      </c>
      <c r="X681" s="25">
        <v>1.238</v>
      </c>
      <c r="Y681" s="42">
        <f t="shared" si="126"/>
        <v>248361.37000000002</v>
      </c>
      <c r="Z681" s="20">
        <v>646.00000000000011</v>
      </c>
      <c r="AA681" s="20">
        <f t="shared" si="127"/>
        <v>1448.46</v>
      </c>
      <c r="AB681" s="21"/>
      <c r="AC681" s="21">
        <v>11.999999999999998</v>
      </c>
      <c r="AD681" s="8">
        <f t="shared" si="128"/>
        <v>658.00000000000011</v>
      </c>
      <c r="AE681" s="25">
        <v>1.238</v>
      </c>
      <c r="AF681" s="25">
        <f t="shared" si="129"/>
        <v>203651.00000000003</v>
      </c>
      <c r="AG681" s="25">
        <f t="shared" si="130"/>
        <v>452012.37000000005</v>
      </c>
      <c r="AH681" s="1">
        <f t="shared" si="120"/>
        <v>3317.8899999999994</v>
      </c>
      <c r="AI681" s="1">
        <f t="shared" si="121"/>
        <v>3343.26</v>
      </c>
      <c r="AJ681" s="1">
        <v>4193.54</v>
      </c>
      <c r="AK681" s="1">
        <f t="shared" si="122"/>
        <v>-875.65000000000055</v>
      </c>
      <c r="AL681" s="29">
        <f t="shared" si="131"/>
        <v>850.27999999999975</v>
      </c>
      <c r="AM681" s="11">
        <f t="shared" si="123"/>
        <v>2270098.0976999998</v>
      </c>
    </row>
    <row r="682" spans="1:40" x14ac:dyDescent="0.3">
      <c r="A682" s="39">
        <v>45996.0625</v>
      </c>
      <c r="B682" s="1">
        <v>1446.31</v>
      </c>
      <c r="C682" s="11">
        <v>3.2732000000000001</v>
      </c>
      <c r="D682" s="1">
        <v>656.27</v>
      </c>
      <c r="E682" s="11">
        <v>3.0760000000000001</v>
      </c>
      <c r="F682" s="1">
        <v>421.7</v>
      </c>
      <c r="G682" s="11">
        <v>3.53</v>
      </c>
      <c r="H682" s="1">
        <v>-251.9</v>
      </c>
      <c r="I682" s="11">
        <v>10</v>
      </c>
      <c r="J682" s="1">
        <v>336.31</v>
      </c>
      <c r="K682" s="11">
        <v>3.5122199999999997</v>
      </c>
      <c r="L682" s="1">
        <v>0</v>
      </c>
      <c r="M682" s="11">
        <v>6.2</v>
      </c>
      <c r="N682" s="1">
        <v>0</v>
      </c>
      <c r="O682" s="11">
        <v>2.8224999999999998</v>
      </c>
      <c r="P682" s="1">
        <f t="shared" si="124"/>
        <v>2608.6899999999996</v>
      </c>
      <c r="Q682" s="1">
        <v>2606.02</v>
      </c>
      <c r="R682" s="16">
        <f t="shared" si="125"/>
        <v>1725886.0300499997</v>
      </c>
      <c r="S682" s="1">
        <v>-734.84</v>
      </c>
      <c r="T682" s="1">
        <v>35.74</v>
      </c>
      <c r="U682" s="1">
        <v>12</v>
      </c>
      <c r="V682" s="1">
        <v>24.64</v>
      </c>
      <c r="W682" s="1" cm="1">
        <f t="array" ref="W682">SUM(ABS(S682:V682))</f>
        <v>807.22</v>
      </c>
      <c r="X682" s="25">
        <v>1.238</v>
      </c>
      <c r="Y682" s="42">
        <f t="shared" si="126"/>
        <v>249834.59000000003</v>
      </c>
      <c r="Z682" s="20">
        <v>651.11999999999989</v>
      </c>
      <c r="AA682" s="20">
        <f t="shared" si="127"/>
        <v>1458.34</v>
      </c>
      <c r="AB682" s="21"/>
      <c r="AC682" s="21">
        <v>13.34</v>
      </c>
      <c r="AD682" s="8">
        <f t="shared" si="128"/>
        <v>664.45999999999992</v>
      </c>
      <c r="AE682" s="25">
        <v>1.238</v>
      </c>
      <c r="AF682" s="25">
        <f t="shared" si="129"/>
        <v>205650.37</v>
      </c>
      <c r="AG682" s="25">
        <f t="shared" si="130"/>
        <v>455484.96</v>
      </c>
      <c r="AH682" s="1">
        <f t="shared" si="120"/>
        <v>3273.1499999999996</v>
      </c>
      <c r="AI682" s="1">
        <f t="shared" si="121"/>
        <v>3270.48</v>
      </c>
      <c r="AJ682" s="1">
        <v>4128.76</v>
      </c>
      <c r="AK682" s="1">
        <f t="shared" si="122"/>
        <v>-855.61000000000058</v>
      </c>
      <c r="AL682" s="29">
        <f t="shared" si="131"/>
        <v>858.2800000000002</v>
      </c>
      <c r="AM682" s="11">
        <f t="shared" si="123"/>
        <v>2181370.9900499997</v>
      </c>
    </row>
    <row r="683" spans="1:40" x14ac:dyDescent="0.3">
      <c r="A683" s="39">
        <v>45996.072916666664</v>
      </c>
      <c r="B683" s="1">
        <v>1446.31</v>
      </c>
      <c r="C683" s="11">
        <v>3.2732000000000001</v>
      </c>
      <c r="D683" s="1">
        <v>656.27</v>
      </c>
      <c r="E683" s="11">
        <v>3.0760000000000001</v>
      </c>
      <c r="F683" s="1">
        <v>421.7</v>
      </c>
      <c r="G683" s="11">
        <v>3.53</v>
      </c>
      <c r="H683" s="1">
        <v>-251.9</v>
      </c>
      <c r="I683" s="11">
        <v>10</v>
      </c>
      <c r="J683" s="1">
        <v>288.10000000000002</v>
      </c>
      <c r="K683" s="11">
        <v>3.0005000000000002</v>
      </c>
      <c r="L683" s="1">
        <v>0</v>
      </c>
      <c r="M683" s="11">
        <v>6.2</v>
      </c>
      <c r="N683" s="1">
        <v>0</v>
      </c>
      <c r="O683" s="11">
        <v>2.8224999999999998</v>
      </c>
      <c r="P683" s="1">
        <f t="shared" si="124"/>
        <v>2560.4799999999996</v>
      </c>
      <c r="Q683" s="1">
        <v>2598.5700000000002</v>
      </c>
      <c r="R683" s="16">
        <f t="shared" si="125"/>
        <v>1646698.3654999998</v>
      </c>
      <c r="S683" s="1">
        <v>-735.28</v>
      </c>
      <c r="T683" s="1">
        <v>35.770000000000003</v>
      </c>
      <c r="U683" s="1">
        <v>12</v>
      </c>
      <c r="V683" s="1">
        <v>24.64</v>
      </c>
      <c r="W683" s="1" cm="1">
        <f t="array" ref="W683">SUM(ABS(S683:V683))</f>
        <v>807.68999999999994</v>
      </c>
      <c r="X683" s="25">
        <v>1.238</v>
      </c>
      <c r="Y683" s="42">
        <f t="shared" si="126"/>
        <v>249980.05499999999</v>
      </c>
      <c r="Z683" s="20">
        <v>608.62</v>
      </c>
      <c r="AA683" s="20">
        <f t="shared" si="127"/>
        <v>1416.31</v>
      </c>
      <c r="AB683" s="21"/>
      <c r="AC683" s="21">
        <v>12.709999999999999</v>
      </c>
      <c r="AD683" s="8">
        <f t="shared" si="128"/>
        <v>621.33000000000004</v>
      </c>
      <c r="AE683" s="25">
        <v>1.238</v>
      </c>
      <c r="AF683" s="25">
        <f t="shared" si="129"/>
        <v>192301.63500000001</v>
      </c>
      <c r="AG683" s="25">
        <f t="shared" si="130"/>
        <v>442281.69</v>
      </c>
      <c r="AH683" s="1">
        <f t="shared" si="120"/>
        <v>3181.8099999999995</v>
      </c>
      <c r="AI683" s="1">
        <f t="shared" si="121"/>
        <v>3219.9</v>
      </c>
      <c r="AJ683" s="1">
        <v>4074.16</v>
      </c>
      <c r="AK683" s="1">
        <f t="shared" si="122"/>
        <v>-892.35000000000036</v>
      </c>
      <c r="AL683" s="29">
        <f t="shared" si="131"/>
        <v>854.25999999999976</v>
      </c>
      <c r="AM683" s="11">
        <f t="shared" si="123"/>
        <v>2088980.0554999998</v>
      </c>
    </row>
    <row r="684" spans="1:40" x14ac:dyDescent="0.3">
      <c r="A684" s="39">
        <v>45996.083333333336</v>
      </c>
      <c r="B684" s="1">
        <v>1446.31</v>
      </c>
      <c r="C684" s="11">
        <v>3.2732000000000001</v>
      </c>
      <c r="D684" s="1">
        <v>649.92999999999995</v>
      </c>
      <c r="E684" s="11">
        <v>3.0760000000000001</v>
      </c>
      <c r="F684" s="1">
        <v>399.31</v>
      </c>
      <c r="G684" s="11">
        <v>3.53</v>
      </c>
      <c r="H684" s="1">
        <v>-205.4</v>
      </c>
      <c r="I684" s="11">
        <v>9.7509999999999994</v>
      </c>
      <c r="J684" s="1">
        <v>419.98</v>
      </c>
      <c r="K684" s="11">
        <v>3.56548</v>
      </c>
      <c r="L684" s="1">
        <v>0</v>
      </c>
      <c r="M684" s="11">
        <v>6.2</v>
      </c>
      <c r="N684" s="1">
        <v>0</v>
      </c>
      <c r="O684" s="11">
        <v>2.8224999999999998</v>
      </c>
      <c r="P684" s="1">
        <f t="shared" si="124"/>
        <v>2710.1299999999997</v>
      </c>
      <c r="Q684" s="1">
        <v>2604.6</v>
      </c>
      <c r="R684" s="16">
        <f t="shared" si="125"/>
        <v>1909346.4405999999</v>
      </c>
      <c r="S684" s="1">
        <v>-736.47</v>
      </c>
      <c r="T684" s="1">
        <v>35.799999999999997</v>
      </c>
      <c r="U684" s="1">
        <v>12</v>
      </c>
      <c r="V684" s="1">
        <v>24.65</v>
      </c>
      <c r="W684" s="1" cm="1">
        <f t="array" ref="W684">SUM(ABS(S684:V684))</f>
        <v>808.92</v>
      </c>
      <c r="X684" s="25">
        <v>1.238</v>
      </c>
      <c r="Y684" s="42">
        <f t="shared" si="126"/>
        <v>250360.74</v>
      </c>
      <c r="Z684" s="20">
        <v>532.1</v>
      </c>
      <c r="AA684" s="20">
        <f t="shared" si="127"/>
        <v>1341.02</v>
      </c>
      <c r="AB684" s="21"/>
      <c r="AC684" s="21">
        <v>13.15</v>
      </c>
      <c r="AD684" s="8">
        <f t="shared" si="128"/>
        <v>545.25</v>
      </c>
      <c r="AE684" s="25">
        <v>1.238</v>
      </c>
      <c r="AF684" s="25">
        <f t="shared" si="129"/>
        <v>168754.875</v>
      </c>
      <c r="AG684" s="25">
        <f t="shared" si="130"/>
        <v>419115.61499999999</v>
      </c>
      <c r="AH684" s="1">
        <f t="shared" si="120"/>
        <v>3255.3799999999997</v>
      </c>
      <c r="AI684" s="1">
        <f t="shared" si="121"/>
        <v>3149.85</v>
      </c>
      <c r="AJ684" s="1">
        <v>4009.09</v>
      </c>
      <c r="AK684" s="1">
        <f t="shared" si="122"/>
        <v>-753.71000000000049</v>
      </c>
      <c r="AL684" s="29">
        <f t="shared" si="131"/>
        <v>859.24000000000024</v>
      </c>
      <c r="AM684" s="11">
        <f t="shared" si="123"/>
        <v>2328462.0555999996</v>
      </c>
    </row>
    <row r="685" spans="1:40" x14ac:dyDescent="0.3">
      <c r="A685" s="39">
        <v>45996.09375</v>
      </c>
      <c r="B685" s="1">
        <v>1446.31</v>
      </c>
      <c r="C685" s="11">
        <v>3.2732000000000001</v>
      </c>
      <c r="D685" s="1">
        <v>649.45000000000005</v>
      </c>
      <c r="E685" s="11">
        <v>3.0760000000000001</v>
      </c>
      <c r="F685" s="1">
        <v>397.62</v>
      </c>
      <c r="G685" s="11">
        <v>3.53</v>
      </c>
      <c r="H685" s="1">
        <v>-201.9</v>
      </c>
      <c r="I685" s="11">
        <v>6.758</v>
      </c>
      <c r="J685" s="1">
        <v>384.4</v>
      </c>
      <c r="K685" s="11">
        <v>3.5658099999999999</v>
      </c>
      <c r="L685" s="1">
        <v>0</v>
      </c>
      <c r="M685" s="11">
        <v>6.2</v>
      </c>
      <c r="N685" s="1">
        <v>0</v>
      </c>
      <c r="O685" s="11">
        <v>2.8224999999999998</v>
      </c>
      <c r="P685" s="1">
        <f t="shared" si="124"/>
        <v>2675.88</v>
      </c>
      <c r="Q685" s="1">
        <v>2601.89</v>
      </c>
      <c r="R685" s="16">
        <f t="shared" si="125"/>
        <v>2035406.4639999999</v>
      </c>
      <c r="S685" s="1">
        <v>-732.03</v>
      </c>
      <c r="T685" s="1">
        <v>35.78</v>
      </c>
      <c r="U685" s="1">
        <v>12</v>
      </c>
      <c r="V685" s="1">
        <v>24.66</v>
      </c>
      <c r="W685" s="1" cm="1">
        <f t="array" ref="W685">SUM(ABS(S685:V685))</f>
        <v>804.46999999999991</v>
      </c>
      <c r="X685" s="25">
        <v>1.238</v>
      </c>
      <c r="Y685" s="42">
        <f t="shared" si="126"/>
        <v>248983.46499999997</v>
      </c>
      <c r="Z685" s="20">
        <v>482.53000000000003</v>
      </c>
      <c r="AA685" s="20">
        <f t="shared" si="127"/>
        <v>1287</v>
      </c>
      <c r="AB685" s="21"/>
      <c r="AC685" s="21">
        <v>11.079999999999998</v>
      </c>
      <c r="AD685" s="8">
        <f t="shared" si="128"/>
        <v>493.61</v>
      </c>
      <c r="AE685" s="25">
        <v>1.238</v>
      </c>
      <c r="AF685" s="25">
        <f t="shared" si="129"/>
        <v>152772.29500000001</v>
      </c>
      <c r="AG685" s="25">
        <f t="shared" si="130"/>
        <v>401755.76</v>
      </c>
      <c r="AH685" s="1">
        <f t="shared" si="120"/>
        <v>3169.4900000000002</v>
      </c>
      <c r="AI685" s="1">
        <f t="shared" si="121"/>
        <v>3095.5</v>
      </c>
      <c r="AJ685" s="1">
        <v>3945.46</v>
      </c>
      <c r="AK685" s="1">
        <f t="shared" si="122"/>
        <v>-775.9699999999998</v>
      </c>
      <c r="AL685" s="29">
        <f t="shared" si="131"/>
        <v>849.96</v>
      </c>
      <c r="AM685" s="11">
        <f t="shared" si="123"/>
        <v>2437162.2239999999</v>
      </c>
    </row>
    <row r="686" spans="1:40" x14ac:dyDescent="0.3">
      <c r="A686" s="39">
        <v>45996.104166666664</v>
      </c>
      <c r="B686" s="1">
        <v>1446.31</v>
      </c>
      <c r="C686" s="11">
        <v>3.2732000000000001</v>
      </c>
      <c r="D686" s="1">
        <v>644.29999999999995</v>
      </c>
      <c r="E686" s="11">
        <v>3.0760000000000001</v>
      </c>
      <c r="F686" s="1">
        <v>397.62</v>
      </c>
      <c r="G686" s="11">
        <v>3.53</v>
      </c>
      <c r="H686" s="1">
        <v>-108.9</v>
      </c>
      <c r="I686" s="11">
        <v>5.7153700000000001</v>
      </c>
      <c r="J686" s="1">
        <v>237.32</v>
      </c>
      <c r="K686" s="11">
        <v>3.5627300000000002</v>
      </c>
      <c r="L686" s="1">
        <v>0</v>
      </c>
      <c r="M686" s="11">
        <v>6.2</v>
      </c>
      <c r="N686" s="1">
        <v>0</v>
      </c>
      <c r="O686" s="11">
        <v>2.8224999999999998</v>
      </c>
      <c r="P686" s="1">
        <f t="shared" si="124"/>
        <v>2616.6499999999996</v>
      </c>
      <c r="Q686" s="1">
        <v>2564.59</v>
      </c>
      <c r="R686" s="16">
        <f t="shared" si="125"/>
        <v>2085657.6456499996</v>
      </c>
      <c r="S686" s="1">
        <v>-730.71</v>
      </c>
      <c r="T686" s="1">
        <v>35.799999999999997</v>
      </c>
      <c r="U686" s="1">
        <v>12</v>
      </c>
      <c r="V686" s="1">
        <v>24.65</v>
      </c>
      <c r="W686" s="1" cm="1">
        <f t="array" ref="W686">SUM(ABS(S686:V686))</f>
        <v>803.16</v>
      </c>
      <c r="X686" s="25">
        <v>1.238</v>
      </c>
      <c r="Y686" s="42">
        <f t="shared" si="126"/>
        <v>248578.02</v>
      </c>
      <c r="Z686" s="20">
        <v>482.34000000000003</v>
      </c>
      <c r="AA686" s="20">
        <f t="shared" si="127"/>
        <v>1285.5</v>
      </c>
      <c r="AB686" s="21"/>
      <c r="AC686" s="21">
        <v>9.58</v>
      </c>
      <c r="AD686" s="8">
        <f t="shared" si="128"/>
        <v>491.92</v>
      </c>
      <c r="AE686" s="25">
        <v>1.238</v>
      </c>
      <c r="AF686" s="25">
        <f t="shared" si="129"/>
        <v>152249.24000000002</v>
      </c>
      <c r="AG686" s="25">
        <f t="shared" si="130"/>
        <v>400827.26</v>
      </c>
      <c r="AH686" s="1">
        <f t="shared" si="120"/>
        <v>3108.5699999999997</v>
      </c>
      <c r="AI686" s="1">
        <f t="shared" si="121"/>
        <v>3056.51</v>
      </c>
      <c r="AJ686" s="1">
        <v>3906.32</v>
      </c>
      <c r="AK686" s="1">
        <f t="shared" si="122"/>
        <v>-797.75000000000045</v>
      </c>
      <c r="AL686" s="29">
        <f t="shared" si="131"/>
        <v>849.81</v>
      </c>
      <c r="AM686" s="11">
        <f t="shared" si="123"/>
        <v>2486484.9056499996</v>
      </c>
    </row>
    <row r="687" spans="1:40" x14ac:dyDescent="0.3">
      <c r="A687" s="39">
        <v>45996.114583333336</v>
      </c>
      <c r="B687" s="1">
        <v>1446.31</v>
      </c>
      <c r="C687" s="11">
        <v>3.2732000000000001</v>
      </c>
      <c r="D687" s="1">
        <v>643.91</v>
      </c>
      <c r="E687" s="11">
        <v>3.0760000000000001</v>
      </c>
      <c r="F687" s="1">
        <v>397.62</v>
      </c>
      <c r="G687" s="11">
        <v>3.53</v>
      </c>
      <c r="H687" s="1">
        <v>-101.9</v>
      </c>
      <c r="I687" s="11">
        <v>5.4507500000000002</v>
      </c>
      <c r="J687" s="1">
        <v>191.23</v>
      </c>
      <c r="K687" s="11">
        <v>3.3424999999999998</v>
      </c>
      <c r="L687" s="1">
        <v>0</v>
      </c>
      <c r="M687" s="11">
        <v>6.2</v>
      </c>
      <c r="N687" s="1">
        <v>0</v>
      </c>
      <c r="O687" s="11">
        <v>2.8224999999999998</v>
      </c>
      <c r="P687" s="1">
        <f t="shared" si="124"/>
        <v>2577.1699999999996</v>
      </c>
      <c r="Q687" s="1">
        <v>2554.87</v>
      </c>
      <c r="R687" s="16">
        <f t="shared" si="125"/>
        <v>2050520.6254999998</v>
      </c>
      <c r="S687" s="1">
        <v>-726.68</v>
      </c>
      <c r="T687" s="1">
        <v>35.799999999999997</v>
      </c>
      <c r="U687" s="1">
        <v>12</v>
      </c>
      <c r="V687" s="1">
        <v>24.64</v>
      </c>
      <c r="W687" s="1" cm="1">
        <f t="array" ref="W687">SUM(ABS(S687:V687))</f>
        <v>799.11999999999989</v>
      </c>
      <c r="X687" s="25">
        <v>1.238</v>
      </c>
      <c r="Y687" s="42">
        <f t="shared" si="126"/>
        <v>247327.63999999998</v>
      </c>
      <c r="Z687" s="20">
        <v>443.13</v>
      </c>
      <c r="AA687" s="20">
        <f t="shared" si="127"/>
        <v>1242.25</v>
      </c>
      <c r="AB687" s="21"/>
      <c r="AC687" s="21">
        <v>8.93</v>
      </c>
      <c r="AD687" s="8">
        <f t="shared" si="128"/>
        <v>452.06</v>
      </c>
      <c r="AE687" s="25">
        <v>1.238</v>
      </c>
      <c r="AF687" s="25">
        <f t="shared" si="129"/>
        <v>139912.56999999998</v>
      </c>
      <c r="AG687" s="25">
        <f t="shared" si="130"/>
        <v>387240.20999999996</v>
      </c>
      <c r="AH687" s="1">
        <f t="shared" si="120"/>
        <v>3029.2299999999996</v>
      </c>
      <c r="AI687" s="1">
        <f t="shared" si="121"/>
        <v>3006.93</v>
      </c>
      <c r="AJ687" s="1">
        <v>3855.57</v>
      </c>
      <c r="AK687" s="1">
        <f t="shared" si="122"/>
        <v>-826.3400000000006</v>
      </c>
      <c r="AL687" s="29">
        <f t="shared" si="131"/>
        <v>848.64000000000033</v>
      </c>
      <c r="AM687" s="11">
        <f t="shared" si="123"/>
        <v>2437760.8355</v>
      </c>
    </row>
    <row r="688" spans="1:40" x14ac:dyDescent="0.3">
      <c r="A688" s="39">
        <v>45996.125</v>
      </c>
      <c r="B688" s="1">
        <v>1446.31</v>
      </c>
      <c r="C688" s="11">
        <v>3.2732000000000001</v>
      </c>
      <c r="D688" s="1">
        <v>1013.7</v>
      </c>
      <c r="E688" s="11">
        <v>3.0760000000000001</v>
      </c>
      <c r="F688" s="1">
        <v>27.83</v>
      </c>
      <c r="G688" s="11">
        <v>3.53</v>
      </c>
      <c r="H688" s="1">
        <v>-101.9</v>
      </c>
      <c r="I688" s="11">
        <v>5.1004799999999992</v>
      </c>
      <c r="J688" s="1">
        <v>143.71</v>
      </c>
      <c r="K688" s="11">
        <v>3.5004299999999997</v>
      </c>
      <c r="L688" s="1">
        <v>0</v>
      </c>
      <c r="M688" s="11">
        <v>6.2</v>
      </c>
      <c r="N688" s="1">
        <v>0</v>
      </c>
      <c r="O688" s="11">
        <v>2.8224999999999998</v>
      </c>
      <c r="P688" s="1">
        <f t="shared" si="124"/>
        <v>2529.65</v>
      </c>
      <c r="Q688" s="1">
        <v>2514.3200000000002</v>
      </c>
      <c r="R688" s="16">
        <f t="shared" si="125"/>
        <v>1983437.7188249999</v>
      </c>
      <c r="S688" s="1">
        <v>-730.97</v>
      </c>
      <c r="T688" s="1">
        <v>35.82</v>
      </c>
      <c r="U688" s="1">
        <v>12</v>
      </c>
      <c r="V688" s="1">
        <v>24.62</v>
      </c>
      <c r="W688" s="1" cm="1">
        <f t="array" ref="W688">SUM(ABS(S688:V688))</f>
        <v>803.41000000000008</v>
      </c>
      <c r="X688" s="25">
        <v>1.238</v>
      </c>
      <c r="Y688" s="42">
        <f t="shared" si="126"/>
        <v>248655.39500000002</v>
      </c>
      <c r="Z688" s="20">
        <v>428.19</v>
      </c>
      <c r="AA688" s="20">
        <f t="shared" si="127"/>
        <v>1231.6000000000001</v>
      </c>
      <c r="AB688" s="21"/>
      <c r="AC688" s="21">
        <v>10.49</v>
      </c>
      <c r="AD688" s="8">
        <f t="shared" si="128"/>
        <v>438.68</v>
      </c>
      <c r="AE688" s="25">
        <v>1.238</v>
      </c>
      <c r="AF688" s="25">
        <f t="shared" si="129"/>
        <v>135771.46</v>
      </c>
      <c r="AG688" s="25">
        <f t="shared" si="130"/>
        <v>384426.85499999998</v>
      </c>
      <c r="AH688" s="1">
        <f t="shared" si="120"/>
        <v>2968.33</v>
      </c>
      <c r="AI688" s="1">
        <f t="shared" si="121"/>
        <v>2953</v>
      </c>
      <c r="AJ688" s="1">
        <v>3802.51</v>
      </c>
      <c r="AK688" s="1">
        <f t="shared" si="122"/>
        <v>-834.18000000000029</v>
      </c>
      <c r="AL688" s="29">
        <f t="shared" si="131"/>
        <v>849.51000000000022</v>
      </c>
      <c r="AM688" s="11">
        <f t="shared" si="123"/>
        <v>2367864.5738249999</v>
      </c>
    </row>
    <row r="689" spans="1:39" x14ac:dyDescent="0.3">
      <c r="A689" s="39">
        <v>45996.135416666664</v>
      </c>
      <c r="B689" s="1">
        <v>1446.31</v>
      </c>
      <c r="C689" s="11">
        <v>3.2732000000000001</v>
      </c>
      <c r="D689" s="1">
        <v>1041.53</v>
      </c>
      <c r="E689" s="11">
        <v>3.0760000000000001</v>
      </c>
      <c r="F689" s="1">
        <v>0</v>
      </c>
      <c r="G689" s="11">
        <v>3.53</v>
      </c>
      <c r="H689" s="1">
        <v>-101.9</v>
      </c>
      <c r="I689" s="11">
        <v>5.0758199999999993</v>
      </c>
      <c r="J689" s="1">
        <v>95.5</v>
      </c>
      <c r="K689" s="11">
        <v>3.10202</v>
      </c>
      <c r="L689" s="1">
        <v>0</v>
      </c>
      <c r="M689" s="11">
        <v>6.2</v>
      </c>
      <c r="N689" s="1">
        <v>0</v>
      </c>
      <c r="O689" s="11">
        <v>2.8224999999999998</v>
      </c>
      <c r="P689" s="1">
        <f t="shared" si="124"/>
        <v>2481.44</v>
      </c>
      <c r="Q689" s="1">
        <v>2469.1</v>
      </c>
      <c r="R689" s="16">
        <f t="shared" si="125"/>
        <v>1929206.2559999998</v>
      </c>
      <c r="S689" s="1">
        <v>-730.22</v>
      </c>
      <c r="T689" s="1">
        <v>35.83</v>
      </c>
      <c r="U689" s="1">
        <v>12</v>
      </c>
      <c r="V689" s="1">
        <v>24.62</v>
      </c>
      <c r="W689" s="1" cm="1">
        <f t="array" ref="W689">SUM(ABS(S689:V689))</f>
        <v>802.67000000000007</v>
      </c>
      <c r="X689" s="25">
        <v>1.238</v>
      </c>
      <c r="Y689" s="42">
        <f t="shared" si="126"/>
        <v>248426.36500000002</v>
      </c>
      <c r="Z689" s="20">
        <v>428.04</v>
      </c>
      <c r="AA689" s="20">
        <f t="shared" si="127"/>
        <v>1230.71</v>
      </c>
      <c r="AB689" s="21"/>
      <c r="AC689" s="21">
        <v>10.51</v>
      </c>
      <c r="AD689" s="8">
        <f t="shared" si="128"/>
        <v>438.55</v>
      </c>
      <c r="AE689" s="25">
        <v>1.238</v>
      </c>
      <c r="AF689" s="25">
        <f t="shared" si="129"/>
        <v>135731.22500000001</v>
      </c>
      <c r="AG689" s="25">
        <f t="shared" si="130"/>
        <v>384157.59</v>
      </c>
      <c r="AH689" s="1">
        <f t="shared" si="120"/>
        <v>2919.9900000000002</v>
      </c>
      <c r="AI689" s="1">
        <f t="shared" si="121"/>
        <v>2907.65</v>
      </c>
      <c r="AJ689" s="1">
        <v>3758.8</v>
      </c>
      <c r="AK689" s="1">
        <f t="shared" si="122"/>
        <v>-838.81</v>
      </c>
      <c r="AL689" s="29">
        <f t="shared" si="131"/>
        <v>851.15000000000009</v>
      </c>
      <c r="AM689" s="11">
        <f t="shared" si="123"/>
        <v>2313363.8459999999</v>
      </c>
    </row>
    <row r="690" spans="1:39" x14ac:dyDescent="0.3">
      <c r="A690" s="39">
        <v>45996.145833333336</v>
      </c>
      <c r="B690" s="1">
        <v>1446.31</v>
      </c>
      <c r="C690" s="11">
        <v>3.2732000000000001</v>
      </c>
      <c r="D690" s="1">
        <v>1041.53</v>
      </c>
      <c r="E690" s="11">
        <v>3.0760000000000001</v>
      </c>
      <c r="F690" s="1">
        <v>0</v>
      </c>
      <c r="G690" s="11">
        <v>3.53</v>
      </c>
      <c r="H690" s="1">
        <v>-101.9</v>
      </c>
      <c r="I690" s="11">
        <v>5.0003299999999999</v>
      </c>
      <c r="J690" s="1">
        <v>92.4</v>
      </c>
      <c r="K690" s="11">
        <v>3.4992700000000001</v>
      </c>
      <c r="L690" s="1">
        <v>0</v>
      </c>
      <c r="M690" s="11">
        <v>6.2</v>
      </c>
      <c r="N690" s="1">
        <v>0</v>
      </c>
      <c r="O690" s="11">
        <v>2.8224999999999998</v>
      </c>
      <c r="P690" s="1">
        <f t="shared" si="124"/>
        <v>2478.34</v>
      </c>
      <c r="Q690" s="1">
        <v>2436.36</v>
      </c>
      <c r="R690" s="16">
        <f t="shared" si="125"/>
        <v>1937901.7732499999</v>
      </c>
      <c r="S690" s="1">
        <v>-724.14</v>
      </c>
      <c r="T690" s="1">
        <v>35.85</v>
      </c>
      <c r="U690" s="1">
        <v>12</v>
      </c>
      <c r="V690" s="1">
        <v>24.6</v>
      </c>
      <c r="W690" s="1" cm="1">
        <f t="array" ref="W690">SUM(ABS(S690:V690))</f>
        <v>796.59</v>
      </c>
      <c r="X690" s="25">
        <v>1.238</v>
      </c>
      <c r="Y690" s="42">
        <f t="shared" si="126"/>
        <v>246544.60500000001</v>
      </c>
      <c r="Z690" s="20">
        <v>426.99</v>
      </c>
      <c r="AA690" s="20">
        <f t="shared" si="127"/>
        <v>1223.58</v>
      </c>
      <c r="AB690" s="21"/>
      <c r="AC690" s="21">
        <v>11.229999999999999</v>
      </c>
      <c r="AD690" s="8">
        <f t="shared" si="128"/>
        <v>438.22</v>
      </c>
      <c r="AE690" s="25">
        <v>1.238</v>
      </c>
      <c r="AF690" s="25">
        <f t="shared" si="129"/>
        <v>135629.09000000003</v>
      </c>
      <c r="AG690" s="25">
        <f t="shared" si="130"/>
        <v>382173.69500000007</v>
      </c>
      <c r="AH690" s="1">
        <f t="shared" si="120"/>
        <v>2916.5600000000004</v>
      </c>
      <c r="AI690" s="1">
        <f t="shared" si="121"/>
        <v>2874.58</v>
      </c>
      <c r="AJ690" s="1">
        <v>3721.62</v>
      </c>
      <c r="AK690" s="1">
        <f t="shared" si="122"/>
        <v>-805.05999999999949</v>
      </c>
      <c r="AL690" s="29">
        <f t="shared" si="131"/>
        <v>847.04</v>
      </c>
      <c r="AM690" s="11">
        <f t="shared" si="123"/>
        <v>2320075.4682499999</v>
      </c>
    </row>
    <row r="691" spans="1:39" x14ac:dyDescent="0.3">
      <c r="A691" s="39">
        <v>45996.15625</v>
      </c>
      <c r="B691" s="1">
        <v>1446.31</v>
      </c>
      <c r="C691" s="11">
        <v>3.2732000000000001</v>
      </c>
      <c r="D691" s="1">
        <v>1041.53</v>
      </c>
      <c r="E691" s="11">
        <v>3.0760000000000001</v>
      </c>
      <c r="F691" s="1">
        <v>0</v>
      </c>
      <c r="G691" s="11">
        <v>3.53</v>
      </c>
      <c r="H691" s="1">
        <v>-101.9</v>
      </c>
      <c r="I691" s="11">
        <v>4.6795400000000003</v>
      </c>
      <c r="J691" s="1">
        <v>92.4</v>
      </c>
      <c r="K691" s="11">
        <v>3.2692100000000002</v>
      </c>
      <c r="L691" s="1">
        <v>0</v>
      </c>
      <c r="M691" s="11">
        <v>6.2</v>
      </c>
      <c r="N691" s="1">
        <v>0</v>
      </c>
      <c r="O691" s="11">
        <v>2.8224999999999998</v>
      </c>
      <c r="P691" s="1">
        <f t="shared" si="124"/>
        <v>2478.34</v>
      </c>
      <c r="Q691" s="1">
        <v>2410.06</v>
      </c>
      <c r="R691" s="16">
        <f t="shared" si="125"/>
        <v>1940759.5124999997</v>
      </c>
      <c r="S691" s="1">
        <v>-723.81</v>
      </c>
      <c r="T691" s="1">
        <v>35.869999999999997</v>
      </c>
      <c r="U691" s="1">
        <v>12</v>
      </c>
      <c r="V691" s="1">
        <v>17.77</v>
      </c>
      <c r="W691" s="1" cm="1">
        <f t="array" ref="W691">SUM(ABS(S691:V691))</f>
        <v>789.44999999999993</v>
      </c>
      <c r="X691" s="25">
        <v>1.238</v>
      </c>
      <c r="Y691" s="42">
        <f t="shared" si="126"/>
        <v>244334.77499999997</v>
      </c>
      <c r="Z691" s="20">
        <v>426.89000000000004</v>
      </c>
      <c r="AA691" s="20">
        <f t="shared" si="127"/>
        <v>1216.3399999999999</v>
      </c>
      <c r="AB691" s="21"/>
      <c r="AC691" s="21">
        <v>11.520000000000001</v>
      </c>
      <c r="AD691" s="8">
        <f t="shared" si="128"/>
        <v>438.41</v>
      </c>
      <c r="AE691" s="25">
        <v>1.238</v>
      </c>
      <c r="AF691" s="25">
        <f t="shared" si="129"/>
        <v>135687.89499999999</v>
      </c>
      <c r="AG691" s="25">
        <f t="shared" si="130"/>
        <v>380022.66999999993</v>
      </c>
      <c r="AH691" s="1">
        <f t="shared" si="120"/>
        <v>2916.75</v>
      </c>
      <c r="AI691" s="1">
        <f t="shared" si="121"/>
        <v>2848.47</v>
      </c>
      <c r="AJ691" s="1">
        <v>3688.03</v>
      </c>
      <c r="AK691" s="1">
        <f t="shared" si="122"/>
        <v>-771.2800000000002</v>
      </c>
      <c r="AL691" s="29">
        <f t="shared" si="131"/>
        <v>839.5600000000004</v>
      </c>
      <c r="AM691" s="11">
        <f t="shared" si="123"/>
        <v>2320782.1824999996</v>
      </c>
    </row>
    <row r="692" spans="1:39" x14ac:dyDescent="0.3">
      <c r="A692" s="39">
        <v>45996.166666666664</v>
      </c>
      <c r="B692" s="1">
        <v>1446.31</v>
      </c>
      <c r="C692" s="11">
        <v>3.2732000000000001</v>
      </c>
      <c r="D692" s="1">
        <v>1041.53</v>
      </c>
      <c r="E692" s="11">
        <v>3.0760000000000001</v>
      </c>
      <c r="F692" s="1">
        <v>0</v>
      </c>
      <c r="G692" s="11">
        <v>3.53</v>
      </c>
      <c r="H692" s="1">
        <v>-101.9</v>
      </c>
      <c r="I692" s="11">
        <v>4.6793500000000003</v>
      </c>
      <c r="J692" s="1">
        <v>92.4</v>
      </c>
      <c r="K692" s="11">
        <v>3.0009699999999997</v>
      </c>
      <c r="L692" s="1">
        <v>0</v>
      </c>
      <c r="M692" s="11">
        <v>6.2</v>
      </c>
      <c r="N692" s="1">
        <v>0</v>
      </c>
      <c r="O692" s="11">
        <v>2.8224999999999998</v>
      </c>
      <c r="P692" s="1">
        <f t="shared" si="124"/>
        <v>2478.34</v>
      </c>
      <c r="Q692" s="1">
        <v>2370.56</v>
      </c>
      <c r="R692" s="16">
        <f t="shared" si="125"/>
        <v>1934568.00875</v>
      </c>
      <c r="S692" s="1">
        <v>-721.17</v>
      </c>
      <c r="T692" s="1">
        <v>35.869999999999997</v>
      </c>
      <c r="U692" s="1">
        <v>12</v>
      </c>
      <c r="V692" s="1">
        <v>12.82</v>
      </c>
      <c r="W692" s="1" cm="1">
        <f t="array" ref="W692">SUM(ABS(S692:V692))</f>
        <v>781.86</v>
      </c>
      <c r="X692" s="25">
        <v>1.238</v>
      </c>
      <c r="Y692" s="42">
        <f t="shared" si="126"/>
        <v>241985.67</v>
      </c>
      <c r="Z692" s="20">
        <v>426.32</v>
      </c>
      <c r="AA692" s="20">
        <f t="shared" si="127"/>
        <v>1208.18</v>
      </c>
      <c r="AB692" s="21"/>
      <c r="AC692" s="21">
        <v>10.11</v>
      </c>
      <c r="AD692" s="8">
        <f t="shared" si="128"/>
        <v>436.43</v>
      </c>
      <c r="AE692" s="25">
        <v>1.238</v>
      </c>
      <c r="AF692" s="25">
        <f t="shared" si="129"/>
        <v>135075.08499999999</v>
      </c>
      <c r="AG692" s="25">
        <f t="shared" si="130"/>
        <v>377060.755</v>
      </c>
      <c r="AH692" s="1">
        <f t="shared" si="120"/>
        <v>2914.77</v>
      </c>
      <c r="AI692" s="1">
        <f t="shared" si="121"/>
        <v>2806.99</v>
      </c>
      <c r="AJ692" s="1">
        <v>3639.93</v>
      </c>
      <c r="AK692" s="1">
        <f t="shared" si="122"/>
        <v>-725.15999999999985</v>
      </c>
      <c r="AL692" s="29">
        <f t="shared" si="131"/>
        <v>832.94</v>
      </c>
      <c r="AM692" s="11">
        <f t="shared" si="123"/>
        <v>2311628.7637499999</v>
      </c>
    </row>
    <row r="693" spans="1:39" x14ac:dyDescent="0.3">
      <c r="A693" s="39">
        <v>45996.177083333336</v>
      </c>
      <c r="B693" s="1">
        <v>1446.31</v>
      </c>
      <c r="C693" s="11">
        <v>3.2732000000000001</v>
      </c>
      <c r="D693" s="1">
        <v>1041.53</v>
      </c>
      <c r="E693" s="11">
        <v>3.0760000000000001</v>
      </c>
      <c r="F693" s="1">
        <v>0</v>
      </c>
      <c r="G693" s="11">
        <v>3.53</v>
      </c>
      <c r="H693" s="1">
        <v>-101.9</v>
      </c>
      <c r="I693" s="11">
        <v>4.6795200000000001</v>
      </c>
      <c r="J693" s="1">
        <v>92.4</v>
      </c>
      <c r="K693" s="11">
        <v>3.4991300000000001</v>
      </c>
      <c r="L693" s="1">
        <v>0</v>
      </c>
      <c r="M693" s="11">
        <v>6.2</v>
      </c>
      <c r="N693" s="1">
        <v>0</v>
      </c>
      <c r="O693" s="11">
        <v>2.8224999999999998</v>
      </c>
      <c r="P693" s="1">
        <f t="shared" si="124"/>
        <v>2478.34</v>
      </c>
      <c r="Q693" s="1">
        <v>2373.44</v>
      </c>
      <c r="R693" s="16">
        <f t="shared" si="125"/>
        <v>1946071.1739999999</v>
      </c>
      <c r="S693" s="1">
        <v>-719.31</v>
      </c>
      <c r="T693" s="1">
        <v>35.880000000000003</v>
      </c>
      <c r="U693" s="1">
        <v>12</v>
      </c>
      <c r="V693" s="1">
        <v>12.84</v>
      </c>
      <c r="W693" s="1" cm="1">
        <f t="array" ref="W693">SUM(ABS(S693:V693))</f>
        <v>780.03</v>
      </c>
      <c r="X693" s="25">
        <v>1.238</v>
      </c>
      <c r="Y693" s="42">
        <f t="shared" si="126"/>
        <v>241419.285</v>
      </c>
      <c r="Z693" s="20">
        <v>425.71999999999997</v>
      </c>
      <c r="AA693" s="20">
        <f t="shared" si="127"/>
        <v>1205.75</v>
      </c>
      <c r="AB693" s="21"/>
      <c r="AC693" s="21">
        <v>8.6</v>
      </c>
      <c r="AD693" s="8">
        <f t="shared" si="128"/>
        <v>434.32</v>
      </c>
      <c r="AE693" s="25">
        <v>1.238</v>
      </c>
      <c r="AF693" s="25">
        <f t="shared" si="129"/>
        <v>134422.04</v>
      </c>
      <c r="AG693" s="25">
        <f t="shared" si="130"/>
        <v>375841.32500000001</v>
      </c>
      <c r="AH693" s="1">
        <f t="shared" si="120"/>
        <v>2912.6600000000003</v>
      </c>
      <c r="AI693" s="1">
        <f t="shared" si="121"/>
        <v>2807.76</v>
      </c>
      <c r="AJ693" s="1">
        <v>3635.31</v>
      </c>
      <c r="AK693" s="1">
        <f t="shared" si="122"/>
        <v>-722.64999999999964</v>
      </c>
      <c r="AL693" s="29">
        <f t="shared" si="131"/>
        <v>827.54999999999973</v>
      </c>
      <c r="AM693" s="11">
        <f t="shared" si="123"/>
        <v>2321912.4989999998</v>
      </c>
    </row>
    <row r="694" spans="1:39" x14ac:dyDescent="0.3">
      <c r="A694" s="39">
        <v>45996.1875</v>
      </c>
      <c r="B694" s="1">
        <v>1446.31</v>
      </c>
      <c r="C694" s="11">
        <v>3.2732000000000001</v>
      </c>
      <c r="D694" s="1">
        <v>1041.53</v>
      </c>
      <c r="E694" s="11">
        <v>3.0760000000000001</v>
      </c>
      <c r="F694" s="1">
        <v>0</v>
      </c>
      <c r="G694" s="11">
        <v>3.53</v>
      </c>
      <c r="H694" s="1">
        <v>-101.9</v>
      </c>
      <c r="I694" s="11">
        <v>4.9095200000000006</v>
      </c>
      <c r="J694" s="1">
        <v>92.4</v>
      </c>
      <c r="K694" s="11">
        <v>3.4999000000000002</v>
      </c>
      <c r="L694" s="1">
        <v>0</v>
      </c>
      <c r="M694" s="11">
        <v>6.2</v>
      </c>
      <c r="N694" s="1">
        <v>0</v>
      </c>
      <c r="O694" s="11">
        <v>2.8224999999999998</v>
      </c>
      <c r="P694" s="1">
        <f t="shared" si="124"/>
        <v>2478.34</v>
      </c>
      <c r="Q694" s="1">
        <v>2382.5700000000002</v>
      </c>
      <c r="R694" s="16">
        <f t="shared" si="125"/>
        <v>1940229.7109999997</v>
      </c>
      <c r="S694" s="1">
        <v>-720.17</v>
      </c>
      <c r="T694" s="1">
        <v>35.89</v>
      </c>
      <c r="U694" s="1">
        <v>12</v>
      </c>
      <c r="V694" s="1">
        <v>12.86</v>
      </c>
      <c r="W694" s="1" cm="1">
        <f t="array" ref="W694">SUM(ABS(S694:V694))</f>
        <v>780.92</v>
      </c>
      <c r="X694" s="25">
        <v>1.238</v>
      </c>
      <c r="Y694" s="42">
        <f t="shared" si="126"/>
        <v>241694.74</v>
      </c>
      <c r="Z694" s="20">
        <v>425.81000000000006</v>
      </c>
      <c r="AA694" s="20">
        <f t="shared" si="127"/>
        <v>1206.73</v>
      </c>
      <c r="AB694" s="21"/>
      <c r="AC694" s="21">
        <v>9.32</v>
      </c>
      <c r="AD694" s="8">
        <f t="shared" si="128"/>
        <v>435.13000000000005</v>
      </c>
      <c r="AE694" s="25">
        <v>1.238</v>
      </c>
      <c r="AF694" s="25">
        <f t="shared" si="129"/>
        <v>134672.73500000002</v>
      </c>
      <c r="AG694" s="25">
        <f t="shared" si="130"/>
        <v>376367.47499999998</v>
      </c>
      <c r="AH694" s="1">
        <f t="shared" si="120"/>
        <v>2913.4700000000003</v>
      </c>
      <c r="AI694" s="1">
        <f t="shared" si="121"/>
        <v>2817.7000000000003</v>
      </c>
      <c r="AJ694" s="1">
        <v>3621.88</v>
      </c>
      <c r="AK694" s="1">
        <f t="shared" si="122"/>
        <v>-708.40999999999985</v>
      </c>
      <c r="AL694" s="29">
        <f t="shared" si="131"/>
        <v>804.17999999999984</v>
      </c>
      <c r="AM694" s="11">
        <f t="shared" si="123"/>
        <v>2316597.1859999998</v>
      </c>
    </row>
    <row r="695" spans="1:39" x14ac:dyDescent="0.3">
      <c r="A695" s="39">
        <v>45996.197916666664</v>
      </c>
      <c r="B695" s="1">
        <v>1446.31</v>
      </c>
      <c r="C695" s="11">
        <v>3.2732000000000001</v>
      </c>
      <c r="D695" s="1">
        <v>1041.53</v>
      </c>
      <c r="E695" s="11">
        <v>3.0760000000000001</v>
      </c>
      <c r="F695" s="1">
        <v>0</v>
      </c>
      <c r="G695" s="11">
        <v>3.53</v>
      </c>
      <c r="H695" s="1">
        <v>-101.9</v>
      </c>
      <c r="I695" s="11">
        <v>4.9994199999999998</v>
      </c>
      <c r="J695" s="1">
        <v>92.4</v>
      </c>
      <c r="K695" s="11">
        <v>3.56555</v>
      </c>
      <c r="L695" s="1">
        <v>0</v>
      </c>
      <c r="M695" s="11">
        <v>6.2</v>
      </c>
      <c r="N695" s="1">
        <v>0</v>
      </c>
      <c r="O695" s="11">
        <v>2.8224999999999998</v>
      </c>
      <c r="P695" s="1">
        <f t="shared" si="124"/>
        <v>2478.34</v>
      </c>
      <c r="Q695" s="1">
        <v>2370.5</v>
      </c>
      <c r="R695" s="16">
        <f t="shared" si="125"/>
        <v>1939456.0234999999</v>
      </c>
      <c r="S695" s="1">
        <v>-720.47</v>
      </c>
      <c r="T695" s="1">
        <v>35.9</v>
      </c>
      <c r="U695" s="1">
        <v>12</v>
      </c>
      <c r="V695" s="1">
        <v>12.85</v>
      </c>
      <c r="W695" s="1" cm="1">
        <f t="array" ref="W695">SUM(ABS(S695:V695))</f>
        <v>781.22</v>
      </c>
      <c r="X695" s="25">
        <v>1.238</v>
      </c>
      <c r="Y695" s="42">
        <f t="shared" si="126"/>
        <v>241787.59</v>
      </c>
      <c r="Z695" s="20">
        <v>425.55999999999995</v>
      </c>
      <c r="AA695" s="20">
        <f t="shared" si="127"/>
        <v>1206.78</v>
      </c>
      <c r="AB695" s="21"/>
      <c r="AC695" s="21">
        <v>11.069999999999999</v>
      </c>
      <c r="AD695" s="8">
        <f t="shared" si="128"/>
        <v>436.62999999999994</v>
      </c>
      <c r="AE695" s="25">
        <v>1.238</v>
      </c>
      <c r="AF695" s="25">
        <f t="shared" si="129"/>
        <v>135136.98499999999</v>
      </c>
      <c r="AG695" s="25">
        <f t="shared" si="130"/>
        <v>376924.57499999995</v>
      </c>
      <c r="AH695" s="1">
        <f t="shared" si="120"/>
        <v>2914.9700000000003</v>
      </c>
      <c r="AI695" s="1">
        <f t="shared" si="121"/>
        <v>2807.13</v>
      </c>
      <c r="AJ695" s="1">
        <v>3608.65</v>
      </c>
      <c r="AK695" s="1">
        <f t="shared" si="122"/>
        <v>-693.67999999999984</v>
      </c>
      <c r="AL695" s="29">
        <f t="shared" si="131"/>
        <v>801.52</v>
      </c>
      <c r="AM695" s="11">
        <f t="shared" si="123"/>
        <v>2316380.5984999998</v>
      </c>
    </row>
    <row r="696" spans="1:39" x14ac:dyDescent="0.3">
      <c r="A696" s="39">
        <v>45996.208333333336</v>
      </c>
      <c r="B696" s="1">
        <v>1446.31</v>
      </c>
      <c r="C696" s="11">
        <v>3.2732000000000001</v>
      </c>
      <c r="D696" s="1">
        <v>1041.53</v>
      </c>
      <c r="E696" s="11">
        <v>3.0760000000000001</v>
      </c>
      <c r="F696" s="1">
        <v>0</v>
      </c>
      <c r="G696" s="11">
        <v>3.53</v>
      </c>
      <c r="H696" s="1">
        <v>-101.9</v>
      </c>
      <c r="I696" s="11">
        <v>4.5912100000000002</v>
      </c>
      <c r="J696" s="1">
        <v>92.4</v>
      </c>
      <c r="K696" s="11">
        <v>2.8501300000000001</v>
      </c>
      <c r="L696" s="1">
        <v>0</v>
      </c>
      <c r="M696" s="11">
        <v>6.2</v>
      </c>
      <c r="N696" s="1">
        <v>33.64</v>
      </c>
      <c r="O696" s="11">
        <v>2.8224999999999998</v>
      </c>
      <c r="P696" s="1">
        <f t="shared" si="124"/>
        <v>2511.98</v>
      </c>
      <c r="Q696" s="1">
        <v>2364.73</v>
      </c>
      <c r="R696" s="16">
        <f t="shared" si="125"/>
        <v>1957066.1962499998</v>
      </c>
      <c r="S696" s="1">
        <v>-726.96</v>
      </c>
      <c r="T696" s="1">
        <v>35.93</v>
      </c>
      <c r="U696" s="1">
        <v>12</v>
      </c>
      <c r="V696" s="1">
        <v>12.84</v>
      </c>
      <c r="W696" s="1" cm="1">
        <f t="array" ref="W696">SUM(ABS(S696:V696))</f>
        <v>787.73</v>
      </c>
      <c r="X696" s="25">
        <v>1.238</v>
      </c>
      <c r="Y696" s="42">
        <f t="shared" si="126"/>
        <v>243802.435</v>
      </c>
      <c r="Z696" s="20">
        <v>427.23000000000008</v>
      </c>
      <c r="AA696" s="20">
        <f t="shared" si="127"/>
        <v>1214.96</v>
      </c>
      <c r="AB696" s="21"/>
      <c r="AC696" s="21">
        <v>12.25</v>
      </c>
      <c r="AD696" s="8">
        <f t="shared" si="128"/>
        <v>439.48000000000008</v>
      </c>
      <c r="AE696" s="25">
        <v>1.238</v>
      </c>
      <c r="AF696" s="25">
        <f t="shared" si="129"/>
        <v>136019.06000000003</v>
      </c>
      <c r="AG696" s="25">
        <f t="shared" si="130"/>
        <v>379821.495</v>
      </c>
      <c r="AH696" s="1">
        <f t="shared" si="120"/>
        <v>2951.46</v>
      </c>
      <c r="AI696" s="1">
        <f t="shared" si="121"/>
        <v>2804.21</v>
      </c>
      <c r="AJ696" s="1">
        <v>3601.89</v>
      </c>
      <c r="AK696" s="1">
        <f t="shared" si="122"/>
        <v>-650.42999999999984</v>
      </c>
      <c r="AL696" s="29">
        <f t="shared" si="131"/>
        <v>797.67999999999984</v>
      </c>
      <c r="AM696" s="11">
        <f t="shared" si="123"/>
        <v>2336887.6912499997</v>
      </c>
    </row>
    <row r="697" spans="1:39" x14ac:dyDescent="0.3">
      <c r="A697" s="39">
        <v>45996.21875</v>
      </c>
      <c r="B697" s="1">
        <v>1446.31</v>
      </c>
      <c r="C697" s="11">
        <v>3.2732000000000001</v>
      </c>
      <c r="D697" s="1">
        <v>1041.53</v>
      </c>
      <c r="E697" s="11">
        <v>3.0760000000000001</v>
      </c>
      <c r="F697" s="1">
        <v>0</v>
      </c>
      <c r="G697" s="11">
        <v>3.53</v>
      </c>
      <c r="H697" s="1">
        <v>-101.9</v>
      </c>
      <c r="I697" s="11">
        <v>4.5911</v>
      </c>
      <c r="J697" s="1">
        <v>92.4</v>
      </c>
      <c r="K697" s="11">
        <v>3.4996900000000002</v>
      </c>
      <c r="L697" s="1">
        <v>0</v>
      </c>
      <c r="M697" s="11">
        <v>6.2</v>
      </c>
      <c r="N697" s="1">
        <v>33.19</v>
      </c>
      <c r="O697" s="11">
        <v>2.8224999999999998</v>
      </c>
      <c r="P697" s="1">
        <f t="shared" si="124"/>
        <v>2511.5300000000002</v>
      </c>
      <c r="Q697" s="1">
        <v>2394.1</v>
      </c>
      <c r="R697" s="16">
        <f t="shared" si="125"/>
        <v>1971756.3032499996</v>
      </c>
      <c r="S697" s="1">
        <v>-730.63</v>
      </c>
      <c r="T697" s="1">
        <v>35.950000000000003</v>
      </c>
      <c r="U697" s="1">
        <v>12</v>
      </c>
      <c r="V697" s="1">
        <v>12.84</v>
      </c>
      <c r="W697" s="1" cm="1">
        <f t="array" ref="W697">SUM(ABS(S697:V697))</f>
        <v>791.42000000000007</v>
      </c>
      <c r="X697" s="25">
        <v>1.238</v>
      </c>
      <c r="Y697" s="42">
        <f t="shared" si="126"/>
        <v>244944.49000000002</v>
      </c>
      <c r="Z697" s="20">
        <v>428.05999999999995</v>
      </c>
      <c r="AA697" s="20">
        <f t="shared" si="127"/>
        <v>1219.48</v>
      </c>
      <c r="AB697" s="21"/>
      <c r="AC697" s="21">
        <v>12.43</v>
      </c>
      <c r="AD697" s="8">
        <f t="shared" si="128"/>
        <v>440.48999999999995</v>
      </c>
      <c r="AE697" s="25">
        <v>1.238</v>
      </c>
      <c r="AF697" s="25">
        <f t="shared" si="129"/>
        <v>136331.65499999997</v>
      </c>
      <c r="AG697" s="25">
        <f t="shared" si="130"/>
        <v>381276.14500000002</v>
      </c>
      <c r="AH697" s="1">
        <f t="shared" si="120"/>
        <v>2952.02</v>
      </c>
      <c r="AI697" s="1">
        <f t="shared" si="121"/>
        <v>2834.5899999999997</v>
      </c>
      <c r="AJ697" s="1">
        <v>3632.17</v>
      </c>
      <c r="AK697" s="1">
        <f t="shared" si="122"/>
        <v>-680.15000000000009</v>
      </c>
      <c r="AL697" s="29">
        <f t="shared" si="131"/>
        <v>797.58000000000038</v>
      </c>
      <c r="AM697" s="11">
        <f t="shared" si="123"/>
        <v>2353032.4482499994</v>
      </c>
    </row>
    <row r="698" spans="1:39" x14ac:dyDescent="0.3">
      <c r="A698" s="39">
        <v>45996.229166666664</v>
      </c>
      <c r="B698" s="1">
        <v>1446.31</v>
      </c>
      <c r="C698" s="11">
        <v>3.2732000000000001</v>
      </c>
      <c r="D698" s="1">
        <v>1041.53</v>
      </c>
      <c r="E698" s="11">
        <v>3.0760000000000001</v>
      </c>
      <c r="F698" s="1">
        <v>0</v>
      </c>
      <c r="G698" s="11">
        <v>3.53</v>
      </c>
      <c r="H698" s="1">
        <v>-101.9</v>
      </c>
      <c r="I698" s="11">
        <v>4.5911899999999992</v>
      </c>
      <c r="J698" s="1">
        <v>47.41</v>
      </c>
      <c r="K698" s="11">
        <v>3.5905399999999998</v>
      </c>
      <c r="L698" s="1">
        <v>0</v>
      </c>
      <c r="M698" s="11">
        <v>6.2</v>
      </c>
      <c r="N698" s="1">
        <v>30.2</v>
      </c>
      <c r="O698" s="11">
        <v>2.8224999999999998</v>
      </c>
      <c r="P698" s="1">
        <f t="shared" si="124"/>
        <v>2463.5499999999997</v>
      </c>
      <c r="Q698" s="1">
        <v>2398.9499999999998</v>
      </c>
      <c r="R698" s="16">
        <f t="shared" si="125"/>
        <v>1931358.2280999997</v>
      </c>
      <c r="S698" s="1">
        <v>-731.78</v>
      </c>
      <c r="T698" s="1">
        <v>35.97</v>
      </c>
      <c r="U698" s="1">
        <v>12</v>
      </c>
      <c r="V698" s="1">
        <v>12.83</v>
      </c>
      <c r="W698" s="1" cm="1">
        <f t="array" ref="W698">SUM(ABS(S698:V698))</f>
        <v>792.58</v>
      </c>
      <c r="X698" s="25">
        <v>1.238</v>
      </c>
      <c r="Y698" s="42">
        <f t="shared" si="126"/>
        <v>245303.51</v>
      </c>
      <c r="Z698" s="20">
        <v>428.01999999999992</v>
      </c>
      <c r="AA698" s="20">
        <f t="shared" si="127"/>
        <v>1220.5999999999999</v>
      </c>
      <c r="AB698" s="21"/>
      <c r="AC698" s="21">
        <v>10.19</v>
      </c>
      <c r="AD698" s="8">
        <f t="shared" si="128"/>
        <v>438.20999999999992</v>
      </c>
      <c r="AE698" s="25">
        <v>1.238</v>
      </c>
      <c r="AF698" s="25">
        <f t="shared" si="129"/>
        <v>135625.995</v>
      </c>
      <c r="AG698" s="25">
        <f t="shared" si="130"/>
        <v>380929.505</v>
      </c>
      <c r="AH698" s="1">
        <f t="shared" si="120"/>
        <v>2901.7599999999998</v>
      </c>
      <c r="AI698" s="1">
        <f t="shared" si="121"/>
        <v>2837.16</v>
      </c>
      <c r="AJ698" s="1">
        <v>3636.02</v>
      </c>
      <c r="AK698" s="1">
        <f t="shared" si="122"/>
        <v>-734.26000000000022</v>
      </c>
      <c r="AL698" s="29">
        <f t="shared" si="131"/>
        <v>798.86000000000013</v>
      </c>
      <c r="AM698" s="11">
        <f t="shared" si="123"/>
        <v>2312287.7330999998</v>
      </c>
    </row>
    <row r="699" spans="1:39" x14ac:dyDescent="0.3">
      <c r="A699" s="39">
        <v>45996.239583333336</v>
      </c>
      <c r="B699" s="1">
        <v>1448.32</v>
      </c>
      <c r="C699" s="11">
        <v>3.2732000000000001</v>
      </c>
      <c r="D699" s="1">
        <v>1041.53</v>
      </c>
      <c r="E699" s="11">
        <v>3.0760000000000001</v>
      </c>
      <c r="F699" s="1">
        <v>0</v>
      </c>
      <c r="G699" s="11">
        <v>3.53</v>
      </c>
      <c r="H699" s="1">
        <v>-101.9</v>
      </c>
      <c r="I699" s="11">
        <v>4.4994700000000005</v>
      </c>
      <c r="J699" s="1">
        <v>44.25</v>
      </c>
      <c r="K699" s="11">
        <v>3.6385700000000001</v>
      </c>
      <c r="L699" s="1">
        <v>0</v>
      </c>
      <c r="M699" s="11">
        <v>6.2</v>
      </c>
      <c r="N699" s="1">
        <v>37.409999999999997</v>
      </c>
      <c r="O699" s="11">
        <v>2.8224999999999998</v>
      </c>
      <c r="P699" s="1">
        <f t="shared" si="124"/>
        <v>2469.6099999999997</v>
      </c>
      <c r="Q699" s="1">
        <v>2419.13</v>
      </c>
      <c r="R699" s="16">
        <f t="shared" si="125"/>
        <v>1938121.9396249999</v>
      </c>
      <c r="S699" s="1">
        <v>-733.29</v>
      </c>
      <c r="T699" s="1">
        <v>35.979999999999997</v>
      </c>
      <c r="U699" s="1">
        <v>12</v>
      </c>
      <c r="V699" s="1">
        <v>12.82</v>
      </c>
      <c r="W699" s="1" cm="1">
        <f t="array" ref="W699">SUM(ABS(S699:V699))</f>
        <v>794.09</v>
      </c>
      <c r="X699" s="25">
        <v>1.238</v>
      </c>
      <c r="Y699" s="42">
        <f t="shared" si="126"/>
        <v>245770.85500000001</v>
      </c>
      <c r="Z699" s="20">
        <v>424.65999999999997</v>
      </c>
      <c r="AA699" s="20">
        <f t="shared" si="127"/>
        <v>1218.75</v>
      </c>
      <c r="AB699" s="21"/>
      <c r="AC699" s="21">
        <v>10.89</v>
      </c>
      <c r="AD699" s="8">
        <f t="shared" si="128"/>
        <v>435.54999999999995</v>
      </c>
      <c r="AE699" s="25">
        <v>1.238</v>
      </c>
      <c r="AF699" s="25">
        <f t="shared" si="129"/>
        <v>134802.72499999998</v>
      </c>
      <c r="AG699" s="25">
        <f t="shared" si="130"/>
        <v>380573.57999999996</v>
      </c>
      <c r="AH699" s="1">
        <f t="shared" si="120"/>
        <v>2905.16</v>
      </c>
      <c r="AI699" s="1">
        <f t="shared" si="121"/>
        <v>2854.6800000000003</v>
      </c>
      <c r="AJ699" s="1">
        <v>3641.21</v>
      </c>
      <c r="AK699" s="1">
        <f t="shared" si="122"/>
        <v>-736.05000000000018</v>
      </c>
      <c r="AL699" s="29">
        <f t="shared" si="131"/>
        <v>786.52999999999975</v>
      </c>
      <c r="AM699" s="11">
        <f t="shared" si="123"/>
        <v>2318695.5196249997</v>
      </c>
    </row>
    <row r="700" spans="1:39" x14ac:dyDescent="0.3">
      <c r="A700" s="39">
        <v>45996.25</v>
      </c>
      <c r="B700" s="1">
        <v>1448.68</v>
      </c>
      <c r="C700" s="11">
        <v>3.2732000000000001</v>
      </c>
      <c r="D700" s="1">
        <v>671.74</v>
      </c>
      <c r="E700" s="11">
        <v>3.0760000000000001</v>
      </c>
      <c r="F700" s="1">
        <v>369.79</v>
      </c>
      <c r="G700" s="11">
        <v>3.53</v>
      </c>
      <c r="H700" s="1">
        <v>-101.9</v>
      </c>
      <c r="I700" s="11">
        <v>4.5910099999999998</v>
      </c>
      <c r="J700" s="1">
        <v>0.87</v>
      </c>
      <c r="K700" s="11">
        <v>3.698</v>
      </c>
      <c r="L700" s="1">
        <v>0</v>
      </c>
      <c r="M700" s="11">
        <v>6.2</v>
      </c>
      <c r="N700" s="1">
        <v>39.68</v>
      </c>
      <c r="O700" s="11">
        <v>2.8224999999999998</v>
      </c>
      <c r="P700" s="1">
        <f t="shared" si="124"/>
        <v>2428.8599999999997</v>
      </c>
      <c r="Q700" s="1">
        <v>2446.04</v>
      </c>
      <c r="R700" s="16">
        <f t="shared" si="125"/>
        <v>1940210.1142500001</v>
      </c>
      <c r="S700" s="1">
        <v>-730.56</v>
      </c>
      <c r="T700" s="1">
        <v>35.99</v>
      </c>
      <c r="U700" s="1">
        <v>18.8</v>
      </c>
      <c r="V700" s="1">
        <v>14.2</v>
      </c>
      <c r="W700" s="1" cm="1">
        <f t="array" ref="W700">SUM(ABS(S700:V700))</f>
        <v>799.55</v>
      </c>
      <c r="X700" s="25">
        <v>1.238</v>
      </c>
      <c r="Y700" s="42">
        <f t="shared" si="126"/>
        <v>247460.72500000001</v>
      </c>
      <c r="Z700" s="20">
        <v>390.84</v>
      </c>
      <c r="AA700" s="20">
        <f t="shared" si="127"/>
        <v>1190.3899999999999</v>
      </c>
      <c r="AB700" s="21"/>
      <c r="AC700" s="21">
        <v>10.59</v>
      </c>
      <c r="AD700" s="8">
        <f t="shared" si="128"/>
        <v>401.42999999999995</v>
      </c>
      <c r="AE700" s="25">
        <v>1.238</v>
      </c>
      <c r="AF700" s="25">
        <f t="shared" si="129"/>
        <v>124242.58499999998</v>
      </c>
      <c r="AG700" s="25">
        <f t="shared" si="130"/>
        <v>371703.31</v>
      </c>
      <c r="AH700" s="1">
        <f t="shared" si="120"/>
        <v>2830.2899999999995</v>
      </c>
      <c r="AI700" s="1">
        <f t="shared" si="121"/>
        <v>2847.47</v>
      </c>
      <c r="AJ700" s="1">
        <v>3618.77</v>
      </c>
      <c r="AK700" s="1">
        <f t="shared" si="122"/>
        <v>-788.48000000000047</v>
      </c>
      <c r="AL700" s="29">
        <f t="shared" si="131"/>
        <v>771.30000000000018</v>
      </c>
      <c r="AM700" s="11">
        <f t="shared" si="123"/>
        <v>2311913.4242500002</v>
      </c>
    </row>
    <row r="701" spans="1:39" x14ac:dyDescent="0.3">
      <c r="A701" s="39">
        <v>45996.260416666664</v>
      </c>
      <c r="B701" s="1">
        <v>1448.7</v>
      </c>
      <c r="C701" s="11">
        <v>3.2732000000000001</v>
      </c>
      <c r="D701" s="1">
        <v>643.91</v>
      </c>
      <c r="E701" s="11">
        <v>3.0760000000000001</v>
      </c>
      <c r="F701" s="1">
        <v>397.62</v>
      </c>
      <c r="G701" s="11">
        <v>3.53</v>
      </c>
      <c r="H701" s="1">
        <v>-101.9</v>
      </c>
      <c r="I701" s="11">
        <v>4.5006000000000004</v>
      </c>
      <c r="J701" s="1">
        <v>13.51</v>
      </c>
      <c r="K701" s="11">
        <v>3.6031200000000001</v>
      </c>
      <c r="L701" s="1">
        <v>0</v>
      </c>
      <c r="M701" s="11">
        <v>6.2</v>
      </c>
      <c r="N701" s="1">
        <v>45.76</v>
      </c>
      <c r="O701" s="11">
        <v>2.8224999999999998</v>
      </c>
      <c r="P701" s="1">
        <f t="shared" si="124"/>
        <v>2447.6000000000004</v>
      </c>
      <c r="Q701" s="1">
        <v>2396.6</v>
      </c>
      <c r="R701" s="16">
        <f t="shared" si="125"/>
        <v>1961343.8027999999</v>
      </c>
      <c r="S701" s="1">
        <v>-736.61</v>
      </c>
      <c r="T701" s="1">
        <v>36.01</v>
      </c>
      <c r="U701" s="1">
        <v>24</v>
      </c>
      <c r="V701" s="1">
        <v>25.2</v>
      </c>
      <c r="W701" s="1" cm="1">
        <f t="array" ref="W701">SUM(ABS(S701:V701))</f>
        <v>821.82</v>
      </c>
      <c r="X701" s="25">
        <v>1.238</v>
      </c>
      <c r="Y701" s="42">
        <f t="shared" si="126"/>
        <v>254353.29</v>
      </c>
      <c r="Z701" s="20">
        <v>391.84</v>
      </c>
      <c r="AA701" s="20">
        <f t="shared" si="127"/>
        <v>1213.6600000000001</v>
      </c>
      <c r="AB701" s="21"/>
      <c r="AC701" s="21">
        <v>9.83</v>
      </c>
      <c r="AD701" s="8">
        <f t="shared" si="128"/>
        <v>401.66999999999996</v>
      </c>
      <c r="AE701" s="25">
        <v>1.238</v>
      </c>
      <c r="AF701" s="25">
        <f t="shared" si="129"/>
        <v>124316.86499999999</v>
      </c>
      <c r="AG701" s="25">
        <f t="shared" si="130"/>
        <v>378670.15500000003</v>
      </c>
      <c r="AH701" s="1">
        <f t="shared" si="120"/>
        <v>2849.2700000000004</v>
      </c>
      <c r="AI701" s="1">
        <f t="shared" si="121"/>
        <v>2798.27</v>
      </c>
      <c r="AJ701" s="1">
        <v>3596.77</v>
      </c>
      <c r="AK701" s="1">
        <f t="shared" si="122"/>
        <v>-747.49999999999955</v>
      </c>
      <c r="AL701" s="29">
        <f t="shared" si="131"/>
        <v>798.5</v>
      </c>
      <c r="AM701" s="11">
        <f t="shared" si="123"/>
        <v>2340013.9578</v>
      </c>
    </row>
    <row r="702" spans="1:39" x14ac:dyDescent="0.3">
      <c r="A702" s="39">
        <v>45996.270833333336</v>
      </c>
      <c r="B702" s="1">
        <v>1448.7</v>
      </c>
      <c r="C702" s="11">
        <v>3.2732000000000001</v>
      </c>
      <c r="D702" s="1">
        <v>643.91</v>
      </c>
      <c r="E702" s="11">
        <v>3.0760000000000001</v>
      </c>
      <c r="F702" s="1">
        <v>397.62</v>
      </c>
      <c r="G702" s="11">
        <v>3.53</v>
      </c>
      <c r="H702" s="1">
        <v>-101.9</v>
      </c>
      <c r="I702" s="11">
        <v>4.3791799999999999</v>
      </c>
      <c r="J702" s="1">
        <v>57.3</v>
      </c>
      <c r="K702" s="11">
        <v>3.3005399999999998</v>
      </c>
      <c r="L702" s="1">
        <v>0</v>
      </c>
      <c r="M702" s="11">
        <v>6.2</v>
      </c>
      <c r="N702" s="1">
        <v>53.28</v>
      </c>
      <c r="O702" s="11">
        <v>2.8224999999999998</v>
      </c>
      <c r="P702" s="1">
        <f t="shared" si="124"/>
        <v>2498.9100000000003</v>
      </c>
      <c r="Q702" s="1">
        <v>2380.9899999999998</v>
      </c>
      <c r="R702" s="16">
        <f t="shared" si="125"/>
        <v>2004853.9750000003</v>
      </c>
      <c r="S702" s="1">
        <v>-738.12</v>
      </c>
      <c r="T702" s="1">
        <v>36.03</v>
      </c>
      <c r="U702" s="1">
        <v>23.92</v>
      </c>
      <c r="V702" s="1">
        <v>25.32</v>
      </c>
      <c r="W702" s="1" cm="1">
        <f t="array" ref="W702">SUM(ABS(S702:V702))</f>
        <v>823.39</v>
      </c>
      <c r="X702" s="25">
        <v>1.238</v>
      </c>
      <c r="Y702" s="42">
        <f t="shared" si="126"/>
        <v>254839.20499999999</v>
      </c>
      <c r="Z702" s="20">
        <v>418.52000000000004</v>
      </c>
      <c r="AA702" s="20">
        <f t="shared" si="127"/>
        <v>1241.9100000000001</v>
      </c>
      <c r="AB702" s="21"/>
      <c r="AC702" s="21">
        <v>6.8199999999999994</v>
      </c>
      <c r="AD702" s="8">
        <f t="shared" si="128"/>
        <v>425.34000000000003</v>
      </c>
      <c r="AE702" s="25">
        <v>1.238</v>
      </c>
      <c r="AF702" s="25">
        <f t="shared" si="129"/>
        <v>131642.73000000001</v>
      </c>
      <c r="AG702" s="25">
        <f t="shared" si="130"/>
        <v>386481.935</v>
      </c>
      <c r="AH702" s="1">
        <f t="shared" si="120"/>
        <v>2924.2500000000005</v>
      </c>
      <c r="AI702" s="1">
        <f t="shared" si="121"/>
        <v>2806.33</v>
      </c>
      <c r="AJ702" s="1">
        <v>3611.98</v>
      </c>
      <c r="AK702" s="1">
        <f t="shared" si="122"/>
        <v>-687.72999999999956</v>
      </c>
      <c r="AL702" s="29">
        <f t="shared" si="131"/>
        <v>805.65000000000009</v>
      </c>
      <c r="AM702" s="11">
        <f t="shared" si="123"/>
        <v>2391335.91</v>
      </c>
    </row>
    <row r="703" spans="1:39" x14ac:dyDescent="0.3">
      <c r="A703" s="39">
        <v>45996.28125</v>
      </c>
      <c r="B703" s="1">
        <v>1448.7</v>
      </c>
      <c r="C703" s="11">
        <v>3.2732000000000001</v>
      </c>
      <c r="D703" s="1">
        <v>643.91</v>
      </c>
      <c r="E703" s="11">
        <v>3.0760000000000001</v>
      </c>
      <c r="F703" s="1">
        <v>397.62</v>
      </c>
      <c r="G703" s="11">
        <v>3.53</v>
      </c>
      <c r="H703" s="1">
        <v>-101.9</v>
      </c>
      <c r="I703" s="11">
        <v>3.93093</v>
      </c>
      <c r="J703" s="1">
        <v>64.2</v>
      </c>
      <c r="K703" s="11">
        <v>3.21177</v>
      </c>
      <c r="L703" s="1">
        <v>0</v>
      </c>
      <c r="M703" s="11">
        <v>6.2</v>
      </c>
      <c r="N703" s="1">
        <v>63.98</v>
      </c>
      <c r="O703" s="11">
        <v>2.8224999999999998</v>
      </c>
      <c r="P703" s="1">
        <f t="shared" si="124"/>
        <v>2516.5099999999998</v>
      </c>
      <c r="Q703" s="1">
        <v>2465.7600000000002</v>
      </c>
      <c r="R703" s="16">
        <f t="shared" si="125"/>
        <v>2028092.0042500002</v>
      </c>
      <c r="S703" s="1">
        <v>-622.12</v>
      </c>
      <c r="T703" s="1">
        <v>36.020000000000003</v>
      </c>
      <c r="U703" s="1">
        <v>12</v>
      </c>
      <c r="V703" s="1">
        <v>25.33</v>
      </c>
      <c r="W703" s="1" cm="1">
        <f t="array" ref="W703">SUM(ABS(S703:V703))</f>
        <v>695.47</v>
      </c>
      <c r="X703" s="25">
        <v>1.238</v>
      </c>
      <c r="Y703" s="42">
        <f t="shared" si="126"/>
        <v>215247.965</v>
      </c>
      <c r="Z703" s="20">
        <v>427.35999999999996</v>
      </c>
      <c r="AA703" s="20">
        <f t="shared" si="127"/>
        <v>1122.83</v>
      </c>
      <c r="AB703" s="21"/>
      <c r="AC703" s="21">
        <v>4.84</v>
      </c>
      <c r="AD703" s="8">
        <f t="shared" si="128"/>
        <v>432.19999999999993</v>
      </c>
      <c r="AE703" s="25">
        <v>1.238</v>
      </c>
      <c r="AF703" s="25">
        <f t="shared" si="129"/>
        <v>133765.9</v>
      </c>
      <c r="AG703" s="25">
        <f t="shared" si="130"/>
        <v>349013.86499999999</v>
      </c>
      <c r="AH703" s="1">
        <f t="shared" si="120"/>
        <v>2948.7099999999996</v>
      </c>
      <c r="AI703" s="1">
        <f t="shared" si="121"/>
        <v>2897.96</v>
      </c>
      <c r="AJ703" s="1">
        <v>3598.39</v>
      </c>
      <c r="AK703" s="1">
        <f t="shared" si="122"/>
        <v>-649.68000000000029</v>
      </c>
      <c r="AL703" s="29">
        <f t="shared" si="131"/>
        <v>700.42999999999984</v>
      </c>
      <c r="AM703" s="11">
        <f t="shared" si="123"/>
        <v>2377105.8692500005</v>
      </c>
    </row>
    <row r="704" spans="1:39" x14ac:dyDescent="0.3">
      <c r="A704" s="39">
        <v>45996.291666666664</v>
      </c>
      <c r="B704" s="1">
        <v>1410.14</v>
      </c>
      <c r="C704" s="11">
        <v>3.2732000000000001</v>
      </c>
      <c r="D704" s="1">
        <v>643.91</v>
      </c>
      <c r="E704" s="11">
        <v>3.0760000000000001</v>
      </c>
      <c r="F704" s="1">
        <v>397.62</v>
      </c>
      <c r="G704" s="11">
        <v>3.53</v>
      </c>
      <c r="H704" s="1">
        <v>-79.150000000000006</v>
      </c>
      <c r="I704" s="11">
        <v>3.6920999999999999</v>
      </c>
      <c r="J704" s="1">
        <v>184.52</v>
      </c>
      <c r="K704" s="11">
        <v>2.4503900000000001</v>
      </c>
      <c r="L704" s="1">
        <v>0</v>
      </c>
      <c r="M704" s="11">
        <v>6.2</v>
      </c>
      <c r="N704" s="1">
        <v>78.58</v>
      </c>
      <c r="O704" s="11">
        <v>2.8224999999999998</v>
      </c>
      <c r="P704" s="1">
        <f t="shared" si="124"/>
        <v>2635.62</v>
      </c>
      <c r="Q704" s="1">
        <v>2501.77</v>
      </c>
      <c r="R704" s="16">
        <f t="shared" si="125"/>
        <v>2095411.0764500001</v>
      </c>
      <c r="S704" s="1">
        <v>-536.88</v>
      </c>
      <c r="T704" s="1">
        <v>36.04</v>
      </c>
      <c r="U704" s="1">
        <v>12</v>
      </c>
      <c r="V704" s="1">
        <v>25.34</v>
      </c>
      <c r="W704" s="1" cm="1">
        <f t="array" ref="W704">SUM(ABS(S704:V704))</f>
        <v>610.26</v>
      </c>
      <c r="X704" s="25">
        <v>1.238</v>
      </c>
      <c r="Y704" s="42">
        <f t="shared" si="126"/>
        <v>188875.47</v>
      </c>
      <c r="Z704" s="20">
        <v>424.88999999999993</v>
      </c>
      <c r="AA704" s="20">
        <f t="shared" si="127"/>
        <v>1035.1499999999999</v>
      </c>
      <c r="AB704" s="21"/>
      <c r="AC704" s="21">
        <v>4.38</v>
      </c>
      <c r="AD704" s="8">
        <f t="shared" si="128"/>
        <v>429.26999999999992</v>
      </c>
      <c r="AE704" s="25">
        <v>1.238</v>
      </c>
      <c r="AF704" s="25">
        <f t="shared" si="129"/>
        <v>132859.06499999997</v>
      </c>
      <c r="AG704" s="25">
        <f t="shared" si="130"/>
        <v>321734.53499999997</v>
      </c>
      <c r="AH704" s="1">
        <f t="shared" si="120"/>
        <v>3064.89</v>
      </c>
      <c r="AI704" s="1">
        <f t="shared" si="121"/>
        <v>2931.04</v>
      </c>
      <c r="AJ704" s="1">
        <v>3571.97</v>
      </c>
      <c r="AK704" s="1">
        <f t="shared" si="122"/>
        <v>-507.07999999999993</v>
      </c>
      <c r="AL704" s="29">
        <f t="shared" si="131"/>
        <v>640.92999999999984</v>
      </c>
      <c r="AM704" s="11">
        <f t="shared" si="123"/>
        <v>2417145.6114500002</v>
      </c>
    </row>
    <row r="705" spans="1:39" x14ac:dyDescent="0.3">
      <c r="A705" s="39">
        <v>45996.302083333336</v>
      </c>
      <c r="B705" s="1">
        <v>1372.78</v>
      </c>
      <c r="C705" s="11">
        <v>3.2732000000000001</v>
      </c>
      <c r="D705" s="1">
        <v>643.91</v>
      </c>
      <c r="E705" s="11">
        <v>3.0760000000000001</v>
      </c>
      <c r="F705" s="1">
        <v>397.62</v>
      </c>
      <c r="G705" s="11">
        <v>3.53</v>
      </c>
      <c r="H705" s="1">
        <v>-36.83</v>
      </c>
      <c r="I705" s="11">
        <v>3.4712399999999999</v>
      </c>
      <c r="J705" s="1">
        <v>161.13</v>
      </c>
      <c r="K705" s="11">
        <v>1.6998199999999999</v>
      </c>
      <c r="L705" s="1">
        <v>0</v>
      </c>
      <c r="M705" s="11">
        <v>6.2</v>
      </c>
      <c r="N705" s="1">
        <v>98.85</v>
      </c>
      <c r="O705" s="11">
        <v>2.8224999999999998</v>
      </c>
      <c r="P705" s="1">
        <f t="shared" si="124"/>
        <v>2637.46</v>
      </c>
      <c r="Q705" s="1">
        <v>2568.64</v>
      </c>
      <c r="R705" s="16">
        <f t="shared" si="125"/>
        <v>2075674.9021000001</v>
      </c>
      <c r="S705" s="1">
        <v>-435.94</v>
      </c>
      <c r="T705" s="1">
        <v>36.049999999999997</v>
      </c>
      <c r="U705" s="1">
        <v>12</v>
      </c>
      <c r="V705" s="1">
        <v>17.260000000000002</v>
      </c>
      <c r="W705" s="1" cm="1">
        <f t="array" ref="W705">SUM(ABS(S705:V705))</f>
        <v>501.25</v>
      </c>
      <c r="X705" s="25">
        <v>1.238</v>
      </c>
      <c r="Y705" s="42">
        <f t="shared" si="126"/>
        <v>155136.875</v>
      </c>
      <c r="Z705" s="20">
        <v>414.24999999999994</v>
      </c>
      <c r="AA705" s="20">
        <f t="shared" si="127"/>
        <v>915.5</v>
      </c>
      <c r="AB705" s="21"/>
      <c r="AC705" s="21">
        <v>4.3900000000000006</v>
      </c>
      <c r="AD705" s="8">
        <f t="shared" si="128"/>
        <v>418.63999999999993</v>
      </c>
      <c r="AE705" s="25">
        <v>1.238</v>
      </c>
      <c r="AF705" s="25">
        <f t="shared" si="129"/>
        <v>129569.07999999999</v>
      </c>
      <c r="AG705" s="25">
        <f t="shared" si="130"/>
        <v>284705.95499999996</v>
      </c>
      <c r="AH705" s="1">
        <f t="shared" si="120"/>
        <v>3056.1</v>
      </c>
      <c r="AI705" s="1">
        <f t="shared" si="121"/>
        <v>2987.2799999999997</v>
      </c>
      <c r="AJ705" s="1">
        <v>3546.68</v>
      </c>
      <c r="AK705" s="1">
        <f t="shared" si="122"/>
        <v>-490.57999999999993</v>
      </c>
      <c r="AL705" s="29">
        <f t="shared" si="131"/>
        <v>559.40000000000009</v>
      </c>
      <c r="AM705" s="11">
        <f t="shared" si="123"/>
        <v>2360380.8571000001</v>
      </c>
    </row>
    <row r="706" spans="1:39" x14ac:dyDescent="0.3">
      <c r="A706" s="39">
        <v>45996.3125</v>
      </c>
      <c r="B706" s="1">
        <v>1308.77</v>
      </c>
      <c r="C706" s="11">
        <v>3.2732000000000001</v>
      </c>
      <c r="D706" s="1">
        <v>643.91</v>
      </c>
      <c r="E706" s="11">
        <v>3.0760000000000001</v>
      </c>
      <c r="F706" s="1">
        <v>397.62</v>
      </c>
      <c r="G706" s="11">
        <v>3.53</v>
      </c>
      <c r="H706" s="1">
        <v>-31.57</v>
      </c>
      <c r="I706" s="11">
        <v>3.3287100000000001</v>
      </c>
      <c r="J706" s="1">
        <v>159.03</v>
      </c>
      <c r="K706" s="11">
        <v>2.5007700000000002</v>
      </c>
      <c r="L706" s="1">
        <v>0</v>
      </c>
      <c r="M706" s="11">
        <v>6.2</v>
      </c>
      <c r="N706" s="1">
        <v>124.87</v>
      </c>
      <c r="O706" s="11">
        <v>2.8224999999999998</v>
      </c>
      <c r="P706" s="1">
        <f t="shared" si="124"/>
        <v>2602.6299999999997</v>
      </c>
      <c r="Q706" s="1">
        <v>2535.92</v>
      </c>
      <c r="R706" s="16">
        <f t="shared" si="125"/>
        <v>2078296.8443500004</v>
      </c>
      <c r="S706" s="1">
        <v>-403.8</v>
      </c>
      <c r="T706" s="1">
        <v>36.06</v>
      </c>
      <c r="U706" s="1">
        <v>12</v>
      </c>
      <c r="V706" s="1">
        <v>12.78</v>
      </c>
      <c r="W706" s="1" cm="1">
        <f t="array" ref="W706">SUM(ABS(S706:V706))</f>
        <v>464.64</v>
      </c>
      <c r="X706" s="25">
        <v>1.238</v>
      </c>
      <c r="Y706" s="42">
        <f t="shared" si="126"/>
        <v>143806.08000000002</v>
      </c>
      <c r="Z706" s="20">
        <v>413.45999999999992</v>
      </c>
      <c r="AA706" s="20">
        <f t="shared" si="127"/>
        <v>878.09999999999991</v>
      </c>
      <c r="AB706" s="21"/>
      <c r="AC706" s="21">
        <v>5.7299999999999995</v>
      </c>
      <c r="AD706" s="8">
        <f t="shared" si="128"/>
        <v>419.18999999999994</v>
      </c>
      <c r="AE706" s="25">
        <v>1.238</v>
      </c>
      <c r="AF706" s="25">
        <f t="shared" si="129"/>
        <v>129739.30499999998</v>
      </c>
      <c r="AG706" s="25">
        <f t="shared" si="130"/>
        <v>273545.38500000001</v>
      </c>
      <c r="AH706" s="1">
        <f t="shared" si="120"/>
        <v>3021.8199999999997</v>
      </c>
      <c r="AI706" s="1">
        <f t="shared" si="121"/>
        <v>2955.11</v>
      </c>
      <c r="AJ706" s="1">
        <v>3499.26</v>
      </c>
      <c r="AK706" s="1">
        <f t="shared" si="122"/>
        <v>-477.44000000000051</v>
      </c>
      <c r="AL706" s="29">
        <f t="shared" si="131"/>
        <v>544.15000000000009</v>
      </c>
      <c r="AM706" s="11">
        <f t="shared" si="123"/>
        <v>2351842.2293500006</v>
      </c>
    </row>
    <row r="707" spans="1:39" x14ac:dyDescent="0.3">
      <c r="A707" s="39">
        <v>45996.322916666664</v>
      </c>
      <c r="B707" s="1">
        <v>1304.45</v>
      </c>
      <c r="C707" s="11">
        <v>3.2732000000000001</v>
      </c>
      <c r="D707" s="1">
        <v>643.91</v>
      </c>
      <c r="E707" s="11">
        <v>3.0760000000000001</v>
      </c>
      <c r="F707" s="1">
        <v>397.62</v>
      </c>
      <c r="G707" s="11">
        <v>3.53</v>
      </c>
      <c r="H707" s="1">
        <v>62.4</v>
      </c>
      <c r="I707" s="11">
        <v>2.8993699999999998</v>
      </c>
      <c r="J707" s="1">
        <v>156.88</v>
      </c>
      <c r="K707" s="11">
        <v>2.8496300000000003</v>
      </c>
      <c r="L707" s="1">
        <v>0</v>
      </c>
      <c r="M707" s="11">
        <v>6.2</v>
      </c>
      <c r="N707" s="1">
        <v>150.84</v>
      </c>
      <c r="O707" s="11">
        <v>2.8224999999999998</v>
      </c>
      <c r="P707" s="1">
        <f t="shared" si="124"/>
        <v>2716.1000000000004</v>
      </c>
      <c r="Q707" s="1">
        <v>2667.2</v>
      </c>
      <c r="R707" s="16">
        <f t="shared" si="125"/>
        <v>2176927.0105999997</v>
      </c>
      <c r="S707" s="1">
        <v>-159.75</v>
      </c>
      <c r="T707" s="1">
        <v>36.03</v>
      </c>
      <c r="U707" s="1">
        <v>12</v>
      </c>
      <c r="V707" s="1">
        <v>24.19</v>
      </c>
      <c r="W707" s="1" cm="1">
        <f t="array" ref="W707">SUM(ABS(S707:V707))</f>
        <v>231.97</v>
      </c>
      <c r="X707" s="25">
        <v>1.238</v>
      </c>
      <c r="Y707" s="42">
        <f t="shared" si="126"/>
        <v>71794.714999999997</v>
      </c>
      <c r="Z707" s="20">
        <v>402.48</v>
      </c>
      <c r="AA707" s="20">
        <f t="shared" si="127"/>
        <v>634.45000000000005</v>
      </c>
      <c r="AB707" s="21"/>
      <c r="AC707" s="21">
        <v>6.12</v>
      </c>
      <c r="AD707" s="8">
        <f t="shared" si="128"/>
        <v>408.6</v>
      </c>
      <c r="AE707" s="25">
        <v>1.238</v>
      </c>
      <c r="AF707" s="25">
        <f t="shared" si="129"/>
        <v>126461.70000000001</v>
      </c>
      <c r="AG707" s="25">
        <f t="shared" si="130"/>
        <v>198256.41500000001</v>
      </c>
      <c r="AH707" s="1">
        <f t="shared" si="120"/>
        <v>3124.7000000000003</v>
      </c>
      <c r="AI707" s="1">
        <f t="shared" si="121"/>
        <v>3075.7999999999997</v>
      </c>
      <c r="AJ707" s="1">
        <v>3452.63</v>
      </c>
      <c r="AK707" s="1">
        <f t="shared" si="122"/>
        <v>-327.92999999999984</v>
      </c>
      <c r="AL707" s="29">
        <f t="shared" si="131"/>
        <v>376.83000000000038</v>
      </c>
      <c r="AM707" s="11">
        <f t="shared" si="123"/>
        <v>2375183.4255999997</v>
      </c>
    </row>
    <row r="708" spans="1:39" x14ac:dyDescent="0.3">
      <c r="A708" s="39">
        <v>45996.333333333336</v>
      </c>
      <c r="B708" s="1">
        <v>1264.74</v>
      </c>
      <c r="C708" s="11">
        <v>3.2732000000000001</v>
      </c>
      <c r="D708" s="1">
        <v>649.05999999999995</v>
      </c>
      <c r="E708" s="11">
        <v>3.0760000000000001</v>
      </c>
      <c r="F708" s="1">
        <v>397.62</v>
      </c>
      <c r="G708" s="11">
        <v>3.53</v>
      </c>
      <c r="H708" s="1">
        <v>98.11</v>
      </c>
      <c r="I708" s="11">
        <v>2.4001199999999998</v>
      </c>
      <c r="J708" s="1">
        <v>33.450000000000003</v>
      </c>
      <c r="K708" s="11">
        <v>2.6295500000000001</v>
      </c>
      <c r="L708" s="1">
        <v>7.65</v>
      </c>
      <c r="M708" s="11">
        <v>6.2</v>
      </c>
      <c r="N708" s="1">
        <v>180.45</v>
      </c>
      <c r="O708" s="11">
        <v>2.8224999999999998</v>
      </c>
      <c r="P708" s="1">
        <f t="shared" si="124"/>
        <v>2631.08</v>
      </c>
      <c r="Q708" s="1">
        <v>2620.94</v>
      </c>
      <c r="R708" s="16">
        <f t="shared" si="125"/>
        <v>2105009.618425</v>
      </c>
      <c r="S708" s="1">
        <v>-211.94</v>
      </c>
      <c r="T708" s="1">
        <v>36.06</v>
      </c>
      <c r="U708" s="1">
        <v>12</v>
      </c>
      <c r="V708" s="1">
        <v>25.25</v>
      </c>
      <c r="W708" s="1" cm="1">
        <f t="array" ref="W708">SUM(ABS(S708:V708))</f>
        <v>285.25</v>
      </c>
      <c r="X708" s="25">
        <v>1.238</v>
      </c>
      <c r="Y708" s="42">
        <f t="shared" si="126"/>
        <v>88284.875</v>
      </c>
      <c r="Z708" s="20">
        <v>382.89</v>
      </c>
      <c r="AA708" s="20">
        <f t="shared" si="127"/>
        <v>668.14</v>
      </c>
      <c r="AB708" s="21"/>
      <c r="AC708" s="21">
        <v>6.14</v>
      </c>
      <c r="AD708" s="8">
        <f t="shared" si="128"/>
        <v>389.03</v>
      </c>
      <c r="AE708" s="25">
        <v>1.238</v>
      </c>
      <c r="AF708" s="25">
        <f t="shared" si="129"/>
        <v>120404.78499999999</v>
      </c>
      <c r="AG708" s="25">
        <f t="shared" si="130"/>
        <v>208689.65999999997</v>
      </c>
      <c r="AH708" s="1">
        <f t="shared" ref="AH708:AH771" si="132">B708+D708+F708+H708+J708+L708+N708+AD708</f>
        <v>3020.1099999999997</v>
      </c>
      <c r="AI708" s="1">
        <f t="shared" ref="AI708:AI771" si="133">Q708+AD708</f>
        <v>3009.9700000000003</v>
      </c>
      <c r="AJ708" s="1">
        <v>3413.64</v>
      </c>
      <c r="AK708" s="1">
        <f t="shared" ref="AK708:AK771" si="134">AH708-AJ708</f>
        <v>-393.5300000000002</v>
      </c>
      <c r="AL708" s="29">
        <f t="shared" si="131"/>
        <v>403.66999999999962</v>
      </c>
      <c r="AM708" s="11">
        <f t="shared" ref="AM708:AM771" si="135">(R708+AG708)</f>
        <v>2313699.2784250001</v>
      </c>
    </row>
    <row r="709" spans="1:39" x14ac:dyDescent="0.3">
      <c r="A709" s="39">
        <v>45996.34375</v>
      </c>
      <c r="B709" s="1">
        <v>1256.95</v>
      </c>
      <c r="C709" s="11">
        <v>3.2732000000000001</v>
      </c>
      <c r="D709" s="1">
        <v>649.45000000000005</v>
      </c>
      <c r="E709" s="11">
        <v>3.0760000000000001</v>
      </c>
      <c r="F709" s="1">
        <v>397.62</v>
      </c>
      <c r="G709" s="11">
        <v>3.53</v>
      </c>
      <c r="H709" s="1">
        <v>101.8</v>
      </c>
      <c r="I709" s="11">
        <v>2.0000599999999999</v>
      </c>
      <c r="J709" s="1">
        <v>21.65</v>
      </c>
      <c r="K709" s="11">
        <v>2.7309800000000002</v>
      </c>
      <c r="L709" s="1">
        <v>8.19</v>
      </c>
      <c r="M709" s="11">
        <v>6.2</v>
      </c>
      <c r="N709" s="1">
        <v>214.7</v>
      </c>
      <c r="O709" s="11">
        <v>2.8224999999999998</v>
      </c>
      <c r="P709" s="1">
        <f t="shared" ref="P709:P771" si="136">(B709+D709+F709+H709+J709+L709+N709)</f>
        <v>2650.36</v>
      </c>
      <c r="Q709" s="1">
        <v>2608.1799999999998</v>
      </c>
      <c r="R709" s="16">
        <f t="shared" ref="R709:R771" si="137">(((B709*C709)+(D709*E709)+(F709*G709)+(H709*I709)+(J709*K709)+(L709*M709)+(N709*O709))*(1000/4))</f>
        <v>2108764.0287500001</v>
      </c>
      <c r="S709" s="1">
        <v>-248.33</v>
      </c>
      <c r="T709" s="1">
        <v>36.090000000000003</v>
      </c>
      <c r="U709" s="1">
        <v>12</v>
      </c>
      <c r="V709" s="1">
        <v>25.18</v>
      </c>
      <c r="W709" s="1" cm="1">
        <f t="array" ref="W709">SUM(ABS(S709:V709))</f>
        <v>321.60000000000002</v>
      </c>
      <c r="X709" s="25">
        <v>1.238</v>
      </c>
      <c r="Y709" s="42">
        <f t="shared" ref="Y709:Y771" si="138">((W709*X709)*1000)/4</f>
        <v>99535.2</v>
      </c>
      <c r="Z709" s="20">
        <v>388.27</v>
      </c>
      <c r="AA709" s="20">
        <f t="shared" ref="AA709:AA771" si="139">W709+Z709</f>
        <v>709.87</v>
      </c>
      <c r="AB709" s="21"/>
      <c r="AC709" s="21">
        <v>6.27</v>
      </c>
      <c r="AD709" s="8">
        <f t="shared" ref="AD709:AD771" si="140">Z709+AB709+AC709</f>
        <v>394.53999999999996</v>
      </c>
      <c r="AE709" s="25">
        <v>1.238</v>
      </c>
      <c r="AF709" s="25">
        <f t="shared" ref="AF709:AF771" si="141">((AD709*AE709*1000)/4)</f>
        <v>122110.12999999999</v>
      </c>
      <c r="AG709" s="25">
        <f t="shared" ref="AG709:AG771" si="142">Y709+AF709</f>
        <v>221645.33</v>
      </c>
      <c r="AH709" s="1">
        <f t="shared" si="132"/>
        <v>3044.9</v>
      </c>
      <c r="AI709" s="1">
        <f t="shared" si="133"/>
        <v>3002.72</v>
      </c>
      <c r="AJ709" s="1">
        <v>3405.62</v>
      </c>
      <c r="AK709" s="1">
        <f t="shared" si="134"/>
        <v>-360.7199999999998</v>
      </c>
      <c r="AL709" s="29">
        <f t="shared" ref="AL709:AL771" si="143">AJ709-AI709</f>
        <v>402.90000000000009</v>
      </c>
      <c r="AM709" s="11">
        <f t="shared" si="135"/>
        <v>2330409.3587500001</v>
      </c>
    </row>
    <row r="710" spans="1:39" x14ac:dyDescent="0.3">
      <c r="A710" s="39">
        <v>45996.354166666664</v>
      </c>
      <c r="B710" s="1">
        <v>1256.6099999999999</v>
      </c>
      <c r="C710" s="11">
        <v>3.2732000000000001</v>
      </c>
      <c r="D710" s="1">
        <v>649.45000000000005</v>
      </c>
      <c r="E710" s="11">
        <v>3.0760000000000001</v>
      </c>
      <c r="F710" s="1">
        <v>397.62</v>
      </c>
      <c r="G710" s="11">
        <v>3.53</v>
      </c>
      <c r="H710" s="1">
        <v>82.56</v>
      </c>
      <c r="I710" s="11">
        <v>2.1555399999999998</v>
      </c>
      <c r="J710" s="1">
        <v>77.44</v>
      </c>
      <c r="K710" s="11">
        <v>2.4001000000000001</v>
      </c>
      <c r="L710" s="1">
        <v>32.659999999999997</v>
      </c>
      <c r="M710" s="11">
        <v>6.2</v>
      </c>
      <c r="N710" s="1">
        <v>236.66</v>
      </c>
      <c r="O710" s="11">
        <v>2.8224999999999998</v>
      </c>
      <c r="P710" s="1">
        <f t="shared" si="136"/>
        <v>2732.9999999999995</v>
      </c>
      <c r="Q710" s="1">
        <v>2771.55</v>
      </c>
      <c r="R710" s="16">
        <f t="shared" si="137"/>
        <v>2187183.1571</v>
      </c>
      <c r="S710" s="1">
        <v>-127.92</v>
      </c>
      <c r="T710" s="1">
        <v>36.1</v>
      </c>
      <c r="U710" s="1">
        <v>12</v>
      </c>
      <c r="V710" s="1">
        <v>25.19</v>
      </c>
      <c r="W710" s="1" cm="1">
        <f t="array" ref="W710">SUM(ABS(S710:V710))</f>
        <v>201.21</v>
      </c>
      <c r="X710" s="25">
        <v>1.238</v>
      </c>
      <c r="Y710" s="42">
        <f t="shared" si="138"/>
        <v>62274.495000000003</v>
      </c>
      <c r="Z710" s="20">
        <v>337.00000000000006</v>
      </c>
      <c r="AA710" s="20">
        <f t="shared" si="139"/>
        <v>538.21</v>
      </c>
      <c r="AB710" s="21"/>
      <c r="AC710" s="21">
        <v>5.66</v>
      </c>
      <c r="AD710" s="8">
        <f t="shared" si="140"/>
        <v>342.66000000000008</v>
      </c>
      <c r="AE710" s="25">
        <v>1.238</v>
      </c>
      <c r="AF710" s="25">
        <f t="shared" si="141"/>
        <v>106053.27000000003</v>
      </c>
      <c r="AG710" s="25">
        <f t="shared" si="142"/>
        <v>168327.76500000004</v>
      </c>
      <c r="AH710" s="1">
        <f t="shared" si="132"/>
        <v>3075.66</v>
      </c>
      <c r="AI710" s="1">
        <f t="shared" si="133"/>
        <v>3114.21</v>
      </c>
      <c r="AJ710" s="1">
        <v>3434.79</v>
      </c>
      <c r="AK710" s="1">
        <f t="shared" si="134"/>
        <v>-359.13000000000011</v>
      </c>
      <c r="AL710" s="29">
        <f t="shared" si="143"/>
        <v>320.57999999999993</v>
      </c>
      <c r="AM710" s="11">
        <f t="shared" si="135"/>
        <v>2355510.9221000001</v>
      </c>
    </row>
    <row r="711" spans="1:39" x14ac:dyDescent="0.3">
      <c r="A711" s="39">
        <v>45996.364583333336</v>
      </c>
      <c r="B711" s="1">
        <v>1256.6099999999999</v>
      </c>
      <c r="C711" s="11">
        <v>3.2732000000000001</v>
      </c>
      <c r="D711" s="1">
        <v>649.45000000000005</v>
      </c>
      <c r="E711" s="11">
        <v>3.0760000000000001</v>
      </c>
      <c r="F711" s="1">
        <v>397.62</v>
      </c>
      <c r="G711" s="11">
        <v>3.53</v>
      </c>
      <c r="H711" s="1">
        <v>67.12</v>
      </c>
      <c r="I711" s="11">
        <v>2.0006500000000003</v>
      </c>
      <c r="J711" s="1">
        <v>116.19</v>
      </c>
      <c r="K711" s="11">
        <v>1.5895299999999999</v>
      </c>
      <c r="L711" s="1">
        <v>52.65</v>
      </c>
      <c r="M711" s="11">
        <v>6.2</v>
      </c>
      <c r="N711" s="1">
        <v>281.92</v>
      </c>
      <c r="O711" s="11">
        <v>2.8224999999999998</v>
      </c>
      <c r="P711" s="1">
        <f t="shared" si="136"/>
        <v>2821.56</v>
      </c>
      <c r="Q711" s="1">
        <v>2832.14</v>
      </c>
      <c r="R711" s="16">
        <f t="shared" si="137"/>
        <v>2238890.7426750003</v>
      </c>
      <c r="S711" s="1">
        <v>-115.72</v>
      </c>
      <c r="T711" s="1">
        <v>36.049999999999997</v>
      </c>
      <c r="U711" s="1">
        <v>12</v>
      </c>
      <c r="V711" s="1">
        <v>25.18</v>
      </c>
      <c r="W711" s="1" cm="1">
        <f t="array" ref="W711">SUM(ABS(S711:V711))</f>
        <v>188.95</v>
      </c>
      <c r="X711" s="25">
        <v>1.238</v>
      </c>
      <c r="Y711" s="42">
        <f t="shared" si="138"/>
        <v>58480.024999999994</v>
      </c>
      <c r="Z711" s="20">
        <v>284.45000000000005</v>
      </c>
      <c r="AA711" s="20">
        <f t="shared" si="139"/>
        <v>473.40000000000003</v>
      </c>
      <c r="AB711" s="21"/>
      <c r="AC711" s="21">
        <v>5.56</v>
      </c>
      <c r="AD711" s="8">
        <f t="shared" si="140"/>
        <v>290.01000000000005</v>
      </c>
      <c r="AE711" s="25">
        <v>1.238</v>
      </c>
      <c r="AF711" s="25">
        <f t="shared" si="141"/>
        <v>89758.095000000016</v>
      </c>
      <c r="AG711" s="25">
        <f t="shared" si="142"/>
        <v>148238.12</v>
      </c>
      <c r="AH711" s="1">
        <f t="shared" si="132"/>
        <v>3111.57</v>
      </c>
      <c r="AI711" s="1">
        <f t="shared" si="133"/>
        <v>3122.15</v>
      </c>
      <c r="AJ711" s="1">
        <v>3442.73</v>
      </c>
      <c r="AK711" s="1">
        <f t="shared" si="134"/>
        <v>-331.15999999999985</v>
      </c>
      <c r="AL711" s="29">
        <f t="shared" si="143"/>
        <v>320.57999999999993</v>
      </c>
      <c r="AM711" s="11">
        <f t="shared" si="135"/>
        <v>2387128.8626750004</v>
      </c>
    </row>
    <row r="712" spans="1:39" x14ac:dyDescent="0.3">
      <c r="A712" s="39">
        <v>45996.375</v>
      </c>
      <c r="B712" s="1">
        <v>1164.17</v>
      </c>
      <c r="C712" s="11">
        <v>3.2732000000000001</v>
      </c>
      <c r="D712" s="1">
        <v>649.45000000000005</v>
      </c>
      <c r="E712" s="11">
        <v>3.0760000000000001</v>
      </c>
      <c r="F712" s="1">
        <v>397.62</v>
      </c>
      <c r="G712" s="11">
        <v>3.53</v>
      </c>
      <c r="H712" s="1">
        <v>60.99</v>
      </c>
      <c r="I712" s="11">
        <v>2.1557300000000001</v>
      </c>
      <c r="J712" s="1">
        <v>144.26</v>
      </c>
      <c r="K712" s="11">
        <v>2.4000400000000002</v>
      </c>
      <c r="L712" s="1">
        <v>59.84</v>
      </c>
      <c r="M712" s="11">
        <v>6.2</v>
      </c>
      <c r="N712" s="1">
        <v>301.48</v>
      </c>
      <c r="O712" s="11">
        <v>2.8224999999999998</v>
      </c>
      <c r="P712" s="1">
        <f t="shared" si="136"/>
        <v>2777.81</v>
      </c>
      <c r="Q712" s="1">
        <v>2758.79</v>
      </c>
      <c r="R712" s="16">
        <f t="shared" si="137"/>
        <v>2227877.7717750003</v>
      </c>
      <c r="S712" s="1">
        <v>-248.52</v>
      </c>
      <c r="T712" s="1">
        <v>36.04</v>
      </c>
      <c r="U712" s="1">
        <v>12</v>
      </c>
      <c r="V712" s="1">
        <v>16.07</v>
      </c>
      <c r="W712" s="1" cm="1">
        <f t="array" ref="W712">SUM(ABS(S712:V712))</f>
        <v>312.63</v>
      </c>
      <c r="X712" s="25">
        <v>1.238</v>
      </c>
      <c r="Y712" s="42">
        <f t="shared" si="138"/>
        <v>96758.985000000001</v>
      </c>
      <c r="Z712" s="20">
        <v>276.02999999999997</v>
      </c>
      <c r="AA712" s="20">
        <f t="shared" si="139"/>
        <v>588.66</v>
      </c>
      <c r="AB712" s="21"/>
      <c r="AC712" s="21">
        <v>6.6099999999999994</v>
      </c>
      <c r="AD712" s="8">
        <f t="shared" si="140"/>
        <v>282.64</v>
      </c>
      <c r="AE712" s="25">
        <v>1.238</v>
      </c>
      <c r="AF712" s="25">
        <f t="shared" si="141"/>
        <v>87477.08</v>
      </c>
      <c r="AG712" s="25">
        <f t="shared" si="142"/>
        <v>184236.065</v>
      </c>
      <c r="AH712" s="1">
        <f t="shared" si="132"/>
        <v>3060.45</v>
      </c>
      <c r="AI712" s="1">
        <f t="shared" si="133"/>
        <v>3041.43</v>
      </c>
      <c r="AJ712" s="1">
        <v>3490.48</v>
      </c>
      <c r="AK712" s="1">
        <f t="shared" si="134"/>
        <v>-430.0300000000002</v>
      </c>
      <c r="AL712" s="29">
        <f t="shared" si="143"/>
        <v>449.05000000000018</v>
      </c>
      <c r="AM712" s="11">
        <f t="shared" si="135"/>
        <v>2412113.8367750002</v>
      </c>
    </row>
    <row r="713" spans="1:39" x14ac:dyDescent="0.3">
      <c r="A713" s="39">
        <v>45996.385416666664</v>
      </c>
      <c r="B713" s="1">
        <v>1084.71</v>
      </c>
      <c r="C713" s="11">
        <v>3.2732000000000001</v>
      </c>
      <c r="D713" s="1">
        <v>649.45000000000005</v>
      </c>
      <c r="E713" s="11">
        <v>3.0760000000000001</v>
      </c>
      <c r="F713" s="1">
        <v>397.62</v>
      </c>
      <c r="G713" s="11">
        <v>3.53</v>
      </c>
      <c r="H713" s="1">
        <v>56.84</v>
      </c>
      <c r="I713" s="11">
        <v>2.1652300000000002</v>
      </c>
      <c r="J713" s="1">
        <v>163.85</v>
      </c>
      <c r="K713" s="11">
        <v>2.40076</v>
      </c>
      <c r="L713" s="1">
        <v>64.89</v>
      </c>
      <c r="M713" s="11">
        <v>6.2</v>
      </c>
      <c r="N713" s="1">
        <v>339.38</v>
      </c>
      <c r="O713" s="11">
        <v>2.8224999999999998</v>
      </c>
      <c r="P713" s="1">
        <f t="shared" si="136"/>
        <v>2756.7400000000002</v>
      </c>
      <c r="Q713" s="1">
        <v>2766.88</v>
      </c>
      <c r="R713" s="16">
        <f t="shared" si="137"/>
        <v>2207108.4553</v>
      </c>
      <c r="S713" s="1">
        <v>-306.97000000000003</v>
      </c>
      <c r="T713" s="1">
        <v>36.020000000000003</v>
      </c>
      <c r="U713" s="1">
        <v>12</v>
      </c>
      <c r="V713" s="1">
        <v>12.78</v>
      </c>
      <c r="W713" s="1" cm="1">
        <f t="array" ref="W713">SUM(ABS(S713:V713))</f>
        <v>367.77</v>
      </c>
      <c r="X713" s="25">
        <v>1.238</v>
      </c>
      <c r="Y713" s="42">
        <f t="shared" si="138"/>
        <v>113824.81499999999</v>
      </c>
      <c r="Z713" s="20">
        <v>279.65999999999997</v>
      </c>
      <c r="AA713" s="20">
        <f t="shared" si="139"/>
        <v>647.42999999999995</v>
      </c>
      <c r="AB713" s="21"/>
      <c r="AC713" s="21">
        <v>8.0399999999999991</v>
      </c>
      <c r="AD713" s="8">
        <f t="shared" si="140"/>
        <v>287.7</v>
      </c>
      <c r="AE713" s="25">
        <v>1.238</v>
      </c>
      <c r="AF713" s="25">
        <f t="shared" si="141"/>
        <v>89043.15</v>
      </c>
      <c r="AG713" s="25">
        <f t="shared" si="142"/>
        <v>202867.96499999997</v>
      </c>
      <c r="AH713" s="1">
        <f t="shared" si="132"/>
        <v>3044.44</v>
      </c>
      <c r="AI713" s="1">
        <f t="shared" si="133"/>
        <v>3054.58</v>
      </c>
      <c r="AJ713" s="1">
        <v>3568.89</v>
      </c>
      <c r="AK713" s="1">
        <f t="shared" si="134"/>
        <v>-524.44999999999982</v>
      </c>
      <c r="AL713" s="29">
        <f t="shared" si="143"/>
        <v>514.30999999999995</v>
      </c>
      <c r="AM713" s="11">
        <f t="shared" si="135"/>
        <v>2409976.4202999999</v>
      </c>
    </row>
    <row r="714" spans="1:39" x14ac:dyDescent="0.3">
      <c r="A714" s="39">
        <v>45996.395833333336</v>
      </c>
      <c r="B714" s="1">
        <v>1083.27</v>
      </c>
      <c r="C714" s="11">
        <v>3.2732000000000001</v>
      </c>
      <c r="D714" s="1">
        <v>649.45000000000005</v>
      </c>
      <c r="E714" s="11">
        <v>3.0760000000000001</v>
      </c>
      <c r="F714" s="1">
        <v>397.62</v>
      </c>
      <c r="G714" s="11">
        <v>3.53</v>
      </c>
      <c r="H714" s="1">
        <v>56.84</v>
      </c>
      <c r="I714" s="11">
        <v>2.0009000000000001</v>
      </c>
      <c r="J714" s="1">
        <v>119.23</v>
      </c>
      <c r="K714" s="11">
        <v>2.15584</v>
      </c>
      <c r="L714" s="1">
        <v>65.36</v>
      </c>
      <c r="M714" s="11">
        <v>6.2</v>
      </c>
      <c r="N714" s="1">
        <v>367.49</v>
      </c>
      <c r="O714" s="11">
        <v>2.8224999999999998</v>
      </c>
      <c r="P714" s="1">
        <f t="shared" si="136"/>
        <v>2739.26</v>
      </c>
      <c r="Q714" s="1">
        <v>2775.16</v>
      </c>
      <c r="R714" s="16">
        <f t="shared" si="137"/>
        <v>2190077.6620499999</v>
      </c>
      <c r="S714" s="1">
        <v>-387.39</v>
      </c>
      <c r="T714" s="1">
        <v>35.99</v>
      </c>
      <c r="U714" s="1">
        <v>12</v>
      </c>
      <c r="V714" s="1">
        <v>12.76</v>
      </c>
      <c r="W714" s="1" cm="1">
        <f t="array" ref="W714">SUM(ABS(S714:V714))</f>
        <v>448.14</v>
      </c>
      <c r="X714" s="25">
        <v>1.238</v>
      </c>
      <c r="Y714" s="42">
        <f t="shared" si="138"/>
        <v>138699.33000000002</v>
      </c>
      <c r="Z714" s="20">
        <v>282.29000000000002</v>
      </c>
      <c r="AA714" s="20">
        <f t="shared" si="139"/>
        <v>730.43000000000006</v>
      </c>
      <c r="AB714" s="21"/>
      <c r="AC714" s="21">
        <v>6.6199999999999992</v>
      </c>
      <c r="AD714" s="8">
        <f t="shared" si="140"/>
        <v>288.91000000000003</v>
      </c>
      <c r="AE714" s="25">
        <v>1.238</v>
      </c>
      <c r="AF714" s="25">
        <f t="shared" si="141"/>
        <v>89417.645000000004</v>
      </c>
      <c r="AG714" s="25">
        <f t="shared" si="142"/>
        <v>228116.97500000003</v>
      </c>
      <c r="AH714" s="1">
        <f t="shared" si="132"/>
        <v>3028.17</v>
      </c>
      <c r="AI714" s="1">
        <f t="shared" si="133"/>
        <v>3064.0699999999997</v>
      </c>
      <c r="AJ714" s="1">
        <v>3650.01</v>
      </c>
      <c r="AK714" s="1">
        <f t="shared" si="134"/>
        <v>-621.84000000000015</v>
      </c>
      <c r="AL714" s="29">
        <f t="shared" si="143"/>
        <v>585.94000000000051</v>
      </c>
      <c r="AM714" s="11">
        <f t="shared" si="135"/>
        <v>2418194.63705</v>
      </c>
    </row>
    <row r="715" spans="1:39" x14ac:dyDescent="0.3">
      <c r="A715" s="39">
        <v>45996.40625</v>
      </c>
      <c r="B715" s="1">
        <v>1084.72</v>
      </c>
      <c r="C715" s="11">
        <v>3.2732000000000001</v>
      </c>
      <c r="D715" s="1">
        <v>649.45000000000005</v>
      </c>
      <c r="E715" s="11">
        <v>3.0760000000000001</v>
      </c>
      <c r="F715" s="1">
        <v>397.62</v>
      </c>
      <c r="G715" s="11">
        <v>3.53</v>
      </c>
      <c r="H715" s="1">
        <v>55.95</v>
      </c>
      <c r="I715" s="11">
        <v>2.0005799999999998</v>
      </c>
      <c r="J715" s="1">
        <v>115.7</v>
      </c>
      <c r="K715" s="11">
        <v>2.0559699999999999</v>
      </c>
      <c r="L715" s="1">
        <v>65.3</v>
      </c>
      <c r="M715" s="11">
        <v>6.2</v>
      </c>
      <c r="N715" s="1">
        <v>390.96</v>
      </c>
      <c r="O715" s="11">
        <v>2.8224999999999998</v>
      </c>
      <c r="P715" s="1">
        <f t="shared" si="136"/>
        <v>2759.7</v>
      </c>
      <c r="Q715" s="1">
        <v>2753.94</v>
      </c>
      <c r="R715" s="16">
        <f t="shared" si="137"/>
        <v>2202491.2709999997</v>
      </c>
      <c r="S715" s="1">
        <v>-490.68</v>
      </c>
      <c r="T715" s="1">
        <v>35.909999999999997</v>
      </c>
      <c r="U715" s="1">
        <v>12</v>
      </c>
      <c r="V715" s="1">
        <v>11.33</v>
      </c>
      <c r="W715" s="1" cm="1">
        <f t="array" ref="W715">SUM(ABS(S715:V715))</f>
        <v>549.92000000000007</v>
      </c>
      <c r="X715" s="25">
        <v>1.238</v>
      </c>
      <c r="Y715" s="42">
        <f t="shared" si="138"/>
        <v>170200.24000000002</v>
      </c>
      <c r="Z715" s="20">
        <v>299.91999999999996</v>
      </c>
      <c r="AA715" s="20">
        <f t="shared" si="139"/>
        <v>849.84</v>
      </c>
      <c r="AB715" s="21"/>
      <c r="AC715" s="21">
        <v>6.9</v>
      </c>
      <c r="AD715" s="8">
        <f t="shared" si="140"/>
        <v>306.81999999999994</v>
      </c>
      <c r="AE715" s="25">
        <v>1.238</v>
      </c>
      <c r="AF715" s="25">
        <f t="shared" si="141"/>
        <v>94960.789999999979</v>
      </c>
      <c r="AG715" s="25">
        <f t="shared" si="142"/>
        <v>265161.03000000003</v>
      </c>
      <c r="AH715" s="1">
        <f t="shared" si="132"/>
        <v>3066.5199999999995</v>
      </c>
      <c r="AI715" s="1">
        <f t="shared" si="133"/>
        <v>3060.76</v>
      </c>
      <c r="AJ715" s="1">
        <v>3750.59</v>
      </c>
      <c r="AK715" s="1">
        <f t="shared" si="134"/>
        <v>-684.07000000000062</v>
      </c>
      <c r="AL715" s="29">
        <f t="shared" si="143"/>
        <v>689.82999999999993</v>
      </c>
      <c r="AM715" s="11">
        <f t="shared" si="135"/>
        <v>2467652.301</v>
      </c>
    </row>
    <row r="716" spans="1:39" x14ac:dyDescent="0.3">
      <c r="A716" s="39">
        <v>45996.416666666664</v>
      </c>
      <c r="B716" s="1">
        <v>1084.8900000000001</v>
      </c>
      <c r="C716" s="11">
        <v>3.2732000000000001</v>
      </c>
      <c r="D716" s="1">
        <v>649.45000000000005</v>
      </c>
      <c r="E716" s="11">
        <v>3.0760000000000001</v>
      </c>
      <c r="F716" s="1">
        <v>397.62</v>
      </c>
      <c r="G716" s="11">
        <v>3.53</v>
      </c>
      <c r="H716" s="1">
        <v>54.18</v>
      </c>
      <c r="I716" s="11">
        <v>1.9999400000000001</v>
      </c>
      <c r="J716" s="1">
        <v>114.98</v>
      </c>
      <c r="K716" s="11">
        <v>1.78844</v>
      </c>
      <c r="L716" s="1">
        <v>65.56</v>
      </c>
      <c r="M716" s="11">
        <v>6.2</v>
      </c>
      <c r="N716" s="1">
        <v>398.81</v>
      </c>
      <c r="O716" s="11">
        <v>2.8224999999999998</v>
      </c>
      <c r="P716" s="1">
        <f t="shared" si="136"/>
        <v>2765.49</v>
      </c>
      <c r="Q716" s="1">
        <v>2753.11</v>
      </c>
      <c r="R716" s="16">
        <f t="shared" si="137"/>
        <v>2199618.3883500001</v>
      </c>
      <c r="S716" s="1">
        <v>-480.51</v>
      </c>
      <c r="T716" s="1">
        <v>35.85</v>
      </c>
      <c r="U716" s="1">
        <v>12</v>
      </c>
      <c r="V716" s="1">
        <v>6.32</v>
      </c>
      <c r="W716" s="1" cm="1">
        <f t="array" ref="W716">SUM(ABS(S716:V716))</f>
        <v>534.68000000000006</v>
      </c>
      <c r="X716" s="25">
        <v>1.238</v>
      </c>
      <c r="Y716" s="42">
        <f t="shared" si="138"/>
        <v>165483.46000000002</v>
      </c>
      <c r="Z716" s="20">
        <v>297.79000000000002</v>
      </c>
      <c r="AA716" s="20">
        <f t="shared" si="139"/>
        <v>832.47</v>
      </c>
      <c r="AB716" s="21"/>
      <c r="AC716" s="21">
        <v>7.5000000000000009</v>
      </c>
      <c r="AD716" s="8">
        <f t="shared" si="140"/>
        <v>305.29000000000002</v>
      </c>
      <c r="AE716" s="25">
        <v>1.238</v>
      </c>
      <c r="AF716" s="25">
        <f t="shared" si="141"/>
        <v>94487.255000000005</v>
      </c>
      <c r="AG716" s="25">
        <f t="shared" si="142"/>
        <v>259970.71500000003</v>
      </c>
      <c r="AH716" s="1">
        <f t="shared" si="132"/>
        <v>3070.7799999999997</v>
      </c>
      <c r="AI716" s="1">
        <f t="shared" si="133"/>
        <v>3058.4</v>
      </c>
      <c r="AJ716" s="1">
        <v>3753.93</v>
      </c>
      <c r="AK716" s="1">
        <f t="shared" si="134"/>
        <v>-683.15000000000009</v>
      </c>
      <c r="AL716" s="29">
        <f t="shared" si="143"/>
        <v>695.52999999999975</v>
      </c>
      <c r="AM716" s="11">
        <f t="shared" si="135"/>
        <v>2459589.10335</v>
      </c>
    </row>
    <row r="717" spans="1:39" x14ac:dyDescent="0.3">
      <c r="A717" s="39">
        <v>45996.427083333336</v>
      </c>
      <c r="B717" s="1">
        <v>1086.45</v>
      </c>
      <c r="C717" s="11">
        <v>3.2732000000000001</v>
      </c>
      <c r="D717" s="1">
        <v>649.45000000000005</v>
      </c>
      <c r="E717" s="11">
        <v>3.0760000000000001</v>
      </c>
      <c r="F717" s="1">
        <v>397.62</v>
      </c>
      <c r="G717" s="11">
        <v>3.53</v>
      </c>
      <c r="H717" s="1">
        <v>52.33</v>
      </c>
      <c r="I717" s="11">
        <v>2.0003699999999998</v>
      </c>
      <c r="J717" s="1">
        <v>114.93</v>
      </c>
      <c r="K717" s="11">
        <v>1.7769600000000001</v>
      </c>
      <c r="L717" s="1">
        <v>65.52</v>
      </c>
      <c r="M717" s="11">
        <v>6.2</v>
      </c>
      <c r="N717" s="1">
        <v>414.97</v>
      </c>
      <c r="O717" s="11">
        <v>2.8224999999999998</v>
      </c>
      <c r="P717" s="1">
        <f t="shared" si="136"/>
        <v>2781.2699999999995</v>
      </c>
      <c r="Q717" s="1">
        <v>2799.61</v>
      </c>
      <c r="R717" s="16">
        <f t="shared" si="137"/>
        <v>2210964.2849750002</v>
      </c>
      <c r="S717" s="1">
        <v>-477.1</v>
      </c>
      <c r="T717" s="1">
        <v>35.799999999999997</v>
      </c>
      <c r="U717" s="1">
        <v>12</v>
      </c>
      <c r="V717" s="1">
        <v>6.38</v>
      </c>
      <c r="W717" s="1" cm="1">
        <f t="array" ref="W717">SUM(ABS(S717:V717))</f>
        <v>531.28</v>
      </c>
      <c r="X717" s="25">
        <v>1.238</v>
      </c>
      <c r="Y717" s="42">
        <f t="shared" si="138"/>
        <v>164431.15999999997</v>
      </c>
      <c r="Z717" s="20">
        <v>270.31</v>
      </c>
      <c r="AA717" s="20">
        <f t="shared" si="139"/>
        <v>801.58999999999992</v>
      </c>
      <c r="AB717" s="21"/>
      <c r="AC717" s="21">
        <v>7.42</v>
      </c>
      <c r="AD717" s="8">
        <f t="shared" si="140"/>
        <v>277.73</v>
      </c>
      <c r="AE717" s="25">
        <v>1.238</v>
      </c>
      <c r="AF717" s="25">
        <f t="shared" si="141"/>
        <v>85957.434999999998</v>
      </c>
      <c r="AG717" s="25">
        <f t="shared" si="142"/>
        <v>250388.59499999997</v>
      </c>
      <c r="AH717" s="1">
        <f t="shared" si="132"/>
        <v>3058.9999999999995</v>
      </c>
      <c r="AI717" s="1">
        <f t="shared" si="133"/>
        <v>3077.34</v>
      </c>
      <c r="AJ717" s="1">
        <v>3770.26</v>
      </c>
      <c r="AK717" s="1">
        <f t="shared" si="134"/>
        <v>-711.26000000000067</v>
      </c>
      <c r="AL717" s="29">
        <f t="shared" si="143"/>
        <v>692.92000000000007</v>
      </c>
      <c r="AM717" s="11">
        <f t="shared" si="135"/>
        <v>2461352.8799750004</v>
      </c>
    </row>
    <row r="718" spans="1:39" x14ac:dyDescent="0.3">
      <c r="A718" s="39">
        <v>45996.4375</v>
      </c>
      <c r="B718" s="1">
        <v>1088.19</v>
      </c>
      <c r="C718" s="11">
        <v>3.2732000000000001</v>
      </c>
      <c r="D718" s="1">
        <v>649.45000000000005</v>
      </c>
      <c r="E718" s="11">
        <v>3.0760000000000001</v>
      </c>
      <c r="F718" s="1">
        <v>397.62</v>
      </c>
      <c r="G718" s="11">
        <v>3.53</v>
      </c>
      <c r="H718" s="1">
        <v>54.74</v>
      </c>
      <c r="I718" s="11">
        <v>2.4004099999999999</v>
      </c>
      <c r="J718" s="1">
        <v>87.9</v>
      </c>
      <c r="K718" s="11">
        <v>2.1184499999999997</v>
      </c>
      <c r="L718" s="1">
        <v>65.569999999999993</v>
      </c>
      <c r="M718" s="11">
        <v>6.2</v>
      </c>
      <c r="N718" s="1">
        <v>443.06</v>
      </c>
      <c r="O718" s="11">
        <v>2.8224999999999998</v>
      </c>
      <c r="P718" s="1">
        <f t="shared" si="136"/>
        <v>2786.53</v>
      </c>
      <c r="Q718" s="1">
        <v>2765.21</v>
      </c>
      <c r="R718" s="16">
        <f t="shared" si="137"/>
        <v>2234462.8391</v>
      </c>
      <c r="S718" s="1">
        <v>-478.63</v>
      </c>
      <c r="T718" s="1">
        <v>35.76</v>
      </c>
      <c r="U718" s="1">
        <v>12</v>
      </c>
      <c r="V718" s="1">
        <v>6.4</v>
      </c>
      <c r="W718" s="1" cm="1">
        <f t="array" ref="W718">SUM(ABS(S718:V718))</f>
        <v>532.79</v>
      </c>
      <c r="X718" s="25">
        <v>1.238</v>
      </c>
      <c r="Y718" s="42">
        <f t="shared" si="138"/>
        <v>164898.505</v>
      </c>
      <c r="Z718" s="20">
        <v>280.85999999999996</v>
      </c>
      <c r="AA718" s="20">
        <f t="shared" si="139"/>
        <v>813.64999999999986</v>
      </c>
      <c r="AB718" s="21"/>
      <c r="AC718" s="21">
        <v>8.1999999999999993</v>
      </c>
      <c r="AD718" s="8">
        <f t="shared" si="140"/>
        <v>289.05999999999995</v>
      </c>
      <c r="AE718" s="25">
        <v>1.238</v>
      </c>
      <c r="AF718" s="25">
        <f t="shared" si="141"/>
        <v>89464.069999999978</v>
      </c>
      <c r="AG718" s="25">
        <f t="shared" si="142"/>
        <v>254362.57499999998</v>
      </c>
      <c r="AH718" s="1">
        <f t="shared" si="132"/>
        <v>3075.59</v>
      </c>
      <c r="AI718" s="1">
        <f t="shared" si="133"/>
        <v>3054.27</v>
      </c>
      <c r="AJ718" s="1">
        <v>3781.16</v>
      </c>
      <c r="AK718" s="1">
        <f t="shared" si="134"/>
        <v>-705.56999999999971</v>
      </c>
      <c r="AL718" s="29">
        <f t="shared" si="143"/>
        <v>726.88999999999987</v>
      </c>
      <c r="AM718" s="11">
        <f t="shared" si="135"/>
        <v>2488825.4141000002</v>
      </c>
    </row>
    <row r="719" spans="1:39" x14ac:dyDescent="0.3">
      <c r="A719" s="39">
        <v>45996.447916666664</v>
      </c>
      <c r="B719" s="1">
        <v>1088.24</v>
      </c>
      <c r="C719" s="11">
        <v>3.2732000000000001</v>
      </c>
      <c r="D719" s="1">
        <v>649.45000000000005</v>
      </c>
      <c r="E719" s="11">
        <v>3.0760000000000001</v>
      </c>
      <c r="F719" s="1">
        <v>397.62</v>
      </c>
      <c r="G719" s="11">
        <v>3.53</v>
      </c>
      <c r="H719" s="1">
        <v>55.91</v>
      </c>
      <c r="I719" s="11">
        <v>2.4005900000000002</v>
      </c>
      <c r="J719" s="1">
        <v>86.04</v>
      </c>
      <c r="K719" s="11">
        <v>2.1000199999999998</v>
      </c>
      <c r="L719" s="1">
        <v>65.23</v>
      </c>
      <c r="M719" s="11">
        <v>6.2</v>
      </c>
      <c r="N719" s="1">
        <v>452.23</v>
      </c>
      <c r="O719" s="11">
        <v>2.8224999999999998</v>
      </c>
      <c r="P719" s="1">
        <f t="shared" si="136"/>
        <v>2794.72</v>
      </c>
      <c r="Q719" s="1">
        <v>2796.78</v>
      </c>
      <c r="R719" s="16">
        <f t="shared" si="137"/>
        <v>2239770.4626750001</v>
      </c>
      <c r="S719" s="1">
        <v>-488.95</v>
      </c>
      <c r="T719" s="1">
        <v>35.729999999999997</v>
      </c>
      <c r="U719" s="1">
        <v>12</v>
      </c>
      <c r="V719" s="1">
        <v>6.42</v>
      </c>
      <c r="W719" s="1" cm="1">
        <f t="array" ref="W719">SUM(ABS(S719:V719))</f>
        <v>543.09999999999991</v>
      </c>
      <c r="X719" s="25">
        <v>1.238</v>
      </c>
      <c r="Y719" s="42">
        <f t="shared" si="138"/>
        <v>168089.44999999998</v>
      </c>
      <c r="Z719" s="20">
        <v>238.67</v>
      </c>
      <c r="AA719" s="20">
        <f t="shared" si="139"/>
        <v>781.76999999999987</v>
      </c>
      <c r="AB719" s="21"/>
      <c r="AC719" s="21">
        <v>7.61</v>
      </c>
      <c r="AD719" s="8">
        <f t="shared" si="140"/>
        <v>246.28</v>
      </c>
      <c r="AE719" s="25">
        <v>1.238</v>
      </c>
      <c r="AF719" s="25">
        <f t="shared" si="141"/>
        <v>76223.659999999989</v>
      </c>
      <c r="AG719" s="25">
        <f t="shared" si="142"/>
        <v>244313.11</v>
      </c>
      <c r="AH719" s="1">
        <f t="shared" si="132"/>
        <v>3041</v>
      </c>
      <c r="AI719" s="1">
        <f t="shared" si="133"/>
        <v>3043.0600000000004</v>
      </c>
      <c r="AJ719" s="1">
        <v>3781.27</v>
      </c>
      <c r="AK719" s="1">
        <f t="shared" si="134"/>
        <v>-740.27</v>
      </c>
      <c r="AL719" s="29">
        <f t="shared" si="143"/>
        <v>738.20999999999958</v>
      </c>
      <c r="AM719" s="11">
        <f t="shared" si="135"/>
        <v>2484083.5726749999</v>
      </c>
    </row>
    <row r="720" spans="1:39" x14ac:dyDescent="0.3">
      <c r="A720" s="39">
        <v>45996.458333333336</v>
      </c>
      <c r="B720" s="1">
        <v>1189.4100000000001</v>
      </c>
      <c r="C720" s="11">
        <v>3.2732000000000001</v>
      </c>
      <c r="D720" s="1">
        <v>649.45000000000005</v>
      </c>
      <c r="E720" s="11">
        <v>3.0760000000000001</v>
      </c>
      <c r="F720" s="1">
        <v>397.62</v>
      </c>
      <c r="G720" s="11">
        <v>3.53</v>
      </c>
      <c r="H720" s="1">
        <v>25.52</v>
      </c>
      <c r="I720" s="11">
        <v>2.4009800000000001</v>
      </c>
      <c r="J720" s="1">
        <v>55.41</v>
      </c>
      <c r="K720" s="11">
        <v>2.5108200000000003</v>
      </c>
      <c r="L720" s="1">
        <v>65.73</v>
      </c>
      <c r="M720" s="11">
        <v>6.2</v>
      </c>
      <c r="N720" s="1">
        <v>436.68</v>
      </c>
      <c r="O720" s="11">
        <v>2.8224999999999998</v>
      </c>
      <c r="P720" s="1">
        <f t="shared" si="136"/>
        <v>2819.8199999999997</v>
      </c>
      <c r="Q720" s="1">
        <v>2822.15</v>
      </c>
      <c r="R720" s="16">
        <f t="shared" si="137"/>
        <v>2283734.1144500002</v>
      </c>
      <c r="S720" s="1">
        <v>-472.53</v>
      </c>
      <c r="T720" s="1">
        <v>35.65</v>
      </c>
      <c r="U720" s="1">
        <v>12</v>
      </c>
      <c r="V720" s="1">
        <v>6.44</v>
      </c>
      <c r="W720" s="1" cm="1">
        <f t="array" ref="W720">SUM(ABS(S720:V720))</f>
        <v>526.62</v>
      </c>
      <c r="X720" s="25">
        <v>1.238</v>
      </c>
      <c r="Y720" s="42">
        <f t="shared" si="138"/>
        <v>162988.88999999998</v>
      </c>
      <c r="Z720" s="20">
        <v>232.82</v>
      </c>
      <c r="AA720" s="20">
        <f t="shared" si="139"/>
        <v>759.44</v>
      </c>
      <c r="AB720" s="21"/>
      <c r="AC720" s="21">
        <v>8.09</v>
      </c>
      <c r="AD720" s="8">
        <f t="shared" si="140"/>
        <v>240.91</v>
      </c>
      <c r="AE720" s="25">
        <v>1.238</v>
      </c>
      <c r="AF720" s="25">
        <f t="shared" si="141"/>
        <v>74561.645000000004</v>
      </c>
      <c r="AG720" s="25">
        <f t="shared" si="142"/>
        <v>237550.53499999997</v>
      </c>
      <c r="AH720" s="1">
        <f t="shared" si="132"/>
        <v>3060.7299999999996</v>
      </c>
      <c r="AI720" s="1">
        <f t="shared" si="133"/>
        <v>3063.06</v>
      </c>
      <c r="AJ720" s="1">
        <v>3776.48</v>
      </c>
      <c r="AK720" s="1">
        <f t="shared" si="134"/>
        <v>-715.75000000000045</v>
      </c>
      <c r="AL720" s="29">
        <f t="shared" si="143"/>
        <v>713.42000000000007</v>
      </c>
      <c r="AM720" s="11">
        <f t="shared" si="135"/>
        <v>2521284.6494500004</v>
      </c>
    </row>
    <row r="721" spans="1:39" x14ac:dyDescent="0.3">
      <c r="A721" s="39">
        <v>45996.46875</v>
      </c>
      <c r="B721" s="1">
        <v>1196.3800000000001</v>
      </c>
      <c r="C721" s="11">
        <v>3.2732000000000001</v>
      </c>
      <c r="D721" s="1">
        <v>649.45000000000005</v>
      </c>
      <c r="E721" s="11">
        <v>3.0760000000000001</v>
      </c>
      <c r="F721" s="1">
        <v>397.62</v>
      </c>
      <c r="G721" s="11">
        <v>3.53</v>
      </c>
      <c r="H721" s="1">
        <v>23.23</v>
      </c>
      <c r="I721" s="11">
        <v>2.5006200000000001</v>
      </c>
      <c r="J721" s="1">
        <v>21.34</v>
      </c>
      <c r="K721" s="11">
        <v>2.56088</v>
      </c>
      <c r="L721" s="1">
        <v>65.86</v>
      </c>
      <c r="M721" s="11">
        <v>6.2</v>
      </c>
      <c r="N721" s="1">
        <v>448.39</v>
      </c>
      <c r="O721" s="11">
        <v>2.8224999999999998</v>
      </c>
      <c r="P721" s="1">
        <f t="shared" si="136"/>
        <v>2802.2700000000004</v>
      </c>
      <c r="Q721" s="1">
        <v>2789.46</v>
      </c>
      <c r="R721" s="16">
        <f t="shared" si="137"/>
        <v>2275987.2932000002</v>
      </c>
      <c r="S721" s="1">
        <v>-464.33</v>
      </c>
      <c r="T721" s="1">
        <v>35.6</v>
      </c>
      <c r="U721" s="1">
        <v>12</v>
      </c>
      <c r="V721" s="1">
        <v>6.43</v>
      </c>
      <c r="W721" s="1" cm="1">
        <f t="array" ref="W721">SUM(ABS(S721:V721))</f>
        <v>518.36</v>
      </c>
      <c r="X721" s="25">
        <v>1.238</v>
      </c>
      <c r="Y721" s="42">
        <f t="shared" si="138"/>
        <v>160432.42000000001</v>
      </c>
      <c r="Z721" s="20">
        <v>227.69</v>
      </c>
      <c r="AA721" s="20">
        <f t="shared" si="139"/>
        <v>746.05</v>
      </c>
      <c r="AB721" s="21"/>
      <c r="AC721" s="21">
        <v>9.06</v>
      </c>
      <c r="AD721" s="8">
        <f t="shared" si="140"/>
        <v>236.75</v>
      </c>
      <c r="AE721" s="25">
        <v>1.238</v>
      </c>
      <c r="AF721" s="25">
        <f t="shared" si="141"/>
        <v>73274.125</v>
      </c>
      <c r="AG721" s="25">
        <f t="shared" si="142"/>
        <v>233706.54500000001</v>
      </c>
      <c r="AH721" s="1">
        <f t="shared" si="132"/>
        <v>3039.0200000000004</v>
      </c>
      <c r="AI721" s="1">
        <f t="shared" si="133"/>
        <v>3026.21</v>
      </c>
      <c r="AJ721" s="1">
        <v>3749.05</v>
      </c>
      <c r="AK721" s="1">
        <f t="shared" si="134"/>
        <v>-710.02999999999975</v>
      </c>
      <c r="AL721" s="29">
        <f t="shared" si="143"/>
        <v>722.84000000000015</v>
      </c>
      <c r="AM721" s="11">
        <f t="shared" si="135"/>
        <v>2509693.8382000001</v>
      </c>
    </row>
    <row r="722" spans="1:39" x14ac:dyDescent="0.3">
      <c r="A722" s="39">
        <v>45996.479166666664</v>
      </c>
      <c r="B722" s="1">
        <v>1196.3800000000001</v>
      </c>
      <c r="C722" s="11">
        <v>3.2732000000000001</v>
      </c>
      <c r="D722" s="1">
        <v>649.45000000000005</v>
      </c>
      <c r="E722" s="11">
        <v>3.0760000000000001</v>
      </c>
      <c r="F722" s="1">
        <v>397.62</v>
      </c>
      <c r="G722" s="11">
        <v>3.53</v>
      </c>
      <c r="H722" s="1">
        <v>23.23</v>
      </c>
      <c r="I722" s="11">
        <v>2.7003200000000001</v>
      </c>
      <c r="J722" s="1">
        <v>16.57</v>
      </c>
      <c r="K722" s="11">
        <v>2.79982</v>
      </c>
      <c r="L722" s="1">
        <v>65.78</v>
      </c>
      <c r="M722" s="11">
        <v>6.2</v>
      </c>
      <c r="N722" s="1">
        <v>456.19</v>
      </c>
      <c r="O722" s="11">
        <v>2.8224999999999998</v>
      </c>
      <c r="P722" s="1">
        <f t="shared" si="136"/>
        <v>2805.2200000000007</v>
      </c>
      <c r="Q722" s="1">
        <v>2826.35</v>
      </c>
      <c r="R722" s="16">
        <f t="shared" si="137"/>
        <v>2280462.8854999999</v>
      </c>
      <c r="S722" s="1">
        <v>-422.17</v>
      </c>
      <c r="T722" s="1">
        <v>35.65</v>
      </c>
      <c r="U722" s="1">
        <v>12</v>
      </c>
      <c r="V722" s="1">
        <v>6.42</v>
      </c>
      <c r="W722" s="1" cm="1">
        <f t="array" ref="W722">SUM(ABS(S722:V722))</f>
        <v>476.24</v>
      </c>
      <c r="X722" s="25">
        <v>1.238</v>
      </c>
      <c r="Y722" s="42">
        <f t="shared" si="138"/>
        <v>147396.28</v>
      </c>
      <c r="Z722" s="20">
        <v>225.14000000000001</v>
      </c>
      <c r="AA722" s="20">
        <f t="shared" si="139"/>
        <v>701.38</v>
      </c>
      <c r="AB722" s="21"/>
      <c r="AC722" s="21">
        <v>11.04</v>
      </c>
      <c r="AD722" s="8">
        <f t="shared" si="140"/>
        <v>236.18</v>
      </c>
      <c r="AE722" s="25">
        <v>1.238</v>
      </c>
      <c r="AF722" s="25">
        <f t="shared" si="141"/>
        <v>73097.710000000006</v>
      </c>
      <c r="AG722" s="25">
        <f t="shared" si="142"/>
        <v>220493.99</v>
      </c>
      <c r="AH722" s="1">
        <f t="shared" si="132"/>
        <v>3041.4000000000005</v>
      </c>
      <c r="AI722" s="1">
        <f t="shared" si="133"/>
        <v>3062.5299999999997</v>
      </c>
      <c r="AJ722" s="1">
        <v>3752.75</v>
      </c>
      <c r="AK722" s="1">
        <f t="shared" si="134"/>
        <v>-711.34999999999945</v>
      </c>
      <c r="AL722" s="29">
        <f t="shared" si="143"/>
        <v>690.22000000000025</v>
      </c>
      <c r="AM722" s="11">
        <f t="shared" si="135"/>
        <v>2500956.8755000001</v>
      </c>
    </row>
    <row r="723" spans="1:39" x14ac:dyDescent="0.3">
      <c r="A723" s="39">
        <v>45996.489583333336</v>
      </c>
      <c r="B723" s="1">
        <v>1196.3800000000001</v>
      </c>
      <c r="C723" s="11">
        <v>3.2732000000000001</v>
      </c>
      <c r="D723" s="1">
        <v>649.45000000000005</v>
      </c>
      <c r="E723" s="11">
        <v>3.0760000000000001</v>
      </c>
      <c r="F723" s="1">
        <v>397.62</v>
      </c>
      <c r="G723" s="11">
        <v>3.53</v>
      </c>
      <c r="H723" s="1">
        <v>23.23</v>
      </c>
      <c r="I723" s="11">
        <v>2.7805</v>
      </c>
      <c r="J723" s="1">
        <v>16.420000000000002</v>
      </c>
      <c r="K723" s="11">
        <v>2.7991799999999998</v>
      </c>
      <c r="L723" s="1">
        <v>66.040000000000006</v>
      </c>
      <c r="M723" s="11">
        <v>6.2</v>
      </c>
      <c r="N723" s="1">
        <v>462.25</v>
      </c>
      <c r="O723" s="11">
        <v>2.8224999999999998</v>
      </c>
      <c r="P723" s="1">
        <f t="shared" si="136"/>
        <v>2811.3900000000003</v>
      </c>
      <c r="Q723" s="1">
        <v>2840.59</v>
      </c>
      <c r="R723" s="16">
        <f t="shared" si="137"/>
        <v>2285499.9979000003</v>
      </c>
      <c r="S723" s="1">
        <v>-414.28</v>
      </c>
      <c r="T723" s="1">
        <v>35.65</v>
      </c>
      <c r="U723" s="1">
        <v>12</v>
      </c>
      <c r="V723" s="1">
        <v>1.99</v>
      </c>
      <c r="W723" s="1" cm="1">
        <f t="array" ref="W723">SUM(ABS(S723:V723))</f>
        <v>463.91999999999996</v>
      </c>
      <c r="X723" s="25">
        <v>1.238</v>
      </c>
      <c r="Y723" s="42">
        <f t="shared" si="138"/>
        <v>143583.24</v>
      </c>
      <c r="Z723" s="20">
        <v>225.17999999999998</v>
      </c>
      <c r="AA723" s="20">
        <f t="shared" si="139"/>
        <v>689.09999999999991</v>
      </c>
      <c r="AB723" s="21"/>
      <c r="AC723" s="21">
        <v>10.93</v>
      </c>
      <c r="AD723" s="8">
        <f t="shared" si="140"/>
        <v>236.10999999999999</v>
      </c>
      <c r="AE723" s="25">
        <v>1.238</v>
      </c>
      <c r="AF723" s="25">
        <f t="shared" si="141"/>
        <v>73076.044999999998</v>
      </c>
      <c r="AG723" s="25">
        <f t="shared" si="142"/>
        <v>216659.28499999997</v>
      </c>
      <c r="AH723" s="1">
        <f t="shared" si="132"/>
        <v>3047.5000000000005</v>
      </c>
      <c r="AI723" s="1">
        <f t="shared" si="133"/>
        <v>3076.7000000000003</v>
      </c>
      <c r="AJ723" s="1">
        <v>3750.81</v>
      </c>
      <c r="AK723" s="1">
        <f t="shared" si="134"/>
        <v>-703.30999999999949</v>
      </c>
      <c r="AL723" s="29">
        <f t="shared" si="143"/>
        <v>674.10999999999967</v>
      </c>
      <c r="AM723" s="11">
        <f t="shared" si="135"/>
        <v>2502159.2829000005</v>
      </c>
    </row>
    <row r="724" spans="1:39" x14ac:dyDescent="0.3">
      <c r="A724" s="39">
        <v>45996.5</v>
      </c>
      <c r="B724" s="1">
        <v>1237.5999999999999</v>
      </c>
      <c r="C724" s="11">
        <v>3.2732000000000001</v>
      </c>
      <c r="D724" s="1">
        <v>649.45000000000005</v>
      </c>
      <c r="E724" s="11">
        <v>3.0760000000000001</v>
      </c>
      <c r="F724" s="1">
        <v>397.62</v>
      </c>
      <c r="G724" s="11">
        <v>3.53</v>
      </c>
      <c r="H724" s="1">
        <v>24.58</v>
      </c>
      <c r="I724" s="11">
        <v>2.78044</v>
      </c>
      <c r="J724" s="1">
        <v>16.420000000000002</v>
      </c>
      <c r="K724" s="11">
        <v>2.9593099999999999</v>
      </c>
      <c r="L724" s="1">
        <v>65.069999999999993</v>
      </c>
      <c r="M724" s="11">
        <v>6.2</v>
      </c>
      <c r="N724" s="1">
        <v>464.97</v>
      </c>
      <c r="O724" s="11">
        <v>2.8224999999999998</v>
      </c>
      <c r="P724" s="1">
        <f t="shared" si="136"/>
        <v>2855.71</v>
      </c>
      <c r="Q724" s="1">
        <v>2985.48</v>
      </c>
      <c r="R724" s="16">
        <f t="shared" si="137"/>
        <v>2321241.5076000001</v>
      </c>
      <c r="S724" s="1">
        <v>-280.47000000000003</v>
      </c>
      <c r="T724" s="1">
        <v>35.65</v>
      </c>
      <c r="U724" s="1">
        <v>12</v>
      </c>
      <c r="V724" s="1">
        <v>0</v>
      </c>
      <c r="W724" s="1" cm="1">
        <f t="array" ref="W724">SUM(ABS(S724:V724))</f>
        <v>328.12</v>
      </c>
      <c r="X724" s="25">
        <v>1.238</v>
      </c>
      <c r="Y724" s="42">
        <f t="shared" si="138"/>
        <v>101553.14</v>
      </c>
      <c r="Z724" s="20">
        <v>211.77999999999997</v>
      </c>
      <c r="AA724" s="20">
        <f t="shared" si="139"/>
        <v>539.9</v>
      </c>
      <c r="AB724" s="21"/>
      <c r="AC724" s="21">
        <v>11</v>
      </c>
      <c r="AD724" s="8">
        <f t="shared" si="140"/>
        <v>222.77999999999997</v>
      </c>
      <c r="AE724" s="25">
        <v>1.238</v>
      </c>
      <c r="AF724" s="25">
        <f t="shared" si="141"/>
        <v>68950.409999999989</v>
      </c>
      <c r="AG724" s="25">
        <f t="shared" si="142"/>
        <v>170503.55</v>
      </c>
      <c r="AH724" s="1">
        <f t="shared" si="132"/>
        <v>3078.49</v>
      </c>
      <c r="AI724" s="1">
        <f t="shared" si="133"/>
        <v>3208.26</v>
      </c>
      <c r="AJ724" s="1">
        <v>3761.54</v>
      </c>
      <c r="AK724" s="1">
        <f t="shared" si="134"/>
        <v>-683.05000000000018</v>
      </c>
      <c r="AL724" s="29">
        <f t="shared" si="143"/>
        <v>553.27999999999975</v>
      </c>
      <c r="AM724" s="11">
        <f t="shared" si="135"/>
        <v>2491745.0575999999</v>
      </c>
    </row>
    <row r="725" spans="1:39" x14ac:dyDescent="0.3">
      <c r="A725" s="39">
        <v>45996.510416666664</v>
      </c>
      <c r="B725" s="1">
        <v>1244.22</v>
      </c>
      <c r="C725" s="11">
        <v>3.2732000000000001</v>
      </c>
      <c r="D725" s="1">
        <v>649.45000000000005</v>
      </c>
      <c r="E725" s="11">
        <v>3.0760000000000001</v>
      </c>
      <c r="F725" s="1">
        <v>397.62</v>
      </c>
      <c r="G725" s="11">
        <v>3.53</v>
      </c>
      <c r="H725" s="1">
        <v>24.68</v>
      </c>
      <c r="I725" s="11">
        <v>2.78091</v>
      </c>
      <c r="J725" s="1">
        <v>16.420000000000002</v>
      </c>
      <c r="K725" s="11">
        <v>3.01939</v>
      </c>
      <c r="L725" s="1">
        <v>64.92</v>
      </c>
      <c r="M725" s="11">
        <v>6.2</v>
      </c>
      <c r="N725" s="1">
        <v>467.15</v>
      </c>
      <c r="O725" s="11">
        <v>2.8224999999999998</v>
      </c>
      <c r="P725" s="1">
        <f t="shared" si="136"/>
        <v>2864.46</v>
      </c>
      <c r="Q725" s="1">
        <v>2897.66</v>
      </c>
      <c r="R725" s="16">
        <f t="shared" si="137"/>
        <v>2328283.4554000003</v>
      </c>
      <c r="S725" s="1">
        <v>-385.77</v>
      </c>
      <c r="T725" s="1">
        <v>35.65</v>
      </c>
      <c r="U725" s="1">
        <v>12</v>
      </c>
      <c r="V725" s="1">
        <v>0</v>
      </c>
      <c r="W725" s="1" cm="1">
        <f t="array" ref="W725">SUM(ABS(S725:V725))</f>
        <v>433.41999999999996</v>
      </c>
      <c r="X725" s="25">
        <v>1.238</v>
      </c>
      <c r="Y725" s="42">
        <f t="shared" si="138"/>
        <v>134143.49</v>
      </c>
      <c r="Z725" s="20">
        <v>209.28000000000003</v>
      </c>
      <c r="AA725" s="20">
        <f t="shared" si="139"/>
        <v>642.70000000000005</v>
      </c>
      <c r="AB725" s="21"/>
      <c r="AC725" s="21">
        <v>10.45</v>
      </c>
      <c r="AD725" s="8">
        <f t="shared" si="140"/>
        <v>219.73000000000002</v>
      </c>
      <c r="AE725" s="25">
        <v>1.238</v>
      </c>
      <c r="AF725" s="25">
        <f t="shared" si="141"/>
        <v>68006.435000000012</v>
      </c>
      <c r="AG725" s="25">
        <f t="shared" si="142"/>
        <v>202149.92499999999</v>
      </c>
      <c r="AH725" s="1">
        <f t="shared" si="132"/>
        <v>3084.19</v>
      </c>
      <c r="AI725" s="1">
        <f t="shared" si="133"/>
        <v>3117.39</v>
      </c>
      <c r="AJ725" s="1">
        <v>3772.65</v>
      </c>
      <c r="AK725" s="1">
        <f t="shared" si="134"/>
        <v>-688.46</v>
      </c>
      <c r="AL725" s="29">
        <f t="shared" si="143"/>
        <v>655.26000000000022</v>
      </c>
      <c r="AM725" s="11">
        <f t="shared" si="135"/>
        <v>2530433.3804000001</v>
      </c>
    </row>
    <row r="726" spans="1:39" x14ac:dyDescent="0.3">
      <c r="A726" s="39">
        <v>45996.520833333336</v>
      </c>
      <c r="B726" s="1">
        <v>1313.24</v>
      </c>
      <c r="C726" s="11">
        <v>3.2732000000000001</v>
      </c>
      <c r="D726" s="1">
        <v>649.45000000000005</v>
      </c>
      <c r="E726" s="11">
        <v>3.0760000000000001</v>
      </c>
      <c r="F726" s="1">
        <v>397.62</v>
      </c>
      <c r="G726" s="11">
        <v>3.53</v>
      </c>
      <c r="H726" s="1">
        <v>24.68</v>
      </c>
      <c r="I726" s="11">
        <v>2.8504099999999997</v>
      </c>
      <c r="J726" s="1">
        <v>19.11</v>
      </c>
      <c r="K726" s="11">
        <v>2.9803800000000003</v>
      </c>
      <c r="L726" s="1">
        <v>64.819999999999993</v>
      </c>
      <c r="M726" s="11">
        <v>6.2</v>
      </c>
      <c r="N726" s="1">
        <v>468.78</v>
      </c>
      <c r="O726" s="11">
        <v>2.8224999999999998</v>
      </c>
      <c r="P726" s="1">
        <f t="shared" si="136"/>
        <v>2937.7</v>
      </c>
      <c r="Q726" s="1">
        <v>2954.91</v>
      </c>
      <c r="R726" s="16">
        <f t="shared" si="137"/>
        <v>2388030.6746499999</v>
      </c>
      <c r="S726" s="1">
        <v>-268.77999999999997</v>
      </c>
      <c r="T726" s="1">
        <v>35.65</v>
      </c>
      <c r="U726" s="1">
        <v>12</v>
      </c>
      <c r="V726" s="1">
        <v>0</v>
      </c>
      <c r="W726" s="1" cm="1">
        <f t="array" ref="W726">SUM(ABS(S726:V726))</f>
        <v>316.42999999999995</v>
      </c>
      <c r="X726" s="25">
        <v>1.238</v>
      </c>
      <c r="Y726" s="42">
        <f t="shared" si="138"/>
        <v>97935.084999999992</v>
      </c>
      <c r="Z726" s="20">
        <v>209.24</v>
      </c>
      <c r="AA726" s="20">
        <f t="shared" si="139"/>
        <v>525.66999999999996</v>
      </c>
      <c r="AB726" s="21"/>
      <c r="AC726" s="21">
        <v>10.64</v>
      </c>
      <c r="AD726" s="8">
        <f t="shared" si="140"/>
        <v>219.88</v>
      </c>
      <c r="AE726" s="25">
        <v>1.238</v>
      </c>
      <c r="AF726" s="25">
        <f t="shared" si="141"/>
        <v>68052.86</v>
      </c>
      <c r="AG726" s="25">
        <f t="shared" si="142"/>
        <v>165987.94500000001</v>
      </c>
      <c r="AH726" s="1">
        <f t="shared" si="132"/>
        <v>3157.58</v>
      </c>
      <c r="AI726" s="1">
        <f t="shared" si="133"/>
        <v>3174.79</v>
      </c>
      <c r="AJ726" s="1">
        <v>3720.01</v>
      </c>
      <c r="AK726" s="1">
        <f t="shared" si="134"/>
        <v>-562.43000000000029</v>
      </c>
      <c r="AL726" s="29">
        <f t="shared" si="143"/>
        <v>545.22000000000025</v>
      </c>
      <c r="AM726" s="11">
        <f t="shared" si="135"/>
        <v>2554018.6196499998</v>
      </c>
    </row>
    <row r="727" spans="1:39" x14ac:dyDescent="0.3">
      <c r="A727" s="39">
        <v>45996.53125</v>
      </c>
      <c r="B727" s="1">
        <v>1315.42</v>
      </c>
      <c r="C727" s="11">
        <v>3.2732000000000001</v>
      </c>
      <c r="D727" s="1">
        <v>649.45000000000005</v>
      </c>
      <c r="E727" s="11">
        <v>3.0760000000000001</v>
      </c>
      <c r="F727" s="1">
        <v>397.62</v>
      </c>
      <c r="G727" s="11">
        <v>3.53</v>
      </c>
      <c r="H727" s="1">
        <v>24.68</v>
      </c>
      <c r="I727" s="11">
        <v>2.89995</v>
      </c>
      <c r="J727" s="1">
        <v>19.309999999999999</v>
      </c>
      <c r="K727" s="11">
        <v>2.7993399999999999</v>
      </c>
      <c r="L727" s="1">
        <v>64.09</v>
      </c>
      <c r="M727" s="11">
        <v>6.2</v>
      </c>
      <c r="N727" s="1">
        <v>468.99</v>
      </c>
      <c r="O727" s="11">
        <v>2.8224999999999998</v>
      </c>
      <c r="P727" s="1">
        <f t="shared" si="136"/>
        <v>2939.5600000000004</v>
      </c>
      <c r="Q727" s="1">
        <v>2991.57</v>
      </c>
      <c r="R727" s="16">
        <f t="shared" si="137"/>
        <v>2388411.9601000003</v>
      </c>
      <c r="S727" s="1">
        <v>-257.02</v>
      </c>
      <c r="T727" s="1">
        <v>35.65</v>
      </c>
      <c r="U727" s="1">
        <v>12</v>
      </c>
      <c r="V727" s="1">
        <v>0</v>
      </c>
      <c r="W727" s="1" cm="1">
        <f t="array" ref="W727">SUM(ABS(S727:V727))</f>
        <v>304.66999999999996</v>
      </c>
      <c r="X727" s="25">
        <v>1.238</v>
      </c>
      <c r="Y727" s="42">
        <f t="shared" si="138"/>
        <v>94295.364999999991</v>
      </c>
      <c r="Z727" s="20">
        <v>209.27999999999997</v>
      </c>
      <c r="AA727" s="20">
        <f t="shared" si="139"/>
        <v>513.94999999999993</v>
      </c>
      <c r="AB727" s="21"/>
      <c r="AC727" s="21">
        <v>10.25</v>
      </c>
      <c r="AD727" s="8">
        <f t="shared" si="140"/>
        <v>219.52999999999997</v>
      </c>
      <c r="AE727" s="25">
        <v>1.238</v>
      </c>
      <c r="AF727" s="25">
        <f t="shared" si="141"/>
        <v>67944.534999999989</v>
      </c>
      <c r="AG727" s="25">
        <f t="shared" si="142"/>
        <v>162239.89999999997</v>
      </c>
      <c r="AH727" s="1">
        <f t="shared" si="132"/>
        <v>3159.09</v>
      </c>
      <c r="AI727" s="1">
        <f t="shared" si="133"/>
        <v>3211.1000000000004</v>
      </c>
      <c r="AJ727" s="1">
        <v>3746.64</v>
      </c>
      <c r="AK727" s="1">
        <f t="shared" si="134"/>
        <v>-587.54999999999973</v>
      </c>
      <c r="AL727" s="29">
        <f t="shared" si="143"/>
        <v>535.53999999999951</v>
      </c>
      <c r="AM727" s="11">
        <f t="shared" si="135"/>
        <v>2550651.8601000002</v>
      </c>
    </row>
    <row r="728" spans="1:39" x14ac:dyDescent="0.3">
      <c r="A728" s="39">
        <v>45996.541666666664</v>
      </c>
      <c r="B728" s="1">
        <v>1315.22</v>
      </c>
      <c r="C728" s="11">
        <v>3.2732000000000001</v>
      </c>
      <c r="D728" s="1">
        <v>649.45000000000005</v>
      </c>
      <c r="E728" s="11">
        <v>3.0760000000000001</v>
      </c>
      <c r="F728" s="1">
        <v>397.62</v>
      </c>
      <c r="G728" s="11">
        <v>3.53</v>
      </c>
      <c r="H728" s="1">
        <v>20.38</v>
      </c>
      <c r="I728" s="11">
        <v>2.83948</v>
      </c>
      <c r="J728" s="1">
        <v>142.94999999999999</v>
      </c>
      <c r="K728" s="11">
        <v>2.0559699999999999</v>
      </c>
      <c r="L728" s="1">
        <v>64.94</v>
      </c>
      <c r="M728" s="11">
        <v>6.2</v>
      </c>
      <c r="N728" s="1">
        <v>471.42</v>
      </c>
      <c r="O728" s="11">
        <v>2.8224999999999998</v>
      </c>
      <c r="P728" s="1">
        <f t="shared" si="136"/>
        <v>3061.98</v>
      </c>
      <c r="Q728" s="1">
        <v>3098.86</v>
      </c>
      <c r="R728" s="16">
        <f t="shared" si="137"/>
        <v>2447816.3419749998</v>
      </c>
      <c r="S728" s="1">
        <v>-155.84</v>
      </c>
      <c r="T728" s="1">
        <v>35.65</v>
      </c>
      <c r="U728" s="1">
        <v>12</v>
      </c>
      <c r="V728" s="1">
        <v>0</v>
      </c>
      <c r="W728" s="1" cm="1">
        <f t="array" ref="W728">SUM(ABS(S728:V728))</f>
        <v>203.49</v>
      </c>
      <c r="X728" s="25">
        <v>1.238</v>
      </c>
      <c r="Y728" s="42">
        <f t="shared" si="138"/>
        <v>62980.155000000006</v>
      </c>
      <c r="Z728" s="20">
        <v>209.26</v>
      </c>
      <c r="AA728" s="20">
        <f t="shared" si="139"/>
        <v>412.75</v>
      </c>
      <c r="AB728" s="21"/>
      <c r="AC728" s="21">
        <v>9.1999999999999993</v>
      </c>
      <c r="AD728" s="8">
        <f t="shared" si="140"/>
        <v>218.45999999999998</v>
      </c>
      <c r="AE728" s="25">
        <v>1.238</v>
      </c>
      <c r="AF728" s="25">
        <f t="shared" si="141"/>
        <v>67613.37</v>
      </c>
      <c r="AG728" s="25">
        <f t="shared" si="142"/>
        <v>130593.52499999999</v>
      </c>
      <c r="AH728" s="1">
        <f t="shared" si="132"/>
        <v>3280.44</v>
      </c>
      <c r="AI728" s="1">
        <f t="shared" si="133"/>
        <v>3317.32</v>
      </c>
      <c r="AJ728" s="1">
        <v>3751.46</v>
      </c>
      <c r="AK728" s="1">
        <f t="shared" si="134"/>
        <v>-471.02</v>
      </c>
      <c r="AL728" s="29">
        <f t="shared" si="143"/>
        <v>434.13999999999987</v>
      </c>
      <c r="AM728" s="11">
        <f t="shared" si="135"/>
        <v>2578409.8669749997</v>
      </c>
    </row>
    <row r="729" spans="1:39" x14ac:dyDescent="0.3">
      <c r="A729" s="39">
        <v>45996.552083333336</v>
      </c>
      <c r="B729" s="1">
        <v>1315.22</v>
      </c>
      <c r="C729" s="11">
        <v>3.2732000000000001</v>
      </c>
      <c r="D729" s="1">
        <v>649.45000000000005</v>
      </c>
      <c r="E729" s="11">
        <v>3.0760000000000001</v>
      </c>
      <c r="F729" s="1">
        <v>397.62</v>
      </c>
      <c r="G729" s="11">
        <v>3.53</v>
      </c>
      <c r="H729" s="1">
        <v>20.95</v>
      </c>
      <c r="I729" s="11">
        <v>2.7732899999999998</v>
      </c>
      <c r="J729" s="1">
        <v>151.62</v>
      </c>
      <c r="K729" s="11">
        <v>2.0676700000000001</v>
      </c>
      <c r="L729" s="1">
        <v>64.459999999999994</v>
      </c>
      <c r="M729" s="11">
        <v>6.2</v>
      </c>
      <c r="N729" s="1">
        <v>469.59</v>
      </c>
      <c r="O729" s="11">
        <v>2.8224999999999998</v>
      </c>
      <c r="P729" s="1">
        <f t="shared" si="136"/>
        <v>3068.91</v>
      </c>
      <c r="Q729" s="1">
        <v>3126.1</v>
      </c>
      <c r="R729" s="16">
        <f t="shared" si="137"/>
        <v>2450738.8074749997</v>
      </c>
      <c r="S729" s="1">
        <v>-139.99</v>
      </c>
      <c r="T729" s="1">
        <v>35.65</v>
      </c>
      <c r="U729" s="1">
        <v>12</v>
      </c>
      <c r="V729" s="1">
        <v>0</v>
      </c>
      <c r="W729" s="1" cm="1">
        <f t="array" ref="W729">SUM(ABS(S729:V729))</f>
        <v>187.64000000000001</v>
      </c>
      <c r="X729" s="25">
        <v>1.238</v>
      </c>
      <c r="Y729" s="42">
        <f t="shared" si="138"/>
        <v>58074.58</v>
      </c>
      <c r="Z729" s="20">
        <v>209.31000000000003</v>
      </c>
      <c r="AA729" s="20">
        <f t="shared" si="139"/>
        <v>396.95000000000005</v>
      </c>
      <c r="AB729" s="21"/>
      <c r="AC729" s="21">
        <v>10.26</v>
      </c>
      <c r="AD729" s="8">
        <f t="shared" si="140"/>
        <v>219.57000000000002</v>
      </c>
      <c r="AE729" s="25">
        <v>1.238</v>
      </c>
      <c r="AF729" s="25">
        <f t="shared" si="141"/>
        <v>67956.915000000008</v>
      </c>
      <c r="AG729" s="25">
        <f t="shared" si="142"/>
        <v>126031.49500000001</v>
      </c>
      <c r="AH729" s="1">
        <f t="shared" si="132"/>
        <v>3288.48</v>
      </c>
      <c r="AI729" s="1">
        <f t="shared" si="133"/>
        <v>3345.67</v>
      </c>
      <c r="AJ729" s="1">
        <v>3756.1</v>
      </c>
      <c r="AK729" s="1">
        <f t="shared" si="134"/>
        <v>-467.61999999999989</v>
      </c>
      <c r="AL729" s="29">
        <f t="shared" si="143"/>
        <v>410.42999999999984</v>
      </c>
      <c r="AM729" s="11">
        <f t="shared" si="135"/>
        <v>2576770.3024749998</v>
      </c>
    </row>
    <row r="730" spans="1:39" x14ac:dyDescent="0.3">
      <c r="A730" s="39">
        <v>45996.5625</v>
      </c>
      <c r="B730" s="1">
        <v>1315.22</v>
      </c>
      <c r="C730" s="11">
        <v>3.2732000000000001</v>
      </c>
      <c r="D730" s="1">
        <v>649.45000000000005</v>
      </c>
      <c r="E730" s="11">
        <v>3.0760000000000001</v>
      </c>
      <c r="F730" s="1">
        <v>397.62</v>
      </c>
      <c r="G730" s="11">
        <v>3.53</v>
      </c>
      <c r="H730" s="1">
        <v>21.02</v>
      </c>
      <c r="I730" s="11">
        <v>2.8996399999999998</v>
      </c>
      <c r="J730" s="1">
        <v>60.52</v>
      </c>
      <c r="K730" s="11">
        <v>2.6005100000000003</v>
      </c>
      <c r="L730" s="1">
        <v>63.52</v>
      </c>
      <c r="M730" s="11">
        <v>6.2</v>
      </c>
      <c r="N730" s="1">
        <v>459.4</v>
      </c>
      <c r="O730" s="11">
        <v>2.8224999999999998</v>
      </c>
      <c r="P730" s="1">
        <f t="shared" si="136"/>
        <v>2966.75</v>
      </c>
      <c r="Q730" s="1">
        <v>3030.11</v>
      </c>
      <c r="R730" s="16">
        <f t="shared" si="137"/>
        <v>2403774.6754999999</v>
      </c>
      <c r="S730" s="1">
        <v>-150.04</v>
      </c>
      <c r="T730" s="1">
        <v>35.65</v>
      </c>
      <c r="U730" s="1">
        <v>12</v>
      </c>
      <c r="V730" s="1">
        <v>0</v>
      </c>
      <c r="W730" s="1" cm="1">
        <f t="array" ref="W730">SUM(ABS(S730:V730))</f>
        <v>197.69</v>
      </c>
      <c r="X730" s="25">
        <v>1.238</v>
      </c>
      <c r="Y730" s="42">
        <f t="shared" si="138"/>
        <v>61185.055</v>
      </c>
      <c r="Z730" s="20">
        <v>338.32</v>
      </c>
      <c r="AA730" s="20">
        <f t="shared" si="139"/>
        <v>536.01</v>
      </c>
      <c r="AB730" s="21"/>
      <c r="AC730" s="21">
        <v>10.309999999999999</v>
      </c>
      <c r="AD730" s="8">
        <f t="shared" si="140"/>
        <v>348.63</v>
      </c>
      <c r="AE730" s="25">
        <v>1.238</v>
      </c>
      <c r="AF730" s="25">
        <f t="shared" si="141"/>
        <v>107900.98499999999</v>
      </c>
      <c r="AG730" s="25">
        <f t="shared" si="142"/>
        <v>169086.03999999998</v>
      </c>
      <c r="AH730" s="1">
        <f t="shared" si="132"/>
        <v>3315.38</v>
      </c>
      <c r="AI730" s="1">
        <f t="shared" si="133"/>
        <v>3378.7400000000002</v>
      </c>
      <c r="AJ730" s="1">
        <v>3795.74</v>
      </c>
      <c r="AK730" s="1">
        <f t="shared" si="134"/>
        <v>-480.35999999999967</v>
      </c>
      <c r="AL730" s="29">
        <f t="shared" si="143"/>
        <v>416.99999999999955</v>
      </c>
      <c r="AM730" s="11">
        <f t="shared" si="135"/>
        <v>2572860.7154999999</v>
      </c>
    </row>
    <row r="731" spans="1:39" x14ac:dyDescent="0.3">
      <c r="A731" s="39">
        <v>45996.572916666664</v>
      </c>
      <c r="B731" s="1">
        <v>1315.22</v>
      </c>
      <c r="C731" s="11">
        <v>3.2732000000000001</v>
      </c>
      <c r="D731" s="1">
        <v>649.45000000000005</v>
      </c>
      <c r="E731" s="11">
        <v>3.0760000000000001</v>
      </c>
      <c r="F731" s="1">
        <v>397.62</v>
      </c>
      <c r="G731" s="11">
        <v>3.53</v>
      </c>
      <c r="H731" s="1">
        <v>22.81</v>
      </c>
      <c r="I731" s="11">
        <v>2.9710300000000003</v>
      </c>
      <c r="J731" s="1">
        <v>53.08</v>
      </c>
      <c r="K731" s="11">
        <v>2.84992</v>
      </c>
      <c r="L731" s="1">
        <v>64.55</v>
      </c>
      <c r="M731" s="11">
        <v>6.2</v>
      </c>
      <c r="N731" s="1">
        <v>462.05</v>
      </c>
      <c r="O731" s="11">
        <v>2.8224999999999998</v>
      </c>
      <c r="P731" s="1">
        <f t="shared" si="136"/>
        <v>2964.78</v>
      </c>
      <c r="Q731" s="1">
        <v>3042.6</v>
      </c>
      <c r="R731" s="16">
        <f t="shared" si="137"/>
        <v>2407418.4942250005</v>
      </c>
      <c r="S731" s="1">
        <v>-195.54</v>
      </c>
      <c r="T731" s="1">
        <v>35.65</v>
      </c>
      <c r="U731" s="1">
        <v>12</v>
      </c>
      <c r="V731" s="1">
        <v>0</v>
      </c>
      <c r="W731" s="1" cm="1">
        <f t="array" ref="W731">SUM(ABS(S731:V731))</f>
        <v>243.19</v>
      </c>
      <c r="X731" s="25">
        <v>1.238</v>
      </c>
      <c r="Y731" s="42">
        <f t="shared" si="138"/>
        <v>75267.304999999993</v>
      </c>
      <c r="Z731" s="20">
        <v>352.43999999999994</v>
      </c>
      <c r="AA731" s="20">
        <f t="shared" si="139"/>
        <v>595.62999999999988</v>
      </c>
      <c r="AB731" s="21"/>
      <c r="AC731" s="21">
        <v>10.75</v>
      </c>
      <c r="AD731" s="8">
        <f t="shared" si="140"/>
        <v>363.18999999999994</v>
      </c>
      <c r="AE731" s="25">
        <v>1.238</v>
      </c>
      <c r="AF731" s="25">
        <f t="shared" si="141"/>
        <v>112407.30499999998</v>
      </c>
      <c r="AG731" s="25">
        <f t="shared" si="142"/>
        <v>187674.61</v>
      </c>
      <c r="AH731" s="1">
        <f t="shared" si="132"/>
        <v>3327.9700000000003</v>
      </c>
      <c r="AI731" s="1">
        <f t="shared" si="133"/>
        <v>3405.79</v>
      </c>
      <c r="AJ731" s="1">
        <v>3864.62</v>
      </c>
      <c r="AK731" s="1">
        <f t="shared" si="134"/>
        <v>-536.64999999999964</v>
      </c>
      <c r="AL731" s="29">
        <f t="shared" si="143"/>
        <v>458.82999999999993</v>
      </c>
      <c r="AM731" s="11">
        <f t="shared" si="135"/>
        <v>2595093.1042250004</v>
      </c>
    </row>
    <row r="732" spans="1:39" x14ac:dyDescent="0.3">
      <c r="A732" s="39">
        <v>45996.583333333336</v>
      </c>
      <c r="B732" s="1">
        <v>1315.22</v>
      </c>
      <c r="C732" s="11">
        <v>3.2732000000000001</v>
      </c>
      <c r="D732" s="1">
        <v>655.79</v>
      </c>
      <c r="E732" s="11">
        <v>3.0760000000000001</v>
      </c>
      <c r="F732" s="1">
        <v>397.62</v>
      </c>
      <c r="G732" s="11">
        <v>3.53</v>
      </c>
      <c r="H732" s="1">
        <v>24.02</v>
      </c>
      <c r="I732" s="11">
        <v>2.97153</v>
      </c>
      <c r="J732" s="1">
        <v>21.48</v>
      </c>
      <c r="K732" s="11">
        <v>2.9806699999999999</v>
      </c>
      <c r="L732" s="1">
        <v>57.32</v>
      </c>
      <c r="M732" s="11">
        <v>6.2</v>
      </c>
      <c r="N732" s="1">
        <v>454.94</v>
      </c>
      <c r="O732" s="11">
        <v>2.8224999999999998</v>
      </c>
      <c r="P732" s="1">
        <f t="shared" si="136"/>
        <v>2926.3900000000003</v>
      </c>
      <c r="Q732" s="1">
        <v>2962.44</v>
      </c>
      <c r="R732" s="16">
        <f t="shared" si="137"/>
        <v>2375159.9590500002</v>
      </c>
      <c r="S732" s="1">
        <v>-365.21</v>
      </c>
      <c r="T732" s="1">
        <v>35.65</v>
      </c>
      <c r="U732" s="1">
        <v>12</v>
      </c>
      <c r="V732" s="1">
        <v>0</v>
      </c>
      <c r="W732" s="1" cm="1">
        <f t="array" ref="W732">SUM(ABS(S732:V732))</f>
        <v>412.85999999999996</v>
      </c>
      <c r="X732" s="25">
        <v>1.238</v>
      </c>
      <c r="Y732" s="42">
        <f t="shared" si="138"/>
        <v>127780.16999999998</v>
      </c>
      <c r="Z732" s="20">
        <v>353.07000000000005</v>
      </c>
      <c r="AA732" s="20">
        <f t="shared" si="139"/>
        <v>765.93000000000006</v>
      </c>
      <c r="AB732" s="21"/>
      <c r="AC732" s="21">
        <v>10.39</v>
      </c>
      <c r="AD732" s="8">
        <f t="shared" si="140"/>
        <v>363.46000000000004</v>
      </c>
      <c r="AE732" s="25">
        <v>1.238</v>
      </c>
      <c r="AF732" s="25">
        <f t="shared" si="141"/>
        <v>112490.87000000001</v>
      </c>
      <c r="AG732" s="25">
        <f t="shared" si="142"/>
        <v>240271.03999999998</v>
      </c>
      <c r="AH732" s="1">
        <f t="shared" si="132"/>
        <v>3289.8500000000004</v>
      </c>
      <c r="AI732" s="1">
        <f t="shared" si="133"/>
        <v>3325.9</v>
      </c>
      <c r="AJ732" s="1">
        <v>3956.12</v>
      </c>
      <c r="AK732" s="1">
        <f t="shared" si="134"/>
        <v>-666.26999999999953</v>
      </c>
      <c r="AL732" s="29">
        <f t="shared" si="143"/>
        <v>630.2199999999998</v>
      </c>
      <c r="AM732" s="11">
        <f t="shared" si="135"/>
        <v>2615430.9990500002</v>
      </c>
    </row>
    <row r="733" spans="1:39" x14ac:dyDescent="0.3">
      <c r="A733" s="39">
        <v>45996.59375</v>
      </c>
      <c r="B733" s="1">
        <v>1315.22</v>
      </c>
      <c r="C733" s="11">
        <v>3.2732000000000001</v>
      </c>
      <c r="D733" s="1">
        <v>656.27</v>
      </c>
      <c r="E733" s="11">
        <v>3.0760000000000001</v>
      </c>
      <c r="F733" s="1">
        <v>397.62</v>
      </c>
      <c r="G733" s="11">
        <v>3.53</v>
      </c>
      <c r="H733" s="1">
        <v>24.99</v>
      </c>
      <c r="I733" s="11">
        <v>2.97187</v>
      </c>
      <c r="J733" s="1">
        <v>19.309999999999999</v>
      </c>
      <c r="K733" s="11">
        <v>3.2016999999999998</v>
      </c>
      <c r="L733" s="1">
        <v>56.73</v>
      </c>
      <c r="M733" s="11">
        <v>6.2</v>
      </c>
      <c r="N733" s="1">
        <v>442.51</v>
      </c>
      <c r="O733" s="11">
        <v>2.8224999999999998</v>
      </c>
      <c r="P733" s="1">
        <f t="shared" si="136"/>
        <v>2912.6499999999996</v>
      </c>
      <c r="Q733" s="1">
        <v>2939.44</v>
      </c>
      <c r="R733" s="16">
        <f t="shared" si="137"/>
        <v>2366016.3893249999</v>
      </c>
      <c r="S733" s="1">
        <v>-500.72</v>
      </c>
      <c r="T733" s="1">
        <v>35.65</v>
      </c>
      <c r="U733" s="1">
        <v>12</v>
      </c>
      <c r="V733" s="1">
        <v>0</v>
      </c>
      <c r="W733" s="1" cm="1">
        <f t="array" ref="W733">SUM(ABS(S733:V733))</f>
        <v>548.37</v>
      </c>
      <c r="X733" s="25">
        <v>1.238</v>
      </c>
      <c r="Y733" s="42">
        <f t="shared" si="138"/>
        <v>169720.51500000001</v>
      </c>
      <c r="Z733" s="20">
        <v>360.3</v>
      </c>
      <c r="AA733" s="20">
        <f t="shared" si="139"/>
        <v>908.67000000000007</v>
      </c>
      <c r="AB733" s="21"/>
      <c r="AC733" s="21">
        <v>12.87</v>
      </c>
      <c r="AD733" s="8">
        <f t="shared" si="140"/>
        <v>373.17</v>
      </c>
      <c r="AE733" s="25">
        <v>1.238</v>
      </c>
      <c r="AF733" s="25">
        <f t="shared" si="141"/>
        <v>115496.11500000001</v>
      </c>
      <c r="AG733" s="25">
        <f t="shared" si="142"/>
        <v>285216.63</v>
      </c>
      <c r="AH733" s="1">
        <f t="shared" si="132"/>
        <v>3285.8199999999997</v>
      </c>
      <c r="AI733" s="1">
        <f t="shared" si="133"/>
        <v>3312.61</v>
      </c>
      <c r="AJ733" s="1">
        <v>4071.41</v>
      </c>
      <c r="AK733" s="1">
        <f t="shared" si="134"/>
        <v>-785.59000000000015</v>
      </c>
      <c r="AL733" s="29">
        <f t="shared" si="143"/>
        <v>758.79999999999973</v>
      </c>
      <c r="AM733" s="11">
        <f t="shared" si="135"/>
        <v>2651233.0193249998</v>
      </c>
    </row>
    <row r="734" spans="1:39" x14ac:dyDescent="0.3">
      <c r="A734" s="39">
        <v>45996.604166666664</v>
      </c>
      <c r="B734" s="1">
        <v>1362.1</v>
      </c>
      <c r="C734" s="11">
        <v>3.2732000000000001</v>
      </c>
      <c r="D734" s="1">
        <v>656.27</v>
      </c>
      <c r="E734" s="11">
        <v>3.0760000000000001</v>
      </c>
      <c r="F734" s="1">
        <v>397.62</v>
      </c>
      <c r="G734" s="11">
        <v>3.53</v>
      </c>
      <c r="H734" s="1">
        <v>25.06</v>
      </c>
      <c r="I734" s="11">
        <v>2.9719799999999998</v>
      </c>
      <c r="J734" s="1">
        <v>5.81</v>
      </c>
      <c r="K734" s="11">
        <v>3.4708299999999999</v>
      </c>
      <c r="L734" s="1">
        <v>56.18</v>
      </c>
      <c r="M734" s="11">
        <v>6.2</v>
      </c>
      <c r="N734" s="1">
        <v>422.72</v>
      </c>
      <c r="O734" s="11">
        <v>2.8224999999999998</v>
      </c>
      <c r="P734" s="1">
        <f t="shared" si="136"/>
        <v>2925.7599999999993</v>
      </c>
      <c r="Q734" s="1">
        <v>2957.1</v>
      </c>
      <c r="R734" s="16">
        <f t="shared" si="137"/>
        <v>2379199.3452750002</v>
      </c>
      <c r="S734" s="1">
        <v>-590.15</v>
      </c>
      <c r="T734" s="1">
        <v>35.65</v>
      </c>
      <c r="U734" s="1">
        <v>12</v>
      </c>
      <c r="V734" s="1">
        <v>0</v>
      </c>
      <c r="W734" s="1" cm="1">
        <f t="array" ref="W734">SUM(ABS(S734:V734))</f>
        <v>637.79999999999995</v>
      </c>
      <c r="X734" s="25">
        <v>1.238</v>
      </c>
      <c r="Y734" s="42">
        <f t="shared" si="138"/>
        <v>197399.09999999998</v>
      </c>
      <c r="Z734" s="20">
        <v>378.95000000000005</v>
      </c>
      <c r="AA734" s="20">
        <f t="shared" si="139"/>
        <v>1016.75</v>
      </c>
      <c r="AB734" s="21"/>
      <c r="AC734" s="21">
        <v>13.61</v>
      </c>
      <c r="AD734" s="8">
        <f t="shared" si="140"/>
        <v>392.56000000000006</v>
      </c>
      <c r="AE734" s="25">
        <v>1.238</v>
      </c>
      <c r="AF734" s="25">
        <f t="shared" si="141"/>
        <v>121497.32000000002</v>
      </c>
      <c r="AG734" s="25">
        <f t="shared" si="142"/>
        <v>318896.42</v>
      </c>
      <c r="AH734" s="1">
        <f t="shared" si="132"/>
        <v>3318.3199999999993</v>
      </c>
      <c r="AI734" s="1">
        <f t="shared" si="133"/>
        <v>3349.66</v>
      </c>
      <c r="AJ734" s="1">
        <v>4184.95</v>
      </c>
      <c r="AK734" s="1">
        <f t="shared" si="134"/>
        <v>-866.63000000000056</v>
      </c>
      <c r="AL734" s="29">
        <f t="shared" si="143"/>
        <v>835.29</v>
      </c>
      <c r="AM734" s="11">
        <f t="shared" si="135"/>
        <v>2698095.7652750001</v>
      </c>
    </row>
    <row r="735" spans="1:39" x14ac:dyDescent="0.3">
      <c r="A735" s="39">
        <v>45996.614583333336</v>
      </c>
      <c r="B735" s="1">
        <v>1405.38</v>
      </c>
      <c r="C735" s="11">
        <v>3.2732000000000001</v>
      </c>
      <c r="D735" s="1">
        <v>656.27</v>
      </c>
      <c r="E735" s="11">
        <v>3.0760000000000001</v>
      </c>
      <c r="F735" s="1">
        <v>397.62</v>
      </c>
      <c r="G735" s="11">
        <v>3.53</v>
      </c>
      <c r="H735" s="1">
        <v>-67.72</v>
      </c>
      <c r="I735" s="11">
        <v>3.1197600000000003</v>
      </c>
      <c r="J735" s="1">
        <v>-1.53</v>
      </c>
      <c r="K735" s="11">
        <v>3.6206799999999997</v>
      </c>
      <c r="L735" s="1">
        <v>56.14</v>
      </c>
      <c r="M735" s="11">
        <v>6.2</v>
      </c>
      <c r="N735" s="1">
        <v>403.57</v>
      </c>
      <c r="O735" s="11">
        <v>2.8224999999999998</v>
      </c>
      <c r="P735" s="1">
        <f t="shared" si="136"/>
        <v>2849.73</v>
      </c>
      <c r="Q735" s="1">
        <v>2974.7</v>
      </c>
      <c r="R735" s="16">
        <f t="shared" si="137"/>
        <v>2323177.3683500006</v>
      </c>
      <c r="S735" s="1">
        <v>-682.89</v>
      </c>
      <c r="T735" s="1">
        <v>35.65</v>
      </c>
      <c r="U735" s="1">
        <v>12</v>
      </c>
      <c r="V735" s="1">
        <v>0</v>
      </c>
      <c r="W735" s="1" cm="1">
        <f t="array" ref="W735">SUM(ABS(S735:V735))</f>
        <v>730.54</v>
      </c>
      <c r="X735" s="25">
        <v>1.238</v>
      </c>
      <c r="Y735" s="42">
        <f t="shared" si="138"/>
        <v>226102.12999999998</v>
      </c>
      <c r="Z735" s="20">
        <v>384.98</v>
      </c>
      <c r="AA735" s="20">
        <f t="shared" si="139"/>
        <v>1115.52</v>
      </c>
      <c r="AB735" s="21"/>
      <c r="AC735" s="21">
        <v>14.09</v>
      </c>
      <c r="AD735" s="8">
        <f t="shared" si="140"/>
        <v>399.07</v>
      </c>
      <c r="AE735" s="25">
        <v>1.238</v>
      </c>
      <c r="AF735" s="25">
        <f t="shared" si="141"/>
        <v>123512.16499999999</v>
      </c>
      <c r="AG735" s="25">
        <f t="shared" si="142"/>
        <v>349614.29499999998</v>
      </c>
      <c r="AH735" s="1">
        <f t="shared" si="132"/>
        <v>3248.8</v>
      </c>
      <c r="AI735" s="1">
        <f t="shared" si="133"/>
        <v>3373.77</v>
      </c>
      <c r="AJ735" s="1">
        <v>4290.32</v>
      </c>
      <c r="AK735" s="1">
        <f t="shared" si="134"/>
        <v>-1041.5199999999995</v>
      </c>
      <c r="AL735" s="29">
        <f t="shared" si="143"/>
        <v>916.54999999999973</v>
      </c>
      <c r="AM735" s="11">
        <f t="shared" si="135"/>
        <v>2672791.6633500005</v>
      </c>
    </row>
    <row r="736" spans="1:39" x14ac:dyDescent="0.3">
      <c r="A736" s="39">
        <v>45996.625</v>
      </c>
      <c r="B736" s="1">
        <v>1408.13</v>
      </c>
      <c r="C736" s="11">
        <v>3.2732000000000001</v>
      </c>
      <c r="D736" s="1">
        <v>656.27</v>
      </c>
      <c r="E736" s="11">
        <v>3.0760000000000001</v>
      </c>
      <c r="F736" s="1">
        <v>397.62</v>
      </c>
      <c r="G736" s="11">
        <v>3.53</v>
      </c>
      <c r="H736" s="1">
        <v>-58.74</v>
      </c>
      <c r="I736" s="11">
        <v>3.2054800000000001</v>
      </c>
      <c r="J736" s="1">
        <v>-1.97</v>
      </c>
      <c r="K736" s="11">
        <v>3.6490200000000002</v>
      </c>
      <c r="L736" s="1">
        <v>41.48</v>
      </c>
      <c r="M736" s="11">
        <v>6.2</v>
      </c>
      <c r="N736" s="1">
        <v>405.36</v>
      </c>
      <c r="O736" s="11">
        <v>2.8224999999999998</v>
      </c>
      <c r="P736" s="1">
        <f t="shared" si="136"/>
        <v>2848.1500000000005</v>
      </c>
      <c r="Q736" s="1">
        <v>2976.53</v>
      </c>
      <c r="R736" s="16">
        <f t="shared" si="137"/>
        <v>2309300.5928500006</v>
      </c>
      <c r="S736" s="1">
        <v>-719.02</v>
      </c>
      <c r="T736" s="1">
        <v>35.520000000000003</v>
      </c>
      <c r="U736" s="1">
        <v>12</v>
      </c>
      <c r="V736" s="1">
        <v>0</v>
      </c>
      <c r="W736" s="1" cm="1">
        <f t="array" ref="W736">SUM(ABS(S736:V736))</f>
        <v>766.54</v>
      </c>
      <c r="X736" s="25">
        <v>1.238</v>
      </c>
      <c r="Y736" s="42">
        <f t="shared" si="138"/>
        <v>237244.12999999998</v>
      </c>
      <c r="Z736" s="20">
        <v>402.98</v>
      </c>
      <c r="AA736" s="20">
        <f t="shared" si="139"/>
        <v>1169.52</v>
      </c>
      <c r="AB736" s="21"/>
      <c r="AC736" s="21">
        <v>13.7</v>
      </c>
      <c r="AD736" s="8">
        <f t="shared" si="140"/>
        <v>416.68</v>
      </c>
      <c r="AE736" s="25">
        <v>1.238</v>
      </c>
      <c r="AF736" s="25">
        <f t="shared" si="141"/>
        <v>128962.45999999999</v>
      </c>
      <c r="AG736" s="25">
        <f t="shared" si="142"/>
        <v>366206.58999999997</v>
      </c>
      <c r="AH736" s="1">
        <f t="shared" si="132"/>
        <v>3264.8300000000004</v>
      </c>
      <c r="AI736" s="1">
        <f t="shared" si="133"/>
        <v>3393.21</v>
      </c>
      <c r="AJ736" s="1">
        <v>4325.6099999999997</v>
      </c>
      <c r="AK736" s="1">
        <f t="shared" si="134"/>
        <v>-1060.7799999999993</v>
      </c>
      <c r="AL736" s="29">
        <f t="shared" si="143"/>
        <v>932.39999999999964</v>
      </c>
      <c r="AM736" s="11">
        <f t="shared" si="135"/>
        <v>2675507.1828500004</v>
      </c>
    </row>
    <row r="737" spans="1:39" x14ac:dyDescent="0.3">
      <c r="A737" s="39">
        <v>45996.635416666664</v>
      </c>
      <c r="B737" s="1">
        <v>1408.13</v>
      </c>
      <c r="C737" s="11">
        <v>3.2732000000000001</v>
      </c>
      <c r="D737" s="1">
        <v>656.27</v>
      </c>
      <c r="E737" s="11">
        <v>3.0760000000000001</v>
      </c>
      <c r="F737" s="1">
        <v>397.62</v>
      </c>
      <c r="G737" s="11">
        <v>3.53</v>
      </c>
      <c r="H737" s="1">
        <v>-51.86</v>
      </c>
      <c r="I737" s="11">
        <v>3.2050200000000002</v>
      </c>
      <c r="J737" s="1">
        <v>-1.97</v>
      </c>
      <c r="K737" s="11">
        <v>3.8209299999999997</v>
      </c>
      <c r="L737" s="1">
        <v>34.58</v>
      </c>
      <c r="M737" s="11">
        <v>6.2</v>
      </c>
      <c r="N737" s="1">
        <v>394.65</v>
      </c>
      <c r="O737" s="11">
        <v>2.8224999999999998</v>
      </c>
      <c r="P737" s="1">
        <f t="shared" si="136"/>
        <v>2837.42</v>
      </c>
      <c r="Q737" s="1">
        <v>2962.58</v>
      </c>
      <c r="R737" s="16">
        <f t="shared" si="137"/>
        <v>2296483.072925</v>
      </c>
      <c r="S737" s="1">
        <v>-733.84</v>
      </c>
      <c r="T737" s="1">
        <v>34.9</v>
      </c>
      <c r="U737" s="1">
        <v>12</v>
      </c>
      <c r="V737" s="1">
        <v>0</v>
      </c>
      <c r="W737" s="1" cm="1">
        <f t="array" ref="W737">SUM(ABS(S737:V737))</f>
        <v>780.74</v>
      </c>
      <c r="X737" s="25">
        <v>1.238</v>
      </c>
      <c r="Y737" s="42">
        <f t="shared" si="138"/>
        <v>241639.03</v>
      </c>
      <c r="Z737" s="20">
        <v>408.51</v>
      </c>
      <c r="AA737" s="20">
        <f t="shared" si="139"/>
        <v>1189.25</v>
      </c>
      <c r="AB737" s="21"/>
      <c r="AC737" s="21">
        <v>12.84</v>
      </c>
      <c r="AD737" s="8">
        <f t="shared" si="140"/>
        <v>421.34999999999997</v>
      </c>
      <c r="AE737" s="25">
        <v>1.238</v>
      </c>
      <c r="AF737" s="25">
        <f t="shared" si="141"/>
        <v>130407.82499999997</v>
      </c>
      <c r="AG737" s="25">
        <f t="shared" si="142"/>
        <v>372046.85499999998</v>
      </c>
      <c r="AH737" s="1">
        <f t="shared" si="132"/>
        <v>3258.77</v>
      </c>
      <c r="AI737" s="1">
        <f t="shared" si="133"/>
        <v>3383.93</v>
      </c>
      <c r="AJ737" s="1">
        <v>4321.21</v>
      </c>
      <c r="AK737" s="1">
        <f t="shared" si="134"/>
        <v>-1062.44</v>
      </c>
      <c r="AL737" s="29">
        <f t="shared" si="143"/>
        <v>937.2800000000002</v>
      </c>
      <c r="AM737" s="11">
        <f t="shared" si="135"/>
        <v>2668529.927925</v>
      </c>
    </row>
    <row r="738" spans="1:39" x14ac:dyDescent="0.3">
      <c r="A738" s="39">
        <v>45996.645833333336</v>
      </c>
      <c r="B738" s="1">
        <v>1405.63</v>
      </c>
      <c r="C738" s="11">
        <v>3.2732000000000001</v>
      </c>
      <c r="D738" s="1">
        <v>656.27</v>
      </c>
      <c r="E738" s="11">
        <v>3.0760000000000001</v>
      </c>
      <c r="F738" s="1">
        <v>397.62</v>
      </c>
      <c r="G738" s="11">
        <v>3.53</v>
      </c>
      <c r="H738" s="1">
        <v>-30.3</v>
      </c>
      <c r="I738" s="11">
        <v>3.2058899999999997</v>
      </c>
      <c r="J738" s="1">
        <v>267.99</v>
      </c>
      <c r="K738" s="11">
        <v>3.8521199999999998</v>
      </c>
      <c r="L738" s="1">
        <v>9.98</v>
      </c>
      <c r="M738" s="11">
        <v>6.2</v>
      </c>
      <c r="N738" s="1">
        <v>363.47</v>
      </c>
      <c r="O738" s="11">
        <v>2.8224999999999998</v>
      </c>
      <c r="P738" s="1">
        <f t="shared" si="136"/>
        <v>3070.66</v>
      </c>
      <c r="Q738" s="1">
        <v>3064.58</v>
      </c>
      <c r="R738" s="16">
        <f t="shared" si="137"/>
        <v>2511538.6207000003</v>
      </c>
      <c r="S738" s="1">
        <v>-651.41</v>
      </c>
      <c r="T738" s="1">
        <v>34.86</v>
      </c>
      <c r="U738" s="1">
        <v>12</v>
      </c>
      <c r="V738" s="1">
        <v>0</v>
      </c>
      <c r="W738" s="1" cm="1">
        <f t="array" ref="W738">SUM(ABS(S738:V738))</f>
        <v>698.27</v>
      </c>
      <c r="X738" s="25">
        <v>1.238</v>
      </c>
      <c r="Y738" s="42">
        <f t="shared" si="138"/>
        <v>216114.565</v>
      </c>
      <c r="Z738" s="20">
        <v>410.58000000000004</v>
      </c>
      <c r="AA738" s="20">
        <f t="shared" si="139"/>
        <v>1108.8499999999999</v>
      </c>
      <c r="AB738" s="21"/>
      <c r="AC738" s="21">
        <v>13.33</v>
      </c>
      <c r="AD738" s="8">
        <f t="shared" si="140"/>
        <v>423.91</v>
      </c>
      <c r="AE738" s="25">
        <v>1.238</v>
      </c>
      <c r="AF738" s="25">
        <f t="shared" si="141"/>
        <v>131200.14500000002</v>
      </c>
      <c r="AG738" s="25">
        <f t="shared" si="142"/>
        <v>347314.71</v>
      </c>
      <c r="AH738" s="1">
        <f t="shared" si="132"/>
        <v>3494.5699999999997</v>
      </c>
      <c r="AI738" s="1">
        <f t="shared" si="133"/>
        <v>3488.49</v>
      </c>
      <c r="AJ738" s="1">
        <v>4358.54</v>
      </c>
      <c r="AK738" s="1">
        <f t="shared" si="134"/>
        <v>-863.97000000000025</v>
      </c>
      <c r="AL738" s="29">
        <f t="shared" si="143"/>
        <v>870.05000000000018</v>
      </c>
      <c r="AM738" s="11">
        <f t="shared" si="135"/>
        <v>2858853.3307000003</v>
      </c>
    </row>
    <row r="739" spans="1:39" x14ac:dyDescent="0.3">
      <c r="A739" s="39">
        <v>45996.65625</v>
      </c>
      <c r="B739" s="1">
        <v>1405.46</v>
      </c>
      <c r="C739" s="11">
        <v>3.2732000000000001</v>
      </c>
      <c r="D739" s="1">
        <v>656.27</v>
      </c>
      <c r="E739" s="11">
        <v>3.0760000000000001</v>
      </c>
      <c r="F739" s="1">
        <v>397.62</v>
      </c>
      <c r="G739" s="11">
        <v>3.53</v>
      </c>
      <c r="H739" s="1">
        <v>-32.47</v>
      </c>
      <c r="I739" s="11">
        <v>3.2056100000000001</v>
      </c>
      <c r="J739" s="1">
        <v>286.93</v>
      </c>
      <c r="K739" s="11">
        <v>3.7716999999999996</v>
      </c>
      <c r="L739" s="1">
        <v>5.13</v>
      </c>
      <c r="M739" s="11">
        <v>6.2</v>
      </c>
      <c r="N739" s="1">
        <v>335.89</v>
      </c>
      <c r="O739" s="11">
        <v>2.8224999999999998</v>
      </c>
      <c r="P739" s="1">
        <f t="shared" si="136"/>
        <v>3054.83</v>
      </c>
      <c r="Q739" s="1">
        <v>3155.41</v>
      </c>
      <c r="R739" s="16">
        <f t="shared" si="137"/>
        <v>2495155.0103250006</v>
      </c>
      <c r="S739" s="1">
        <v>-596.71</v>
      </c>
      <c r="T739" s="1">
        <v>34.85</v>
      </c>
      <c r="U739" s="1">
        <v>12</v>
      </c>
      <c r="V739" s="1">
        <v>0</v>
      </c>
      <c r="W739" s="1" cm="1">
        <f t="array" ref="W739">SUM(ABS(S739:V739))</f>
        <v>643.56000000000006</v>
      </c>
      <c r="X739" s="25">
        <v>1.238</v>
      </c>
      <c r="Y739" s="42">
        <f t="shared" si="138"/>
        <v>199181.82</v>
      </c>
      <c r="Z739" s="20">
        <v>422.34000000000003</v>
      </c>
      <c r="AA739" s="20">
        <f t="shared" si="139"/>
        <v>1065.9000000000001</v>
      </c>
      <c r="AB739" s="21"/>
      <c r="AC739" s="21">
        <v>13.22</v>
      </c>
      <c r="AD739" s="8">
        <f t="shared" si="140"/>
        <v>435.56000000000006</v>
      </c>
      <c r="AE739" s="25">
        <v>1.238</v>
      </c>
      <c r="AF739" s="25">
        <f t="shared" si="141"/>
        <v>134805.82</v>
      </c>
      <c r="AG739" s="25">
        <f t="shared" si="142"/>
        <v>333987.64</v>
      </c>
      <c r="AH739" s="1">
        <f t="shared" si="132"/>
        <v>3490.39</v>
      </c>
      <c r="AI739" s="1">
        <f t="shared" si="133"/>
        <v>3590.97</v>
      </c>
      <c r="AJ739" s="1">
        <v>4408.32</v>
      </c>
      <c r="AK739" s="1">
        <f t="shared" si="134"/>
        <v>-917.92999999999984</v>
      </c>
      <c r="AL739" s="29">
        <f t="shared" si="143"/>
        <v>817.34999999999991</v>
      </c>
      <c r="AM739" s="11">
        <f t="shared" si="135"/>
        <v>2829142.6503250008</v>
      </c>
    </row>
    <row r="740" spans="1:39" x14ac:dyDescent="0.3">
      <c r="A740" s="39">
        <v>45996.666666666664</v>
      </c>
      <c r="B740" s="1">
        <v>1405.46</v>
      </c>
      <c r="C740" s="11">
        <v>3.2732000000000001</v>
      </c>
      <c r="D740" s="1">
        <v>656.27</v>
      </c>
      <c r="E740" s="11">
        <v>3.0760000000000001</v>
      </c>
      <c r="F740" s="1">
        <v>693.16</v>
      </c>
      <c r="G740" s="11">
        <v>3.53</v>
      </c>
      <c r="H740" s="1">
        <v>-33.65</v>
      </c>
      <c r="I740" s="11">
        <v>3.4232800000000001</v>
      </c>
      <c r="J740" s="1">
        <v>191.34</v>
      </c>
      <c r="K740" s="11">
        <v>4.0400499999999999</v>
      </c>
      <c r="L740" s="1">
        <v>2.84</v>
      </c>
      <c r="M740" s="11">
        <v>6.2</v>
      </c>
      <c r="N740" s="1">
        <v>330.82</v>
      </c>
      <c r="O740" s="11">
        <v>2.8224999999999998</v>
      </c>
      <c r="P740" s="1">
        <f t="shared" si="136"/>
        <v>3246.2400000000002</v>
      </c>
      <c r="Q740" s="1">
        <v>3260.1</v>
      </c>
      <c r="R740" s="16">
        <f t="shared" si="137"/>
        <v>2668767.5592499999</v>
      </c>
      <c r="S740" s="1">
        <v>-487.6</v>
      </c>
      <c r="T740" s="1">
        <v>34.86</v>
      </c>
      <c r="U740" s="1">
        <v>12</v>
      </c>
      <c r="V740" s="1">
        <v>0</v>
      </c>
      <c r="W740" s="1" cm="1">
        <f t="array" ref="W740">SUM(ABS(S740:V740))</f>
        <v>534.46</v>
      </c>
      <c r="X740" s="25">
        <v>1.238</v>
      </c>
      <c r="Y740" s="42">
        <f t="shared" si="138"/>
        <v>165415.37</v>
      </c>
      <c r="Z740" s="20">
        <v>447.61999999999995</v>
      </c>
      <c r="AA740" s="20">
        <f t="shared" si="139"/>
        <v>982.07999999999993</v>
      </c>
      <c r="AB740" s="21"/>
      <c r="AC740" s="21">
        <v>13.759999999999998</v>
      </c>
      <c r="AD740" s="8">
        <f t="shared" si="140"/>
        <v>461.37999999999994</v>
      </c>
      <c r="AE740" s="25">
        <v>1.238</v>
      </c>
      <c r="AF740" s="25">
        <f t="shared" si="141"/>
        <v>142797.10999999999</v>
      </c>
      <c r="AG740" s="25">
        <f t="shared" si="142"/>
        <v>308212.47999999998</v>
      </c>
      <c r="AH740" s="1">
        <f t="shared" si="132"/>
        <v>3707.6200000000003</v>
      </c>
      <c r="AI740" s="1">
        <f t="shared" si="133"/>
        <v>3721.48</v>
      </c>
      <c r="AJ740" s="1">
        <v>4421.3599999999997</v>
      </c>
      <c r="AK740" s="1">
        <f t="shared" si="134"/>
        <v>-713.73999999999933</v>
      </c>
      <c r="AL740" s="29">
        <f t="shared" si="143"/>
        <v>699.87999999999965</v>
      </c>
      <c r="AM740" s="11">
        <f t="shared" si="135"/>
        <v>2976980.0392499999</v>
      </c>
    </row>
    <row r="741" spans="1:39" x14ac:dyDescent="0.3">
      <c r="A741" s="39">
        <v>45996.677083333336</v>
      </c>
      <c r="B741" s="1">
        <v>1405.46</v>
      </c>
      <c r="C741" s="11">
        <v>3.2732000000000001</v>
      </c>
      <c r="D741" s="1">
        <v>656.27</v>
      </c>
      <c r="E741" s="11">
        <v>3.0760000000000001</v>
      </c>
      <c r="F741" s="1">
        <v>715.41</v>
      </c>
      <c r="G741" s="11">
        <v>3.53</v>
      </c>
      <c r="H741" s="1">
        <v>-33.630000000000003</v>
      </c>
      <c r="I741" s="11">
        <v>3.4513699999999998</v>
      </c>
      <c r="J741" s="1">
        <v>164.89</v>
      </c>
      <c r="K741" s="11">
        <v>4.2615299999999996</v>
      </c>
      <c r="L741" s="1">
        <v>2.7</v>
      </c>
      <c r="M741" s="11">
        <v>6.2</v>
      </c>
      <c r="N741" s="1">
        <v>308.48</v>
      </c>
      <c r="O741" s="11">
        <v>2.8224999999999998</v>
      </c>
      <c r="P741" s="1">
        <f t="shared" si="136"/>
        <v>3219.5799999999995</v>
      </c>
      <c r="Q741" s="1">
        <v>3243.01</v>
      </c>
      <c r="R741" s="16">
        <f t="shared" si="137"/>
        <v>2654618.6001499998</v>
      </c>
      <c r="S741" s="1">
        <v>-512.64</v>
      </c>
      <c r="T741" s="1">
        <v>34.9</v>
      </c>
      <c r="U741" s="1">
        <v>12</v>
      </c>
      <c r="V741" s="1">
        <v>0</v>
      </c>
      <c r="W741" s="1" cm="1">
        <f t="array" ref="W741">SUM(ABS(S741:V741))</f>
        <v>559.54</v>
      </c>
      <c r="X741" s="25">
        <v>1.238</v>
      </c>
      <c r="Y741" s="42">
        <f t="shared" si="138"/>
        <v>173177.63</v>
      </c>
      <c r="Z741" s="20">
        <v>464.5</v>
      </c>
      <c r="AA741" s="20">
        <f t="shared" si="139"/>
        <v>1024.04</v>
      </c>
      <c r="AB741" s="21"/>
      <c r="AC741" s="21">
        <v>13.819999999999999</v>
      </c>
      <c r="AD741" s="8">
        <f t="shared" si="140"/>
        <v>478.32</v>
      </c>
      <c r="AE741" s="25">
        <v>1.238</v>
      </c>
      <c r="AF741" s="25">
        <f t="shared" si="141"/>
        <v>148040.04</v>
      </c>
      <c r="AG741" s="25">
        <f t="shared" si="142"/>
        <v>321217.67000000004</v>
      </c>
      <c r="AH741" s="1">
        <f t="shared" si="132"/>
        <v>3697.8999999999996</v>
      </c>
      <c r="AI741" s="1">
        <f t="shared" si="133"/>
        <v>3721.3300000000004</v>
      </c>
      <c r="AJ741" s="1">
        <v>4441.32</v>
      </c>
      <c r="AK741" s="1">
        <f t="shared" si="134"/>
        <v>-743.42000000000007</v>
      </c>
      <c r="AL741" s="29">
        <f t="shared" si="143"/>
        <v>719.98999999999933</v>
      </c>
      <c r="AM741" s="11">
        <f t="shared" si="135"/>
        <v>2975836.2701499998</v>
      </c>
    </row>
    <row r="742" spans="1:39" x14ac:dyDescent="0.3">
      <c r="A742" s="39">
        <v>45996.6875</v>
      </c>
      <c r="B742" s="1">
        <v>1405.46</v>
      </c>
      <c r="C742" s="11">
        <v>3.2732000000000001</v>
      </c>
      <c r="D742" s="1">
        <v>652.91999999999996</v>
      </c>
      <c r="E742" s="11">
        <v>3.0760000000000001</v>
      </c>
      <c r="F742" s="1">
        <v>715.41</v>
      </c>
      <c r="G742" s="11">
        <v>3.53</v>
      </c>
      <c r="H742" s="1">
        <v>-32.729999999999997</v>
      </c>
      <c r="I742" s="11">
        <v>3.4519099999999998</v>
      </c>
      <c r="J742" s="1">
        <v>232.04</v>
      </c>
      <c r="K742" s="11">
        <v>4.3915500000000005</v>
      </c>
      <c r="L742" s="1">
        <v>2.7</v>
      </c>
      <c r="M742" s="11">
        <v>6.2</v>
      </c>
      <c r="N742" s="1">
        <v>289.77999999999997</v>
      </c>
      <c r="O742" s="11">
        <v>2.8224999999999998</v>
      </c>
      <c r="P742" s="1">
        <f t="shared" si="136"/>
        <v>3265.58</v>
      </c>
      <c r="Q742" s="1">
        <v>3237.03</v>
      </c>
      <c r="R742" s="16">
        <f t="shared" si="137"/>
        <v>2718702.2974250005</v>
      </c>
      <c r="S742" s="1">
        <v>-534.64</v>
      </c>
      <c r="T742" s="1">
        <v>34.950000000000003</v>
      </c>
      <c r="U742" s="1">
        <v>12</v>
      </c>
      <c r="V742" s="1">
        <v>0</v>
      </c>
      <c r="W742" s="1" cm="1">
        <f t="array" ref="W742">SUM(ABS(S742:V742))</f>
        <v>581.59</v>
      </c>
      <c r="X742" s="25">
        <v>1.238</v>
      </c>
      <c r="Y742" s="42">
        <f t="shared" si="138"/>
        <v>180002.10500000001</v>
      </c>
      <c r="Z742" s="20">
        <v>465.38000000000005</v>
      </c>
      <c r="AA742" s="20">
        <f t="shared" si="139"/>
        <v>1046.97</v>
      </c>
      <c r="AB742" s="21"/>
      <c r="AC742" s="21">
        <v>13.690000000000001</v>
      </c>
      <c r="AD742" s="8">
        <f t="shared" si="140"/>
        <v>479.07000000000005</v>
      </c>
      <c r="AE742" s="25">
        <v>1.238</v>
      </c>
      <c r="AF742" s="25">
        <f t="shared" si="141"/>
        <v>148272.16500000001</v>
      </c>
      <c r="AG742" s="25">
        <f t="shared" si="142"/>
        <v>328274.27</v>
      </c>
      <c r="AH742" s="1">
        <f t="shared" si="132"/>
        <v>3744.65</v>
      </c>
      <c r="AI742" s="1">
        <f t="shared" si="133"/>
        <v>3716.1000000000004</v>
      </c>
      <c r="AJ742" s="1">
        <v>4446.6899999999996</v>
      </c>
      <c r="AK742" s="1">
        <f t="shared" si="134"/>
        <v>-702.03999999999951</v>
      </c>
      <c r="AL742" s="29">
        <f t="shared" si="143"/>
        <v>730.58999999999924</v>
      </c>
      <c r="AM742" s="11">
        <f t="shared" si="135"/>
        <v>3046976.5674250005</v>
      </c>
    </row>
    <row r="743" spans="1:39" x14ac:dyDescent="0.3">
      <c r="A743" s="39">
        <v>45996.697916666664</v>
      </c>
      <c r="B743" s="1">
        <v>1405.46</v>
      </c>
      <c r="C743" s="11">
        <v>3.2732000000000001</v>
      </c>
      <c r="D743" s="1">
        <v>652.66</v>
      </c>
      <c r="E743" s="11">
        <v>3.0760000000000001</v>
      </c>
      <c r="F743" s="1">
        <v>715.41</v>
      </c>
      <c r="G743" s="11">
        <v>3.53</v>
      </c>
      <c r="H743" s="1">
        <v>-31.77</v>
      </c>
      <c r="I743" s="11">
        <v>3.4712199999999998</v>
      </c>
      <c r="J743" s="1">
        <v>236.85</v>
      </c>
      <c r="K743" s="11">
        <v>4.5007600000000005</v>
      </c>
      <c r="L743" s="1">
        <v>2.7</v>
      </c>
      <c r="M743" s="11">
        <v>6.2</v>
      </c>
      <c r="N743" s="1">
        <v>263.83</v>
      </c>
      <c r="O743" s="11">
        <v>2.8224999999999998</v>
      </c>
      <c r="P743" s="1">
        <f t="shared" si="136"/>
        <v>3245.1399999999994</v>
      </c>
      <c r="Q743" s="1">
        <v>3221.14</v>
      </c>
      <c r="R743" s="16">
        <f t="shared" si="137"/>
        <v>2712613.9133999995</v>
      </c>
      <c r="S743" s="1">
        <v>-563.73</v>
      </c>
      <c r="T743" s="1">
        <v>35</v>
      </c>
      <c r="U743" s="1">
        <v>12</v>
      </c>
      <c r="V743" s="1">
        <v>0</v>
      </c>
      <c r="W743" s="1" cm="1">
        <f t="array" ref="W743">SUM(ABS(S743:V743))</f>
        <v>610.73</v>
      </c>
      <c r="X743" s="25">
        <v>1.238</v>
      </c>
      <c r="Y743" s="42">
        <f t="shared" si="138"/>
        <v>189020.935</v>
      </c>
      <c r="Z743" s="20">
        <v>468.87</v>
      </c>
      <c r="AA743" s="20">
        <f t="shared" si="139"/>
        <v>1079.5999999999999</v>
      </c>
      <c r="AB743" s="21"/>
      <c r="AC743" s="21">
        <v>14.530000000000001</v>
      </c>
      <c r="AD743" s="8">
        <f t="shared" si="140"/>
        <v>483.4</v>
      </c>
      <c r="AE743" s="25">
        <v>1.238</v>
      </c>
      <c r="AF743" s="25">
        <f t="shared" si="141"/>
        <v>149612.30000000002</v>
      </c>
      <c r="AG743" s="25">
        <f t="shared" si="142"/>
        <v>338633.23499999999</v>
      </c>
      <c r="AH743" s="1">
        <f t="shared" si="132"/>
        <v>3728.5399999999995</v>
      </c>
      <c r="AI743" s="1">
        <f t="shared" si="133"/>
        <v>3704.54</v>
      </c>
      <c r="AJ743" s="1">
        <v>4450.3500000000004</v>
      </c>
      <c r="AK743" s="1">
        <f t="shared" si="134"/>
        <v>-721.81000000000085</v>
      </c>
      <c r="AL743" s="29">
        <f t="shared" si="143"/>
        <v>745.8100000000004</v>
      </c>
      <c r="AM743" s="11">
        <f t="shared" si="135"/>
        <v>3051247.1483999994</v>
      </c>
    </row>
    <row r="744" spans="1:39" x14ac:dyDescent="0.3">
      <c r="A744" s="39">
        <v>45996.708333333336</v>
      </c>
      <c r="B744" s="1">
        <v>1405.46</v>
      </c>
      <c r="C744" s="11">
        <v>3.2732000000000001</v>
      </c>
      <c r="D744" s="1">
        <v>652.66</v>
      </c>
      <c r="E744" s="11">
        <v>3.0760000000000001</v>
      </c>
      <c r="F744" s="1">
        <v>715.41</v>
      </c>
      <c r="G744" s="11">
        <v>3.53</v>
      </c>
      <c r="H744" s="1">
        <v>-40.659999999999997</v>
      </c>
      <c r="I744" s="11">
        <v>3.4519899999999999</v>
      </c>
      <c r="J744" s="1">
        <v>283.64999999999998</v>
      </c>
      <c r="K744" s="11">
        <v>3.7835700000000001</v>
      </c>
      <c r="L744" s="1">
        <v>0.18</v>
      </c>
      <c r="M744" s="11">
        <v>6.2</v>
      </c>
      <c r="N744" s="1">
        <v>232.09</v>
      </c>
      <c r="O744" s="11">
        <v>2.8224999999999998</v>
      </c>
      <c r="P744" s="1">
        <f t="shared" si="136"/>
        <v>3248.79</v>
      </c>
      <c r="Q744" s="1">
        <v>3269.35</v>
      </c>
      <c r="R744" s="16">
        <f t="shared" si="137"/>
        <v>2680593.2185249999</v>
      </c>
      <c r="S744" s="1">
        <v>-517.04999999999995</v>
      </c>
      <c r="T744" s="1">
        <v>34.979999999999997</v>
      </c>
      <c r="U744" s="1">
        <v>12</v>
      </c>
      <c r="V744" s="1">
        <v>0</v>
      </c>
      <c r="W744" s="1" cm="1">
        <f t="array" ref="W744">SUM(ABS(S744:V744))</f>
        <v>564.03</v>
      </c>
      <c r="X744" s="25">
        <v>1.238</v>
      </c>
      <c r="Y744" s="42">
        <f t="shared" si="138"/>
        <v>174567.285</v>
      </c>
      <c r="Z744" s="20">
        <v>461.28</v>
      </c>
      <c r="AA744" s="20">
        <f t="shared" si="139"/>
        <v>1025.31</v>
      </c>
      <c r="AB744" s="21"/>
      <c r="AC744" s="21">
        <v>13.62</v>
      </c>
      <c r="AD744" s="8">
        <f t="shared" si="140"/>
        <v>474.9</v>
      </c>
      <c r="AE744" s="25">
        <v>1.238</v>
      </c>
      <c r="AF744" s="25">
        <f t="shared" si="141"/>
        <v>146981.54999999999</v>
      </c>
      <c r="AG744" s="25">
        <f t="shared" si="142"/>
        <v>321548.83499999996</v>
      </c>
      <c r="AH744" s="1">
        <f t="shared" si="132"/>
        <v>3723.69</v>
      </c>
      <c r="AI744" s="1">
        <f t="shared" si="133"/>
        <v>3744.25</v>
      </c>
      <c r="AJ744" s="1">
        <v>4432.74</v>
      </c>
      <c r="AK744" s="1">
        <f t="shared" si="134"/>
        <v>-709.04999999999973</v>
      </c>
      <c r="AL744" s="29">
        <f t="shared" si="143"/>
        <v>688.48999999999978</v>
      </c>
      <c r="AM744" s="11">
        <f t="shared" si="135"/>
        <v>3002142.0535249999</v>
      </c>
    </row>
    <row r="745" spans="1:39" x14ac:dyDescent="0.3">
      <c r="A745" s="39">
        <v>45996.71875</v>
      </c>
      <c r="B745" s="1">
        <v>1405.46</v>
      </c>
      <c r="C745" s="11">
        <v>3.2732000000000001</v>
      </c>
      <c r="D745" s="1">
        <v>652.66</v>
      </c>
      <c r="E745" s="11">
        <v>3.0760000000000001</v>
      </c>
      <c r="F745" s="1">
        <v>715.41</v>
      </c>
      <c r="G745" s="11">
        <v>3.53</v>
      </c>
      <c r="H745" s="1">
        <v>-64.790000000000006</v>
      </c>
      <c r="I745" s="11">
        <v>3.5499699999999996</v>
      </c>
      <c r="J745" s="1">
        <v>331.39</v>
      </c>
      <c r="K745" s="11">
        <v>3.8200700000000003</v>
      </c>
      <c r="L745" s="1">
        <v>0</v>
      </c>
      <c r="M745" s="11">
        <v>6.2</v>
      </c>
      <c r="N745" s="1">
        <v>198.98</v>
      </c>
      <c r="O745" s="11">
        <v>2.8224999999999998</v>
      </c>
      <c r="P745" s="1">
        <f t="shared" si="136"/>
        <v>3239.1099999999997</v>
      </c>
      <c r="Q745" s="1">
        <v>3265.19</v>
      </c>
      <c r="R745" s="16">
        <f t="shared" si="137"/>
        <v>2682720.6557499999</v>
      </c>
      <c r="S745" s="1">
        <v>-526.51</v>
      </c>
      <c r="T745" s="1">
        <v>35.020000000000003</v>
      </c>
      <c r="U745" s="1">
        <v>12</v>
      </c>
      <c r="V745" s="1">
        <v>0</v>
      </c>
      <c r="W745" s="1" cm="1">
        <f t="array" ref="W745">SUM(ABS(S745:V745))</f>
        <v>573.53</v>
      </c>
      <c r="X745" s="25">
        <v>1.238</v>
      </c>
      <c r="Y745" s="42">
        <f t="shared" si="138"/>
        <v>177507.535</v>
      </c>
      <c r="Z745" s="20">
        <v>468.98999999999995</v>
      </c>
      <c r="AA745" s="20">
        <f t="shared" si="139"/>
        <v>1042.52</v>
      </c>
      <c r="AB745" s="21"/>
      <c r="AC745" s="21">
        <v>10.719999999999999</v>
      </c>
      <c r="AD745" s="8">
        <f t="shared" si="140"/>
        <v>479.70999999999992</v>
      </c>
      <c r="AE745" s="25">
        <v>1.238</v>
      </c>
      <c r="AF745" s="25">
        <f t="shared" si="141"/>
        <v>148470.24499999997</v>
      </c>
      <c r="AG745" s="25">
        <f t="shared" si="142"/>
        <v>325977.77999999997</v>
      </c>
      <c r="AH745" s="1">
        <f t="shared" si="132"/>
        <v>3718.8199999999997</v>
      </c>
      <c r="AI745" s="1">
        <f t="shared" si="133"/>
        <v>3744.9</v>
      </c>
      <c r="AJ745" s="1">
        <v>4430.7700000000004</v>
      </c>
      <c r="AK745" s="1">
        <f t="shared" si="134"/>
        <v>-711.95000000000073</v>
      </c>
      <c r="AL745" s="29">
        <f t="shared" si="143"/>
        <v>685.87000000000035</v>
      </c>
      <c r="AM745" s="11">
        <f t="shared" si="135"/>
        <v>3008698.4357499997</v>
      </c>
    </row>
    <row r="746" spans="1:39" x14ac:dyDescent="0.3">
      <c r="A746" s="39">
        <v>45996.729166666664</v>
      </c>
      <c r="B746" s="1">
        <v>1405.46</v>
      </c>
      <c r="C746" s="11">
        <v>3.2732000000000001</v>
      </c>
      <c r="D746" s="1">
        <v>652.66</v>
      </c>
      <c r="E746" s="11">
        <v>3.0760000000000001</v>
      </c>
      <c r="F746" s="1">
        <v>715.41</v>
      </c>
      <c r="G746" s="11">
        <v>3.53</v>
      </c>
      <c r="H746" s="1">
        <v>-76.150000000000006</v>
      </c>
      <c r="I746" s="11">
        <v>3.6397300000000001</v>
      </c>
      <c r="J746" s="1">
        <v>335.08</v>
      </c>
      <c r="K746" s="11">
        <v>3.7830900000000001</v>
      </c>
      <c r="L746" s="1">
        <v>0</v>
      </c>
      <c r="M746" s="11">
        <v>6.2</v>
      </c>
      <c r="N746" s="1">
        <v>177.77</v>
      </c>
      <c r="O746" s="11">
        <v>2.8224999999999998</v>
      </c>
      <c r="P746" s="1">
        <f t="shared" si="136"/>
        <v>3210.2299999999996</v>
      </c>
      <c r="Q746" s="1">
        <v>3175.7</v>
      </c>
      <c r="R746" s="16">
        <f t="shared" si="137"/>
        <v>2656389.828675</v>
      </c>
      <c r="S746" s="1">
        <v>-581.22</v>
      </c>
      <c r="T746" s="1">
        <v>35.020000000000003</v>
      </c>
      <c r="U746" s="1">
        <v>12</v>
      </c>
      <c r="V746" s="1">
        <v>2.0099999999999998</v>
      </c>
      <c r="W746" s="1" cm="1">
        <f t="array" ref="W746">SUM(ABS(S746:V746))</f>
        <v>630.25</v>
      </c>
      <c r="X746" s="25">
        <v>1.238</v>
      </c>
      <c r="Y746" s="42">
        <f t="shared" si="138"/>
        <v>195062.375</v>
      </c>
      <c r="Z746" s="20">
        <v>496.04</v>
      </c>
      <c r="AA746" s="20">
        <f t="shared" si="139"/>
        <v>1126.29</v>
      </c>
      <c r="AB746" s="21"/>
      <c r="AC746" s="21">
        <v>10.01</v>
      </c>
      <c r="AD746" s="8">
        <f t="shared" si="140"/>
        <v>506.05</v>
      </c>
      <c r="AE746" s="25">
        <v>1.238</v>
      </c>
      <c r="AF746" s="25">
        <f t="shared" si="141"/>
        <v>156622.47500000001</v>
      </c>
      <c r="AG746" s="25">
        <f t="shared" si="142"/>
        <v>351684.85</v>
      </c>
      <c r="AH746" s="1">
        <f t="shared" si="132"/>
        <v>3716.2799999999997</v>
      </c>
      <c r="AI746" s="1">
        <f t="shared" si="133"/>
        <v>3681.75</v>
      </c>
      <c r="AJ746" s="1">
        <v>4421.12</v>
      </c>
      <c r="AK746" s="1">
        <f t="shared" si="134"/>
        <v>-704.84000000000015</v>
      </c>
      <c r="AL746" s="29">
        <f t="shared" si="143"/>
        <v>739.36999999999989</v>
      </c>
      <c r="AM746" s="11">
        <f t="shared" si="135"/>
        <v>3008074.6786750001</v>
      </c>
    </row>
    <row r="747" spans="1:39" x14ac:dyDescent="0.3">
      <c r="A747" s="39">
        <v>45996.739583333336</v>
      </c>
      <c r="B747" s="1">
        <v>1405.46</v>
      </c>
      <c r="C747" s="11">
        <v>3.2732000000000001</v>
      </c>
      <c r="D747" s="1">
        <v>652.66</v>
      </c>
      <c r="E747" s="11">
        <v>3.0760000000000001</v>
      </c>
      <c r="F747" s="1">
        <v>715.41</v>
      </c>
      <c r="G747" s="11">
        <v>3.53</v>
      </c>
      <c r="H747" s="1">
        <v>-95.81</v>
      </c>
      <c r="I747" s="11">
        <v>3.8776299999999999</v>
      </c>
      <c r="J747" s="1">
        <v>335.08</v>
      </c>
      <c r="K747" s="11">
        <v>3.7716599999999998</v>
      </c>
      <c r="L747" s="1">
        <v>0</v>
      </c>
      <c r="M747" s="11">
        <v>6.2</v>
      </c>
      <c r="N747" s="1">
        <v>139.44999999999999</v>
      </c>
      <c r="O747" s="11">
        <v>2.8224999999999998</v>
      </c>
      <c r="P747" s="1">
        <f t="shared" si="136"/>
        <v>3152.2499999999995</v>
      </c>
      <c r="Q747" s="1">
        <v>3136.32</v>
      </c>
      <c r="R747" s="16">
        <f t="shared" si="137"/>
        <v>2604805.2148749996</v>
      </c>
      <c r="S747" s="1">
        <v>-549.45000000000005</v>
      </c>
      <c r="T747" s="1">
        <v>35</v>
      </c>
      <c r="U747" s="1">
        <v>26.1</v>
      </c>
      <c r="V747" s="1">
        <v>16.14</v>
      </c>
      <c r="W747" s="1" cm="1">
        <f t="array" ref="W747">SUM(ABS(S747:V747))</f>
        <v>626.69000000000005</v>
      </c>
      <c r="X747" s="25">
        <v>1.238</v>
      </c>
      <c r="Y747" s="42">
        <f t="shared" si="138"/>
        <v>193960.55500000002</v>
      </c>
      <c r="Z747" s="20">
        <v>533.15</v>
      </c>
      <c r="AA747" s="20">
        <f t="shared" si="139"/>
        <v>1159.8400000000001</v>
      </c>
      <c r="AB747" s="21"/>
      <c r="AC747" s="21">
        <v>11.56</v>
      </c>
      <c r="AD747" s="8">
        <f t="shared" si="140"/>
        <v>544.70999999999992</v>
      </c>
      <c r="AE747" s="25">
        <v>1.238</v>
      </c>
      <c r="AF747" s="25">
        <f t="shared" si="141"/>
        <v>168587.745</v>
      </c>
      <c r="AG747" s="25">
        <f t="shared" si="142"/>
        <v>362548.30000000005</v>
      </c>
      <c r="AH747" s="1">
        <f t="shared" si="132"/>
        <v>3696.9599999999996</v>
      </c>
      <c r="AI747" s="1">
        <f t="shared" si="133"/>
        <v>3681.03</v>
      </c>
      <c r="AJ747" s="1">
        <v>4420.2299999999996</v>
      </c>
      <c r="AK747" s="1">
        <f t="shared" si="134"/>
        <v>-723.27</v>
      </c>
      <c r="AL747" s="29">
        <f t="shared" si="143"/>
        <v>739.19999999999936</v>
      </c>
      <c r="AM747" s="11">
        <f t="shared" si="135"/>
        <v>2967353.5148749994</v>
      </c>
    </row>
    <row r="748" spans="1:39" x14ac:dyDescent="0.3">
      <c r="A748" s="39">
        <v>45996.75</v>
      </c>
      <c r="B748" s="1">
        <v>1400.37</v>
      </c>
      <c r="C748" s="11">
        <v>3.2732000000000001</v>
      </c>
      <c r="D748" s="1">
        <v>652.66</v>
      </c>
      <c r="E748" s="11">
        <v>3.0760000000000001</v>
      </c>
      <c r="F748" s="1">
        <v>715.41</v>
      </c>
      <c r="G748" s="11">
        <v>3.53</v>
      </c>
      <c r="H748" s="1">
        <v>-2.67</v>
      </c>
      <c r="I748" s="11">
        <v>4.0005199999999999</v>
      </c>
      <c r="J748" s="1">
        <v>263.18</v>
      </c>
      <c r="K748" s="11">
        <v>3.4910900000000002</v>
      </c>
      <c r="L748" s="1">
        <v>11.17</v>
      </c>
      <c r="M748" s="11">
        <v>6.2</v>
      </c>
      <c r="N748" s="1">
        <v>113.38</v>
      </c>
      <c r="O748" s="11">
        <v>2.8224999999999998</v>
      </c>
      <c r="P748" s="1">
        <f t="shared" si="136"/>
        <v>3153.4999999999995</v>
      </c>
      <c r="Q748" s="1">
        <v>3200.79</v>
      </c>
      <c r="R748" s="16">
        <f t="shared" si="137"/>
        <v>2603510.8179500001</v>
      </c>
      <c r="S748" s="1">
        <v>-381.07</v>
      </c>
      <c r="T748" s="1">
        <v>34.979999999999997</v>
      </c>
      <c r="U748" s="1">
        <v>46.3</v>
      </c>
      <c r="V748" s="1">
        <v>31.64</v>
      </c>
      <c r="W748" s="1" cm="1">
        <f t="array" ref="W748">SUM(ABS(S748:V748))</f>
        <v>493.99</v>
      </c>
      <c r="X748" s="25">
        <v>1.238</v>
      </c>
      <c r="Y748" s="42">
        <f t="shared" si="138"/>
        <v>152889.905</v>
      </c>
      <c r="Z748" s="20">
        <v>543.30999999999995</v>
      </c>
      <c r="AA748" s="20">
        <f t="shared" si="139"/>
        <v>1037.3</v>
      </c>
      <c r="AB748" s="21"/>
      <c r="AC748" s="21">
        <v>11.28</v>
      </c>
      <c r="AD748" s="8">
        <f t="shared" si="140"/>
        <v>554.58999999999992</v>
      </c>
      <c r="AE748" s="25">
        <v>1.238</v>
      </c>
      <c r="AF748" s="25">
        <f t="shared" si="141"/>
        <v>171645.60499999995</v>
      </c>
      <c r="AG748" s="25">
        <f t="shared" si="142"/>
        <v>324535.50999999995</v>
      </c>
      <c r="AH748" s="1">
        <f t="shared" si="132"/>
        <v>3708.0899999999992</v>
      </c>
      <c r="AI748" s="1">
        <f t="shared" si="133"/>
        <v>3755.38</v>
      </c>
      <c r="AJ748" s="1">
        <v>4317.42</v>
      </c>
      <c r="AK748" s="1">
        <f t="shared" si="134"/>
        <v>-609.33000000000084</v>
      </c>
      <c r="AL748" s="29">
        <f t="shared" si="143"/>
        <v>562.04</v>
      </c>
      <c r="AM748" s="11">
        <f t="shared" si="135"/>
        <v>2928046.3279499998</v>
      </c>
    </row>
    <row r="749" spans="1:39" x14ac:dyDescent="0.3">
      <c r="A749" s="39">
        <v>45996.760416666664</v>
      </c>
      <c r="B749" s="1">
        <v>1400.02</v>
      </c>
      <c r="C749" s="11">
        <v>3.2732000000000001</v>
      </c>
      <c r="D749" s="1">
        <v>652.66</v>
      </c>
      <c r="E749" s="11">
        <v>3.0760000000000001</v>
      </c>
      <c r="F749" s="1">
        <v>715.41</v>
      </c>
      <c r="G749" s="11">
        <v>3.53</v>
      </c>
      <c r="H749" s="1">
        <v>7.46</v>
      </c>
      <c r="I749" s="11">
        <v>4.2890699999999997</v>
      </c>
      <c r="J749" s="1">
        <v>306.88</v>
      </c>
      <c r="K749" s="11">
        <v>4.49071</v>
      </c>
      <c r="L749" s="1">
        <v>5.09</v>
      </c>
      <c r="M749" s="11">
        <v>6.2</v>
      </c>
      <c r="N749" s="1">
        <v>92.2</v>
      </c>
      <c r="O749" s="11">
        <v>2.8224999999999998</v>
      </c>
      <c r="P749" s="1">
        <f t="shared" si="136"/>
        <v>3179.72</v>
      </c>
      <c r="Q749" s="1">
        <v>3246.73</v>
      </c>
      <c r="R749" s="16">
        <f t="shared" si="137"/>
        <v>2704355.7427500007</v>
      </c>
      <c r="S749" s="1">
        <v>-350.13</v>
      </c>
      <c r="T749" s="1">
        <v>35.01</v>
      </c>
      <c r="U749" s="1">
        <v>48.51</v>
      </c>
      <c r="V749" s="1">
        <v>32.380000000000003</v>
      </c>
      <c r="W749" s="1" cm="1">
        <f t="array" ref="W749">SUM(ABS(S749:V749))</f>
        <v>466.03</v>
      </c>
      <c r="X749" s="25">
        <v>1.238</v>
      </c>
      <c r="Y749" s="42">
        <f t="shared" si="138"/>
        <v>144236.28499999997</v>
      </c>
      <c r="Z749" s="20">
        <v>551.14</v>
      </c>
      <c r="AA749" s="20">
        <f t="shared" si="139"/>
        <v>1017.17</v>
      </c>
      <c r="AB749" s="21"/>
      <c r="AC749" s="21">
        <v>10.82</v>
      </c>
      <c r="AD749" s="8">
        <f t="shared" si="140"/>
        <v>561.96</v>
      </c>
      <c r="AE749" s="25">
        <v>1.238</v>
      </c>
      <c r="AF749" s="25">
        <f t="shared" si="141"/>
        <v>173926.62000000002</v>
      </c>
      <c r="AG749" s="25">
        <f t="shared" si="142"/>
        <v>318162.90500000003</v>
      </c>
      <c r="AH749" s="1">
        <f t="shared" si="132"/>
        <v>3741.68</v>
      </c>
      <c r="AI749" s="1">
        <f t="shared" si="133"/>
        <v>3808.69</v>
      </c>
      <c r="AJ749" s="1">
        <v>4308.91</v>
      </c>
      <c r="AK749" s="1">
        <f t="shared" si="134"/>
        <v>-567.23</v>
      </c>
      <c r="AL749" s="29">
        <f t="shared" si="143"/>
        <v>500.2199999999998</v>
      </c>
      <c r="AM749" s="11">
        <f t="shared" si="135"/>
        <v>3022518.6477500005</v>
      </c>
    </row>
    <row r="750" spans="1:39" x14ac:dyDescent="0.3">
      <c r="A750" s="39">
        <v>45996.770833333336</v>
      </c>
      <c r="B750" s="1">
        <v>1400.02</v>
      </c>
      <c r="C750" s="11">
        <v>3.2732000000000001</v>
      </c>
      <c r="D750" s="1">
        <v>652.66</v>
      </c>
      <c r="E750" s="11">
        <v>3.0760000000000001</v>
      </c>
      <c r="F750" s="1">
        <v>715.41</v>
      </c>
      <c r="G750" s="11">
        <v>3.53</v>
      </c>
      <c r="H750" s="1">
        <v>7.15</v>
      </c>
      <c r="I750" s="11">
        <v>4.7505200000000007</v>
      </c>
      <c r="J750" s="1">
        <v>224.37</v>
      </c>
      <c r="K750" s="11">
        <v>4.75284</v>
      </c>
      <c r="L750" s="1">
        <v>0.3</v>
      </c>
      <c r="M750" s="11">
        <v>6.2</v>
      </c>
      <c r="N750" s="1">
        <v>75.69</v>
      </c>
      <c r="O750" s="11">
        <v>2.8224999999999998</v>
      </c>
      <c r="P750" s="1">
        <f t="shared" si="136"/>
        <v>3075.6</v>
      </c>
      <c r="Q750" s="1">
        <v>3073.44</v>
      </c>
      <c r="R750" s="16">
        <f t="shared" si="137"/>
        <v>2607845.2194499997</v>
      </c>
      <c r="S750" s="1">
        <v>-635.21</v>
      </c>
      <c r="T750" s="1">
        <v>35.03</v>
      </c>
      <c r="U750" s="1">
        <v>54.11</v>
      </c>
      <c r="V750" s="1">
        <v>37.979999999999997</v>
      </c>
      <c r="W750" s="1" cm="1">
        <f t="array" ref="W750">SUM(ABS(S750:V750))</f>
        <v>762.33</v>
      </c>
      <c r="X750" s="25">
        <v>1.238</v>
      </c>
      <c r="Y750" s="42">
        <f t="shared" si="138"/>
        <v>235941.13500000001</v>
      </c>
      <c r="Z750" s="20">
        <v>583.33000000000004</v>
      </c>
      <c r="AA750" s="20">
        <f t="shared" si="139"/>
        <v>1345.66</v>
      </c>
      <c r="AB750" s="21"/>
      <c r="AC750" s="21">
        <v>11.12</v>
      </c>
      <c r="AD750" s="8">
        <f t="shared" si="140"/>
        <v>594.45000000000005</v>
      </c>
      <c r="AE750" s="25">
        <v>1.238</v>
      </c>
      <c r="AF750" s="25">
        <f t="shared" si="141"/>
        <v>183982.27500000002</v>
      </c>
      <c r="AG750" s="25">
        <f t="shared" si="142"/>
        <v>419923.41000000003</v>
      </c>
      <c r="AH750" s="1">
        <f t="shared" si="132"/>
        <v>3670.05</v>
      </c>
      <c r="AI750" s="1">
        <f t="shared" si="133"/>
        <v>3667.8900000000003</v>
      </c>
      <c r="AJ750" s="1">
        <v>4473.05</v>
      </c>
      <c r="AK750" s="1">
        <f t="shared" si="134"/>
        <v>-803</v>
      </c>
      <c r="AL750" s="29">
        <f t="shared" si="143"/>
        <v>805.15999999999985</v>
      </c>
      <c r="AM750" s="11">
        <f t="shared" si="135"/>
        <v>3027768.6294499999</v>
      </c>
    </row>
    <row r="751" spans="1:39" x14ac:dyDescent="0.3">
      <c r="A751" s="39">
        <v>45996.78125</v>
      </c>
      <c r="B751" s="1">
        <v>1400.02</v>
      </c>
      <c r="C751" s="11">
        <v>3.2732000000000001</v>
      </c>
      <c r="D751" s="1">
        <v>652.66</v>
      </c>
      <c r="E751" s="11">
        <v>3.0760000000000001</v>
      </c>
      <c r="F751" s="1">
        <v>715.41</v>
      </c>
      <c r="G751" s="11">
        <v>3.53</v>
      </c>
      <c r="H751" s="1">
        <v>-58.52</v>
      </c>
      <c r="I751" s="11">
        <v>7.7098399999999998</v>
      </c>
      <c r="J751" s="1">
        <v>340.02</v>
      </c>
      <c r="K751" s="11">
        <v>6.0008599999999994</v>
      </c>
      <c r="L751" s="1">
        <v>0</v>
      </c>
      <c r="M751" s="11">
        <v>6.2</v>
      </c>
      <c r="N751" s="1">
        <v>53.46</v>
      </c>
      <c r="O751" s="11">
        <v>2.8224999999999998</v>
      </c>
      <c r="P751" s="1">
        <f t="shared" si="136"/>
        <v>3103.0499999999997</v>
      </c>
      <c r="Q751" s="1">
        <v>3084.21</v>
      </c>
      <c r="R751" s="16">
        <f t="shared" si="137"/>
        <v>2713912.0885999994</v>
      </c>
      <c r="S751" s="1">
        <v>-731.02</v>
      </c>
      <c r="T751" s="1">
        <v>35.03</v>
      </c>
      <c r="U751" s="1">
        <v>66.209999999999994</v>
      </c>
      <c r="V751" s="1">
        <v>38.03</v>
      </c>
      <c r="W751" s="1" cm="1">
        <f t="array" ref="W751">SUM(ABS(S751:V751))</f>
        <v>870.29</v>
      </c>
      <c r="X751" s="25">
        <v>1.238</v>
      </c>
      <c r="Y751" s="42">
        <f t="shared" si="138"/>
        <v>269354.755</v>
      </c>
      <c r="Z751" s="20">
        <v>695.31</v>
      </c>
      <c r="AA751" s="20">
        <f t="shared" si="139"/>
        <v>1565.6</v>
      </c>
      <c r="AB751" s="21"/>
      <c r="AC751" s="21">
        <v>11.28</v>
      </c>
      <c r="AD751" s="8">
        <f t="shared" si="140"/>
        <v>706.58999999999992</v>
      </c>
      <c r="AE751" s="25">
        <v>1.238</v>
      </c>
      <c r="AF751" s="25">
        <f t="shared" si="141"/>
        <v>218689.60499999998</v>
      </c>
      <c r="AG751" s="25">
        <f t="shared" si="142"/>
        <v>488044.36</v>
      </c>
      <c r="AH751" s="1">
        <f t="shared" si="132"/>
        <v>3809.6399999999994</v>
      </c>
      <c r="AI751" s="1">
        <f t="shared" si="133"/>
        <v>3790.8</v>
      </c>
      <c r="AJ751" s="1">
        <v>4714.54</v>
      </c>
      <c r="AK751" s="1">
        <f t="shared" si="134"/>
        <v>-904.90000000000055</v>
      </c>
      <c r="AL751" s="29">
        <f t="shared" si="143"/>
        <v>923.73999999999978</v>
      </c>
      <c r="AM751" s="11">
        <f t="shared" si="135"/>
        <v>3201956.4485999993</v>
      </c>
    </row>
    <row r="752" spans="1:39" x14ac:dyDescent="0.3">
      <c r="A752" s="39">
        <v>45996.791666666664</v>
      </c>
      <c r="B752" s="1">
        <v>1400.02</v>
      </c>
      <c r="C752" s="11">
        <v>3.2732000000000001</v>
      </c>
      <c r="D752" s="1">
        <v>466.66</v>
      </c>
      <c r="E752" s="11">
        <v>3.0760000000000001</v>
      </c>
      <c r="F752" s="1">
        <v>715.41</v>
      </c>
      <c r="G752" s="11">
        <v>3.53</v>
      </c>
      <c r="H752" s="1">
        <v>-145.71</v>
      </c>
      <c r="I752" s="11">
        <v>10</v>
      </c>
      <c r="J752" s="1">
        <v>521.91</v>
      </c>
      <c r="K752" s="11">
        <v>10</v>
      </c>
      <c r="L752" s="1">
        <v>0</v>
      </c>
      <c r="M752" s="11">
        <v>6.2</v>
      </c>
      <c r="N752" s="1">
        <v>42.99</v>
      </c>
      <c r="O752" s="11">
        <v>2.8224999999999998</v>
      </c>
      <c r="P752" s="1">
        <f t="shared" si="136"/>
        <v>3001.2799999999997</v>
      </c>
      <c r="Q752" s="1">
        <v>3175.73</v>
      </c>
      <c r="R752" s="16">
        <f t="shared" si="137"/>
        <v>3106682.0497499998</v>
      </c>
      <c r="S752" s="1">
        <v>-732.07</v>
      </c>
      <c r="T752" s="1">
        <v>35.03</v>
      </c>
      <c r="U752" s="1">
        <v>66.209999999999994</v>
      </c>
      <c r="V752" s="1">
        <v>38.04</v>
      </c>
      <c r="W752" s="1" cm="1">
        <f t="array" ref="W752">SUM(ABS(S752:V752))</f>
        <v>871.35</v>
      </c>
      <c r="X752" s="25">
        <v>1.238</v>
      </c>
      <c r="Y752" s="42">
        <f t="shared" si="138"/>
        <v>269682.82499999995</v>
      </c>
      <c r="Z752" s="20">
        <v>759.19999999999993</v>
      </c>
      <c r="AA752" s="20">
        <f t="shared" si="139"/>
        <v>1630.55</v>
      </c>
      <c r="AB752" s="21"/>
      <c r="AC752" s="21">
        <v>11.389999999999999</v>
      </c>
      <c r="AD752" s="8">
        <f t="shared" si="140"/>
        <v>770.58999999999992</v>
      </c>
      <c r="AE752" s="25">
        <v>1.238</v>
      </c>
      <c r="AF752" s="25">
        <f t="shared" si="141"/>
        <v>238497.60499999995</v>
      </c>
      <c r="AG752" s="25">
        <f t="shared" si="142"/>
        <v>508180.42999999993</v>
      </c>
      <c r="AH752" s="1">
        <f t="shared" si="132"/>
        <v>3771.87</v>
      </c>
      <c r="AI752" s="1">
        <f t="shared" si="133"/>
        <v>3946.3199999999997</v>
      </c>
      <c r="AJ752" s="1">
        <v>4865.07</v>
      </c>
      <c r="AK752" s="1">
        <f t="shared" si="134"/>
        <v>-1093.1999999999998</v>
      </c>
      <c r="AL752" s="29">
        <f t="shared" si="143"/>
        <v>918.75</v>
      </c>
      <c r="AM752" s="11">
        <f t="shared" si="135"/>
        <v>3614862.4797499999</v>
      </c>
    </row>
    <row r="753" spans="1:39" x14ac:dyDescent="0.3">
      <c r="A753" s="39">
        <v>45996.802083333336</v>
      </c>
      <c r="B753" s="1">
        <v>1400.02</v>
      </c>
      <c r="C753" s="11">
        <v>3.2732000000000001</v>
      </c>
      <c r="D753" s="1">
        <v>452.66</v>
      </c>
      <c r="E753" s="11">
        <v>3.0760000000000001</v>
      </c>
      <c r="F753" s="1">
        <v>715.41</v>
      </c>
      <c r="G753" s="11">
        <v>3.53</v>
      </c>
      <c r="H753" s="1">
        <v>-151.9</v>
      </c>
      <c r="I753" s="11">
        <v>10</v>
      </c>
      <c r="J753" s="1">
        <v>471.95</v>
      </c>
      <c r="K753" s="11">
        <v>10</v>
      </c>
      <c r="L753" s="1">
        <v>0</v>
      </c>
      <c r="M753" s="11">
        <v>6.2</v>
      </c>
      <c r="N753" s="1">
        <v>36.909999999999997</v>
      </c>
      <c r="O753" s="11">
        <v>2.8224999999999998</v>
      </c>
      <c r="P753" s="1">
        <f t="shared" si="136"/>
        <v>2925.0499999999997</v>
      </c>
      <c r="Q753" s="1">
        <v>3186.84</v>
      </c>
      <c r="R753" s="16">
        <f t="shared" si="137"/>
        <v>2951250.8497500001</v>
      </c>
      <c r="S753" s="1">
        <v>-730.41</v>
      </c>
      <c r="T753" s="1">
        <v>35.03</v>
      </c>
      <c r="U753" s="1">
        <v>66.19</v>
      </c>
      <c r="V753" s="1">
        <v>38.04</v>
      </c>
      <c r="W753" s="1" cm="1">
        <f t="array" ref="W753">SUM(ABS(S753:V753))</f>
        <v>869.66999999999985</v>
      </c>
      <c r="X753" s="25">
        <v>1.238</v>
      </c>
      <c r="Y753" s="42">
        <f t="shared" si="138"/>
        <v>269162.86499999993</v>
      </c>
      <c r="Z753" s="20">
        <v>761.34999999999991</v>
      </c>
      <c r="AA753" s="20">
        <f t="shared" si="139"/>
        <v>1631.0199999999998</v>
      </c>
      <c r="AB753" s="21"/>
      <c r="AC753" s="21">
        <v>10.72</v>
      </c>
      <c r="AD753" s="8">
        <f t="shared" si="140"/>
        <v>772.06999999999994</v>
      </c>
      <c r="AE753" s="25">
        <v>1.238</v>
      </c>
      <c r="AF753" s="25">
        <f t="shared" si="141"/>
        <v>238955.66499999998</v>
      </c>
      <c r="AG753" s="25">
        <f t="shared" si="142"/>
        <v>508118.52999999991</v>
      </c>
      <c r="AH753" s="1">
        <f t="shared" si="132"/>
        <v>3697.12</v>
      </c>
      <c r="AI753" s="1">
        <f t="shared" si="133"/>
        <v>3958.91</v>
      </c>
      <c r="AJ753" s="1">
        <v>4879.24</v>
      </c>
      <c r="AK753" s="1">
        <f t="shared" si="134"/>
        <v>-1182.1199999999999</v>
      </c>
      <c r="AL753" s="29">
        <f t="shared" si="143"/>
        <v>920.32999999999993</v>
      </c>
      <c r="AM753" s="11">
        <f t="shared" si="135"/>
        <v>3459369.3797499998</v>
      </c>
    </row>
    <row r="754" spans="1:39" x14ac:dyDescent="0.3">
      <c r="A754" s="39">
        <v>45996.8125</v>
      </c>
      <c r="B754" s="1">
        <v>1400.02</v>
      </c>
      <c r="C754" s="11">
        <v>3.2732000000000001</v>
      </c>
      <c r="D754" s="1">
        <v>452.66</v>
      </c>
      <c r="E754" s="11">
        <v>3.0760000000000001</v>
      </c>
      <c r="F754" s="1">
        <v>668.97</v>
      </c>
      <c r="G754" s="11">
        <v>3.53</v>
      </c>
      <c r="H754" s="1">
        <v>-151.9</v>
      </c>
      <c r="I754" s="11">
        <v>10</v>
      </c>
      <c r="J754" s="1">
        <v>567.9</v>
      </c>
      <c r="K754" s="11">
        <v>10</v>
      </c>
      <c r="L754" s="1">
        <v>0</v>
      </c>
      <c r="M754" s="11">
        <v>6.2</v>
      </c>
      <c r="N754" s="1">
        <v>34.630000000000003</v>
      </c>
      <c r="O754" s="11">
        <v>2.8224999999999998</v>
      </c>
      <c r="P754" s="1">
        <f t="shared" si="136"/>
        <v>2972.28</v>
      </c>
      <c r="Q754" s="1">
        <v>3170.78</v>
      </c>
      <c r="R754" s="16">
        <f t="shared" si="137"/>
        <v>3148533.7247500001</v>
      </c>
      <c r="S754" s="1">
        <v>-735.4</v>
      </c>
      <c r="T754" s="1">
        <v>35.03</v>
      </c>
      <c r="U754" s="1">
        <v>66.19</v>
      </c>
      <c r="V754" s="1">
        <v>38.049999999999997</v>
      </c>
      <c r="W754" s="1" cm="1">
        <f t="array" ref="W754">SUM(ABS(S754:V754))</f>
        <v>874.66999999999985</v>
      </c>
      <c r="X754" s="25">
        <v>1.238</v>
      </c>
      <c r="Y754" s="42">
        <f t="shared" si="138"/>
        <v>270710.36499999999</v>
      </c>
      <c r="Z754" s="20">
        <v>762.64</v>
      </c>
      <c r="AA754" s="20">
        <f t="shared" si="139"/>
        <v>1637.31</v>
      </c>
      <c r="AB754" s="21"/>
      <c r="AC754" s="21">
        <v>9.2999999999999989</v>
      </c>
      <c r="AD754" s="8">
        <f t="shared" si="140"/>
        <v>771.93999999999994</v>
      </c>
      <c r="AE754" s="25">
        <v>1.238</v>
      </c>
      <c r="AF754" s="25">
        <f t="shared" si="141"/>
        <v>238915.43</v>
      </c>
      <c r="AG754" s="25">
        <f t="shared" si="142"/>
        <v>509625.79499999998</v>
      </c>
      <c r="AH754" s="1">
        <f t="shared" si="132"/>
        <v>3744.2200000000003</v>
      </c>
      <c r="AI754" s="1">
        <f t="shared" si="133"/>
        <v>3942.7200000000003</v>
      </c>
      <c r="AJ754" s="1">
        <v>4866.8599999999997</v>
      </c>
      <c r="AK754" s="1">
        <f t="shared" si="134"/>
        <v>-1122.6399999999994</v>
      </c>
      <c r="AL754" s="29">
        <f t="shared" si="143"/>
        <v>924.13999999999942</v>
      </c>
      <c r="AM754" s="11">
        <f t="shared" si="135"/>
        <v>3658159.51975</v>
      </c>
    </row>
    <row r="755" spans="1:39" x14ac:dyDescent="0.3">
      <c r="A755" s="39">
        <v>45996.822916666664</v>
      </c>
      <c r="B755" s="1">
        <v>1400.02</v>
      </c>
      <c r="C755" s="11">
        <v>3.2732000000000001</v>
      </c>
      <c r="D755" s="1">
        <v>452.66</v>
      </c>
      <c r="E755" s="11">
        <v>3.0760000000000001</v>
      </c>
      <c r="F755" s="1">
        <v>665.41</v>
      </c>
      <c r="G755" s="11">
        <v>3.53</v>
      </c>
      <c r="H755" s="1">
        <v>-151.9</v>
      </c>
      <c r="I755" s="11">
        <v>10</v>
      </c>
      <c r="J755" s="1">
        <v>533.66</v>
      </c>
      <c r="K755" s="11">
        <v>10</v>
      </c>
      <c r="L755" s="1">
        <v>0</v>
      </c>
      <c r="M755" s="11">
        <v>6.2</v>
      </c>
      <c r="N755" s="1">
        <v>32.56</v>
      </c>
      <c r="O755" s="11">
        <v>2.8224999999999998</v>
      </c>
      <c r="P755" s="1">
        <f t="shared" si="136"/>
        <v>2932.41</v>
      </c>
      <c r="Q755" s="1">
        <v>3164.55</v>
      </c>
      <c r="R755" s="16">
        <f t="shared" si="137"/>
        <v>3058331.3810000001</v>
      </c>
      <c r="S755" s="1">
        <v>-736.65</v>
      </c>
      <c r="T755" s="1">
        <v>35.03</v>
      </c>
      <c r="U755" s="1">
        <v>66.180000000000007</v>
      </c>
      <c r="V755" s="1">
        <v>38.01</v>
      </c>
      <c r="W755" s="1" cm="1">
        <f t="array" ref="W755">SUM(ABS(S755:V755))</f>
        <v>875.86999999999989</v>
      </c>
      <c r="X755" s="25">
        <v>1.238</v>
      </c>
      <c r="Y755" s="42">
        <f t="shared" si="138"/>
        <v>271081.76499999996</v>
      </c>
      <c r="Z755" s="20">
        <v>763.5</v>
      </c>
      <c r="AA755" s="20">
        <f t="shared" si="139"/>
        <v>1639.37</v>
      </c>
      <c r="AB755" s="21"/>
      <c r="AC755" s="21">
        <v>9.17</v>
      </c>
      <c r="AD755" s="8">
        <f t="shared" si="140"/>
        <v>772.67</v>
      </c>
      <c r="AE755" s="25">
        <v>1.238</v>
      </c>
      <c r="AF755" s="25">
        <f t="shared" si="141"/>
        <v>239141.36499999999</v>
      </c>
      <c r="AG755" s="25">
        <f t="shared" si="142"/>
        <v>510223.12999999995</v>
      </c>
      <c r="AH755" s="1">
        <f t="shared" si="132"/>
        <v>3705.08</v>
      </c>
      <c r="AI755" s="1">
        <f t="shared" si="133"/>
        <v>3937.2200000000003</v>
      </c>
      <c r="AJ755" s="1">
        <v>4862.7299999999996</v>
      </c>
      <c r="AK755" s="1">
        <f t="shared" si="134"/>
        <v>-1157.6499999999996</v>
      </c>
      <c r="AL755" s="29">
        <f t="shared" si="143"/>
        <v>925.50999999999931</v>
      </c>
      <c r="AM755" s="11">
        <f t="shared" si="135"/>
        <v>3568554.5109999999</v>
      </c>
    </row>
    <row r="756" spans="1:39" x14ac:dyDescent="0.3">
      <c r="A756" s="39">
        <v>45996.833333333336</v>
      </c>
      <c r="B756" s="1">
        <v>1403.68</v>
      </c>
      <c r="C756" s="11">
        <v>3.2732000000000001</v>
      </c>
      <c r="D756" s="1">
        <v>452.66</v>
      </c>
      <c r="E756" s="11">
        <v>3.0760000000000001</v>
      </c>
      <c r="F756" s="1">
        <v>665.41</v>
      </c>
      <c r="G756" s="11">
        <v>3.53</v>
      </c>
      <c r="H756" s="1">
        <v>-151.9</v>
      </c>
      <c r="I756" s="11">
        <v>10</v>
      </c>
      <c r="J756" s="1">
        <v>636.48</v>
      </c>
      <c r="K756" s="11">
        <v>10</v>
      </c>
      <c r="L756" s="1">
        <v>0</v>
      </c>
      <c r="M756" s="11">
        <v>6.2</v>
      </c>
      <c r="N756" s="1">
        <v>31.28</v>
      </c>
      <c r="O756" s="11">
        <v>2.8224999999999998</v>
      </c>
      <c r="P756" s="1">
        <f t="shared" si="136"/>
        <v>3037.61</v>
      </c>
      <c r="Q756" s="1">
        <v>3181.82</v>
      </c>
      <c r="R756" s="16">
        <f t="shared" si="137"/>
        <v>3317473.1589999995</v>
      </c>
      <c r="S756" s="1">
        <v>-729.65</v>
      </c>
      <c r="T756" s="1">
        <v>35.03</v>
      </c>
      <c r="U756" s="1">
        <v>66.17</v>
      </c>
      <c r="V756" s="1">
        <v>38.01</v>
      </c>
      <c r="W756" s="1" cm="1">
        <f t="array" ref="W756">SUM(ABS(S756:V756))</f>
        <v>868.8599999999999</v>
      </c>
      <c r="X756" s="25">
        <v>1.238</v>
      </c>
      <c r="Y756" s="42">
        <f t="shared" si="138"/>
        <v>268912.16999999993</v>
      </c>
      <c r="Z756" s="20">
        <v>760.55</v>
      </c>
      <c r="AA756" s="20">
        <f t="shared" si="139"/>
        <v>1629.4099999999999</v>
      </c>
      <c r="AB756" s="21"/>
      <c r="AC756" s="21">
        <v>9.93</v>
      </c>
      <c r="AD756" s="8">
        <f t="shared" si="140"/>
        <v>770.4799999999999</v>
      </c>
      <c r="AE756" s="25">
        <v>1.238</v>
      </c>
      <c r="AF756" s="25">
        <f t="shared" si="141"/>
        <v>238463.55999999997</v>
      </c>
      <c r="AG756" s="25">
        <f t="shared" si="142"/>
        <v>507375.72999999986</v>
      </c>
      <c r="AH756" s="1">
        <f t="shared" si="132"/>
        <v>3808.09</v>
      </c>
      <c r="AI756" s="1">
        <f t="shared" si="133"/>
        <v>3952.3</v>
      </c>
      <c r="AJ756" s="1">
        <v>4866.6400000000003</v>
      </c>
      <c r="AK756" s="1">
        <f t="shared" si="134"/>
        <v>-1058.5500000000002</v>
      </c>
      <c r="AL756" s="29">
        <f t="shared" si="143"/>
        <v>914.34000000000015</v>
      </c>
      <c r="AM756" s="11">
        <f t="shared" si="135"/>
        <v>3824848.8889999995</v>
      </c>
    </row>
    <row r="757" spans="1:39" x14ac:dyDescent="0.3">
      <c r="A757" s="39">
        <v>45996.84375</v>
      </c>
      <c r="B757" s="1">
        <v>1406.58</v>
      </c>
      <c r="C757" s="11">
        <v>3.2732000000000001</v>
      </c>
      <c r="D757" s="1">
        <v>452.66</v>
      </c>
      <c r="E757" s="11">
        <v>3.0760000000000001</v>
      </c>
      <c r="F757" s="1">
        <v>665.41</v>
      </c>
      <c r="G757" s="11">
        <v>3.53</v>
      </c>
      <c r="H757" s="1">
        <v>-151.9</v>
      </c>
      <c r="I757" s="11">
        <v>10</v>
      </c>
      <c r="J757" s="1">
        <v>647.57000000000005</v>
      </c>
      <c r="K757" s="11">
        <v>10</v>
      </c>
      <c r="L757" s="1">
        <v>0</v>
      </c>
      <c r="M757" s="11">
        <v>6.2</v>
      </c>
      <c r="N757" s="1">
        <v>30.08</v>
      </c>
      <c r="O757" s="11">
        <v>2.8224999999999998</v>
      </c>
      <c r="P757" s="1">
        <f t="shared" si="136"/>
        <v>3050.4</v>
      </c>
      <c r="Q757" s="1">
        <v>3172.86</v>
      </c>
      <c r="R757" s="16">
        <f t="shared" si="137"/>
        <v>3346724.4789999998</v>
      </c>
      <c r="S757" s="1">
        <v>-729.6</v>
      </c>
      <c r="T757" s="1">
        <v>35.03</v>
      </c>
      <c r="U757" s="1">
        <v>66.180000000000007</v>
      </c>
      <c r="V757" s="1">
        <v>37.979999999999997</v>
      </c>
      <c r="W757" s="1" cm="1">
        <f t="array" ref="W757">SUM(ABS(S757:V757))</f>
        <v>868.79</v>
      </c>
      <c r="X757" s="25">
        <v>1.238</v>
      </c>
      <c r="Y757" s="42">
        <f t="shared" si="138"/>
        <v>268890.50499999995</v>
      </c>
      <c r="Z757" s="20">
        <v>760.50000000000011</v>
      </c>
      <c r="AA757" s="20">
        <f t="shared" si="139"/>
        <v>1629.29</v>
      </c>
      <c r="AB757" s="21"/>
      <c r="AC757" s="21">
        <v>10.17</v>
      </c>
      <c r="AD757" s="8">
        <f t="shared" si="140"/>
        <v>770.67000000000007</v>
      </c>
      <c r="AE757" s="25">
        <v>1.238</v>
      </c>
      <c r="AF757" s="25">
        <f t="shared" si="141"/>
        <v>238522.36500000002</v>
      </c>
      <c r="AG757" s="25">
        <f t="shared" si="142"/>
        <v>507412.87</v>
      </c>
      <c r="AH757" s="1">
        <f t="shared" si="132"/>
        <v>3821.07</v>
      </c>
      <c r="AI757" s="1">
        <f t="shared" si="133"/>
        <v>3943.53</v>
      </c>
      <c r="AJ757" s="1">
        <v>4860.87</v>
      </c>
      <c r="AK757" s="1">
        <f t="shared" si="134"/>
        <v>-1039.7999999999997</v>
      </c>
      <c r="AL757" s="29">
        <f t="shared" si="143"/>
        <v>917.33999999999969</v>
      </c>
      <c r="AM757" s="11">
        <f t="shared" si="135"/>
        <v>3854137.3489999999</v>
      </c>
    </row>
    <row r="758" spans="1:39" x14ac:dyDescent="0.3">
      <c r="A758" s="39">
        <v>45996.854166666664</v>
      </c>
      <c r="B758" s="1">
        <v>1407.86</v>
      </c>
      <c r="C758" s="11">
        <v>3.2732000000000001</v>
      </c>
      <c r="D758" s="1">
        <v>452.66</v>
      </c>
      <c r="E758" s="11">
        <v>3.0760000000000001</v>
      </c>
      <c r="F758" s="1">
        <v>665.41</v>
      </c>
      <c r="G758" s="11">
        <v>3.53</v>
      </c>
      <c r="H758" s="1">
        <v>-151.9</v>
      </c>
      <c r="I758" s="11">
        <v>10</v>
      </c>
      <c r="J758" s="1">
        <v>724.63</v>
      </c>
      <c r="K758" s="11">
        <v>10</v>
      </c>
      <c r="L758" s="1">
        <v>0</v>
      </c>
      <c r="M758" s="11">
        <v>6.2</v>
      </c>
      <c r="N758" s="1">
        <v>28.88</v>
      </c>
      <c r="O758" s="11">
        <v>2.8224999999999998</v>
      </c>
      <c r="P758" s="1">
        <f t="shared" si="136"/>
        <v>3127.54</v>
      </c>
      <c r="Q758" s="1">
        <v>3147.88</v>
      </c>
      <c r="R758" s="16">
        <f t="shared" si="137"/>
        <v>3539575.1529999999</v>
      </c>
      <c r="S758" s="1">
        <v>-732.29</v>
      </c>
      <c r="T758" s="1">
        <v>35.03</v>
      </c>
      <c r="U758" s="1">
        <v>66.14</v>
      </c>
      <c r="V758" s="1">
        <v>38.01</v>
      </c>
      <c r="W758" s="1" cm="1">
        <f t="array" ref="W758">SUM(ABS(S758:V758))</f>
        <v>871.46999999999991</v>
      </c>
      <c r="X758" s="25">
        <v>1.238</v>
      </c>
      <c r="Y758" s="42">
        <f t="shared" si="138"/>
        <v>269719.96499999997</v>
      </c>
      <c r="Z758" s="20">
        <v>761.84</v>
      </c>
      <c r="AA758" s="20">
        <f t="shared" si="139"/>
        <v>1633.31</v>
      </c>
      <c r="AB758" s="21"/>
      <c r="AC758" s="21">
        <v>10.48</v>
      </c>
      <c r="AD758" s="8">
        <f t="shared" si="140"/>
        <v>772.32</v>
      </c>
      <c r="AE758" s="25">
        <v>1.238</v>
      </c>
      <c r="AF758" s="25">
        <f t="shared" si="141"/>
        <v>239033.04</v>
      </c>
      <c r="AG758" s="25">
        <f t="shared" si="142"/>
        <v>508753.005</v>
      </c>
      <c r="AH758" s="1">
        <f t="shared" si="132"/>
        <v>3899.86</v>
      </c>
      <c r="AI758" s="1">
        <f t="shared" si="133"/>
        <v>3920.2000000000003</v>
      </c>
      <c r="AJ758" s="1">
        <v>4837.9399999999996</v>
      </c>
      <c r="AK758" s="1">
        <f t="shared" si="134"/>
        <v>-938.07999999999947</v>
      </c>
      <c r="AL758" s="29">
        <f t="shared" si="143"/>
        <v>917.73999999999933</v>
      </c>
      <c r="AM758" s="11">
        <f t="shared" si="135"/>
        <v>4048328.1579999998</v>
      </c>
    </row>
    <row r="759" spans="1:39" x14ac:dyDescent="0.3">
      <c r="A759" s="39">
        <v>45996.864583333336</v>
      </c>
      <c r="B759" s="1">
        <v>1408.01</v>
      </c>
      <c r="C759" s="11">
        <v>3.2732000000000001</v>
      </c>
      <c r="D759" s="1">
        <v>452.66</v>
      </c>
      <c r="E759" s="11">
        <v>3.0760000000000001</v>
      </c>
      <c r="F759" s="1">
        <v>665.41</v>
      </c>
      <c r="G759" s="11">
        <v>3.53</v>
      </c>
      <c r="H759" s="1">
        <v>-151.9</v>
      </c>
      <c r="I759" s="11">
        <v>10</v>
      </c>
      <c r="J759" s="1">
        <v>717.66</v>
      </c>
      <c r="K759" s="11">
        <v>10</v>
      </c>
      <c r="L759" s="1">
        <v>0</v>
      </c>
      <c r="M759" s="11">
        <v>6.2</v>
      </c>
      <c r="N759" s="1">
        <v>27.96</v>
      </c>
      <c r="O759" s="11">
        <v>2.8224999999999998</v>
      </c>
      <c r="P759" s="1">
        <f t="shared" si="136"/>
        <v>3119.7999999999997</v>
      </c>
      <c r="Q759" s="1">
        <v>3162.52</v>
      </c>
      <c r="R759" s="16">
        <f t="shared" si="137"/>
        <v>3521623.7230000002</v>
      </c>
      <c r="S759" s="1">
        <v>-722.49</v>
      </c>
      <c r="T759" s="1">
        <v>35.03</v>
      </c>
      <c r="U759" s="1">
        <v>66.14</v>
      </c>
      <c r="V759" s="1">
        <v>38.03</v>
      </c>
      <c r="W759" s="1" cm="1">
        <f t="array" ref="W759">SUM(ABS(S759:V759))</f>
        <v>861.68999999999994</v>
      </c>
      <c r="X759" s="25">
        <v>1.238</v>
      </c>
      <c r="Y759" s="42">
        <f t="shared" si="138"/>
        <v>266693.05499999993</v>
      </c>
      <c r="Z759" s="20">
        <v>759.68</v>
      </c>
      <c r="AA759" s="20">
        <f t="shared" si="139"/>
        <v>1621.37</v>
      </c>
      <c r="AB759" s="21"/>
      <c r="AC759" s="21">
        <v>10.73</v>
      </c>
      <c r="AD759" s="8">
        <f t="shared" si="140"/>
        <v>770.41</v>
      </c>
      <c r="AE759" s="25">
        <v>1.238</v>
      </c>
      <c r="AF759" s="25">
        <f t="shared" si="141"/>
        <v>238441.89499999999</v>
      </c>
      <c r="AG759" s="25">
        <f t="shared" si="142"/>
        <v>505134.94999999995</v>
      </c>
      <c r="AH759" s="1">
        <f t="shared" si="132"/>
        <v>3890.2099999999996</v>
      </c>
      <c r="AI759" s="1">
        <f t="shared" si="133"/>
        <v>3932.93</v>
      </c>
      <c r="AJ759" s="1">
        <v>4846.6499999999996</v>
      </c>
      <c r="AK759" s="1">
        <f t="shared" si="134"/>
        <v>-956.44</v>
      </c>
      <c r="AL759" s="29">
        <f t="shared" si="143"/>
        <v>913.7199999999998</v>
      </c>
      <c r="AM759" s="11">
        <f t="shared" si="135"/>
        <v>4026758.6730000004</v>
      </c>
    </row>
    <row r="760" spans="1:39" x14ac:dyDescent="0.3">
      <c r="A760" s="39">
        <v>45996.875</v>
      </c>
      <c r="B760" s="1">
        <v>1408.02</v>
      </c>
      <c r="C760" s="11">
        <v>3.2732000000000001</v>
      </c>
      <c r="D760" s="1">
        <v>452.66</v>
      </c>
      <c r="E760" s="11">
        <v>3.0760000000000001</v>
      </c>
      <c r="F760" s="1">
        <v>665.41</v>
      </c>
      <c r="G760" s="11">
        <v>3.53</v>
      </c>
      <c r="H760" s="1">
        <v>-151.9</v>
      </c>
      <c r="I760" s="11">
        <v>10</v>
      </c>
      <c r="J760" s="1">
        <v>936.79</v>
      </c>
      <c r="K760" s="11">
        <v>10</v>
      </c>
      <c r="L760" s="1">
        <v>0</v>
      </c>
      <c r="M760" s="11">
        <v>6.2</v>
      </c>
      <c r="N760" s="1">
        <v>27.34</v>
      </c>
      <c r="O760" s="11">
        <v>2.8224999999999998</v>
      </c>
      <c r="P760" s="1">
        <f t="shared" si="136"/>
        <v>3338.32</v>
      </c>
      <c r="Q760" s="1">
        <v>3324.92</v>
      </c>
      <c r="R760" s="16">
        <f t="shared" si="137"/>
        <v>4069019.4185000001</v>
      </c>
      <c r="S760" s="1">
        <v>-590.35</v>
      </c>
      <c r="T760" s="1">
        <v>35.03</v>
      </c>
      <c r="U760" s="1">
        <v>66.150000000000006</v>
      </c>
      <c r="V760" s="1">
        <v>37.96</v>
      </c>
      <c r="W760" s="1" cm="1">
        <f t="array" ref="W760">SUM(ABS(S760:V760))</f>
        <v>729.49</v>
      </c>
      <c r="X760" s="25">
        <v>1.238</v>
      </c>
      <c r="Y760" s="42">
        <f t="shared" si="138"/>
        <v>225777.155</v>
      </c>
      <c r="Z760" s="20">
        <v>758.67</v>
      </c>
      <c r="AA760" s="20">
        <f t="shared" si="139"/>
        <v>1488.1599999999999</v>
      </c>
      <c r="AB760" s="21"/>
      <c r="AC760" s="21">
        <v>9.7799999999999994</v>
      </c>
      <c r="AD760" s="8">
        <f t="shared" si="140"/>
        <v>768.44999999999993</v>
      </c>
      <c r="AE760" s="25">
        <v>1.238</v>
      </c>
      <c r="AF760" s="25">
        <f t="shared" si="141"/>
        <v>237835.27499999997</v>
      </c>
      <c r="AG760" s="25">
        <f t="shared" si="142"/>
        <v>463612.42999999993</v>
      </c>
      <c r="AH760" s="1">
        <f t="shared" si="132"/>
        <v>4106.7700000000004</v>
      </c>
      <c r="AI760" s="1">
        <f t="shared" si="133"/>
        <v>4093.37</v>
      </c>
      <c r="AJ760" s="1">
        <v>4882.58</v>
      </c>
      <c r="AK760" s="1">
        <f t="shared" si="134"/>
        <v>-775.80999999999949</v>
      </c>
      <c r="AL760" s="29">
        <f t="shared" si="143"/>
        <v>789.21</v>
      </c>
      <c r="AM760" s="11">
        <f t="shared" si="135"/>
        <v>4532631.8485000003</v>
      </c>
    </row>
    <row r="761" spans="1:39" x14ac:dyDescent="0.3">
      <c r="A761" s="39">
        <v>45996.885416666664</v>
      </c>
      <c r="B761" s="1">
        <v>1408.02</v>
      </c>
      <c r="C761" s="11">
        <v>3.2732000000000001</v>
      </c>
      <c r="D761" s="1">
        <v>452.66</v>
      </c>
      <c r="E761" s="11">
        <v>3.0760000000000001</v>
      </c>
      <c r="F761" s="1">
        <v>665.41</v>
      </c>
      <c r="G761" s="11">
        <v>3.53</v>
      </c>
      <c r="H761" s="1">
        <v>-151.9</v>
      </c>
      <c r="I761" s="11">
        <v>10</v>
      </c>
      <c r="J761" s="1">
        <v>1026.3800000000001</v>
      </c>
      <c r="K761" s="11">
        <v>10</v>
      </c>
      <c r="L761" s="1">
        <v>0</v>
      </c>
      <c r="M761" s="11">
        <v>6.2</v>
      </c>
      <c r="N761" s="1">
        <v>26.75</v>
      </c>
      <c r="O761" s="11">
        <v>2.8224999999999998</v>
      </c>
      <c r="P761" s="1">
        <f t="shared" si="136"/>
        <v>3427.32</v>
      </c>
      <c r="Q761" s="1">
        <v>3441.2</v>
      </c>
      <c r="R761" s="16">
        <f t="shared" si="137"/>
        <v>4292578.099750001</v>
      </c>
      <c r="S761" s="1">
        <v>-544.66</v>
      </c>
      <c r="T761" s="1">
        <v>35.03</v>
      </c>
      <c r="U761" s="1">
        <v>66.14</v>
      </c>
      <c r="V761" s="1">
        <v>38</v>
      </c>
      <c r="W761" s="1" cm="1">
        <f t="array" ref="W761">SUM(ABS(S761:V761))</f>
        <v>683.82999999999993</v>
      </c>
      <c r="X761" s="25">
        <v>1.238</v>
      </c>
      <c r="Y761" s="42">
        <f t="shared" si="138"/>
        <v>211645.38499999998</v>
      </c>
      <c r="Z761" s="20">
        <v>758.56</v>
      </c>
      <c r="AA761" s="20">
        <f t="shared" si="139"/>
        <v>1442.3899999999999</v>
      </c>
      <c r="AB761" s="21"/>
      <c r="AC761" s="21">
        <v>9.2799999999999994</v>
      </c>
      <c r="AD761" s="8">
        <f t="shared" si="140"/>
        <v>767.83999999999992</v>
      </c>
      <c r="AE761" s="25">
        <v>1.238</v>
      </c>
      <c r="AF761" s="25">
        <f t="shared" si="141"/>
        <v>237646.47999999998</v>
      </c>
      <c r="AG761" s="25">
        <f t="shared" si="142"/>
        <v>449291.86499999999</v>
      </c>
      <c r="AH761" s="1">
        <f t="shared" si="132"/>
        <v>4195.16</v>
      </c>
      <c r="AI761" s="1">
        <f t="shared" si="133"/>
        <v>4209.04</v>
      </c>
      <c r="AJ761" s="1">
        <v>4941.21</v>
      </c>
      <c r="AK761" s="1">
        <f t="shared" si="134"/>
        <v>-746.05000000000018</v>
      </c>
      <c r="AL761" s="29">
        <f t="shared" si="143"/>
        <v>732.17000000000007</v>
      </c>
      <c r="AM761" s="11">
        <f t="shared" si="135"/>
        <v>4741869.9647500012</v>
      </c>
    </row>
    <row r="762" spans="1:39" x14ac:dyDescent="0.3">
      <c r="A762" s="39">
        <v>45996.895833333336</v>
      </c>
      <c r="B762" s="1">
        <v>1408.02</v>
      </c>
      <c r="C762" s="11">
        <v>3.2732000000000001</v>
      </c>
      <c r="D762" s="1">
        <v>452.66</v>
      </c>
      <c r="E762" s="11">
        <v>3.0760000000000001</v>
      </c>
      <c r="F762" s="1">
        <v>665.41</v>
      </c>
      <c r="G762" s="11">
        <v>3.53</v>
      </c>
      <c r="H762" s="1">
        <v>-151.9</v>
      </c>
      <c r="I762" s="11">
        <v>10</v>
      </c>
      <c r="J762" s="1">
        <v>1082.46</v>
      </c>
      <c r="K762" s="11">
        <v>10</v>
      </c>
      <c r="L762" s="1">
        <v>0</v>
      </c>
      <c r="M762" s="11">
        <v>6.2</v>
      </c>
      <c r="N762" s="1">
        <v>26.14</v>
      </c>
      <c r="O762" s="11">
        <v>2.8224999999999998</v>
      </c>
      <c r="P762" s="1">
        <f t="shared" si="136"/>
        <v>3482.79</v>
      </c>
      <c r="Q762" s="1">
        <v>3469.67</v>
      </c>
      <c r="R762" s="16">
        <f t="shared" si="137"/>
        <v>4432347.6685000006</v>
      </c>
      <c r="S762" s="1">
        <v>-567.45000000000005</v>
      </c>
      <c r="T762" s="1">
        <v>35.03</v>
      </c>
      <c r="U762" s="1">
        <v>66.14</v>
      </c>
      <c r="V762" s="1">
        <v>37.950000000000003</v>
      </c>
      <c r="W762" s="1" cm="1">
        <f t="array" ref="W762">SUM(ABS(S762:V762))</f>
        <v>706.57</v>
      </c>
      <c r="X762" s="25">
        <v>1.238</v>
      </c>
      <c r="Y762" s="42">
        <f t="shared" si="138"/>
        <v>218683.41500000004</v>
      </c>
      <c r="Z762" s="20">
        <v>759.8</v>
      </c>
      <c r="AA762" s="20">
        <f t="shared" si="139"/>
        <v>1466.37</v>
      </c>
      <c r="AB762" s="21"/>
      <c r="AC762" s="21">
        <v>8.379999999999999</v>
      </c>
      <c r="AD762" s="8">
        <f t="shared" si="140"/>
        <v>768.18</v>
      </c>
      <c r="AE762" s="25">
        <v>1.238</v>
      </c>
      <c r="AF762" s="25">
        <f t="shared" si="141"/>
        <v>237751.70999999996</v>
      </c>
      <c r="AG762" s="25">
        <f t="shared" si="142"/>
        <v>456435.125</v>
      </c>
      <c r="AH762" s="1">
        <f t="shared" si="132"/>
        <v>4250.97</v>
      </c>
      <c r="AI762" s="1">
        <f t="shared" si="133"/>
        <v>4237.8500000000004</v>
      </c>
      <c r="AJ762" s="1">
        <v>4995.43</v>
      </c>
      <c r="AK762" s="1">
        <f t="shared" si="134"/>
        <v>-744.46</v>
      </c>
      <c r="AL762" s="29">
        <f t="shared" si="143"/>
        <v>757.57999999999993</v>
      </c>
      <c r="AM762" s="11">
        <f t="shared" si="135"/>
        <v>4888782.7935000006</v>
      </c>
    </row>
    <row r="763" spans="1:39" x14ac:dyDescent="0.3">
      <c r="A763" s="39">
        <v>45996.90625</v>
      </c>
      <c r="B763" s="1">
        <v>1408.02</v>
      </c>
      <c r="C763" s="11">
        <v>3.2732000000000001</v>
      </c>
      <c r="D763" s="1">
        <v>452.66</v>
      </c>
      <c r="E763" s="11">
        <v>3.0760000000000001</v>
      </c>
      <c r="F763" s="1">
        <v>665.41</v>
      </c>
      <c r="G763" s="11">
        <v>3.53</v>
      </c>
      <c r="H763" s="1">
        <v>-151.9</v>
      </c>
      <c r="I763" s="11">
        <v>10</v>
      </c>
      <c r="J763" s="1">
        <v>1027.1199999999999</v>
      </c>
      <c r="K763" s="11">
        <v>10</v>
      </c>
      <c r="L763" s="1">
        <v>0</v>
      </c>
      <c r="M763" s="11">
        <v>6.2</v>
      </c>
      <c r="N763" s="1">
        <v>25.82</v>
      </c>
      <c r="O763" s="11">
        <v>2.8224999999999998</v>
      </c>
      <c r="P763" s="1">
        <f t="shared" si="136"/>
        <v>3427.13</v>
      </c>
      <c r="Q763" s="1">
        <v>3435.02</v>
      </c>
      <c r="R763" s="16">
        <f t="shared" si="137"/>
        <v>4293771.8685000008</v>
      </c>
      <c r="S763" s="1">
        <v>-682.78</v>
      </c>
      <c r="T763" s="1">
        <v>35.03</v>
      </c>
      <c r="U763" s="1">
        <v>66.14</v>
      </c>
      <c r="V763" s="1">
        <v>37.950000000000003</v>
      </c>
      <c r="W763" s="1" cm="1">
        <f t="array" ref="W763">SUM(ABS(S763:V763))</f>
        <v>821.9</v>
      </c>
      <c r="X763" s="25">
        <v>1.238</v>
      </c>
      <c r="Y763" s="42">
        <f t="shared" si="138"/>
        <v>254378.05</v>
      </c>
      <c r="Z763" s="20">
        <v>760.31</v>
      </c>
      <c r="AA763" s="20">
        <f t="shared" si="139"/>
        <v>1582.21</v>
      </c>
      <c r="AB763" s="21"/>
      <c r="AC763" s="21">
        <v>8.7900000000000009</v>
      </c>
      <c r="AD763" s="8">
        <f t="shared" si="140"/>
        <v>769.09999999999991</v>
      </c>
      <c r="AE763" s="25">
        <v>1.238</v>
      </c>
      <c r="AF763" s="25">
        <f t="shared" si="141"/>
        <v>238036.44999999998</v>
      </c>
      <c r="AG763" s="25">
        <f t="shared" si="142"/>
        <v>492414.5</v>
      </c>
      <c r="AH763" s="1">
        <f t="shared" si="132"/>
        <v>4196.2299999999996</v>
      </c>
      <c r="AI763" s="1">
        <f t="shared" si="133"/>
        <v>4204.12</v>
      </c>
      <c r="AJ763" s="1">
        <v>5074.57</v>
      </c>
      <c r="AK763" s="1">
        <f t="shared" si="134"/>
        <v>-878.34000000000015</v>
      </c>
      <c r="AL763" s="29">
        <f t="shared" si="143"/>
        <v>870.44999999999982</v>
      </c>
      <c r="AM763" s="11">
        <f t="shared" si="135"/>
        <v>4786186.3685000008</v>
      </c>
    </row>
    <row r="764" spans="1:39" x14ac:dyDescent="0.3">
      <c r="A764" s="39">
        <v>45996.916666666664</v>
      </c>
      <c r="B764" s="1">
        <v>1410.01</v>
      </c>
      <c r="C764" s="11">
        <v>3.2732000000000001</v>
      </c>
      <c r="D764" s="1">
        <v>452.66</v>
      </c>
      <c r="E764" s="11">
        <v>3.0760000000000001</v>
      </c>
      <c r="F764" s="1">
        <v>665.41</v>
      </c>
      <c r="G764" s="11">
        <v>3.53</v>
      </c>
      <c r="H764" s="1">
        <v>-151.9</v>
      </c>
      <c r="I764" s="11">
        <v>10</v>
      </c>
      <c r="J764" s="1">
        <v>714</v>
      </c>
      <c r="K764" s="11">
        <v>10</v>
      </c>
      <c r="L764" s="1">
        <v>0</v>
      </c>
      <c r="M764" s="11">
        <v>6.2</v>
      </c>
      <c r="N764" s="1">
        <v>25.52</v>
      </c>
      <c r="O764" s="11">
        <v>2.8224999999999998</v>
      </c>
      <c r="P764" s="1">
        <f t="shared" si="136"/>
        <v>3115.7</v>
      </c>
      <c r="Q764" s="1">
        <v>3418.88</v>
      </c>
      <c r="R764" s="16">
        <f t="shared" si="137"/>
        <v>3512388.5980000002</v>
      </c>
      <c r="S764" s="1">
        <v>-734.96</v>
      </c>
      <c r="T764" s="1">
        <v>35.03</v>
      </c>
      <c r="U764" s="1">
        <v>66.150000000000006</v>
      </c>
      <c r="V764" s="1">
        <v>37.96</v>
      </c>
      <c r="W764" s="1" cm="1">
        <f t="array" ref="W764">SUM(ABS(S764:V764))</f>
        <v>874.1</v>
      </c>
      <c r="X764" s="25">
        <v>1.238</v>
      </c>
      <c r="Y764" s="42">
        <f t="shared" si="138"/>
        <v>270533.95</v>
      </c>
      <c r="Z764" s="20">
        <v>761.91</v>
      </c>
      <c r="AA764" s="20">
        <f t="shared" si="139"/>
        <v>1636.01</v>
      </c>
      <c r="AB764" s="21"/>
      <c r="AC764" s="21">
        <v>7.95</v>
      </c>
      <c r="AD764" s="8">
        <f t="shared" si="140"/>
        <v>769.86</v>
      </c>
      <c r="AE764" s="25">
        <v>1.238</v>
      </c>
      <c r="AF764" s="25">
        <f t="shared" si="141"/>
        <v>238271.67</v>
      </c>
      <c r="AG764" s="25">
        <f t="shared" si="142"/>
        <v>508805.62</v>
      </c>
      <c r="AH764" s="1">
        <f t="shared" si="132"/>
        <v>3885.56</v>
      </c>
      <c r="AI764" s="1">
        <f t="shared" si="133"/>
        <v>4188.74</v>
      </c>
      <c r="AJ764" s="1">
        <v>5115.34</v>
      </c>
      <c r="AK764" s="1">
        <f t="shared" si="134"/>
        <v>-1229.7800000000002</v>
      </c>
      <c r="AL764" s="29">
        <f t="shared" si="143"/>
        <v>926.60000000000036</v>
      </c>
      <c r="AM764" s="11">
        <f t="shared" si="135"/>
        <v>4021194.2180000003</v>
      </c>
    </row>
    <row r="765" spans="1:39" x14ac:dyDescent="0.3">
      <c r="A765" s="39">
        <v>45996.927083333336</v>
      </c>
      <c r="B765" s="1">
        <v>1410.39</v>
      </c>
      <c r="C765" s="11">
        <v>3.2732000000000001</v>
      </c>
      <c r="D765" s="1">
        <v>452.66</v>
      </c>
      <c r="E765" s="11">
        <v>3.0760000000000001</v>
      </c>
      <c r="F765" s="1">
        <v>665.41</v>
      </c>
      <c r="G765" s="11">
        <v>3.53</v>
      </c>
      <c r="H765" s="1">
        <v>-151.9</v>
      </c>
      <c r="I765" s="11">
        <v>10</v>
      </c>
      <c r="J765" s="1">
        <v>678.87</v>
      </c>
      <c r="K765" s="11">
        <v>10</v>
      </c>
      <c r="L765" s="1">
        <v>0</v>
      </c>
      <c r="M765" s="11">
        <v>6.2</v>
      </c>
      <c r="N765" s="1">
        <v>25.5</v>
      </c>
      <c r="O765" s="11">
        <v>2.8224999999999998</v>
      </c>
      <c r="P765" s="1">
        <f t="shared" si="136"/>
        <v>3080.93</v>
      </c>
      <c r="Q765" s="1">
        <v>3467.72</v>
      </c>
      <c r="R765" s="16">
        <f t="shared" si="137"/>
        <v>3424860.4394999999</v>
      </c>
      <c r="S765" s="1">
        <v>-736.25</v>
      </c>
      <c r="T765" s="1">
        <v>35.03</v>
      </c>
      <c r="U765" s="1">
        <v>66.150000000000006</v>
      </c>
      <c r="V765" s="1">
        <v>37.96</v>
      </c>
      <c r="W765" s="1" cm="1">
        <f t="array" ref="W765">SUM(ABS(S765:V765))</f>
        <v>875.39</v>
      </c>
      <c r="X765" s="25">
        <v>1.238</v>
      </c>
      <c r="Y765" s="42">
        <f t="shared" si="138"/>
        <v>270933.20499999996</v>
      </c>
      <c r="Z765" s="20">
        <v>760.81000000000006</v>
      </c>
      <c r="AA765" s="20">
        <f t="shared" si="139"/>
        <v>1636.2</v>
      </c>
      <c r="AB765" s="21"/>
      <c r="AC765" s="21">
        <v>7.28</v>
      </c>
      <c r="AD765" s="8">
        <f t="shared" si="140"/>
        <v>768.09</v>
      </c>
      <c r="AE765" s="25">
        <v>1.238</v>
      </c>
      <c r="AF765" s="25">
        <f t="shared" si="141"/>
        <v>237723.85500000001</v>
      </c>
      <c r="AG765" s="25">
        <f t="shared" si="142"/>
        <v>508657.05999999994</v>
      </c>
      <c r="AH765" s="1">
        <f t="shared" si="132"/>
        <v>3849.02</v>
      </c>
      <c r="AI765" s="1">
        <f t="shared" si="133"/>
        <v>4235.8099999999995</v>
      </c>
      <c r="AJ765" s="1">
        <v>5165.05</v>
      </c>
      <c r="AK765" s="1">
        <f t="shared" si="134"/>
        <v>-1316.0300000000002</v>
      </c>
      <c r="AL765" s="29">
        <f t="shared" si="143"/>
        <v>929.24000000000069</v>
      </c>
      <c r="AM765" s="11">
        <f t="shared" si="135"/>
        <v>3933517.4994999999</v>
      </c>
    </row>
    <row r="766" spans="1:39" x14ac:dyDescent="0.3">
      <c r="A766" s="39">
        <v>45996.9375</v>
      </c>
      <c r="B766" s="1">
        <v>1410.41</v>
      </c>
      <c r="C766" s="11">
        <v>3.2732000000000001</v>
      </c>
      <c r="D766" s="1">
        <v>452.66</v>
      </c>
      <c r="E766" s="11">
        <v>3.0760000000000001</v>
      </c>
      <c r="F766" s="1">
        <v>665.41</v>
      </c>
      <c r="G766" s="11">
        <v>3.53</v>
      </c>
      <c r="H766" s="1">
        <v>-151.9</v>
      </c>
      <c r="I766" s="11">
        <v>10</v>
      </c>
      <c r="J766" s="1">
        <v>805.35</v>
      </c>
      <c r="K766" s="11">
        <v>10</v>
      </c>
      <c r="L766" s="1">
        <v>0</v>
      </c>
      <c r="M766" s="11">
        <v>6.2</v>
      </c>
      <c r="N766" s="1">
        <v>25.22</v>
      </c>
      <c r="O766" s="11">
        <v>2.8224999999999998</v>
      </c>
      <c r="P766" s="1">
        <f t="shared" si="136"/>
        <v>3207.1499999999996</v>
      </c>
      <c r="Q766" s="1">
        <v>3487.29</v>
      </c>
      <c r="R766" s="16">
        <f t="shared" si="137"/>
        <v>3740879.2305000001</v>
      </c>
      <c r="S766" s="1">
        <v>-730.36</v>
      </c>
      <c r="T766" s="1">
        <v>35.03</v>
      </c>
      <c r="U766" s="1">
        <v>66.13</v>
      </c>
      <c r="V766" s="1">
        <v>37.979999999999997</v>
      </c>
      <c r="W766" s="1" cm="1">
        <f t="array" ref="W766">SUM(ABS(S766:V766))</f>
        <v>869.5</v>
      </c>
      <c r="X766" s="25">
        <v>1.238</v>
      </c>
      <c r="Y766" s="42">
        <f t="shared" si="138"/>
        <v>269110.25</v>
      </c>
      <c r="Z766" s="20">
        <v>758.24999999999989</v>
      </c>
      <c r="AA766" s="20">
        <f t="shared" si="139"/>
        <v>1627.75</v>
      </c>
      <c r="AB766" s="21"/>
      <c r="AC766" s="21">
        <v>8.5300000000000011</v>
      </c>
      <c r="AD766" s="8">
        <f t="shared" si="140"/>
        <v>766.77999999999986</v>
      </c>
      <c r="AE766" s="25">
        <v>1.238</v>
      </c>
      <c r="AF766" s="25">
        <f t="shared" si="141"/>
        <v>237318.40999999995</v>
      </c>
      <c r="AG766" s="25">
        <f t="shared" si="142"/>
        <v>506428.65999999992</v>
      </c>
      <c r="AH766" s="1">
        <f t="shared" si="132"/>
        <v>3973.9299999999994</v>
      </c>
      <c r="AI766" s="1">
        <f t="shared" si="133"/>
        <v>4254.07</v>
      </c>
      <c r="AJ766" s="1">
        <v>5172.17</v>
      </c>
      <c r="AK766" s="1">
        <f t="shared" si="134"/>
        <v>-1198.2400000000007</v>
      </c>
      <c r="AL766" s="29">
        <f t="shared" si="143"/>
        <v>918.10000000000036</v>
      </c>
      <c r="AM766" s="11">
        <f t="shared" si="135"/>
        <v>4247307.8904999997</v>
      </c>
    </row>
    <row r="767" spans="1:39" x14ac:dyDescent="0.3">
      <c r="A767" s="39">
        <v>45996.947916666664</v>
      </c>
      <c r="B767" s="1">
        <v>1408.61</v>
      </c>
      <c r="C767" s="11">
        <v>3.2732000000000001</v>
      </c>
      <c r="D767" s="1">
        <v>452.66</v>
      </c>
      <c r="E767" s="11">
        <v>3.0760000000000001</v>
      </c>
      <c r="F767" s="1">
        <v>665.41</v>
      </c>
      <c r="G767" s="11">
        <v>3.53</v>
      </c>
      <c r="H767" s="1">
        <v>-151.9</v>
      </c>
      <c r="I767" s="11">
        <v>10</v>
      </c>
      <c r="J767" s="1">
        <v>771.45</v>
      </c>
      <c r="K767" s="11">
        <v>10</v>
      </c>
      <c r="L767" s="1">
        <v>0</v>
      </c>
      <c r="M767" s="11">
        <v>6.2</v>
      </c>
      <c r="N767" s="1">
        <v>25.2</v>
      </c>
      <c r="O767" s="11">
        <v>2.8224999999999998</v>
      </c>
      <c r="P767" s="1">
        <f t="shared" si="136"/>
        <v>3171.4299999999994</v>
      </c>
      <c r="Q767" s="1">
        <v>3458.67</v>
      </c>
      <c r="R767" s="16">
        <f t="shared" si="137"/>
        <v>3654642.1779999998</v>
      </c>
      <c r="S767" s="1">
        <v>-726.21</v>
      </c>
      <c r="T767" s="1">
        <v>35.03</v>
      </c>
      <c r="U767" s="1">
        <v>66.13</v>
      </c>
      <c r="V767" s="1">
        <v>37.979999999999997</v>
      </c>
      <c r="W767" s="1" cm="1">
        <f t="array" ref="W767">SUM(ABS(S767:V767))</f>
        <v>865.35</v>
      </c>
      <c r="X767" s="25">
        <v>1.238</v>
      </c>
      <c r="Y767" s="42">
        <f t="shared" si="138"/>
        <v>267825.82500000001</v>
      </c>
      <c r="Z767" s="20">
        <v>757.48</v>
      </c>
      <c r="AA767" s="20">
        <f t="shared" si="139"/>
        <v>1622.83</v>
      </c>
      <c r="AB767" s="21"/>
      <c r="AC767" s="21">
        <v>10.549999999999999</v>
      </c>
      <c r="AD767" s="8">
        <f t="shared" si="140"/>
        <v>768.03</v>
      </c>
      <c r="AE767" s="25">
        <v>1.238</v>
      </c>
      <c r="AF767" s="25">
        <f t="shared" si="141"/>
        <v>237705.285</v>
      </c>
      <c r="AG767" s="25">
        <f t="shared" si="142"/>
        <v>505531.11</v>
      </c>
      <c r="AH767" s="1">
        <f t="shared" si="132"/>
        <v>3939.4599999999991</v>
      </c>
      <c r="AI767" s="1">
        <f t="shared" si="133"/>
        <v>4226.7</v>
      </c>
      <c r="AJ767" s="1">
        <v>5139.3599999999997</v>
      </c>
      <c r="AK767" s="1">
        <f t="shared" si="134"/>
        <v>-1199.9000000000005</v>
      </c>
      <c r="AL767" s="29">
        <f t="shared" si="143"/>
        <v>912.65999999999985</v>
      </c>
      <c r="AM767" s="11">
        <f t="shared" si="135"/>
        <v>4160173.2879999997</v>
      </c>
    </row>
    <row r="768" spans="1:39" x14ac:dyDescent="0.3">
      <c r="A768" s="39">
        <v>45996.958333333336</v>
      </c>
      <c r="B768" s="1">
        <v>1408.46</v>
      </c>
      <c r="C768" s="11">
        <v>3.2732000000000001</v>
      </c>
      <c r="D768" s="1">
        <v>452.66</v>
      </c>
      <c r="E768" s="11">
        <v>3.0760000000000001</v>
      </c>
      <c r="F768" s="1">
        <v>665.41</v>
      </c>
      <c r="G768" s="11">
        <v>3.53</v>
      </c>
      <c r="H768" s="1">
        <v>-151.9</v>
      </c>
      <c r="I768" s="11">
        <v>10</v>
      </c>
      <c r="J768" s="1">
        <v>931.31</v>
      </c>
      <c r="K768" s="11">
        <v>10</v>
      </c>
      <c r="L768" s="1">
        <v>0</v>
      </c>
      <c r="M768" s="11">
        <v>6.2</v>
      </c>
      <c r="N768" s="1">
        <v>27.44</v>
      </c>
      <c r="O768" s="11">
        <v>2.8224999999999998</v>
      </c>
      <c r="P768" s="1">
        <f t="shared" si="136"/>
        <v>3333.38</v>
      </c>
      <c r="Q768" s="1">
        <v>3418.06</v>
      </c>
      <c r="R768" s="16">
        <f t="shared" si="137"/>
        <v>4055750.0329999998</v>
      </c>
      <c r="S768" s="1">
        <v>-730.13</v>
      </c>
      <c r="T768" s="1">
        <v>35.03</v>
      </c>
      <c r="U768" s="1">
        <v>66.13</v>
      </c>
      <c r="V768" s="1">
        <v>37.96</v>
      </c>
      <c r="W768" s="1" cm="1">
        <f t="array" ref="W768">SUM(ABS(S768:V768))</f>
        <v>869.25</v>
      </c>
      <c r="X768" s="25">
        <v>1.238</v>
      </c>
      <c r="Y768" s="42">
        <f t="shared" si="138"/>
        <v>269032.875</v>
      </c>
      <c r="Z768" s="20">
        <v>757.43</v>
      </c>
      <c r="AA768" s="20">
        <f t="shared" si="139"/>
        <v>1626.6799999999998</v>
      </c>
      <c r="AB768" s="21"/>
      <c r="AC768" s="21">
        <v>10</v>
      </c>
      <c r="AD768" s="8">
        <f t="shared" si="140"/>
        <v>767.43</v>
      </c>
      <c r="AE768" s="25">
        <v>1.238</v>
      </c>
      <c r="AF768" s="25">
        <f t="shared" si="141"/>
        <v>237519.58499999999</v>
      </c>
      <c r="AG768" s="25">
        <f t="shared" si="142"/>
        <v>506552.45999999996</v>
      </c>
      <c r="AH768" s="1">
        <f t="shared" si="132"/>
        <v>4100.8100000000004</v>
      </c>
      <c r="AI768" s="1">
        <f t="shared" si="133"/>
        <v>4185.49</v>
      </c>
      <c r="AJ768" s="1">
        <v>5103.22</v>
      </c>
      <c r="AK768" s="1">
        <f t="shared" si="134"/>
        <v>-1002.4099999999999</v>
      </c>
      <c r="AL768" s="29">
        <f t="shared" si="143"/>
        <v>917.73000000000047</v>
      </c>
      <c r="AM768" s="11">
        <f t="shared" si="135"/>
        <v>4562302.4929999998</v>
      </c>
    </row>
    <row r="769" spans="1:41" x14ac:dyDescent="0.3">
      <c r="A769" s="39">
        <v>45996.96875</v>
      </c>
      <c r="B769" s="1">
        <v>1408.46</v>
      </c>
      <c r="C769" s="11">
        <v>3.2732000000000001</v>
      </c>
      <c r="D769" s="1">
        <v>452.66</v>
      </c>
      <c r="E769" s="11">
        <v>3.0760000000000001</v>
      </c>
      <c r="F769" s="1">
        <v>665.41</v>
      </c>
      <c r="G769" s="11">
        <v>3.53</v>
      </c>
      <c r="H769" s="1">
        <v>-151.9</v>
      </c>
      <c r="I769" s="11">
        <v>10</v>
      </c>
      <c r="J769" s="1">
        <v>896.66</v>
      </c>
      <c r="K769" s="11">
        <v>10</v>
      </c>
      <c r="L769" s="1">
        <v>0</v>
      </c>
      <c r="M769" s="11">
        <v>6.2</v>
      </c>
      <c r="N769" s="1">
        <v>29.56</v>
      </c>
      <c r="O769" s="11">
        <v>2.8224999999999998</v>
      </c>
      <c r="P769" s="1">
        <f t="shared" si="136"/>
        <v>3300.85</v>
      </c>
      <c r="Q769" s="1">
        <v>3375.35</v>
      </c>
      <c r="R769" s="16">
        <f t="shared" si="137"/>
        <v>3970620.9580000006</v>
      </c>
      <c r="S769" s="1">
        <v>-730.98</v>
      </c>
      <c r="T769" s="1">
        <v>35.03</v>
      </c>
      <c r="U769" s="1">
        <v>66.14</v>
      </c>
      <c r="V769" s="1">
        <v>37.96</v>
      </c>
      <c r="W769" s="1" cm="1">
        <f t="array" ref="W769">SUM(ABS(S769:V769))</f>
        <v>870.11</v>
      </c>
      <c r="X769" s="25">
        <v>1.238</v>
      </c>
      <c r="Y769" s="42">
        <f t="shared" si="138"/>
        <v>269299.04499999998</v>
      </c>
      <c r="Z769" s="20">
        <v>758.07999999999993</v>
      </c>
      <c r="AA769" s="20">
        <f t="shared" si="139"/>
        <v>1628.19</v>
      </c>
      <c r="AB769" s="21"/>
      <c r="AC769" s="21">
        <v>10.110000000000001</v>
      </c>
      <c r="AD769" s="8">
        <f t="shared" si="140"/>
        <v>768.18999999999994</v>
      </c>
      <c r="AE769" s="25">
        <v>1.238</v>
      </c>
      <c r="AF769" s="25">
        <f t="shared" si="141"/>
        <v>237754.80499999996</v>
      </c>
      <c r="AG769" s="25">
        <f t="shared" si="142"/>
        <v>507053.85</v>
      </c>
      <c r="AH769" s="1">
        <f t="shared" si="132"/>
        <v>4069.04</v>
      </c>
      <c r="AI769" s="1">
        <f t="shared" si="133"/>
        <v>4143.54</v>
      </c>
      <c r="AJ769" s="1">
        <v>5060.88</v>
      </c>
      <c r="AK769" s="1">
        <f t="shared" si="134"/>
        <v>-991.84000000000015</v>
      </c>
      <c r="AL769" s="29">
        <f t="shared" si="143"/>
        <v>917.34000000000015</v>
      </c>
      <c r="AM769" s="11">
        <f t="shared" si="135"/>
        <v>4477674.8080000002</v>
      </c>
    </row>
    <row r="770" spans="1:41" x14ac:dyDescent="0.3">
      <c r="A770" s="39">
        <v>45996.979166666664</v>
      </c>
      <c r="B770" s="1">
        <v>1408.38</v>
      </c>
      <c r="C770" s="11">
        <v>3.2732000000000001</v>
      </c>
      <c r="D770" s="1">
        <v>452.66</v>
      </c>
      <c r="E770" s="11">
        <v>3.0760000000000001</v>
      </c>
      <c r="F770" s="1">
        <v>711.85</v>
      </c>
      <c r="G770" s="11">
        <v>3.53</v>
      </c>
      <c r="H770" s="1">
        <v>-151.9</v>
      </c>
      <c r="I770" s="11">
        <v>10</v>
      </c>
      <c r="J770" s="1">
        <v>694.83</v>
      </c>
      <c r="K770" s="11">
        <v>10</v>
      </c>
      <c r="L770" s="1">
        <v>0</v>
      </c>
      <c r="M770" s="11">
        <v>6.2</v>
      </c>
      <c r="N770" s="1">
        <v>31.94</v>
      </c>
      <c r="O770" s="11">
        <v>2.8224999999999998</v>
      </c>
      <c r="P770" s="1">
        <f t="shared" si="136"/>
        <v>3147.76</v>
      </c>
      <c r="Q770" s="1">
        <v>3293.93</v>
      </c>
      <c r="R770" s="16">
        <f t="shared" si="137"/>
        <v>3508643.1814999995</v>
      </c>
      <c r="S770" s="1">
        <v>-733.87</v>
      </c>
      <c r="T770" s="1">
        <v>35.03</v>
      </c>
      <c r="U770" s="1">
        <v>66.12</v>
      </c>
      <c r="V770" s="1">
        <v>37.950000000000003</v>
      </c>
      <c r="W770" s="1" cm="1">
        <f t="array" ref="W770">SUM(ABS(S770:V770))</f>
        <v>872.97</v>
      </c>
      <c r="X770" s="25">
        <v>1.238</v>
      </c>
      <c r="Y770" s="42">
        <f t="shared" si="138"/>
        <v>270184.21499999997</v>
      </c>
      <c r="Z770" s="20">
        <v>757.05999999999983</v>
      </c>
      <c r="AA770" s="20">
        <f t="shared" si="139"/>
        <v>1630.0299999999997</v>
      </c>
      <c r="AB770" s="21"/>
      <c r="AC770" s="21">
        <v>10.71</v>
      </c>
      <c r="AD770" s="8">
        <f t="shared" si="140"/>
        <v>767.76999999999987</v>
      </c>
      <c r="AE770" s="25">
        <v>1.238</v>
      </c>
      <c r="AF770" s="25">
        <f t="shared" si="141"/>
        <v>237624.81499999994</v>
      </c>
      <c r="AG770" s="25">
        <f t="shared" si="142"/>
        <v>507809.02999999991</v>
      </c>
      <c r="AH770" s="1">
        <f t="shared" si="132"/>
        <v>3915.53</v>
      </c>
      <c r="AI770" s="1">
        <f t="shared" si="133"/>
        <v>4061.7</v>
      </c>
      <c r="AJ770" s="1">
        <v>4983.05</v>
      </c>
      <c r="AK770" s="1">
        <f t="shared" si="134"/>
        <v>-1067.52</v>
      </c>
      <c r="AL770" s="29">
        <f t="shared" si="143"/>
        <v>921.35000000000036</v>
      </c>
      <c r="AM770" s="11">
        <f t="shared" si="135"/>
        <v>4016452.2114999993</v>
      </c>
    </row>
    <row r="771" spans="1:41" x14ac:dyDescent="0.3">
      <c r="A771" s="40">
        <v>45996.989583333336</v>
      </c>
      <c r="B771" s="2">
        <v>1408.37</v>
      </c>
      <c r="C771" s="11">
        <v>3.2732000000000001</v>
      </c>
      <c r="D771" s="2">
        <v>452.66</v>
      </c>
      <c r="E771" s="11">
        <v>3.0760000000000001</v>
      </c>
      <c r="F771" s="2">
        <v>715.41</v>
      </c>
      <c r="G771" s="11">
        <v>3.53</v>
      </c>
      <c r="H771" s="2">
        <v>-151.9</v>
      </c>
      <c r="I771" s="23">
        <v>10</v>
      </c>
      <c r="J771" s="2">
        <v>737.88</v>
      </c>
      <c r="K771" s="23">
        <v>10</v>
      </c>
      <c r="L771" s="2">
        <v>0</v>
      </c>
      <c r="M771" s="11">
        <v>6.2</v>
      </c>
      <c r="N771" s="2">
        <v>34.6</v>
      </c>
      <c r="O771" s="11">
        <v>2.8224999999999998</v>
      </c>
      <c r="P771" s="1">
        <f t="shared" si="136"/>
        <v>3197.02</v>
      </c>
      <c r="Q771" s="2">
        <v>3230.72</v>
      </c>
      <c r="R771" s="16">
        <f t="shared" si="137"/>
        <v>3621278.6609999998</v>
      </c>
      <c r="S771" s="2">
        <v>-730.61</v>
      </c>
      <c r="T771" s="2">
        <v>35.03</v>
      </c>
      <c r="U771" s="2">
        <v>66.12</v>
      </c>
      <c r="V771" s="2">
        <v>37.93</v>
      </c>
      <c r="W771" s="1" cm="1">
        <f t="array" ref="W771">SUM(ABS(S771:V771))</f>
        <v>869.68999999999994</v>
      </c>
      <c r="X771" s="25">
        <v>1.238</v>
      </c>
      <c r="Y771" s="42">
        <f t="shared" si="138"/>
        <v>269169.05499999993</v>
      </c>
      <c r="Z771" s="20">
        <v>754.42</v>
      </c>
      <c r="AA771" s="20">
        <f t="shared" si="139"/>
        <v>1624.11</v>
      </c>
      <c r="AB771" s="21"/>
      <c r="AC771" s="21">
        <v>9.1199999999999992</v>
      </c>
      <c r="AD771" s="8">
        <f t="shared" si="140"/>
        <v>763.54</v>
      </c>
      <c r="AE771" s="25">
        <v>1.238</v>
      </c>
      <c r="AF771" s="25">
        <f t="shared" si="141"/>
        <v>236315.63</v>
      </c>
      <c r="AG771" s="25">
        <f t="shared" si="142"/>
        <v>505484.68499999994</v>
      </c>
      <c r="AH771" s="1">
        <f t="shared" si="132"/>
        <v>3960.56</v>
      </c>
      <c r="AI771" s="1">
        <f t="shared" si="133"/>
        <v>3994.2599999999998</v>
      </c>
      <c r="AJ771" s="2">
        <v>4916.5200000000004</v>
      </c>
      <c r="AK771" s="1">
        <f t="shared" si="134"/>
        <v>-955.96000000000049</v>
      </c>
      <c r="AL771" s="29">
        <f t="shared" si="143"/>
        <v>922.26000000000067</v>
      </c>
      <c r="AM771" s="11">
        <f t="shared" si="135"/>
        <v>4126763.3459999999</v>
      </c>
      <c r="AN771" s="31">
        <f>SUM(AM676:AM771)</f>
        <v>277089277.95615005</v>
      </c>
    </row>
    <row r="772" spans="1:41" ht="55.2" customHeight="1" x14ac:dyDescent="0.3">
      <c r="A772" s="41"/>
      <c r="B772" s="4"/>
      <c r="C772" s="24"/>
      <c r="D772" s="4"/>
      <c r="E772" s="24"/>
      <c r="F772" s="4"/>
      <c r="G772" s="24"/>
      <c r="H772" s="4"/>
      <c r="I772" s="24"/>
      <c r="J772" s="4"/>
      <c r="K772" s="24"/>
      <c r="L772" s="4"/>
      <c r="M772" s="24"/>
      <c r="N772" s="4"/>
      <c r="Q772" s="4"/>
      <c r="R772" s="24"/>
      <c r="S772" s="4"/>
      <c r="T772" s="4"/>
      <c r="U772" s="4"/>
      <c r="V772" s="4"/>
      <c r="W772" s="4"/>
      <c r="AI772" s="4"/>
      <c r="AJ772" s="4"/>
      <c r="AM772" s="30">
        <f>SUM(AM4:AM771)</f>
        <v>2068610789.0904481</v>
      </c>
      <c r="AN772" s="32">
        <f>SUM(AN771,AN675,AN579,AN483,AN387,AN291,AN195,AN99)</f>
        <v>2068610789.0904503</v>
      </c>
      <c r="AO772" s="33" t="s">
        <v>58</v>
      </c>
    </row>
  </sheetData>
  <mergeCells count="3">
    <mergeCell ref="AH2:AL2"/>
    <mergeCell ref="S2:AG2"/>
    <mergeCell ref="B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Hydro_final</vt:lpstr>
      <vt:lpstr>Shedule break rate </vt:lpstr>
      <vt:lpstr>Hydel</vt:lpstr>
      <vt:lpstr>Final_data</vt:lpstr>
    </vt:vector>
  </TitlesOfParts>
  <Manager/>
  <Company>Alstom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Supervisor1</dc:creator>
  <cp:keywords/>
  <dc:description/>
  <cp:lastModifiedBy>Kanakadhurga Dharmaraj</cp:lastModifiedBy>
  <cp:revision/>
  <dcterms:created xsi:type="dcterms:W3CDTF">2025-07-18T09:25:55Z</dcterms:created>
  <dcterms:modified xsi:type="dcterms:W3CDTF">2026-07-14T11:43:47Z</dcterms:modified>
  <cp:category/>
  <cp:contentStatus/>
</cp:coreProperties>
</file>